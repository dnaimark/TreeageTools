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\Dropbox\ClinEpi_DA\DA\ADA\ADA2024\AdvDA2024_CM09_PSA_SS_Mar12\PostBeforeClass\"/>
    </mc:Choice>
  </mc:AlternateContent>
  <xr:revisionPtr revIDLastSave="0" documentId="13_ncr:1_{16B22ED6-7C52-482E-B9BE-C8E01709C286}" xr6:coauthVersionLast="47" xr6:coauthVersionMax="47" xr10:uidLastSave="{00000000-0000-0000-0000-000000000000}"/>
  <bookViews>
    <workbookView xWindow="1020" yWindow="1275" windowWidth="22650" windowHeight="13965" xr2:uid="{00000000-000D-0000-FFFF-FFFF00000000}"/>
  </bookViews>
  <sheets>
    <sheet name="Utilities" sheetId="1" r:id="rId1"/>
    <sheet name="ReportData" sheetId="2" r:id="rId2"/>
    <sheet name="FirstOrder" sheetId="3" r:id="rId3"/>
    <sheet name="SecondOrder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E7" i="1"/>
</calcChain>
</file>

<file path=xl/sharedStrings.xml><?xml version="1.0" encoding="utf-8"?>
<sst xmlns="http://schemas.openxmlformats.org/spreadsheetml/2006/main" count="309" uniqueCount="53">
  <si>
    <t>Path</t>
  </si>
  <si>
    <t>TreeName</t>
  </si>
  <si>
    <t>Lower bound</t>
  </si>
  <si>
    <t>Upper bound</t>
  </si>
  <si>
    <t>Step size</t>
  </si>
  <si>
    <t>montecarlo-summary-text</t>
  </si>
  <si>
    <t>Report ID</t>
  </si>
  <si>
    <t xml:space="preserve"> secs</t>
  </si>
  <si>
    <t>STATISTIC</t>
  </si>
  <si>
    <t>STRATEGY</t>
  </si>
  <si>
    <t>STATISTICINDEX</t>
  </si>
  <si>
    <t>STRATEGYINDEX</t>
  </si>
  <si>
    <t>ATTRIBUTEINDEX</t>
  </si>
  <si>
    <t>Cost</t>
  </si>
  <si>
    <t>Eff</t>
  </si>
  <si>
    <t>NMB</t>
  </si>
  <si>
    <t>ATTRIBUTENAME</t>
  </si>
  <si>
    <t>Mean</t>
  </si>
  <si>
    <t>Std Deviation</t>
  </si>
  <si>
    <t>Minimum</t>
  </si>
  <si>
    <t>Median</t>
  </si>
  <si>
    <t>Maximum</t>
  </si>
  <si>
    <t>Sum</t>
  </si>
  <si>
    <t>Size (n)</t>
  </si>
  <si>
    <t>Variance</t>
  </si>
  <si>
    <t>Variance/Size</t>
  </si>
  <si>
    <t>SQRT[Variance/Size]</t>
  </si>
  <si>
    <t>ICER</t>
  </si>
  <si>
    <t>Iteration</t>
  </si>
  <si>
    <t>cDrugA</t>
  </si>
  <si>
    <t>cDrugB</t>
  </si>
  <si>
    <t>effDrugA</t>
  </si>
  <si>
    <t>effDrugB</t>
  </si>
  <si>
    <t xml:space="preserve"> Percent change</t>
  </si>
  <si>
    <t>Last run time</t>
  </si>
  <si>
    <t>Trial size</t>
  </si>
  <si>
    <t>Max step number*</t>
  </si>
  <si>
    <t>Stop criterion</t>
  </si>
  <si>
    <t>Sample size</t>
  </si>
  <si>
    <t>*The process will stop if stability is found prior to the maximum number of steps</t>
  </si>
  <si>
    <t>95% Lower Bound</t>
  </si>
  <si>
    <t>95% Upper Bound</t>
  </si>
  <si>
    <t>VAL</t>
  </si>
  <si>
    <t>1st order</t>
  </si>
  <si>
    <t>2nd order</t>
  </si>
  <si>
    <t>Run the macro 'runSampleSize'</t>
  </si>
  <si>
    <t>Stability is defined as a change in the ICER of &lt; 1%</t>
  </si>
  <si>
    <t>drugA</t>
  </si>
  <si>
    <t>drugB</t>
  </si>
  <si>
    <t>2nd Order</t>
  </si>
  <si>
    <t>First Order</t>
  </si>
  <si>
    <t>"C:\Users\David\Dropbox\ClinEpi_DA\DA\ADA\ADA2024\AdvDA2024_CM05_DES_Feb06\PostAfterClass"</t>
  </si>
  <si>
    <t>"Session05tree_2024_answer.trex"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</si>
</sst>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8"/>
      <color theme="4"/>
      <name val="Calibri"/>
      <family val="2"/>
    </font>
    <font>
      <b/>
      <sz val="14"/>
      <color theme="4" tint="-0.249977111117893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Alignment="1">
      <alignment horizontal="right"/>
    </xf>
    <xf numFmtId="10" fontId="0" fillId="0" borderId="0" xfId="0" applyNumberFormat="1"/>
    <xf numFmtId="9" fontId="0" fillId="0" borderId="0" xfId="0" applyNumberFormat="1"/>
    <xf numFmtId="11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2" fillId="2" borderId="0" xfId="0" applyFont="1" applyFill="1"/>
    <xf numFmtId="164" fontId="1" fillId="0" borderId="0" xfId="0" applyNumberFormat="1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7"/>
  <sheetViews>
    <sheetView tabSelected="1" workbookViewId="0">
      <selection activeCell="I17" sqref="I17"/>
    </sheetView>
  </sheetViews>
  <sheetFormatPr defaultRowHeight="15" x14ac:dyDescent="0.25"/>
  <cols>
    <col min="1" max="1" width="15" customWidth="1"/>
    <col min="2" max="2" width="30.5703125" customWidth="1"/>
    <col min="3" max="3" width="18" customWidth="1"/>
    <col min="4" max="4" width="16" customWidth="1"/>
    <col min="5" max="5" width="22.28515625" customWidth="1"/>
    <col min="6" max="6" width="16.7109375" customWidth="1"/>
    <col min="7" max="7" width="18.42578125" customWidth="1"/>
  </cols>
  <sheetData>
    <row r="1" spans="1:6" x14ac:dyDescent="0.25">
      <c r="A1" s="1" t="s">
        <v>0</v>
      </c>
      <c r="B1" t="s">
        <v>51</v>
      </c>
    </row>
    <row r="2" spans="1:6" x14ac:dyDescent="0.25">
      <c r="A2" s="1"/>
    </row>
    <row r="3" spans="1:6" x14ac:dyDescent="0.25">
      <c r="A3" s="1" t="s">
        <v>1</v>
      </c>
      <c r="B3" t="s">
        <v>52</v>
      </c>
    </row>
    <row r="4" spans="1:6" x14ac:dyDescent="0.25">
      <c r="A4" s="1"/>
    </row>
    <row r="5" spans="1:6" x14ac:dyDescent="0.25">
      <c r="A5" s="1"/>
    </row>
    <row r="6" spans="1:6" x14ac:dyDescent="0.25">
      <c r="A6" s="1"/>
      <c r="B6" s="1" t="s">
        <v>2</v>
      </c>
      <c r="C6" s="1" t="s">
        <v>3</v>
      </c>
      <c r="D6" s="1" t="s">
        <v>4</v>
      </c>
      <c r="E6" s="1" t="s">
        <v>36</v>
      </c>
    </row>
    <row r="7" spans="1:6" x14ac:dyDescent="0.25">
      <c r="A7" s="1" t="s">
        <v>43</v>
      </c>
      <c r="B7" s="2">
        <v>1000</v>
      </c>
      <c r="C7" s="2">
        <v>15000</v>
      </c>
      <c r="D7" s="2">
        <v>1000</v>
      </c>
      <c r="E7" s="9">
        <f>((C7-B7)/D7)+1</f>
        <v>15</v>
      </c>
    </row>
    <row r="8" spans="1:6" x14ac:dyDescent="0.25">
      <c r="A8" s="1" t="s">
        <v>44</v>
      </c>
      <c r="B8" s="2">
        <v>1</v>
      </c>
      <c r="C8" s="2">
        <v>2</v>
      </c>
      <c r="D8" s="2">
        <v>1</v>
      </c>
      <c r="E8" s="9">
        <f>((C8-B8)/D8)+1</f>
        <v>2</v>
      </c>
    </row>
    <row r="10" spans="1:6" x14ac:dyDescent="0.25">
      <c r="A10" s="1" t="s">
        <v>34</v>
      </c>
      <c r="B10" s="3">
        <v>6.5140000000000002</v>
      </c>
      <c r="C10" t="s">
        <v>7</v>
      </c>
    </row>
    <row r="11" spans="1:6" x14ac:dyDescent="0.25">
      <c r="A11" s="1" t="s">
        <v>6</v>
      </c>
      <c r="B11" s="3" t="s">
        <v>5</v>
      </c>
    </row>
    <row r="12" spans="1:6" x14ac:dyDescent="0.25">
      <c r="A12" s="1"/>
      <c r="B12" s="3"/>
    </row>
    <row r="13" spans="1:6" x14ac:dyDescent="0.25">
      <c r="A13" s="1" t="s">
        <v>37</v>
      </c>
      <c r="B13" s="8">
        <v>0.02</v>
      </c>
      <c r="C13" s="3"/>
      <c r="D13" s="3"/>
      <c r="E13" s="3"/>
      <c r="F13" s="3"/>
    </row>
    <row r="14" spans="1:6" x14ac:dyDescent="0.25">
      <c r="A14" s="1"/>
      <c r="B14" s="3"/>
    </row>
    <row r="15" spans="1:6" x14ac:dyDescent="0.25">
      <c r="B15" s="3"/>
    </row>
    <row r="16" spans="1:6" ht="18.75" x14ac:dyDescent="0.3">
      <c r="A16" s="12" t="s">
        <v>45</v>
      </c>
      <c r="B16" s="3"/>
    </row>
    <row r="17" spans="1:2" x14ac:dyDescent="0.25">
      <c r="B17" s="3"/>
    </row>
    <row r="18" spans="1:2" x14ac:dyDescent="0.25">
      <c r="A18" t="s">
        <v>39</v>
      </c>
      <c r="B18" s="3"/>
    </row>
    <row r="19" spans="1:2" x14ac:dyDescent="0.25">
      <c r="A19" t="s">
        <v>46</v>
      </c>
      <c r="B19" s="3"/>
    </row>
    <row r="20" spans="1:2" x14ac:dyDescent="0.25">
      <c r="B20" s="3"/>
    </row>
    <row r="21" spans="1:2" x14ac:dyDescent="0.25">
      <c r="B21" s="3"/>
    </row>
    <row r="22" spans="1:2" x14ac:dyDescent="0.25">
      <c r="B22" s="3"/>
    </row>
    <row r="23" spans="1:2" x14ac:dyDescent="0.25">
      <c r="B23" s="3"/>
    </row>
    <row r="24" spans="1:2" x14ac:dyDescent="0.25">
      <c r="B24" s="3"/>
    </row>
    <row r="25" spans="1:2" x14ac:dyDescent="0.25">
      <c r="B25" s="3"/>
    </row>
    <row r="26" spans="1:2" x14ac:dyDescent="0.25">
      <c r="B26" s="3"/>
    </row>
    <row r="27" spans="1:2" x14ac:dyDescent="0.25">
      <c r="B27" s="3"/>
    </row>
    <row r="28" spans="1:2" x14ac:dyDescent="0.25">
      <c r="B28" s="3"/>
    </row>
    <row r="29" spans="1:2" x14ac:dyDescent="0.25">
      <c r="B29" s="3"/>
    </row>
    <row r="30" spans="1:2" x14ac:dyDescent="0.25">
      <c r="B30" s="3"/>
    </row>
    <row r="31" spans="1:2" x14ac:dyDescent="0.25">
      <c r="B31" s="3"/>
    </row>
    <row r="32" spans="1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2" x14ac:dyDescent="0.25">
      <c r="B49" s="3"/>
    </row>
    <row r="50" spans="2:2" x14ac:dyDescent="0.25">
      <c r="B50" s="3"/>
    </row>
    <row r="51" spans="2:2" x14ac:dyDescent="0.25">
      <c r="B51" s="3"/>
    </row>
    <row r="52" spans="2:2" x14ac:dyDescent="0.25">
      <c r="B52" s="3"/>
    </row>
    <row r="53" spans="2:2" x14ac:dyDescent="0.25">
      <c r="B53" s="3"/>
    </row>
    <row r="54" spans="2:2" x14ac:dyDescent="0.25">
      <c r="B54" s="3"/>
    </row>
    <row r="55" spans="2:2" x14ac:dyDescent="0.25">
      <c r="B55" s="3"/>
    </row>
    <row r="56" spans="2:2" x14ac:dyDescent="0.25">
      <c r="B56" s="3"/>
    </row>
    <row r="57" spans="2:2" x14ac:dyDescent="0.25">
      <c r="B57" s="3"/>
    </row>
    <row r="58" spans="2:2" x14ac:dyDescent="0.25">
      <c r="B58" s="3"/>
    </row>
    <row r="59" spans="2:2" x14ac:dyDescent="0.25">
      <c r="B59" s="3"/>
    </row>
    <row r="60" spans="2:2" x14ac:dyDescent="0.25">
      <c r="B60" s="3"/>
    </row>
    <row r="61" spans="2:2" x14ac:dyDescent="0.25">
      <c r="B61" s="3"/>
    </row>
    <row r="62" spans="2:2" x14ac:dyDescent="0.25">
      <c r="B62" s="3"/>
    </row>
    <row r="63" spans="2:2" x14ac:dyDescent="0.25">
      <c r="B63" s="3"/>
    </row>
    <row r="64" spans="2:2" x14ac:dyDescent="0.25">
      <c r="B64" s="3"/>
    </row>
    <row r="65" spans="2:2" x14ac:dyDescent="0.25">
      <c r="B65" s="3"/>
    </row>
    <row r="66" spans="2:2" x14ac:dyDescent="0.25">
      <c r="B66" s="3"/>
    </row>
    <row r="67" spans="2:2" x14ac:dyDescent="0.25">
      <c r="B67" s="3"/>
    </row>
    <row r="68" spans="2:2" x14ac:dyDescent="0.25">
      <c r="B68" s="3"/>
    </row>
    <row r="69" spans="2:2" x14ac:dyDescent="0.25">
      <c r="B69" s="3"/>
    </row>
    <row r="70" spans="2:2" x14ac:dyDescent="0.25">
      <c r="B70" s="3"/>
    </row>
    <row r="71" spans="2:2" x14ac:dyDescent="0.25">
      <c r="B71" s="3"/>
    </row>
    <row r="72" spans="2:2" x14ac:dyDescent="0.25">
      <c r="B72" s="3"/>
    </row>
    <row r="73" spans="2:2" x14ac:dyDescent="0.25">
      <c r="B73" s="3"/>
    </row>
    <row r="74" spans="2:2" x14ac:dyDescent="0.25">
      <c r="B74" s="3"/>
    </row>
    <row r="75" spans="2:2" x14ac:dyDescent="0.25">
      <c r="B75" s="3"/>
    </row>
    <row r="76" spans="2:2" x14ac:dyDescent="0.25">
      <c r="B76" s="3"/>
    </row>
    <row r="77" spans="2:2" x14ac:dyDescent="0.25">
      <c r="B77" s="3"/>
    </row>
    <row r="78" spans="2:2" x14ac:dyDescent="0.25">
      <c r="B78" s="3"/>
    </row>
    <row r="79" spans="2:2" x14ac:dyDescent="0.25">
      <c r="B79" s="3"/>
    </row>
    <row r="80" spans="2:2" x14ac:dyDescent="0.25">
      <c r="B80" s="3"/>
    </row>
    <row r="81" spans="2:2" x14ac:dyDescent="0.25">
      <c r="B81" s="3"/>
    </row>
    <row r="82" spans="2:2" x14ac:dyDescent="0.25">
      <c r="B82" s="3"/>
    </row>
    <row r="83" spans="2:2" x14ac:dyDescent="0.25">
      <c r="B83" s="3"/>
    </row>
    <row r="84" spans="2:2" x14ac:dyDescent="0.25">
      <c r="B84" s="3"/>
    </row>
    <row r="85" spans="2:2" x14ac:dyDescent="0.25">
      <c r="B85" s="3"/>
    </row>
    <row r="86" spans="2:2" x14ac:dyDescent="0.25">
      <c r="B86" s="3"/>
    </row>
    <row r="87" spans="2:2" x14ac:dyDescent="0.25">
      <c r="B87" s="3"/>
    </row>
    <row r="88" spans="2:2" x14ac:dyDescent="0.25">
      <c r="B88" s="3"/>
    </row>
    <row r="89" spans="2:2" x14ac:dyDescent="0.25">
      <c r="B89" s="3"/>
    </row>
    <row r="90" spans="2:2" x14ac:dyDescent="0.25">
      <c r="B90" s="3"/>
    </row>
    <row r="91" spans="2:2" x14ac:dyDescent="0.25">
      <c r="B91" s="3"/>
    </row>
    <row r="92" spans="2:2" x14ac:dyDescent="0.25">
      <c r="B92" s="3"/>
    </row>
    <row r="93" spans="2:2" x14ac:dyDescent="0.25">
      <c r="B93" s="3"/>
    </row>
    <row r="94" spans="2:2" x14ac:dyDescent="0.25">
      <c r="B94" s="3"/>
    </row>
    <row r="95" spans="2:2" x14ac:dyDescent="0.25">
      <c r="B95" s="3"/>
    </row>
    <row r="96" spans="2:2" x14ac:dyDescent="0.25">
      <c r="B96" s="3"/>
    </row>
    <row r="97" spans="2:2" x14ac:dyDescent="0.25">
      <c r="B9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97"/>
  <sheetViews>
    <sheetView topLeftCell="A19" workbookViewId="0">
      <selection activeCell="E50" sqref="E50"/>
    </sheetView>
  </sheetViews>
  <sheetFormatPr defaultRowHeight="15" x14ac:dyDescent="0.25"/>
  <cols>
    <col min="1" max="1" width="16" bestFit="1" customWidth="1"/>
    <col min="2" max="2" width="19.42578125" bestFit="1" customWidth="1"/>
    <col min="3" max="3" width="15.28515625" bestFit="1" customWidth="1"/>
    <col min="4" max="4" width="9.7109375" bestFit="1" customWidth="1"/>
    <col min="5" max="5" width="12.7109375" bestFit="1" customWidth="1"/>
    <col min="6" max="6" width="15.140625" bestFit="1" customWidth="1"/>
    <col min="7" max="7" width="15.28515625" bestFit="1" customWidth="1"/>
    <col min="8" max="8" width="16" bestFit="1" customWidth="1"/>
  </cols>
  <sheetData>
    <row r="1" spans="1:8" x14ac:dyDescent="0.25">
      <c r="A1" t="s">
        <v>16</v>
      </c>
      <c r="B1" t="s">
        <v>8</v>
      </c>
      <c r="C1" t="s">
        <v>11</v>
      </c>
      <c r="D1" t="s">
        <v>9</v>
      </c>
      <c r="E1" t="s">
        <v>42</v>
      </c>
      <c r="F1" t="s">
        <v>10</v>
      </c>
      <c r="G1" t="s">
        <v>11</v>
      </c>
      <c r="H1" t="s">
        <v>12</v>
      </c>
    </row>
    <row r="2" spans="1:8" x14ac:dyDescent="0.25">
      <c r="A2" t="s">
        <v>13</v>
      </c>
      <c r="B2" t="s">
        <v>17</v>
      </c>
      <c r="C2">
        <v>1</v>
      </c>
      <c r="D2" t="s">
        <v>47</v>
      </c>
      <c r="E2">
        <v>1186508.9695441499</v>
      </c>
      <c r="F2">
        <v>0</v>
      </c>
      <c r="G2">
        <v>1</v>
      </c>
      <c r="H2">
        <v>1</v>
      </c>
    </row>
    <row r="3" spans="1:8" x14ac:dyDescent="0.25">
      <c r="A3" t="s">
        <v>13</v>
      </c>
      <c r="B3" t="s">
        <v>18</v>
      </c>
      <c r="C3">
        <v>1</v>
      </c>
      <c r="D3" t="s">
        <v>47</v>
      </c>
      <c r="E3">
        <v>10465.850053026899</v>
      </c>
      <c r="F3">
        <v>1</v>
      </c>
      <c r="G3">
        <v>1</v>
      </c>
      <c r="H3">
        <v>1</v>
      </c>
    </row>
    <row r="4" spans="1:8" x14ac:dyDescent="0.25">
      <c r="A4" t="s">
        <v>13</v>
      </c>
      <c r="B4" s="4" t="s">
        <v>19</v>
      </c>
      <c r="C4">
        <v>1</v>
      </c>
      <c r="D4" t="s">
        <v>47</v>
      </c>
      <c r="E4">
        <v>1171800.6194104799</v>
      </c>
      <c r="F4">
        <v>2</v>
      </c>
      <c r="G4">
        <v>1</v>
      </c>
      <c r="H4">
        <v>1</v>
      </c>
    </row>
    <row r="5" spans="1:8" x14ac:dyDescent="0.25">
      <c r="A5" t="s">
        <v>13</v>
      </c>
      <c r="B5" s="5">
        <v>2.5000000000000001E-2</v>
      </c>
      <c r="C5">
        <v>1</v>
      </c>
      <c r="D5" t="s">
        <v>47</v>
      </c>
      <c r="E5">
        <v>1171800.6194104799</v>
      </c>
      <c r="F5">
        <v>3</v>
      </c>
      <c r="G5">
        <v>1</v>
      </c>
      <c r="H5">
        <v>1</v>
      </c>
    </row>
    <row r="6" spans="1:8" x14ac:dyDescent="0.25">
      <c r="A6" t="s">
        <v>13</v>
      </c>
      <c r="B6" s="5">
        <v>0.1</v>
      </c>
      <c r="C6">
        <v>1</v>
      </c>
      <c r="D6" t="s">
        <v>47</v>
      </c>
      <c r="E6">
        <v>1171800.6194104799</v>
      </c>
      <c r="F6">
        <v>4</v>
      </c>
      <c r="G6">
        <v>1</v>
      </c>
      <c r="H6">
        <v>1</v>
      </c>
    </row>
    <row r="7" spans="1:8" x14ac:dyDescent="0.25">
      <c r="A7" t="s">
        <v>13</v>
      </c>
      <c r="B7" s="5" t="s">
        <v>20</v>
      </c>
      <c r="C7">
        <v>1</v>
      </c>
      <c r="D7" t="s">
        <v>47</v>
      </c>
      <c r="E7">
        <v>1192431.58837476</v>
      </c>
      <c r="F7">
        <v>5</v>
      </c>
      <c r="G7">
        <v>1</v>
      </c>
      <c r="H7">
        <v>1</v>
      </c>
    </row>
    <row r="8" spans="1:8" x14ac:dyDescent="0.25">
      <c r="A8" t="s">
        <v>13</v>
      </c>
      <c r="B8" s="4">
        <v>0.9</v>
      </c>
      <c r="C8">
        <v>1</v>
      </c>
      <c r="D8" t="s">
        <v>47</v>
      </c>
      <c r="E8">
        <v>1195294.7008472299</v>
      </c>
      <c r="F8">
        <v>6</v>
      </c>
      <c r="G8">
        <v>1</v>
      </c>
      <c r="H8">
        <v>1</v>
      </c>
    </row>
    <row r="9" spans="1:8" x14ac:dyDescent="0.25">
      <c r="A9" t="s">
        <v>13</v>
      </c>
      <c r="B9" s="4">
        <v>0.97499999999999998</v>
      </c>
      <c r="C9">
        <v>1</v>
      </c>
      <c r="D9" t="s">
        <v>47</v>
      </c>
      <c r="E9">
        <v>1195294.7008472299</v>
      </c>
      <c r="F9">
        <v>7</v>
      </c>
      <c r="G9">
        <v>1</v>
      </c>
      <c r="H9">
        <v>1</v>
      </c>
    </row>
    <row r="10" spans="1:8" x14ac:dyDescent="0.25">
      <c r="A10" t="s">
        <v>13</v>
      </c>
      <c r="B10" s="4" t="s">
        <v>21</v>
      </c>
      <c r="C10">
        <v>1</v>
      </c>
      <c r="D10" t="s">
        <v>47</v>
      </c>
      <c r="E10">
        <v>1195294.7008472299</v>
      </c>
      <c r="F10">
        <v>8</v>
      </c>
      <c r="G10">
        <v>1</v>
      </c>
      <c r="H10">
        <v>1</v>
      </c>
    </row>
    <row r="11" spans="1:8" x14ac:dyDescent="0.25">
      <c r="A11" t="s">
        <v>13</v>
      </c>
      <c r="B11" t="s">
        <v>22</v>
      </c>
      <c r="C11">
        <v>1</v>
      </c>
      <c r="D11" s="6" t="s">
        <v>47</v>
      </c>
      <c r="E11" s="6">
        <v>3559526.9086324698</v>
      </c>
      <c r="F11">
        <v>9</v>
      </c>
      <c r="G11">
        <v>1</v>
      </c>
      <c r="H11">
        <v>1</v>
      </c>
    </row>
    <row r="12" spans="1:8" x14ac:dyDescent="0.25">
      <c r="A12" t="s">
        <v>13</v>
      </c>
      <c r="B12" t="s">
        <v>23</v>
      </c>
      <c r="C12">
        <v>1</v>
      </c>
      <c r="D12" t="s">
        <v>47</v>
      </c>
      <c r="E12">
        <v>3</v>
      </c>
      <c r="F12">
        <v>10</v>
      </c>
      <c r="G12">
        <v>1</v>
      </c>
      <c r="H12">
        <v>1</v>
      </c>
    </row>
    <row r="13" spans="1:8" x14ac:dyDescent="0.25">
      <c r="A13" t="s">
        <v>13</v>
      </c>
      <c r="B13" t="s">
        <v>24</v>
      </c>
      <c r="C13">
        <v>1</v>
      </c>
      <c r="D13" s="6" t="s">
        <v>47</v>
      </c>
      <c r="E13" s="6">
        <v>109534017.332443</v>
      </c>
      <c r="F13">
        <v>11</v>
      </c>
      <c r="G13">
        <v>1</v>
      </c>
      <c r="H13">
        <v>1</v>
      </c>
    </row>
    <row r="14" spans="1:8" x14ac:dyDescent="0.25">
      <c r="A14" t="s">
        <v>13</v>
      </c>
      <c r="B14" t="s">
        <v>25</v>
      </c>
      <c r="C14">
        <v>1</v>
      </c>
      <c r="D14" s="6" t="s">
        <v>47</v>
      </c>
      <c r="E14" s="6">
        <v>36511339.110814497</v>
      </c>
      <c r="F14">
        <v>12</v>
      </c>
      <c r="G14">
        <v>1</v>
      </c>
      <c r="H14">
        <v>1</v>
      </c>
    </row>
    <row r="15" spans="1:8" x14ac:dyDescent="0.25">
      <c r="A15" t="s">
        <v>13</v>
      </c>
      <c r="B15" t="s">
        <v>26</v>
      </c>
      <c r="C15">
        <v>1</v>
      </c>
      <c r="D15" t="s">
        <v>47</v>
      </c>
      <c r="E15">
        <v>6042.4613454133496</v>
      </c>
      <c r="F15">
        <v>13</v>
      </c>
      <c r="G15">
        <v>1</v>
      </c>
      <c r="H15">
        <v>1</v>
      </c>
    </row>
    <row r="16" spans="1:8" x14ac:dyDescent="0.25">
      <c r="A16" t="s">
        <v>13</v>
      </c>
      <c r="B16" t="s">
        <v>40</v>
      </c>
      <c r="C16">
        <v>1</v>
      </c>
      <c r="D16" t="s">
        <v>47</v>
      </c>
      <c r="E16">
        <v>1174665.9629291701</v>
      </c>
      <c r="F16">
        <v>14</v>
      </c>
      <c r="G16">
        <v>1</v>
      </c>
      <c r="H16">
        <v>1</v>
      </c>
    </row>
    <row r="17" spans="1:8" x14ac:dyDescent="0.25">
      <c r="A17" t="s">
        <v>13</v>
      </c>
      <c r="B17" t="s">
        <v>41</v>
      </c>
      <c r="C17">
        <v>1</v>
      </c>
      <c r="D17" t="s">
        <v>47</v>
      </c>
      <c r="E17">
        <v>1198351.97615914</v>
      </c>
      <c r="F17">
        <v>15</v>
      </c>
      <c r="G17">
        <v>1</v>
      </c>
      <c r="H17">
        <v>1</v>
      </c>
    </row>
    <row r="18" spans="1:8" x14ac:dyDescent="0.25">
      <c r="A18" t="s">
        <v>13</v>
      </c>
      <c r="B18" s="4" t="s">
        <v>17</v>
      </c>
      <c r="C18">
        <v>2</v>
      </c>
      <c r="D18" t="s">
        <v>48</v>
      </c>
      <c r="E18">
        <v>1214604.58689083</v>
      </c>
      <c r="F18">
        <v>0</v>
      </c>
      <c r="G18">
        <v>2</v>
      </c>
      <c r="H18">
        <v>1</v>
      </c>
    </row>
    <row r="19" spans="1:8" x14ac:dyDescent="0.25">
      <c r="A19" t="s">
        <v>13</v>
      </c>
      <c r="B19" s="5" t="s">
        <v>18</v>
      </c>
      <c r="C19">
        <v>2</v>
      </c>
      <c r="D19" t="s">
        <v>48</v>
      </c>
      <c r="E19">
        <v>6919.8844074786603</v>
      </c>
      <c r="F19">
        <v>1</v>
      </c>
      <c r="G19">
        <v>2</v>
      </c>
      <c r="H19">
        <v>1</v>
      </c>
    </row>
    <row r="20" spans="1:8" x14ac:dyDescent="0.25">
      <c r="A20" t="s">
        <v>13</v>
      </c>
      <c r="B20" s="5" t="s">
        <v>19</v>
      </c>
      <c r="C20">
        <v>2</v>
      </c>
      <c r="D20" t="s">
        <v>48</v>
      </c>
      <c r="E20">
        <v>1205666.23048166</v>
      </c>
      <c r="F20">
        <v>2</v>
      </c>
      <c r="G20">
        <v>2</v>
      </c>
      <c r="H20">
        <v>1</v>
      </c>
    </row>
    <row r="21" spans="1:8" x14ac:dyDescent="0.25">
      <c r="A21" t="s">
        <v>13</v>
      </c>
      <c r="B21" s="5">
        <v>2.5000000000000001E-2</v>
      </c>
      <c r="C21">
        <v>2</v>
      </c>
      <c r="D21" t="s">
        <v>48</v>
      </c>
      <c r="E21">
        <v>1205666.23048166</v>
      </c>
      <c r="F21">
        <v>3</v>
      </c>
      <c r="G21">
        <v>2</v>
      </c>
      <c r="H21">
        <v>1</v>
      </c>
    </row>
    <row r="22" spans="1:8" x14ac:dyDescent="0.25">
      <c r="A22" t="s">
        <v>13</v>
      </c>
      <c r="B22" s="4">
        <v>0.1</v>
      </c>
      <c r="C22">
        <v>2</v>
      </c>
      <c r="D22" t="s">
        <v>48</v>
      </c>
      <c r="E22">
        <v>1205666.23048166</v>
      </c>
      <c r="F22">
        <v>4</v>
      </c>
      <c r="G22">
        <v>2</v>
      </c>
      <c r="H22">
        <v>1</v>
      </c>
    </row>
    <row r="23" spans="1:8" x14ac:dyDescent="0.25">
      <c r="A23" t="s">
        <v>13</v>
      </c>
      <c r="B23" s="4" t="s">
        <v>20</v>
      </c>
      <c r="C23">
        <v>2</v>
      </c>
      <c r="D23" t="s">
        <v>48</v>
      </c>
      <c r="E23">
        <v>1215623.1798050301</v>
      </c>
      <c r="F23">
        <v>5</v>
      </c>
      <c r="G23">
        <v>2</v>
      </c>
      <c r="H23">
        <v>1</v>
      </c>
    </row>
    <row r="24" spans="1:8" x14ac:dyDescent="0.25">
      <c r="A24" t="s">
        <v>13</v>
      </c>
      <c r="B24" s="4">
        <v>0.9</v>
      </c>
      <c r="C24">
        <v>2</v>
      </c>
      <c r="D24" t="s">
        <v>48</v>
      </c>
      <c r="E24">
        <v>1222524.35038581</v>
      </c>
      <c r="F24">
        <v>6</v>
      </c>
      <c r="G24">
        <v>2</v>
      </c>
      <c r="H24">
        <v>1</v>
      </c>
    </row>
    <row r="25" spans="1:8" x14ac:dyDescent="0.25">
      <c r="A25" t="s">
        <v>13</v>
      </c>
      <c r="B25" s="4">
        <v>0.97499999999999998</v>
      </c>
      <c r="C25">
        <v>2</v>
      </c>
      <c r="D25" s="6" t="s">
        <v>48</v>
      </c>
      <c r="E25">
        <v>1222524.35038581</v>
      </c>
      <c r="F25">
        <v>7</v>
      </c>
      <c r="G25">
        <v>2</v>
      </c>
      <c r="H25">
        <v>1</v>
      </c>
    </row>
    <row r="26" spans="1:8" x14ac:dyDescent="0.25">
      <c r="A26" t="s">
        <v>13</v>
      </c>
      <c r="B26" t="s">
        <v>21</v>
      </c>
      <c r="C26">
        <v>2</v>
      </c>
      <c r="D26" t="s">
        <v>48</v>
      </c>
      <c r="E26">
        <v>1222524.35038581</v>
      </c>
      <c r="F26">
        <v>8</v>
      </c>
      <c r="G26">
        <v>2</v>
      </c>
      <c r="H26">
        <v>1</v>
      </c>
    </row>
    <row r="27" spans="1:8" x14ac:dyDescent="0.25">
      <c r="A27" t="s">
        <v>13</v>
      </c>
      <c r="B27" t="s">
        <v>22</v>
      </c>
      <c r="C27">
        <v>2</v>
      </c>
      <c r="D27" s="6" t="s">
        <v>48</v>
      </c>
      <c r="E27" s="6">
        <v>3643813.7606724999</v>
      </c>
      <c r="F27">
        <v>9</v>
      </c>
      <c r="G27">
        <v>2</v>
      </c>
      <c r="H27">
        <v>1</v>
      </c>
    </row>
    <row r="28" spans="1:8" x14ac:dyDescent="0.25">
      <c r="A28" t="s">
        <v>13</v>
      </c>
      <c r="B28" t="s">
        <v>23</v>
      </c>
      <c r="C28">
        <v>2</v>
      </c>
      <c r="D28" s="6" t="s">
        <v>48</v>
      </c>
      <c r="E28">
        <v>3</v>
      </c>
      <c r="F28">
        <v>10</v>
      </c>
      <c r="G28">
        <v>2</v>
      </c>
      <c r="H28">
        <v>1</v>
      </c>
    </row>
    <row r="29" spans="1:8" x14ac:dyDescent="0.25">
      <c r="A29" t="s">
        <v>13</v>
      </c>
      <c r="B29" t="s">
        <v>24</v>
      </c>
      <c r="C29">
        <v>2</v>
      </c>
      <c r="D29" s="6" t="s">
        <v>48</v>
      </c>
      <c r="E29" s="6">
        <v>47884800.212866299</v>
      </c>
      <c r="F29">
        <v>11</v>
      </c>
      <c r="G29">
        <v>2</v>
      </c>
      <c r="H29">
        <v>1</v>
      </c>
    </row>
    <row r="30" spans="1:8" x14ac:dyDescent="0.25">
      <c r="A30" t="s">
        <v>13</v>
      </c>
      <c r="B30" t="s">
        <v>25</v>
      </c>
      <c r="C30">
        <v>2</v>
      </c>
      <c r="D30" s="6" t="s">
        <v>48</v>
      </c>
      <c r="E30" s="6">
        <v>15961600.070955399</v>
      </c>
      <c r="F30">
        <v>12</v>
      </c>
      <c r="G30">
        <v>2</v>
      </c>
      <c r="H30">
        <v>1</v>
      </c>
    </row>
    <row r="31" spans="1:8" x14ac:dyDescent="0.25">
      <c r="A31" t="s">
        <v>13</v>
      </c>
      <c r="B31" t="s">
        <v>26</v>
      </c>
      <c r="C31">
        <v>2</v>
      </c>
      <c r="D31" t="s">
        <v>48</v>
      </c>
      <c r="E31">
        <v>3995.1971254189002</v>
      </c>
      <c r="F31">
        <v>13</v>
      </c>
      <c r="G31">
        <v>2</v>
      </c>
      <c r="H31">
        <v>1</v>
      </c>
    </row>
    <row r="32" spans="1:8" x14ac:dyDescent="0.25">
      <c r="A32" t="s">
        <v>13</v>
      </c>
      <c r="B32" s="4" t="s">
        <v>40</v>
      </c>
      <c r="C32">
        <v>2</v>
      </c>
      <c r="D32" t="s">
        <v>48</v>
      </c>
      <c r="E32">
        <v>1206774.1444138701</v>
      </c>
      <c r="F32">
        <v>14</v>
      </c>
      <c r="G32">
        <v>2</v>
      </c>
      <c r="H32">
        <v>1</v>
      </c>
    </row>
    <row r="33" spans="1:8" x14ac:dyDescent="0.25">
      <c r="A33" t="s">
        <v>13</v>
      </c>
      <c r="B33" s="5" t="s">
        <v>41</v>
      </c>
      <c r="C33">
        <v>2</v>
      </c>
      <c r="D33" t="s">
        <v>48</v>
      </c>
      <c r="E33">
        <v>1222435.0293677901</v>
      </c>
      <c r="F33">
        <v>15</v>
      </c>
      <c r="G33">
        <v>2</v>
      </c>
      <c r="H33">
        <v>1</v>
      </c>
    </row>
    <row r="34" spans="1:8" x14ac:dyDescent="0.25">
      <c r="A34" t="s">
        <v>14</v>
      </c>
      <c r="B34" s="5" t="s">
        <v>17</v>
      </c>
      <c r="C34">
        <v>1</v>
      </c>
      <c r="D34" t="s">
        <v>47</v>
      </c>
      <c r="E34">
        <v>98.459440823463694</v>
      </c>
      <c r="F34">
        <v>0</v>
      </c>
      <c r="G34">
        <v>1</v>
      </c>
      <c r="H34">
        <v>2</v>
      </c>
    </row>
    <row r="35" spans="1:8" x14ac:dyDescent="0.25">
      <c r="A35" t="s">
        <v>14</v>
      </c>
      <c r="B35" s="5" t="s">
        <v>18</v>
      </c>
      <c r="C35">
        <v>1</v>
      </c>
      <c r="D35" t="s">
        <v>47</v>
      </c>
      <c r="E35">
        <v>0.67503919797237699</v>
      </c>
      <c r="F35">
        <v>1</v>
      </c>
      <c r="G35">
        <v>1</v>
      </c>
      <c r="H35">
        <v>2</v>
      </c>
    </row>
    <row r="36" spans="1:8" x14ac:dyDescent="0.25">
      <c r="A36" t="s">
        <v>14</v>
      </c>
      <c r="B36" s="4" t="s">
        <v>19</v>
      </c>
      <c r="C36">
        <v>1</v>
      </c>
      <c r="D36" t="s">
        <v>47</v>
      </c>
      <c r="E36" s="6">
        <v>97.508061494124604</v>
      </c>
      <c r="F36">
        <v>2</v>
      </c>
      <c r="G36">
        <v>1</v>
      </c>
      <c r="H36">
        <v>2</v>
      </c>
    </row>
    <row r="37" spans="1:8" x14ac:dyDescent="0.25">
      <c r="A37" t="s">
        <v>14</v>
      </c>
      <c r="B37" s="4">
        <v>2.5000000000000001E-2</v>
      </c>
      <c r="C37">
        <v>1</v>
      </c>
      <c r="D37" t="s">
        <v>47</v>
      </c>
      <c r="E37">
        <v>97.508061494124604</v>
      </c>
      <c r="F37">
        <v>3</v>
      </c>
      <c r="G37">
        <v>1</v>
      </c>
      <c r="H37">
        <v>2</v>
      </c>
    </row>
    <row r="38" spans="1:8" x14ac:dyDescent="0.25">
      <c r="A38" t="s">
        <v>14</v>
      </c>
      <c r="B38" s="4">
        <v>0.1</v>
      </c>
      <c r="C38">
        <v>1</v>
      </c>
      <c r="D38" t="s">
        <v>47</v>
      </c>
      <c r="E38">
        <v>97.508061494124604</v>
      </c>
      <c r="F38">
        <v>4</v>
      </c>
      <c r="G38">
        <v>1</v>
      </c>
      <c r="H38">
        <v>2</v>
      </c>
    </row>
    <row r="39" spans="1:8" x14ac:dyDescent="0.25">
      <c r="A39" t="s">
        <v>14</v>
      </c>
      <c r="B39" t="s">
        <v>20</v>
      </c>
      <c r="C39">
        <v>1</v>
      </c>
      <c r="D39" t="s">
        <v>47</v>
      </c>
      <c r="E39">
        <v>98.866757196721295</v>
      </c>
      <c r="F39">
        <v>5</v>
      </c>
      <c r="G39">
        <v>1</v>
      </c>
      <c r="H39">
        <v>2</v>
      </c>
    </row>
    <row r="40" spans="1:8" x14ac:dyDescent="0.25">
      <c r="A40" t="s">
        <v>14</v>
      </c>
      <c r="B40" s="5">
        <v>0.9</v>
      </c>
      <c r="C40">
        <v>1</v>
      </c>
      <c r="D40" t="s">
        <v>47</v>
      </c>
      <c r="E40">
        <v>99.003503779545198</v>
      </c>
      <c r="F40">
        <v>6</v>
      </c>
      <c r="G40">
        <v>1</v>
      </c>
      <c r="H40">
        <v>2</v>
      </c>
    </row>
    <row r="41" spans="1:8" x14ac:dyDescent="0.25">
      <c r="A41" t="s">
        <v>14</v>
      </c>
      <c r="B41" s="4">
        <v>0.97499999999999998</v>
      </c>
      <c r="C41">
        <v>1</v>
      </c>
      <c r="D41" t="s">
        <v>47</v>
      </c>
      <c r="E41">
        <v>99.003503779545198</v>
      </c>
      <c r="F41">
        <v>7</v>
      </c>
      <c r="G41">
        <v>1</v>
      </c>
      <c r="H41">
        <v>2</v>
      </c>
    </row>
    <row r="42" spans="1:8" x14ac:dyDescent="0.25">
      <c r="A42" t="s">
        <v>14</v>
      </c>
      <c r="B42" t="s">
        <v>21</v>
      </c>
      <c r="C42">
        <v>1</v>
      </c>
      <c r="D42" t="s">
        <v>47</v>
      </c>
      <c r="E42">
        <v>99.003503779545198</v>
      </c>
      <c r="F42">
        <v>8</v>
      </c>
      <c r="G42">
        <v>1</v>
      </c>
      <c r="H42">
        <v>2</v>
      </c>
    </row>
    <row r="43" spans="1:8" x14ac:dyDescent="0.25">
      <c r="A43" t="s">
        <v>14</v>
      </c>
      <c r="B43" t="s">
        <v>22</v>
      </c>
      <c r="C43">
        <v>1</v>
      </c>
      <c r="D43" t="s">
        <v>47</v>
      </c>
      <c r="E43">
        <v>295.37832247039103</v>
      </c>
      <c r="F43">
        <v>9</v>
      </c>
      <c r="G43">
        <v>1</v>
      </c>
      <c r="H43">
        <v>2</v>
      </c>
    </row>
    <row r="44" spans="1:8" x14ac:dyDescent="0.25">
      <c r="A44" t="s">
        <v>14</v>
      </c>
      <c r="B44" t="s">
        <v>23</v>
      </c>
      <c r="C44">
        <v>1</v>
      </c>
      <c r="D44" t="s">
        <v>47</v>
      </c>
      <c r="E44">
        <v>3</v>
      </c>
      <c r="F44">
        <v>10</v>
      </c>
      <c r="G44">
        <v>1</v>
      </c>
      <c r="H44">
        <v>2</v>
      </c>
    </row>
    <row r="45" spans="1:8" x14ac:dyDescent="0.25">
      <c r="A45" t="s">
        <v>14</v>
      </c>
      <c r="B45" t="s">
        <v>24</v>
      </c>
      <c r="C45">
        <v>1</v>
      </c>
      <c r="D45" t="s">
        <v>47</v>
      </c>
      <c r="E45">
        <v>0.45567791879919001</v>
      </c>
      <c r="F45">
        <v>11</v>
      </c>
      <c r="G45">
        <v>1</v>
      </c>
      <c r="H45">
        <v>2</v>
      </c>
    </row>
    <row r="46" spans="1:8" x14ac:dyDescent="0.25">
      <c r="A46" t="s">
        <v>14</v>
      </c>
      <c r="B46" s="4" t="s">
        <v>25</v>
      </c>
      <c r="C46">
        <v>1</v>
      </c>
      <c r="D46" t="s">
        <v>47</v>
      </c>
      <c r="E46">
        <v>0.15189263959973001</v>
      </c>
      <c r="F46">
        <v>12</v>
      </c>
      <c r="G46">
        <v>1</v>
      </c>
      <c r="H46">
        <v>2</v>
      </c>
    </row>
    <row r="47" spans="1:8" x14ac:dyDescent="0.25">
      <c r="A47" t="s">
        <v>14</v>
      </c>
      <c r="B47" s="5" t="s">
        <v>26</v>
      </c>
      <c r="C47">
        <v>1</v>
      </c>
      <c r="D47" t="s">
        <v>47</v>
      </c>
      <c r="E47">
        <v>0.389734062662901</v>
      </c>
      <c r="F47">
        <v>13</v>
      </c>
      <c r="G47">
        <v>1</v>
      </c>
      <c r="H47">
        <v>2</v>
      </c>
    </row>
    <row r="48" spans="1:8" x14ac:dyDescent="0.25">
      <c r="A48" t="s">
        <v>14</v>
      </c>
      <c r="B48" s="5" t="s">
        <v>40</v>
      </c>
      <c r="C48">
        <v>1</v>
      </c>
      <c r="D48" t="s">
        <v>47</v>
      </c>
      <c r="E48">
        <v>97.695576097095895</v>
      </c>
      <c r="F48">
        <v>14</v>
      </c>
      <c r="G48">
        <v>1</v>
      </c>
      <c r="H48">
        <v>2</v>
      </c>
    </row>
    <row r="49" spans="1:8" x14ac:dyDescent="0.25">
      <c r="A49" t="s">
        <v>14</v>
      </c>
      <c r="B49" s="5" t="s">
        <v>41</v>
      </c>
      <c r="C49">
        <v>1</v>
      </c>
      <c r="D49" t="s">
        <v>47</v>
      </c>
      <c r="E49">
        <v>99.223305549831395</v>
      </c>
      <c r="F49">
        <v>15</v>
      </c>
      <c r="G49">
        <v>1</v>
      </c>
      <c r="H49">
        <v>2</v>
      </c>
    </row>
    <row r="50" spans="1:8" x14ac:dyDescent="0.25">
      <c r="A50" t="s">
        <v>14</v>
      </c>
      <c r="B50" s="4" t="s">
        <v>17</v>
      </c>
      <c r="C50">
        <v>2</v>
      </c>
      <c r="D50" t="s">
        <v>48</v>
      </c>
      <c r="E50">
        <v>99.501625090714796</v>
      </c>
      <c r="F50">
        <v>0</v>
      </c>
      <c r="G50">
        <v>2</v>
      </c>
      <c r="H50">
        <v>2</v>
      </c>
    </row>
    <row r="51" spans="1:8" x14ac:dyDescent="0.25">
      <c r="A51" t="s">
        <v>14</v>
      </c>
      <c r="B51" s="4" t="s">
        <v>18</v>
      </c>
      <c r="C51">
        <v>2</v>
      </c>
      <c r="D51" t="s">
        <v>48</v>
      </c>
      <c r="E51">
        <v>0.44312581595463102</v>
      </c>
      <c r="F51">
        <v>1</v>
      </c>
      <c r="G51">
        <v>2</v>
      </c>
      <c r="H51">
        <v>2</v>
      </c>
    </row>
    <row r="52" spans="1:8" x14ac:dyDescent="0.25">
      <c r="A52" t="s">
        <v>14</v>
      </c>
      <c r="B52" s="4" t="s">
        <v>19</v>
      </c>
      <c r="C52">
        <v>2</v>
      </c>
      <c r="D52" t="s">
        <v>48</v>
      </c>
      <c r="E52" s="6">
        <v>98.910730162216794</v>
      </c>
      <c r="F52">
        <v>2</v>
      </c>
      <c r="G52">
        <v>2</v>
      </c>
      <c r="H52">
        <v>2</v>
      </c>
    </row>
    <row r="53" spans="1:8" x14ac:dyDescent="0.25">
      <c r="A53" t="s">
        <v>14</v>
      </c>
      <c r="B53" s="4">
        <v>2.5000000000000001E-2</v>
      </c>
      <c r="C53">
        <v>2</v>
      </c>
      <c r="D53" t="s">
        <v>48</v>
      </c>
      <c r="E53">
        <v>98.910730162216794</v>
      </c>
      <c r="F53">
        <v>3</v>
      </c>
      <c r="G53">
        <v>2</v>
      </c>
      <c r="H53">
        <v>2</v>
      </c>
    </row>
    <row r="54" spans="1:8" x14ac:dyDescent="0.25">
      <c r="A54" t="s">
        <v>14</v>
      </c>
      <c r="B54" s="5">
        <v>0.1</v>
      </c>
      <c r="C54">
        <v>2</v>
      </c>
      <c r="D54" t="s">
        <v>48</v>
      </c>
      <c r="E54">
        <v>98.910730162216794</v>
      </c>
      <c r="F54">
        <v>4</v>
      </c>
      <c r="G54">
        <v>2</v>
      </c>
      <c r="H54">
        <v>2</v>
      </c>
    </row>
    <row r="55" spans="1:8" x14ac:dyDescent="0.25">
      <c r="A55" t="s">
        <v>14</v>
      </c>
      <c r="B55" t="s">
        <v>20</v>
      </c>
      <c r="C55">
        <v>2</v>
      </c>
      <c r="D55" t="s">
        <v>48</v>
      </c>
      <c r="E55">
        <v>99.616315478326101</v>
      </c>
      <c r="F55">
        <v>5</v>
      </c>
      <c r="G55">
        <v>2</v>
      </c>
      <c r="H55">
        <v>2</v>
      </c>
    </row>
    <row r="56" spans="1:8" x14ac:dyDescent="0.25">
      <c r="A56" t="s">
        <v>14</v>
      </c>
      <c r="B56" s="5">
        <v>0.9</v>
      </c>
      <c r="C56">
        <v>2</v>
      </c>
      <c r="D56" t="s">
        <v>48</v>
      </c>
      <c r="E56">
        <v>99.977829631601693</v>
      </c>
      <c r="F56">
        <v>6</v>
      </c>
      <c r="G56">
        <v>2</v>
      </c>
      <c r="H56">
        <v>2</v>
      </c>
    </row>
    <row r="57" spans="1:8" x14ac:dyDescent="0.25">
      <c r="A57" t="s">
        <v>14</v>
      </c>
      <c r="B57" s="4">
        <v>0.97499999999999998</v>
      </c>
      <c r="C57">
        <v>2</v>
      </c>
      <c r="D57" t="s">
        <v>48</v>
      </c>
      <c r="E57">
        <v>99.977829631601693</v>
      </c>
      <c r="F57">
        <v>7</v>
      </c>
      <c r="G57">
        <v>2</v>
      </c>
      <c r="H57">
        <v>2</v>
      </c>
    </row>
    <row r="58" spans="1:8" x14ac:dyDescent="0.25">
      <c r="A58" t="s">
        <v>14</v>
      </c>
      <c r="B58" t="s">
        <v>21</v>
      </c>
      <c r="C58">
        <v>2</v>
      </c>
      <c r="D58" t="s">
        <v>48</v>
      </c>
      <c r="E58">
        <v>99.977829631601693</v>
      </c>
      <c r="F58">
        <v>8</v>
      </c>
      <c r="G58">
        <v>2</v>
      </c>
      <c r="H58">
        <v>2</v>
      </c>
    </row>
    <row r="59" spans="1:8" x14ac:dyDescent="0.25">
      <c r="A59" t="s">
        <v>14</v>
      </c>
      <c r="B59" t="s">
        <v>22</v>
      </c>
      <c r="C59">
        <v>2</v>
      </c>
      <c r="D59" t="s">
        <v>48</v>
      </c>
      <c r="E59">
        <v>298.50487527214398</v>
      </c>
      <c r="F59">
        <v>9</v>
      </c>
      <c r="G59">
        <v>2</v>
      </c>
      <c r="H59">
        <v>2</v>
      </c>
    </row>
    <row r="60" spans="1:8" x14ac:dyDescent="0.25">
      <c r="A60" t="s">
        <v>14</v>
      </c>
      <c r="B60" s="4" t="s">
        <v>23</v>
      </c>
      <c r="C60">
        <v>2</v>
      </c>
      <c r="D60" t="s">
        <v>48</v>
      </c>
      <c r="E60">
        <v>3</v>
      </c>
      <c r="F60">
        <v>10</v>
      </c>
      <c r="G60">
        <v>2</v>
      </c>
      <c r="H60">
        <v>2</v>
      </c>
    </row>
    <row r="61" spans="1:8" x14ac:dyDescent="0.25">
      <c r="A61" t="s">
        <v>14</v>
      </c>
      <c r="B61" s="5" t="s">
        <v>24</v>
      </c>
      <c r="C61">
        <v>2</v>
      </c>
      <c r="D61" t="s">
        <v>48</v>
      </c>
      <c r="E61">
        <v>0.196360488765457</v>
      </c>
      <c r="F61">
        <v>11</v>
      </c>
      <c r="G61">
        <v>2</v>
      </c>
      <c r="H61">
        <v>2</v>
      </c>
    </row>
    <row r="62" spans="1:8" x14ac:dyDescent="0.25">
      <c r="A62" t="s">
        <v>14</v>
      </c>
      <c r="B62" s="5" t="s">
        <v>25</v>
      </c>
      <c r="C62">
        <v>2</v>
      </c>
      <c r="D62" t="s">
        <v>48</v>
      </c>
      <c r="E62">
        <v>6.5453496255152593E-2</v>
      </c>
      <c r="F62">
        <v>12</v>
      </c>
      <c r="G62">
        <v>2</v>
      </c>
      <c r="H62">
        <v>2</v>
      </c>
    </row>
    <row r="63" spans="1:8" x14ac:dyDescent="0.25">
      <c r="A63" t="s">
        <v>14</v>
      </c>
      <c r="B63" s="5" t="s">
        <v>26</v>
      </c>
      <c r="C63">
        <v>2</v>
      </c>
      <c r="D63" t="s">
        <v>48</v>
      </c>
      <c r="E63">
        <v>0.25583880912627899</v>
      </c>
      <c r="F63">
        <v>13</v>
      </c>
      <c r="G63">
        <v>2</v>
      </c>
      <c r="H63">
        <v>2</v>
      </c>
    </row>
    <row r="64" spans="1:8" x14ac:dyDescent="0.25">
      <c r="A64" t="s">
        <v>14</v>
      </c>
      <c r="B64" s="4" t="s">
        <v>40</v>
      </c>
      <c r="C64">
        <v>2</v>
      </c>
      <c r="D64" t="s">
        <v>48</v>
      </c>
      <c r="E64">
        <v>99.000190238979698</v>
      </c>
      <c r="F64">
        <v>14</v>
      </c>
      <c r="G64">
        <v>2</v>
      </c>
      <c r="H64">
        <v>2</v>
      </c>
    </row>
    <row r="65" spans="1:8" x14ac:dyDescent="0.25">
      <c r="A65" t="s">
        <v>14</v>
      </c>
      <c r="B65" s="4" t="s">
        <v>41</v>
      </c>
      <c r="C65">
        <v>2</v>
      </c>
      <c r="D65" t="s">
        <v>48</v>
      </c>
      <c r="E65">
        <v>100.00305994244999</v>
      </c>
      <c r="F65">
        <v>15</v>
      </c>
      <c r="G65">
        <v>2</v>
      </c>
      <c r="H65">
        <v>2</v>
      </c>
    </row>
    <row r="66" spans="1:8" x14ac:dyDescent="0.25">
      <c r="A66" t="s">
        <v>15</v>
      </c>
      <c r="B66" s="4" t="s">
        <v>17</v>
      </c>
      <c r="C66">
        <v>1</v>
      </c>
      <c r="D66" t="s">
        <v>47</v>
      </c>
      <c r="E66">
        <v>-776228.47963278496</v>
      </c>
      <c r="F66">
        <v>0</v>
      </c>
      <c r="G66">
        <v>1</v>
      </c>
      <c r="H66">
        <v>4</v>
      </c>
    </row>
    <row r="67" spans="1:8" x14ac:dyDescent="0.25">
      <c r="A67" t="s">
        <v>15</v>
      </c>
      <c r="B67" t="s">
        <v>18</v>
      </c>
      <c r="C67">
        <v>1</v>
      </c>
      <c r="D67" s="6" t="s">
        <v>47</v>
      </c>
      <c r="E67">
        <v>7654.5925265002797</v>
      </c>
      <c r="F67">
        <v>1</v>
      </c>
      <c r="G67">
        <v>1</v>
      </c>
      <c r="H67">
        <v>4</v>
      </c>
    </row>
    <row r="68" spans="1:8" x14ac:dyDescent="0.25">
      <c r="A68" t="s">
        <v>15</v>
      </c>
      <c r="B68" t="s">
        <v>19</v>
      </c>
      <c r="C68">
        <v>1</v>
      </c>
      <c r="D68" t="s">
        <v>47</v>
      </c>
      <c r="E68">
        <v>-782747.10059786798</v>
      </c>
      <c r="F68">
        <v>2</v>
      </c>
      <c r="G68">
        <v>1</v>
      </c>
      <c r="H68">
        <v>4</v>
      </c>
    </row>
    <row r="69" spans="1:8" x14ac:dyDescent="0.25">
      <c r="A69" t="s">
        <v>15</v>
      </c>
      <c r="B69" s="4">
        <v>2.5000000000000001E-2</v>
      </c>
      <c r="C69">
        <v>1</v>
      </c>
      <c r="D69" s="6" t="s">
        <v>47</v>
      </c>
      <c r="E69">
        <v>-782747.10059786798</v>
      </c>
      <c r="F69">
        <v>3</v>
      </c>
      <c r="G69">
        <v>1</v>
      </c>
      <c r="H69">
        <v>4</v>
      </c>
    </row>
    <row r="70" spans="1:8" x14ac:dyDescent="0.25">
      <c r="A70" t="s">
        <v>15</v>
      </c>
      <c r="B70" s="5">
        <v>0.1</v>
      </c>
      <c r="C70">
        <v>1</v>
      </c>
      <c r="D70" s="6" t="s">
        <v>47</v>
      </c>
      <c r="E70">
        <v>-782747.10059786798</v>
      </c>
      <c r="F70">
        <v>4</v>
      </c>
      <c r="G70">
        <v>1</v>
      </c>
      <c r="H70">
        <v>4</v>
      </c>
    </row>
    <row r="71" spans="1:8" x14ac:dyDescent="0.25">
      <c r="A71" t="s">
        <v>15</v>
      </c>
      <c r="B71" t="s">
        <v>20</v>
      </c>
      <c r="C71">
        <v>1</v>
      </c>
      <c r="D71" t="s">
        <v>47</v>
      </c>
      <c r="E71">
        <v>-780453.81113602396</v>
      </c>
      <c r="F71">
        <v>5</v>
      </c>
      <c r="G71">
        <v>1</v>
      </c>
      <c r="H71">
        <v>4</v>
      </c>
    </row>
    <row r="72" spans="1:8" x14ac:dyDescent="0.25">
      <c r="A72" t="s">
        <v>15</v>
      </c>
      <c r="B72" s="5">
        <v>0.9</v>
      </c>
      <c r="C72">
        <v>1</v>
      </c>
      <c r="D72" t="s">
        <v>47</v>
      </c>
      <c r="E72">
        <v>-765484.52716446295</v>
      </c>
      <c r="F72">
        <v>6</v>
      </c>
      <c r="G72">
        <v>1</v>
      </c>
      <c r="H72">
        <v>4</v>
      </c>
    </row>
    <row r="73" spans="1:8" x14ac:dyDescent="0.25">
      <c r="A73" t="s">
        <v>15</v>
      </c>
      <c r="B73" s="4">
        <v>0.97499999999999998</v>
      </c>
      <c r="C73">
        <v>1</v>
      </c>
      <c r="D73" t="s">
        <v>47</v>
      </c>
      <c r="E73">
        <v>-765484.52716446295</v>
      </c>
      <c r="F73">
        <v>7</v>
      </c>
      <c r="G73">
        <v>1</v>
      </c>
      <c r="H73">
        <v>4</v>
      </c>
    </row>
    <row r="74" spans="1:8" x14ac:dyDescent="0.25">
      <c r="A74" t="s">
        <v>15</v>
      </c>
      <c r="B74" s="4" t="s">
        <v>21</v>
      </c>
      <c r="C74">
        <v>1</v>
      </c>
      <c r="D74" t="s">
        <v>47</v>
      </c>
      <c r="E74">
        <v>-765484.52716446295</v>
      </c>
      <c r="F74">
        <v>8</v>
      </c>
      <c r="G74">
        <v>1</v>
      </c>
      <c r="H74">
        <v>4</v>
      </c>
    </row>
    <row r="75" spans="1:8" x14ac:dyDescent="0.25">
      <c r="A75" t="s">
        <v>15</v>
      </c>
      <c r="B75" s="5" t="s">
        <v>22</v>
      </c>
      <c r="C75">
        <v>1</v>
      </c>
      <c r="D75" s="6" t="s">
        <v>47</v>
      </c>
      <c r="E75" s="6">
        <v>-2328685.4388983501</v>
      </c>
      <c r="F75">
        <v>9</v>
      </c>
      <c r="G75">
        <v>1</v>
      </c>
      <c r="H75">
        <v>4</v>
      </c>
    </row>
    <row r="76" spans="1:8" x14ac:dyDescent="0.25">
      <c r="A76" t="s">
        <v>15</v>
      </c>
      <c r="B76" s="5" t="s">
        <v>23</v>
      </c>
      <c r="C76">
        <v>1</v>
      </c>
      <c r="D76" t="s">
        <v>47</v>
      </c>
      <c r="E76">
        <v>3</v>
      </c>
      <c r="F76">
        <v>10</v>
      </c>
      <c r="G76">
        <v>1</v>
      </c>
      <c r="H76">
        <v>4</v>
      </c>
    </row>
    <row r="77" spans="1:8" x14ac:dyDescent="0.25">
      <c r="A77" t="s">
        <v>15</v>
      </c>
      <c r="B77" s="5" t="s">
        <v>24</v>
      </c>
      <c r="C77">
        <v>1</v>
      </c>
      <c r="D77" s="6" t="s">
        <v>47</v>
      </c>
      <c r="E77" s="6">
        <v>58592786.746753901</v>
      </c>
      <c r="F77">
        <v>11</v>
      </c>
      <c r="G77">
        <v>1</v>
      </c>
      <c r="H77">
        <v>4</v>
      </c>
    </row>
    <row r="78" spans="1:8" x14ac:dyDescent="0.25">
      <c r="A78" t="s">
        <v>15</v>
      </c>
      <c r="B78" s="4" t="s">
        <v>25</v>
      </c>
      <c r="C78">
        <v>1</v>
      </c>
      <c r="D78" s="6" t="s">
        <v>47</v>
      </c>
      <c r="E78" s="6">
        <v>19530928.915584601</v>
      </c>
      <c r="F78">
        <v>12</v>
      </c>
      <c r="G78">
        <v>1</v>
      </c>
      <c r="H78">
        <v>4</v>
      </c>
    </row>
    <row r="79" spans="1:8" x14ac:dyDescent="0.25">
      <c r="A79" t="s">
        <v>15</v>
      </c>
      <c r="B79" s="4" t="s">
        <v>26</v>
      </c>
      <c r="C79">
        <v>1</v>
      </c>
      <c r="D79" t="s">
        <v>47</v>
      </c>
      <c r="E79">
        <v>4419.3810557118304</v>
      </c>
      <c r="F79">
        <v>13</v>
      </c>
      <c r="G79">
        <v>1</v>
      </c>
      <c r="H79">
        <v>4</v>
      </c>
    </row>
    <row r="80" spans="1:8" x14ac:dyDescent="0.25">
      <c r="A80" t="s">
        <v>15</v>
      </c>
      <c r="B80" s="4" t="s">
        <v>40</v>
      </c>
      <c r="C80">
        <v>1</v>
      </c>
      <c r="D80" t="s">
        <v>47</v>
      </c>
      <c r="E80">
        <v>-784890.30733593903</v>
      </c>
      <c r="F80">
        <v>14</v>
      </c>
      <c r="G80">
        <v>1</v>
      </c>
      <c r="H80">
        <v>4</v>
      </c>
    </row>
    <row r="81" spans="1:8" x14ac:dyDescent="0.25">
      <c r="A81" t="s">
        <v>15</v>
      </c>
      <c r="B81" t="s">
        <v>41</v>
      </c>
      <c r="C81">
        <v>1</v>
      </c>
      <c r="D81" s="6" t="s">
        <v>47</v>
      </c>
      <c r="E81">
        <v>-767566.65192963101</v>
      </c>
      <c r="F81">
        <v>15</v>
      </c>
      <c r="G81">
        <v>1</v>
      </c>
      <c r="H81">
        <v>4</v>
      </c>
    </row>
    <row r="82" spans="1:8" x14ac:dyDescent="0.25">
      <c r="A82" t="s">
        <v>15</v>
      </c>
      <c r="B82" t="s">
        <v>17</v>
      </c>
      <c r="C82">
        <v>2</v>
      </c>
      <c r="D82" t="s">
        <v>48</v>
      </c>
      <c r="E82">
        <v>-799981.31513782602</v>
      </c>
      <c r="F82">
        <v>0</v>
      </c>
      <c r="G82">
        <v>2</v>
      </c>
      <c r="H82">
        <v>4</v>
      </c>
    </row>
    <row r="83" spans="1:8" x14ac:dyDescent="0.25">
      <c r="A83" t="s">
        <v>15</v>
      </c>
      <c r="B83" t="s">
        <v>18</v>
      </c>
      <c r="C83">
        <v>2</v>
      </c>
      <c r="D83" s="6" t="s">
        <v>48</v>
      </c>
      <c r="E83">
        <v>5081.3833098260702</v>
      </c>
      <c r="F83">
        <v>1</v>
      </c>
      <c r="G83">
        <v>2</v>
      </c>
      <c r="H83">
        <v>4</v>
      </c>
    </row>
    <row r="84" spans="1:8" x14ac:dyDescent="0.25">
      <c r="A84" t="s">
        <v>15</v>
      </c>
      <c r="B84" t="s">
        <v>19</v>
      </c>
      <c r="C84">
        <v>2</v>
      </c>
      <c r="D84" s="6" t="s">
        <v>48</v>
      </c>
      <c r="E84">
        <v>-805916.73431092605</v>
      </c>
      <c r="F84">
        <v>2</v>
      </c>
      <c r="G84">
        <v>2</v>
      </c>
      <c r="H84">
        <v>4</v>
      </c>
    </row>
    <row r="85" spans="1:8" x14ac:dyDescent="0.25">
      <c r="A85" t="s">
        <v>15</v>
      </c>
      <c r="B85" s="4">
        <v>2.5000000000000001E-2</v>
      </c>
      <c r="C85">
        <v>2</v>
      </c>
      <c r="D85" t="s">
        <v>48</v>
      </c>
      <c r="E85">
        <v>-805916.73431092605</v>
      </c>
      <c r="F85">
        <v>3</v>
      </c>
      <c r="G85">
        <v>2</v>
      </c>
      <c r="H85">
        <v>4</v>
      </c>
    </row>
    <row r="86" spans="1:8" x14ac:dyDescent="0.25">
      <c r="A86" t="s">
        <v>15</v>
      </c>
      <c r="B86" s="5">
        <v>0.1</v>
      </c>
      <c r="C86">
        <v>2</v>
      </c>
      <c r="D86" t="s">
        <v>48</v>
      </c>
      <c r="E86">
        <v>-805916.73431092605</v>
      </c>
      <c r="F86">
        <v>4</v>
      </c>
      <c r="G86">
        <v>2</v>
      </c>
      <c r="H86">
        <v>4</v>
      </c>
    </row>
    <row r="87" spans="1:8" x14ac:dyDescent="0.25">
      <c r="A87" t="s">
        <v>15</v>
      </c>
      <c r="B87" t="s">
        <v>20</v>
      </c>
      <c r="C87">
        <v>2</v>
      </c>
      <c r="D87" t="s">
        <v>48</v>
      </c>
      <c r="E87">
        <v>-800521.99320684595</v>
      </c>
      <c r="F87">
        <v>5</v>
      </c>
      <c r="G87">
        <v>2</v>
      </c>
      <c r="H87">
        <v>4</v>
      </c>
    </row>
    <row r="88" spans="1:8" x14ac:dyDescent="0.25">
      <c r="A88" t="s">
        <v>15</v>
      </c>
      <c r="B88" s="5">
        <v>0.9</v>
      </c>
      <c r="C88">
        <v>2</v>
      </c>
      <c r="D88" t="s">
        <v>48</v>
      </c>
      <c r="E88">
        <v>-793505.21789570502</v>
      </c>
      <c r="F88">
        <v>6</v>
      </c>
      <c r="G88">
        <v>2</v>
      </c>
      <c r="H88">
        <v>4</v>
      </c>
    </row>
    <row r="89" spans="1:8" x14ac:dyDescent="0.25">
      <c r="A89" t="s">
        <v>15</v>
      </c>
      <c r="B89" s="4">
        <v>0.97499999999999998</v>
      </c>
      <c r="C89">
        <v>2</v>
      </c>
      <c r="D89" t="s">
        <v>48</v>
      </c>
      <c r="E89">
        <v>-793505.21789570502</v>
      </c>
      <c r="F89">
        <v>7</v>
      </c>
      <c r="G89">
        <v>2</v>
      </c>
      <c r="H89">
        <v>4</v>
      </c>
    </row>
    <row r="90" spans="1:8" x14ac:dyDescent="0.25">
      <c r="A90" t="s">
        <v>15</v>
      </c>
      <c r="B90" t="s">
        <v>21</v>
      </c>
      <c r="C90">
        <v>2</v>
      </c>
      <c r="D90" t="s">
        <v>48</v>
      </c>
      <c r="E90">
        <v>-793505.21789570502</v>
      </c>
      <c r="F90">
        <v>8</v>
      </c>
      <c r="G90">
        <v>2</v>
      </c>
      <c r="H90">
        <v>4</v>
      </c>
    </row>
    <row r="91" spans="1:8" x14ac:dyDescent="0.25">
      <c r="A91" t="s">
        <v>15</v>
      </c>
      <c r="B91" t="s">
        <v>22</v>
      </c>
      <c r="C91">
        <v>2</v>
      </c>
      <c r="D91" s="6" t="s">
        <v>48</v>
      </c>
      <c r="E91" s="6">
        <v>-2399943.9454134698</v>
      </c>
      <c r="F91">
        <v>9</v>
      </c>
      <c r="G91">
        <v>2</v>
      </c>
      <c r="H91">
        <v>4</v>
      </c>
    </row>
    <row r="92" spans="1:8" x14ac:dyDescent="0.25">
      <c r="A92" t="s">
        <v>15</v>
      </c>
      <c r="B92" t="s">
        <v>23</v>
      </c>
      <c r="C92">
        <v>2</v>
      </c>
      <c r="D92" t="s">
        <v>48</v>
      </c>
      <c r="E92">
        <v>3</v>
      </c>
      <c r="F92">
        <v>10</v>
      </c>
      <c r="G92">
        <v>2</v>
      </c>
      <c r="H92">
        <v>4</v>
      </c>
    </row>
    <row r="93" spans="1:8" x14ac:dyDescent="0.25">
      <c r="A93" t="s">
        <v>15</v>
      </c>
      <c r="B93" t="s">
        <v>24</v>
      </c>
      <c r="C93">
        <v>2</v>
      </c>
      <c r="D93" s="6" t="s">
        <v>48</v>
      </c>
      <c r="E93" s="6">
        <v>25820456.341379002</v>
      </c>
      <c r="F93">
        <v>11</v>
      </c>
      <c r="G93">
        <v>2</v>
      </c>
      <c r="H93">
        <v>4</v>
      </c>
    </row>
    <row r="94" spans="1:8" x14ac:dyDescent="0.25">
      <c r="A94" t="s">
        <v>15</v>
      </c>
      <c r="B94" t="s">
        <v>25</v>
      </c>
      <c r="C94">
        <v>2</v>
      </c>
      <c r="D94" s="6" t="s">
        <v>48</v>
      </c>
      <c r="E94" s="6">
        <v>8606818.7804596797</v>
      </c>
      <c r="F94">
        <v>12</v>
      </c>
      <c r="G94">
        <v>2</v>
      </c>
      <c r="H94">
        <v>4</v>
      </c>
    </row>
    <row r="95" spans="1:8" x14ac:dyDescent="0.25">
      <c r="A95" t="s">
        <v>15</v>
      </c>
      <c r="B95" t="s">
        <v>26</v>
      </c>
      <c r="C95">
        <v>2</v>
      </c>
      <c r="D95" t="s">
        <v>48</v>
      </c>
      <c r="E95">
        <v>2933.7380217837499</v>
      </c>
      <c r="F95">
        <v>13</v>
      </c>
      <c r="G95">
        <v>2</v>
      </c>
      <c r="H95">
        <v>4</v>
      </c>
    </row>
    <row r="96" spans="1:8" x14ac:dyDescent="0.25">
      <c r="A96" t="s">
        <v>15</v>
      </c>
      <c r="B96" t="s">
        <v>40</v>
      </c>
      <c r="C96">
        <v>2</v>
      </c>
      <c r="D96" t="s">
        <v>48</v>
      </c>
      <c r="E96">
        <v>-805731.33600059804</v>
      </c>
      <c r="F96">
        <v>14</v>
      </c>
      <c r="G96">
        <v>2</v>
      </c>
      <c r="H96">
        <v>4</v>
      </c>
    </row>
    <row r="97" spans="1:8" x14ac:dyDescent="0.25">
      <c r="A97" t="s">
        <v>15</v>
      </c>
      <c r="B97" t="s">
        <v>41</v>
      </c>
      <c r="C97">
        <v>2</v>
      </c>
      <c r="D97" t="s">
        <v>48</v>
      </c>
      <c r="E97">
        <v>-794231.29427505401</v>
      </c>
      <c r="F97">
        <v>15</v>
      </c>
      <c r="G97">
        <v>2</v>
      </c>
      <c r="H97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"/>
  <sheetViews>
    <sheetView workbookViewId="0">
      <selection activeCell="I6" sqref="I6"/>
    </sheetView>
  </sheetViews>
  <sheetFormatPr defaultRowHeight="15" x14ac:dyDescent="0.25"/>
  <cols>
    <col min="4" max="4" width="15.7109375" customWidth="1"/>
    <col min="9" max="9" width="9.140625" style="7"/>
  </cols>
  <sheetData>
    <row r="1" spans="1:10" ht="23.25" x14ac:dyDescent="0.35">
      <c r="A1" s="11" t="s">
        <v>50</v>
      </c>
    </row>
    <row r="2" spans="1:10" x14ac:dyDescent="0.25">
      <c r="A2" s="1" t="s">
        <v>28</v>
      </c>
      <c r="B2" s="1" t="s">
        <v>35</v>
      </c>
      <c r="C2" s="1" t="s">
        <v>29</v>
      </c>
      <c r="D2" s="1" t="s">
        <v>30</v>
      </c>
      <c r="E2" s="1" t="s">
        <v>31</v>
      </c>
      <c r="F2" s="1" t="s">
        <v>32</v>
      </c>
      <c r="G2" s="1"/>
      <c r="H2" s="1" t="s">
        <v>27</v>
      </c>
      <c r="I2" s="10" t="s">
        <v>33</v>
      </c>
      <c r="J2" s="1"/>
    </row>
    <row r="3" spans="1:10" x14ac:dyDescent="0.25">
      <c r="A3">
        <v>1</v>
      </c>
      <c r="B3">
        <v>1000</v>
      </c>
      <c r="C3">
        <v>1183629.1505271499</v>
      </c>
      <c r="D3">
        <v>1230110.1938445</v>
      </c>
      <c r="E3">
        <v>98.566154714846306</v>
      </c>
      <c r="F3">
        <v>100.574446011148</v>
      </c>
      <c r="H3">
        <v>23144.57240488262</v>
      </c>
    </row>
    <row r="4" spans="1:10" x14ac:dyDescent="0.25">
      <c r="A4">
        <v>2</v>
      </c>
      <c r="B4">
        <v>2000</v>
      </c>
      <c r="C4">
        <v>1187488.8793601899</v>
      </c>
      <c r="D4">
        <v>1212680.1880558201</v>
      </c>
      <c r="E4">
        <v>98.624102573803697</v>
      </c>
      <c r="F4">
        <v>99.547494048895302</v>
      </c>
      <c r="H4">
        <v>27281.287920847491</v>
      </c>
      <c r="I4" s="7">
        <v>0.17873371966432108</v>
      </c>
    </row>
    <row r="5" spans="1:10" x14ac:dyDescent="0.25">
      <c r="A5">
        <v>3</v>
      </c>
      <c r="B5">
        <v>3000</v>
      </c>
      <c r="C5">
        <v>1189551.27374133</v>
      </c>
      <c r="D5">
        <v>1213148.5547996201</v>
      </c>
      <c r="E5">
        <v>98.516728005831595</v>
      </c>
      <c r="F5">
        <v>99.436068714764701</v>
      </c>
      <c r="H5">
        <v>25667.612484684447</v>
      </c>
      <c r="I5" s="7">
        <v>5.9149532853613018E-2</v>
      </c>
    </row>
    <row r="6" spans="1:10" x14ac:dyDescent="0.25">
      <c r="A6">
        <v>4</v>
      </c>
      <c r="B6">
        <v>4000</v>
      </c>
      <c r="C6">
        <v>1186622.4667610801</v>
      </c>
      <c r="D6">
        <v>1215802.1812203201</v>
      </c>
      <c r="E6">
        <v>98.266158351641394</v>
      </c>
      <c r="F6">
        <v>99.419889718890005</v>
      </c>
      <c r="H6">
        <v>25291.601916681015</v>
      </c>
      <c r="I6" s="7">
        <v>1.4649222565121437E-2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5"/>
  <sheetViews>
    <sheetView workbookViewId="0">
      <selection activeCell="B24" sqref="B24"/>
    </sheetView>
  </sheetViews>
  <sheetFormatPr defaultRowHeight="15" x14ac:dyDescent="0.25"/>
  <cols>
    <col min="3" max="3" width="13.42578125" customWidth="1"/>
    <col min="10" max="10" width="9.140625" style="7"/>
  </cols>
  <sheetData>
    <row r="1" spans="1:10" ht="23.25" x14ac:dyDescent="0.35">
      <c r="A1" s="11" t="s">
        <v>49</v>
      </c>
    </row>
    <row r="2" spans="1:10" x14ac:dyDescent="0.25">
      <c r="A2" s="1" t="s">
        <v>28</v>
      </c>
      <c r="B2" s="1" t="s">
        <v>35</v>
      </c>
      <c r="C2" s="1" t="s">
        <v>38</v>
      </c>
      <c r="D2" s="1" t="s">
        <v>29</v>
      </c>
      <c r="E2" s="1" t="s">
        <v>30</v>
      </c>
      <c r="F2" s="1" t="s">
        <v>31</v>
      </c>
      <c r="G2" s="1" t="s">
        <v>32</v>
      </c>
      <c r="H2" s="1"/>
      <c r="I2" s="1" t="s">
        <v>27</v>
      </c>
      <c r="J2" s="10" t="s">
        <v>33</v>
      </c>
    </row>
    <row r="3" spans="1:10" x14ac:dyDescent="0.25">
      <c r="A3">
        <v>1</v>
      </c>
      <c r="B3">
        <v>4000</v>
      </c>
      <c r="C3">
        <v>1</v>
      </c>
      <c r="D3">
        <v>1178766.48006381</v>
      </c>
      <c r="E3">
        <v>1200853.66437608</v>
      </c>
      <c r="F3">
        <v>98.110889750378902</v>
      </c>
      <c r="G3">
        <v>98.852727143889496</v>
      </c>
      <c r="I3">
        <v>29773.619536414786</v>
      </c>
    </row>
    <row r="4" spans="1:10" x14ac:dyDescent="0.25">
      <c r="A4">
        <v>2</v>
      </c>
      <c r="B4">
        <v>4000</v>
      </c>
      <c r="C4">
        <v>2</v>
      </c>
      <c r="D4">
        <v>1176519.2438022201</v>
      </c>
      <c r="E4">
        <v>1214740.5866461999</v>
      </c>
      <c r="F4">
        <v>98.041769980854298</v>
      </c>
      <c r="G4">
        <v>99.699065770249803</v>
      </c>
      <c r="I4">
        <v>23062.47508051715</v>
      </c>
      <c r="J4" s="7">
        <v>0.22540573032074704</v>
      </c>
    </row>
    <row r="5" spans="1:10" x14ac:dyDescent="0.25">
      <c r="A5">
        <v>3</v>
      </c>
      <c r="B5">
        <v>4000</v>
      </c>
      <c r="C5">
        <v>3</v>
      </c>
      <c r="D5">
        <v>1186508.9695441499</v>
      </c>
      <c r="E5">
        <v>1214604.58689083</v>
      </c>
      <c r="F5">
        <v>98.459440823463694</v>
      </c>
      <c r="G5">
        <v>99.501625090714796</v>
      </c>
      <c r="I5">
        <v>26958.39711799326</v>
      </c>
      <c r="J5" s="7">
        <v>0.16892905136480035</v>
      </c>
    </row>
  </sheetData>
  <pageMargins left="0.7" right="0.7" top="0.75" bottom="0.75" header="0.3" footer="0.3"/>
  <pageSetup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Utilities</vt:lpstr>
      <vt:lpstr>ReportData</vt:lpstr>
      <vt:lpstr>FirstOrder</vt:lpstr>
      <vt:lpstr>SecondOrder</vt:lpstr>
    </vt:vector>
  </TitlesOfParts>
  <Company>Sunnybrook HSC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MJ Naimark</dc:creator>
  <cp:lastModifiedBy>David Naimark</cp:lastModifiedBy>
  <dcterms:created xsi:type="dcterms:W3CDTF">2019-02-09T12:16:12Z</dcterms:created>
  <dcterms:modified xsi:type="dcterms:W3CDTF">2024-03-22T20:57:04Z</dcterms:modified>
</cp:coreProperties>
</file>