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dnaimark\Dropbox\ClinEpi_DA\DA\ADA\ADA2024\AdvDA2024_CM05_DES_Feb06\PostBeforeClass\"/>
    </mc:Choice>
  </mc:AlternateContent>
  <bookViews>
    <workbookView xWindow="732" yWindow="0" windowWidth="24852" windowHeight="14400" activeTab="2"/>
  </bookViews>
  <sheets>
    <sheet name="GOFchart" sheetId="11" r:id="rId1"/>
    <sheet name="pESRDsurvivalCurve" sheetId="13" r:id="rId2"/>
    <sheet name="Main" sheetId="1" r:id="rId3"/>
    <sheet name="Utilities" sheetId="2" r:id="rId4"/>
    <sheet name="Top100" sheetId="12" r:id="rId5"/>
    <sheet name="IterData" sheetId="3" r:id="rId6"/>
    <sheet name="CoolingFunction" sheetId="6" r:id="rId7"/>
    <sheet name="Other" sheetId="8" r:id="rId8"/>
  </sheet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1" i="1" l="1"/>
  <c r="C3" i="13"/>
  <c r="D3" i="13"/>
  <c r="C4" i="13"/>
  <c r="D4" i="13"/>
  <c r="C5" i="13"/>
  <c r="D5" i="13"/>
  <c r="C6" i="13"/>
  <c r="D6" i="13"/>
  <c r="C7" i="13"/>
  <c r="D7" i="13"/>
  <c r="C8" i="13"/>
  <c r="D8" i="13"/>
  <c r="C9" i="13"/>
  <c r="D9" i="13"/>
  <c r="C10" i="13"/>
  <c r="D10" i="13"/>
  <c r="C11" i="13"/>
  <c r="D11" i="13"/>
  <c r="C12" i="13"/>
  <c r="D12" i="13"/>
  <c r="A3" i="13"/>
  <c r="A4" i="13"/>
  <c r="A5" i="13"/>
  <c r="A6" i="13"/>
  <c r="A7" i="13"/>
  <c r="A8" i="13"/>
  <c r="A9" i="13"/>
  <c r="A10" i="13"/>
  <c r="A11" i="13"/>
  <c r="H18" i="1"/>
  <c r="H17" i="1"/>
  <c r="H16" i="1"/>
  <c r="H15" i="1"/>
  <c r="H14" i="1"/>
  <c r="H13" i="1"/>
  <c r="H12" i="1"/>
  <c r="H11" i="1"/>
  <c r="H10" i="1"/>
  <c r="H9" i="1"/>
  <c r="H8" i="1"/>
  <c r="D5" i="1"/>
  <c r="D8" i="1"/>
  <c r="E8" i="1"/>
  <c r="F8" i="1"/>
  <c r="G8" i="1"/>
  <c r="D9" i="1"/>
  <c r="E9" i="1"/>
  <c r="F9" i="1"/>
  <c r="G9" i="1"/>
  <c r="D10" i="1"/>
  <c r="E10" i="1"/>
  <c r="F10" i="1"/>
  <c r="G10" i="1"/>
  <c r="D11" i="1"/>
  <c r="E11" i="1"/>
  <c r="F11" i="1"/>
  <c r="G11" i="1"/>
  <c r="D12" i="1"/>
  <c r="E12" i="1"/>
  <c r="F12" i="1"/>
  <c r="G12" i="1"/>
  <c r="D13" i="1"/>
  <c r="E13" i="1"/>
  <c r="F13" i="1"/>
  <c r="G13" i="1"/>
  <c r="D14" i="1"/>
  <c r="E14" i="1"/>
  <c r="F14" i="1"/>
  <c r="G14" i="1"/>
  <c r="D15" i="1"/>
  <c r="E15" i="1"/>
  <c r="F15" i="1"/>
  <c r="G15" i="1"/>
  <c r="D16" i="1"/>
  <c r="E16" i="1"/>
  <c r="F16" i="1"/>
  <c r="G16" i="1"/>
  <c r="D17" i="1"/>
  <c r="E17" i="1"/>
  <c r="F17" i="1"/>
  <c r="G17" i="1"/>
  <c r="D18" i="1"/>
  <c r="E18" i="1"/>
  <c r="F18" i="1"/>
  <c r="G18" i="1"/>
  <c r="F19" i="1"/>
  <c r="G19" i="1"/>
  <c r="F20" i="1"/>
  <c r="G20" i="1"/>
  <c r="F21" i="1"/>
  <c r="G21" i="1"/>
  <c r="F22" i="1"/>
  <c r="G22" i="1"/>
  <c r="F23" i="1"/>
  <c r="G23" i="1"/>
  <c r="F25" i="1"/>
  <c r="G25" i="1"/>
  <c r="F26" i="1"/>
  <c r="G26" i="1"/>
  <c r="F27" i="1"/>
  <c r="G27" i="1"/>
  <c r="I2" i="1"/>
  <c r="I3" i="12"/>
  <c r="I2" i="12"/>
  <c r="D6" i="1"/>
  <c r="C6" i="1"/>
  <c r="J10002" i="3"/>
  <c r="J10001" i="3"/>
  <c r="J10000" i="3"/>
  <c r="J9999" i="3"/>
  <c r="J9998" i="3"/>
  <c r="J9997" i="3"/>
  <c r="J9996" i="3"/>
  <c r="J9995" i="3"/>
  <c r="J9994" i="3"/>
  <c r="J9993" i="3"/>
  <c r="J9992" i="3"/>
  <c r="J9991" i="3"/>
  <c r="J9990" i="3"/>
  <c r="J9989" i="3"/>
  <c r="J9988" i="3"/>
  <c r="J9987" i="3"/>
  <c r="J9986" i="3"/>
  <c r="J9985" i="3"/>
  <c r="J9984" i="3"/>
  <c r="J9983" i="3"/>
  <c r="J9982" i="3"/>
  <c r="J9981" i="3"/>
  <c r="J9980" i="3"/>
  <c r="J9979" i="3"/>
  <c r="J9978" i="3"/>
  <c r="J9977" i="3"/>
  <c r="J9976" i="3"/>
  <c r="J9975" i="3"/>
  <c r="J9974" i="3"/>
  <c r="J9973" i="3"/>
  <c r="J9972" i="3"/>
  <c r="J9971" i="3"/>
  <c r="J9970" i="3"/>
  <c r="J9969" i="3"/>
  <c r="J9968" i="3"/>
  <c r="J9967" i="3"/>
  <c r="J9966" i="3"/>
  <c r="J9965" i="3"/>
  <c r="J9964" i="3"/>
  <c r="J9963" i="3"/>
  <c r="J9962" i="3"/>
  <c r="J9961" i="3"/>
  <c r="J9960" i="3"/>
  <c r="J9959" i="3"/>
  <c r="J9958" i="3"/>
  <c r="J9957" i="3"/>
  <c r="J9956" i="3"/>
  <c r="J9955" i="3"/>
  <c r="J9954" i="3"/>
  <c r="J9953" i="3"/>
  <c r="J9952" i="3"/>
  <c r="J9951" i="3"/>
  <c r="J9950" i="3"/>
  <c r="J9949" i="3"/>
  <c r="J9948" i="3"/>
  <c r="J9947" i="3"/>
  <c r="J9946" i="3"/>
  <c r="J9945" i="3"/>
  <c r="J9944" i="3"/>
  <c r="J9943" i="3"/>
  <c r="J9942" i="3"/>
  <c r="J9941" i="3"/>
  <c r="J9940" i="3"/>
  <c r="J9939" i="3"/>
  <c r="J9938" i="3"/>
  <c r="J9937" i="3"/>
  <c r="J9936" i="3"/>
  <c r="J9935" i="3"/>
  <c r="J9934" i="3"/>
  <c r="J9933" i="3"/>
  <c r="J9932" i="3"/>
  <c r="J9931" i="3"/>
  <c r="J9930" i="3"/>
  <c r="J9929" i="3"/>
  <c r="J9928" i="3"/>
  <c r="J9927" i="3"/>
  <c r="J9926" i="3"/>
  <c r="J9925" i="3"/>
  <c r="J9924" i="3"/>
  <c r="J9923" i="3"/>
  <c r="J9922" i="3"/>
  <c r="J9921" i="3"/>
  <c r="J9920" i="3"/>
  <c r="J9919" i="3"/>
  <c r="J9918" i="3"/>
  <c r="J9917" i="3"/>
  <c r="J9916" i="3"/>
  <c r="J9915" i="3"/>
  <c r="J9914" i="3"/>
  <c r="J9913" i="3"/>
  <c r="J9912" i="3"/>
  <c r="J9911" i="3"/>
  <c r="J9910" i="3"/>
  <c r="J9909" i="3"/>
  <c r="J9908" i="3"/>
  <c r="J9907" i="3"/>
  <c r="J9906" i="3"/>
  <c r="J9905" i="3"/>
  <c r="J9904" i="3"/>
  <c r="J9903" i="3"/>
  <c r="J9902" i="3"/>
  <c r="J9901" i="3"/>
  <c r="J9900" i="3"/>
  <c r="J9899" i="3"/>
  <c r="J9898" i="3"/>
  <c r="J9897" i="3"/>
  <c r="J9896" i="3"/>
  <c r="J9895" i="3"/>
  <c r="J9894" i="3"/>
  <c r="J9893" i="3"/>
  <c r="J9892" i="3"/>
  <c r="J9891" i="3"/>
  <c r="J9890" i="3"/>
  <c r="J9889" i="3"/>
  <c r="J9888" i="3"/>
  <c r="J9887" i="3"/>
  <c r="J9886" i="3"/>
  <c r="J9885" i="3"/>
  <c r="J9884" i="3"/>
  <c r="J9883" i="3"/>
  <c r="J9882" i="3"/>
  <c r="J9881" i="3"/>
  <c r="J9880" i="3"/>
  <c r="J9879" i="3"/>
  <c r="J9878" i="3"/>
  <c r="J9877" i="3"/>
  <c r="J9876" i="3"/>
  <c r="J9875" i="3"/>
  <c r="J9874" i="3"/>
  <c r="J9873" i="3"/>
  <c r="J9872" i="3"/>
  <c r="J9871" i="3"/>
  <c r="J9870" i="3"/>
  <c r="J9869" i="3"/>
  <c r="J9868" i="3"/>
  <c r="J9867" i="3"/>
  <c r="J9866" i="3"/>
  <c r="J9865" i="3"/>
  <c r="J9864" i="3"/>
  <c r="J9863" i="3"/>
  <c r="J9862" i="3"/>
  <c r="J9861" i="3"/>
  <c r="J9860" i="3"/>
  <c r="J9859" i="3"/>
  <c r="J9858" i="3"/>
  <c r="J9857" i="3"/>
  <c r="J9856" i="3"/>
  <c r="J9855" i="3"/>
  <c r="J9854" i="3"/>
  <c r="J9853" i="3"/>
  <c r="J9852" i="3"/>
  <c r="J9851" i="3"/>
  <c r="J9850" i="3"/>
  <c r="J9849" i="3"/>
  <c r="J9848" i="3"/>
  <c r="J9847" i="3"/>
  <c r="J9846" i="3"/>
  <c r="J9845" i="3"/>
  <c r="J9844" i="3"/>
  <c r="J9843" i="3"/>
  <c r="J9842" i="3"/>
  <c r="J9841" i="3"/>
  <c r="J9840" i="3"/>
  <c r="J9839" i="3"/>
  <c r="J9838" i="3"/>
  <c r="J9837" i="3"/>
  <c r="J9836" i="3"/>
  <c r="J9835" i="3"/>
  <c r="J9834" i="3"/>
  <c r="J9833" i="3"/>
  <c r="J9832" i="3"/>
  <c r="J9831" i="3"/>
  <c r="J9830" i="3"/>
  <c r="J9829" i="3"/>
  <c r="J9828" i="3"/>
  <c r="J9827" i="3"/>
  <c r="J9826" i="3"/>
  <c r="J9825" i="3"/>
  <c r="J9824" i="3"/>
  <c r="J9823" i="3"/>
  <c r="J9822" i="3"/>
  <c r="J9821" i="3"/>
  <c r="J9820" i="3"/>
  <c r="J9819" i="3"/>
  <c r="J9818" i="3"/>
  <c r="J9817" i="3"/>
  <c r="J9816" i="3"/>
  <c r="J9815" i="3"/>
  <c r="J9814" i="3"/>
  <c r="J9813" i="3"/>
  <c r="J9812" i="3"/>
  <c r="J9811" i="3"/>
  <c r="J9810" i="3"/>
  <c r="J9809" i="3"/>
  <c r="J9808" i="3"/>
  <c r="J9807" i="3"/>
  <c r="J9806" i="3"/>
  <c r="J9805" i="3"/>
  <c r="J9804" i="3"/>
  <c r="J9803" i="3"/>
  <c r="J9802" i="3"/>
  <c r="J9801" i="3"/>
  <c r="J9800" i="3"/>
  <c r="J9799" i="3"/>
  <c r="J9798" i="3"/>
  <c r="J9797" i="3"/>
  <c r="J9796" i="3"/>
  <c r="J9795" i="3"/>
  <c r="J9794" i="3"/>
  <c r="J9793" i="3"/>
  <c r="J9792" i="3"/>
  <c r="J9791" i="3"/>
  <c r="J9790" i="3"/>
  <c r="J9789" i="3"/>
  <c r="J9788" i="3"/>
  <c r="J9787" i="3"/>
  <c r="J9786" i="3"/>
  <c r="J9785" i="3"/>
  <c r="J9784" i="3"/>
  <c r="J9783" i="3"/>
  <c r="J9782" i="3"/>
  <c r="J9781" i="3"/>
  <c r="J9780" i="3"/>
  <c r="J9779" i="3"/>
  <c r="J9778" i="3"/>
  <c r="J9777" i="3"/>
  <c r="J9776" i="3"/>
  <c r="J9775" i="3"/>
  <c r="J9774" i="3"/>
  <c r="J9773" i="3"/>
  <c r="J9772" i="3"/>
  <c r="J9771" i="3"/>
  <c r="J9770" i="3"/>
  <c r="J9769" i="3"/>
  <c r="J9768" i="3"/>
  <c r="J9767" i="3"/>
  <c r="J9766" i="3"/>
  <c r="J9765" i="3"/>
  <c r="J9764" i="3"/>
  <c r="J9763" i="3"/>
  <c r="J9762" i="3"/>
  <c r="J9761" i="3"/>
  <c r="J9760" i="3"/>
  <c r="J9759" i="3"/>
  <c r="J9758" i="3"/>
  <c r="J9757" i="3"/>
  <c r="J9756" i="3"/>
  <c r="J9755" i="3"/>
  <c r="J9754" i="3"/>
  <c r="J9753" i="3"/>
  <c r="J9752" i="3"/>
  <c r="J9751" i="3"/>
  <c r="J9750" i="3"/>
  <c r="J9749" i="3"/>
  <c r="J9748" i="3"/>
  <c r="J9747" i="3"/>
  <c r="J9746" i="3"/>
  <c r="J9745" i="3"/>
  <c r="J9744" i="3"/>
  <c r="J9743" i="3"/>
  <c r="J9742" i="3"/>
  <c r="J9741" i="3"/>
  <c r="J9740" i="3"/>
  <c r="J9739" i="3"/>
  <c r="J9738" i="3"/>
  <c r="J9737" i="3"/>
  <c r="J9736" i="3"/>
  <c r="J9735" i="3"/>
  <c r="J9734" i="3"/>
  <c r="J9733" i="3"/>
  <c r="J9732" i="3"/>
  <c r="J9731" i="3"/>
  <c r="J9730" i="3"/>
  <c r="J9729" i="3"/>
  <c r="J9728" i="3"/>
  <c r="J9727" i="3"/>
  <c r="J9726" i="3"/>
  <c r="J9725" i="3"/>
  <c r="J9724" i="3"/>
  <c r="J9723" i="3"/>
  <c r="J9722" i="3"/>
  <c r="J9721" i="3"/>
  <c r="J9720" i="3"/>
  <c r="J9719" i="3"/>
  <c r="J9718" i="3"/>
  <c r="J9717" i="3"/>
  <c r="J9716" i="3"/>
  <c r="J9715" i="3"/>
  <c r="J9714" i="3"/>
  <c r="J9713" i="3"/>
  <c r="J9712" i="3"/>
  <c r="J9711" i="3"/>
  <c r="J9710" i="3"/>
  <c r="J9709" i="3"/>
  <c r="J9708" i="3"/>
  <c r="J9707" i="3"/>
  <c r="J9706" i="3"/>
  <c r="J9705" i="3"/>
  <c r="J9704" i="3"/>
  <c r="J9703" i="3"/>
  <c r="J9702" i="3"/>
  <c r="J9701" i="3"/>
  <c r="J9700" i="3"/>
  <c r="J9699" i="3"/>
  <c r="J9698" i="3"/>
  <c r="J9697" i="3"/>
  <c r="J9696" i="3"/>
  <c r="J9695" i="3"/>
  <c r="J9694" i="3"/>
  <c r="J9693" i="3"/>
  <c r="J9692" i="3"/>
  <c r="J9691" i="3"/>
  <c r="J9690" i="3"/>
  <c r="J9689" i="3"/>
  <c r="J9688" i="3"/>
  <c r="J9687" i="3"/>
  <c r="J9686" i="3"/>
  <c r="J9685" i="3"/>
  <c r="J9684" i="3"/>
  <c r="J9683" i="3"/>
  <c r="J9682" i="3"/>
  <c r="J9681" i="3"/>
  <c r="J9680" i="3"/>
  <c r="J9679" i="3"/>
  <c r="J9678" i="3"/>
  <c r="J9677" i="3"/>
  <c r="J9676" i="3"/>
  <c r="J9675" i="3"/>
  <c r="J9674" i="3"/>
  <c r="J9673" i="3"/>
  <c r="J9672" i="3"/>
  <c r="J9671" i="3"/>
  <c r="J9670" i="3"/>
  <c r="J9669" i="3"/>
  <c r="J9668" i="3"/>
  <c r="J9667" i="3"/>
  <c r="J9666" i="3"/>
  <c r="J9665" i="3"/>
  <c r="J9664" i="3"/>
  <c r="J9663" i="3"/>
  <c r="J9662" i="3"/>
  <c r="J9661" i="3"/>
  <c r="J9660" i="3"/>
  <c r="J9659" i="3"/>
  <c r="J9658" i="3"/>
  <c r="J9657" i="3"/>
  <c r="J9656" i="3"/>
  <c r="J9655" i="3"/>
  <c r="J9654" i="3"/>
  <c r="J9653" i="3"/>
  <c r="J9652" i="3"/>
  <c r="J9651" i="3"/>
  <c r="J9650" i="3"/>
  <c r="J9649" i="3"/>
  <c r="J9648" i="3"/>
  <c r="J9647" i="3"/>
  <c r="J9646" i="3"/>
  <c r="J9645" i="3"/>
  <c r="J9644" i="3"/>
  <c r="J9643" i="3"/>
  <c r="J9642" i="3"/>
  <c r="J9641" i="3"/>
  <c r="J9640" i="3"/>
  <c r="J9639" i="3"/>
  <c r="J9638" i="3"/>
  <c r="J9637" i="3"/>
  <c r="J9636" i="3"/>
  <c r="J9635" i="3"/>
  <c r="J9634" i="3"/>
  <c r="J9633" i="3"/>
  <c r="J9632" i="3"/>
  <c r="J9631" i="3"/>
  <c r="J9630" i="3"/>
  <c r="J9629" i="3"/>
  <c r="J9628" i="3"/>
  <c r="J9627" i="3"/>
  <c r="J9626" i="3"/>
  <c r="J9625" i="3"/>
  <c r="J9624" i="3"/>
  <c r="J9623" i="3"/>
  <c r="J9622" i="3"/>
  <c r="J9621" i="3"/>
  <c r="J9620" i="3"/>
  <c r="J9619" i="3"/>
  <c r="J9618" i="3"/>
  <c r="J9617" i="3"/>
  <c r="J9616" i="3"/>
  <c r="J9615" i="3"/>
  <c r="J9614" i="3"/>
  <c r="J9613" i="3"/>
  <c r="J9612" i="3"/>
  <c r="J9611" i="3"/>
  <c r="J9610" i="3"/>
  <c r="J9609" i="3"/>
  <c r="J9608" i="3"/>
  <c r="J9607" i="3"/>
  <c r="J9606" i="3"/>
  <c r="J9605" i="3"/>
  <c r="J9604" i="3"/>
  <c r="J9603" i="3"/>
  <c r="J9602" i="3"/>
  <c r="J9601" i="3"/>
  <c r="J9600" i="3"/>
  <c r="J9599" i="3"/>
  <c r="J9598" i="3"/>
  <c r="J9597" i="3"/>
  <c r="J9596" i="3"/>
  <c r="J9595" i="3"/>
  <c r="J9594" i="3"/>
  <c r="J9593" i="3"/>
  <c r="J9592" i="3"/>
  <c r="J9591" i="3"/>
  <c r="J9590" i="3"/>
  <c r="J9589" i="3"/>
  <c r="J9588" i="3"/>
  <c r="J9587" i="3"/>
  <c r="J9586" i="3"/>
  <c r="J9585" i="3"/>
  <c r="J9584" i="3"/>
  <c r="J9583" i="3"/>
  <c r="J9582" i="3"/>
  <c r="J9581" i="3"/>
  <c r="J9580" i="3"/>
  <c r="J9579" i="3"/>
  <c r="J9578" i="3"/>
  <c r="J9577" i="3"/>
  <c r="J9576" i="3"/>
  <c r="J9575" i="3"/>
  <c r="J9574" i="3"/>
  <c r="J9573" i="3"/>
  <c r="J9572" i="3"/>
  <c r="J9571" i="3"/>
  <c r="J9570" i="3"/>
  <c r="J9569" i="3"/>
  <c r="J9568" i="3"/>
  <c r="J9567" i="3"/>
  <c r="J9566" i="3"/>
  <c r="J9565" i="3"/>
  <c r="J9564" i="3"/>
  <c r="J9563" i="3"/>
  <c r="J9562" i="3"/>
  <c r="J9561" i="3"/>
  <c r="J9560" i="3"/>
  <c r="J9559" i="3"/>
  <c r="J9558" i="3"/>
  <c r="J9557" i="3"/>
  <c r="J9556" i="3"/>
  <c r="J9555" i="3"/>
  <c r="J9554" i="3"/>
  <c r="J9553" i="3"/>
  <c r="J9552" i="3"/>
  <c r="J9551" i="3"/>
  <c r="J9550" i="3"/>
  <c r="J9549" i="3"/>
  <c r="J9548" i="3"/>
  <c r="J9547" i="3"/>
  <c r="J9546" i="3"/>
  <c r="J9545" i="3"/>
  <c r="J9544" i="3"/>
  <c r="J9543" i="3"/>
  <c r="J9542" i="3"/>
  <c r="J9541" i="3"/>
  <c r="J9540" i="3"/>
  <c r="J9539" i="3"/>
  <c r="J9538" i="3"/>
  <c r="J9537" i="3"/>
  <c r="J9536" i="3"/>
  <c r="J9535" i="3"/>
  <c r="J9534" i="3"/>
  <c r="J9533" i="3"/>
  <c r="J9532" i="3"/>
  <c r="J9531" i="3"/>
  <c r="J9530" i="3"/>
  <c r="J9529" i="3"/>
  <c r="J9528" i="3"/>
  <c r="J9527" i="3"/>
  <c r="J9526" i="3"/>
  <c r="J9525" i="3"/>
  <c r="J9524" i="3"/>
  <c r="J9523" i="3"/>
  <c r="J9522" i="3"/>
  <c r="J9521" i="3"/>
  <c r="J9520" i="3"/>
  <c r="J9519" i="3"/>
  <c r="J9518" i="3"/>
  <c r="J9517" i="3"/>
  <c r="J9516" i="3"/>
  <c r="J9515" i="3"/>
  <c r="J9514" i="3"/>
  <c r="J9513" i="3"/>
  <c r="J9512" i="3"/>
  <c r="J9511" i="3"/>
  <c r="J9510" i="3"/>
  <c r="J9509" i="3"/>
  <c r="J9508" i="3"/>
  <c r="J9507" i="3"/>
  <c r="J9506" i="3"/>
  <c r="J9505" i="3"/>
  <c r="J9504" i="3"/>
  <c r="J9503" i="3"/>
  <c r="J9502" i="3"/>
  <c r="J9501" i="3"/>
  <c r="J9500" i="3"/>
  <c r="J9499" i="3"/>
  <c r="J9498" i="3"/>
  <c r="J9497" i="3"/>
  <c r="J9496" i="3"/>
  <c r="J9495" i="3"/>
  <c r="J9494" i="3"/>
  <c r="J9493" i="3"/>
  <c r="J9492" i="3"/>
  <c r="J9491" i="3"/>
  <c r="J9490" i="3"/>
  <c r="J9489" i="3"/>
  <c r="J9488" i="3"/>
  <c r="J9487" i="3"/>
  <c r="J9486" i="3"/>
  <c r="J9485" i="3"/>
  <c r="J9484" i="3"/>
  <c r="J9483" i="3"/>
  <c r="J9482" i="3"/>
  <c r="J9481" i="3"/>
  <c r="J9480" i="3"/>
  <c r="J9479" i="3"/>
  <c r="J9478" i="3"/>
  <c r="J9477" i="3"/>
  <c r="J9476" i="3"/>
  <c r="J9475" i="3"/>
  <c r="J9474" i="3"/>
  <c r="J9473" i="3"/>
  <c r="J9472" i="3"/>
  <c r="J9471" i="3"/>
  <c r="J9470" i="3"/>
  <c r="J9469" i="3"/>
  <c r="J9468" i="3"/>
  <c r="J9467" i="3"/>
  <c r="J9466" i="3"/>
  <c r="J9465" i="3"/>
  <c r="J9464" i="3"/>
  <c r="J9463" i="3"/>
  <c r="J9462" i="3"/>
  <c r="J9461" i="3"/>
  <c r="J9460" i="3"/>
  <c r="J9459" i="3"/>
  <c r="J9458" i="3"/>
  <c r="J9457" i="3"/>
  <c r="J9456" i="3"/>
  <c r="J9455" i="3"/>
  <c r="J9454" i="3"/>
  <c r="J9453" i="3"/>
  <c r="J9452" i="3"/>
  <c r="J9451" i="3"/>
  <c r="J9450" i="3"/>
  <c r="J9449" i="3"/>
  <c r="J9448" i="3"/>
  <c r="J9447" i="3"/>
  <c r="J9446" i="3"/>
  <c r="J9445" i="3"/>
  <c r="J9444" i="3"/>
  <c r="J9443" i="3"/>
  <c r="J9442" i="3"/>
  <c r="J9441" i="3"/>
  <c r="J9440" i="3"/>
  <c r="J9439" i="3"/>
  <c r="J9438" i="3"/>
  <c r="J9437" i="3"/>
  <c r="J9436" i="3"/>
  <c r="J9435" i="3"/>
  <c r="J9434" i="3"/>
  <c r="J9433" i="3"/>
  <c r="J9432" i="3"/>
  <c r="J9431" i="3"/>
  <c r="J9430" i="3"/>
  <c r="J9429" i="3"/>
  <c r="J9428" i="3"/>
  <c r="J9427" i="3"/>
  <c r="J9426" i="3"/>
  <c r="J9425" i="3"/>
  <c r="J9424" i="3"/>
  <c r="J9423" i="3"/>
  <c r="J9422" i="3"/>
  <c r="J9421" i="3"/>
  <c r="J9420" i="3"/>
  <c r="J9419" i="3"/>
  <c r="J9418" i="3"/>
  <c r="J9417" i="3"/>
  <c r="J9416" i="3"/>
  <c r="J9415" i="3"/>
  <c r="J9414" i="3"/>
  <c r="J9413" i="3"/>
  <c r="J9412" i="3"/>
  <c r="J9411" i="3"/>
  <c r="J9410" i="3"/>
  <c r="J9409" i="3"/>
  <c r="J9408" i="3"/>
  <c r="J9407" i="3"/>
  <c r="J9406" i="3"/>
  <c r="J9405" i="3"/>
  <c r="J9404" i="3"/>
  <c r="J9403" i="3"/>
  <c r="J9402" i="3"/>
  <c r="J9401" i="3"/>
  <c r="J9400" i="3"/>
  <c r="J9399" i="3"/>
  <c r="J9398" i="3"/>
  <c r="J9397" i="3"/>
  <c r="J9396" i="3"/>
  <c r="J9395" i="3"/>
  <c r="J9394" i="3"/>
  <c r="J9393" i="3"/>
  <c r="J9392" i="3"/>
  <c r="J9391" i="3"/>
  <c r="J9390" i="3"/>
  <c r="J9389" i="3"/>
  <c r="J9388" i="3"/>
  <c r="J9387" i="3"/>
  <c r="J9386" i="3"/>
  <c r="J9385" i="3"/>
  <c r="J9384" i="3"/>
  <c r="J9383" i="3"/>
  <c r="J9382" i="3"/>
  <c r="J9381" i="3"/>
  <c r="J9380" i="3"/>
  <c r="J9379" i="3"/>
  <c r="J9378" i="3"/>
  <c r="J9377" i="3"/>
  <c r="J9376" i="3"/>
  <c r="J9375" i="3"/>
  <c r="J9374" i="3"/>
  <c r="J9373" i="3"/>
  <c r="J9372" i="3"/>
  <c r="J9371" i="3"/>
  <c r="J9370" i="3"/>
  <c r="J9369" i="3"/>
  <c r="J9368" i="3"/>
  <c r="J9367" i="3"/>
  <c r="J9366" i="3"/>
  <c r="J9365" i="3"/>
  <c r="J9364" i="3"/>
  <c r="J9363" i="3"/>
  <c r="J9362" i="3"/>
  <c r="J9361" i="3"/>
  <c r="J9360" i="3"/>
  <c r="J9359" i="3"/>
  <c r="J9358" i="3"/>
  <c r="J9357" i="3"/>
  <c r="J9356" i="3"/>
  <c r="J9355" i="3"/>
  <c r="J9354" i="3"/>
  <c r="J9353" i="3"/>
  <c r="J9352" i="3"/>
  <c r="J9351" i="3"/>
  <c r="J9350" i="3"/>
  <c r="J9349" i="3"/>
  <c r="J9348" i="3"/>
  <c r="J9347" i="3"/>
  <c r="J9346" i="3"/>
  <c r="J9345" i="3"/>
  <c r="J9344" i="3"/>
  <c r="J9343" i="3"/>
  <c r="J9342" i="3"/>
  <c r="J9341" i="3"/>
  <c r="J9340" i="3"/>
  <c r="J9339" i="3"/>
  <c r="J9338" i="3"/>
  <c r="J9337" i="3"/>
  <c r="J9336" i="3"/>
  <c r="J9335" i="3"/>
  <c r="J9334" i="3"/>
  <c r="J9333" i="3"/>
  <c r="J9332" i="3"/>
  <c r="J9331" i="3"/>
  <c r="J9330" i="3"/>
  <c r="J9329" i="3"/>
  <c r="J9328" i="3"/>
  <c r="J9327" i="3"/>
  <c r="J9326" i="3"/>
  <c r="J9325" i="3"/>
  <c r="J9324" i="3"/>
  <c r="J9323" i="3"/>
  <c r="J9322" i="3"/>
  <c r="J9321" i="3"/>
  <c r="J9320" i="3"/>
  <c r="J9319" i="3"/>
  <c r="J9318" i="3"/>
  <c r="J9317" i="3"/>
  <c r="J9316" i="3"/>
  <c r="J9315" i="3"/>
  <c r="J9314" i="3"/>
  <c r="J9313" i="3"/>
  <c r="J9312" i="3"/>
  <c r="J9311" i="3"/>
  <c r="J9310" i="3"/>
  <c r="J9309" i="3"/>
  <c r="J9308" i="3"/>
  <c r="J9307" i="3"/>
  <c r="J9306" i="3"/>
  <c r="J9305" i="3"/>
  <c r="J9304" i="3"/>
  <c r="J9303" i="3"/>
  <c r="J9302" i="3"/>
  <c r="J9301" i="3"/>
  <c r="J9300" i="3"/>
  <c r="J9299" i="3"/>
  <c r="J9298" i="3"/>
  <c r="J9297" i="3"/>
  <c r="J9296" i="3"/>
  <c r="J9295" i="3"/>
  <c r="J9294" i="3"/>
  <c r="J9293" i="3"/>
  <c r="J9292" i="3"/>
  <c r="J9291" i="3"/>
  <c r="J9290" i="3"/>
  <c r="J9289" i="3"/>
  <c r="J9288" i="3"/>
  <c r="J9287" i="3"/>
  <c r="J9286" i="3"/>
  <c r="J9285" i="3"/>
  <c r="J9284" i="3"/>
  <c r="J9283" i="3"/>
  <c r="J9282" i="3"/>
  <c r="J9281" i="3"/>
  <c r="J9280" i="3"/>
  <c r="J9279" i="3"/>
  <c r="J9278" i="3"/>
  <c r="J9277" i="3"/>
  <c r="J9276" i="3"/>
  <c r="J9275" i="3"/>
  <c r="J9274" i="3"/>
  <c r="J9273" i="3"/>
  <c r="J9272" i="3"/>
  <c r="J9271" i="3"/>
  <c r="J9270" i="3"/>
  <c r="J9269" i="3"/>
  <c r="J9268" i="3"/>
  <c r="J9267" i="3"/>
  <c r="J9266" i="3"/>
  <c r="J9265" i="3"/>
  <c r="J9264" i="3"/>
  <c r="J9263" i="3"/>
  <c r="J9262" i="3"/>
  <c r="J9261" i="3"/>
  <c r="J9260" i="3"/>
  <c r="J9259" i="3"/>
  <c r="J9258" i="3"/>
  <c r="J9257" i="3"/>
  <c r="J9256" i="3"/>
  <c r="J9255" i="3"/>
  <c r="J9254" i="3"/>
  <c r="J9253" i="3"/>
  <c r="J9252" i="3"/>
  <c r="J9251" i="3"/>
  <c r="J9250" i="3"/>
  <c r="J9249" i="3"/>
  <c r="J9248" i="3"/>
  <c r="J9247" i="3"/>
  <c r="J9246" i="3"/>
  <c r="J9245" i="3"/>
  <c r="J9244" i="3"/>
  <c r="J9243" i="3"/>
  <c r="J9242" i="3"/>
  <c r="J9241" i="3"/>
  <c r="J9240" i="3"/>
  <c r="J9239" i="3"/>
  <c r="J9238" i="3"/>
  <c r="J9237" i="3"/>
  <c r="J9236" i="3"/>
  <c r="J9235" i="3"/>
  <c r="J9234" i="3"/>
  <c r="J9233" i="3"/>
  <c r="J9232" i="3"/>
  <c r="J9231" i="3"/>
  <c r="J9230" i="3"/>
  <c r="J9229" i="3"/>
  <c r="J9228" i="3"/>
  <c r="J9227" i="3"/>
  <c r="J9226" i="3"/>
  <c r="J9225" i="3"/>
  <c r="J9224" i="3"/>
  <c r="J9223" i="3"/>
  <c r="J9222" i="3"/>
  <c r="J9221" i="3"/>
  <c r="J9220" i="3"/>
  <c r="J9219" i="3"/>
  <c r="J9218" i="3"/>
  <c r="J9217" i="3"/>
  <c r="J9216" i="3"/>
  <c r="J9215" i="3"/>
  <c r="J9214" i="3"/>
  <c r="J9213" i="3"/>
  <c r="J9212" i="3"/>
  <c r="J9211" i="3"/>
  <c r="J9210" i="3"/>
  <c r="J9209" i="3"/>
  <c r="J9208" i="3"/>
  <c r="J9207" i="3"/>
  <c r="J9206" i="3"/>
  <c r="J9205" i="3"/>
  <c r="J9204" i="3"/>
  <c r="J9203" i="3"/>
  <c r="J9202" i="3"/>
  <c r="J9201" i="3"/>
  <c r="J9200" i="3"/>
  <c r="J9199" i="3"/>
  <c r="J9198" i="3"/>
  <c r="J9197" i="3"/>
  <c r="J9196" i="3"/>
  <c r="J9195" i="3"/>
  <c r="J9194" i="3"/>
  <c r="J9193" i="3"/>
  <c r="J9192" i="3"/>
  <c r="J9191" i="3"/>
  <c r="J9190" i="3"/>
  <c r="J9189" i="3"/>
  <c r="J9188" i="3"/>
  <c r="J9187" i="3"/>
  <c r="J9186" i="3"/>
  <c r="J9185" i="3"/>
  <c r="J9184" i="3"/>
  <c r="J9183" i="3"/>
  <c r="J9182" i="3"/>
  <c r="J9181" i="3"/>
  <c r="J9180" i="3"/>
  <c r="J9179" i="3"/>
  <c r="J9178" i="3"/>
  <c r="J9177" i="3"/>
  <c r="J9176" i="3"/>
  <c r="J9175" i="3"/>
  <c r="J9174" i="3"/>
  <c r="J9173" i="3"/>
  <c r="J9172" i="3"/>
  <c r="J9171" i="3"/>
  <c r="J9170" i="3"/>
  <c r="J9169" i="3"/>
  <c r="J9168" i="3"/>
  <c r="J9167" i="3"/>
  <c r="J9166" i="3"/>
  <c r="J9165" i="3"/>
  <c r="J9164" i="3"/>
  <c r="J9163" i="3"/>
  <c r="J9162" i="3"/>
  <c r="J9161" i="3"/>
  <c r="J9160" i="3"/>
  <c r="J9159" i="3"/>
  <c r="J9158" i="3"/>
  <c r="J9157" i="3"/>
  <c r="J9156" i="3"/>
  <c r="J9155" i="3"/>
  <c r="J9154" i="3"/>
  <c r="J9153" i="3"/>
  <c r="J9152" i="3"/>
  <c r="J9151" i="3"/>
  <c r="J9150" i="3"/>
  <c r="J9149" i="3"/>
  <c r="J9148" i="3"/>
  <c r="J9147" i="3"/>
  <c r="J9146" i="3"/>
  <c r="J9145" i="3"/>
  <c r="J9144" i="3"/>
  <c r="J9143" i="3"/>
  <c r="J9142" i="3"/>
  <c r="J9141" i="3"/>
  <c r="J9140" i="3"/>
  <c r="J9139" i="3"/>
  <c r="J9138" i="3"/>
  <c r="J9137" i="3"/>
  <c r="J9136" i="3"/>
  <c r="J9135" i="3"/>
  <c r="J9134" i="3"/>
  <c r="J9133" i="3"/>
  <c r="J9132" i="3"/>
  <c r="J9131" i="3"/>
  <c r="J9130" i="3"/>
  <c r="J9129" i="3"/>
  <c r="J9128" i="3"/>
  <c r="J9127" i="3"/>
  <c r="J9126" i="3"/>
  <c r="J9125" i="3"/>
  <c r="J9124" i="3"/>
  <c r="J9123" i="3"/>
  <c r="J9122" i="3"/>
  <c r="J9121" i="3"/>
  <c r="J9120" i="3"/>
  <c r="J9119" i="3"/>
  <c r="J9118" i="3"/>
  <c r="J9117" i="3"/>
  <c r="J9116" i="3"/>
  <c r="J9115" i="3"/>
  <c r="J9114" i="3"/>
  <c r="J9113" i="3"/>
  <c r="J9112" i="3"/>
  <c r="J9111" i="3"/>
  <c r="J9110" i="3"/>
  <c r="J9109" i="3"/>
  <c r="J9108" i="3"/>
  <c r="J9107" i="3"/>
  <c r="J9106" i="3"/>
  <c r="J9105" i="3"/>
  <c r="J9104" i="3"/>
  <c r="J9103" i="3"/>
  <c r="J9102" i="3"/>
  <c r="J9101" i="3"/>
  <c r="J9100" i="3"/>
  <c r="J9099" i="3"/>
  <c r="J9098" i="3"/>
  <c r="J9097" i="3"/>
  <c r="J9096" i="3"/>
  <c r="J9095" i="3"/>
  <c r="J9094" i="3"/>
  <c r="J9093" i="3"/>
  <c r="J9092" i="3"/>
  <c r="J9091" i="3"/>
  <c r="J9090" i="3"/>
  <c r="J9089" i="3"/>
  <c r="J9088" i="3"/>
  <c r="J9087" i="3"/>
  <c r="J9086" i="3"/>
  <c r="J9085" i="3"/>
  <c r="J9084" i="3"/>
  <c r="J9083" i="3"/>
  <c r="J9082" i="3"/>
  <c r="J9081" i="3"/>
  <c r="J9080" i="3"/>
  <c r="J9079" i="3"/>
  <c r="J9078" i="3"/>
  <c r="J9077" i="3"/>
  <c r="J9076" i="3"/>
  <c r="J9075" i="3"/>
  <c r="J9074" i="3"/>
  <c r="J9073" i="3"/>
  <c r="J9072" i="3"/>
  <c r="J9071" i="3"/>
  <c r="J9070" i="3"/>
  <c r="J9069" i="3"/>
  <c r="J9068" i="3"/>
  <c r="J9067" i="3"/>
  <c r="J9066" i="3"/>
  <c r="J9065" i="3"/>
  <c r="J9064" i="3"/>
  <c r="J9063" i="3"/>
  <c r="J9062" i="3"/>
  <c r="J9061" i="3"/>
  <c r="J9060" i="3"/>
  <c r="J9059" i="3"/>
  <c r="J9058" i="3"/>
  <c r="J9057" i="3"/>
  <c r="J9056" i="3"/>
  <c r="J9055" i="3"/>
  <c r="J9054" i="3"/>
  <c r="J9053" i="3"/>
  <c r="J9052" i="3"/>
  <c r="J9051" i="3"/>
  <c r="J9050" i="3"/>
  <c r="J9049" i="3"/>
  <c r="J9048" i="3"/>
  <c r="J9047" i="3"/>
  <c r="J9046" i="3"/>
  <c r="J9045" i="3"/>
  <c r="J9044" i="3"/>
  <c r="J9043" i="3"/>
  <c r="J9042" i="3"/>
  <c r="J9041" i="3"/>
  <c r="J9040" i="3"/>
  <c r="J9039" i="3"/>
  <c r="J9038" i="3"/>
  <c r="J9037" i="3"/>
  <c r="J9036" i="3"/>
  <c r="J9035" i="3"/>
  <c r="J9034" i="3"/>
  <c r="J9033" i="3"/>
  <c r="J9032" i="3"/>
  <c r="J9031" i="3"/>
  <c r="J9030" i="3"/>
  <c r="J9029" i="3"/>
  <c r="J9028" i="3"/>
  <c r="J9027" i="3"/>
  <c r="J9026" i="3"/>
  <c r="J9025" i="3"/>
  <c r="J9024" i="3"/>
  <c r="J9023" i="3"/>
  <c r="J9022" i="3"/>
  <c r="J9021" i="3"/>
  <c r="J9020" i="3"/>
  <c r="J9019" i="3"/>
  <c r="J9018" i="3"/>
  <c r="J9017" i="3"/>
  <c r="J9016" i="3"/>
  <c r="J9015" i="3"/>
  <c r="J9014" i="3"/>
  <c r="J9013" i="3"/>
  <c r="J9012" i="3"/>
  <c r="J9011" i="3"/>
  <c r="J9010" i="3"/>
  <c r="J9009" i="3"/>
  <c r="J9008" i="3"/>
  <c r="J9007" i="3"/>
  <c r="J9006" i="3"/>
  <c r="J9005" i="3"/>
  <c r="J9004" i="3"/>
  <c r="J9003" i="3"/>
  <c r="J9002" i="3"/>
  <c r="J9001" i="3"/>
  <c r="J9000" i="3"/>
  <c r="J8999" i="3"/>
  <c r="J8998" i="3"/>
  <c r="J8997" i="3"/>
  <c r="J8996" i="3"/>
  <c r="J8995" i="3"/>
  <c r="J8994" i="3"/>
  <c r="J8993" i="3"/>
  <c r="J8992" i="3"/>
  <c r="J8991" i="3"/>
  <c r="J8990" i="3"/>
  <c r="J8989" i="3"/>
  <c r="J8988" i="3"/>
  <c r="J8987" i="3"/>
  <c r="J8986" i="3"/>
  <c r="J8985" i="3"/>
  <c r="J8984" i="3"/>
  <c r="J8983" i="3"/>
  <c r="J8982" i="3"/>
  <c r="J8981" i="3"/>
  <c r="J8980" i="3"/>
  <c r="J8979" i="3"/>
  <c r="J8978" i="3"/>
  <c r="J8977" i="3"/>
  <c r="J8976" i="3"/>
  <c r="J8975" i="3"/>
  <c r="J8974" i="3"/>
  <c r="J8973" i="3"/>
  <c r="J8972" i="3"/>
  <c r="J8971" i="3"/>
  <c r="J8970" i="3"/>
  <c r="J8969" i="3"/>
  <c r="J8968" i="3"/>
  <c r="J8967" i="3"/>
  <c r="J8966" i="3"/>
  <c r="J8965" i="3"/>
  <c r="J8964" i="3"/>
  <c r="J8963" i="3"/>
  <c r="J8962" i="3"/>
  <c r="J8961" i="3"/>
  <c r="J8960" i="3"/>
  <c r="J8959" i="3"/>
  <c r="J8958" i="3"/>
  <c r="J8957" i="3"/>
  <c r="J8956" i="3"/>
  <c r="J8955" i="3"/>
  <c r="J8954" i="3"/>
  <c r="J8953" i="3"/>
  <c r="J8952" i="3"/>
  <c r="J8951" i="3"/>
  <c r="J8950" i="3"/>
  <c r="J8949" i="3"/>
  <c r="J8948" i="3"/>
  <c r="J8947" i="3"/>
  <c r="J8946" i="3"/>
  <c r="J8945" i="3"/>
  <c r="J8944" i="3"/>
  <c r="J8943" i="3"/>
  <c r="J8942" i="3"/>
  <c r="J8941" i="3"/>
  <c r="J8940" i="3"/>
  <c r="J8939" i="3"/>
  <c r="J8938" i="3"/>
  <c r="J8937" i="3"/>
  <c r="J8936" i="3"/>
  <c r="J8935" i="3"/>
  <c r="J8934" i="3"/>
  <c r="J8933" i="3"/>
  <c r="J8932" i="3"/>
  <c r="J8931" i="3"/>
  <c r="J8930" i="3"/>
  <c r="J8929" i="3"/>
  <c r="J8928" i="3"/>
  <c r="J8927" i="3"/>
  <c r="J8926" i="3"/>
  <c r="J8925" i="3"/>
  <c r="J8924" i="3"/>
  <c r="J8923" i="3"/>
  <c r="J8922" i="3"/>
  <c r="J8921" i="3"/>
  <c r="J8920" i="3"/>
  <c r="J8919" i="3"/>
  <c r="J8918" i="3"/>
  <c r="J8917" i="3"/>
  <c r="J8916" i="3"/>
  <c r="J8915" i="3"/>
  <c r="J8914" i="3"/>
  <c r="J8913" i="3"/>
  <c r="J8912" i="3"/>
  <c r="J8911" i="3"/>
  <c r="J8910" i="3"/>
  <c r="J8909" i="3"/>
  <c r="J8908" i="3"/>
  <c r="J8907" i="3"/>
  <c r="J8906" i="3"/>
  <c r="J8905" i="3"/>
  <c r="J8904" i="3"/>
  <c r="J8903" i="3"/>
  <c r="J8902" i="3"/>
  <c r="J8901" i="3"/>
  <c r="J8900" i="3"/>
  <c r="J8899" i="3"/>
  <c r="J8898" i="3"/>
  <c r="J8897" i="3"/>
  <c r="J8896" i="3"/>
  <c r="J8895" i="3"/>
  <c r="J8894" i="3"/>
  <c r="J8893" i="3"/>
  <c r="J8892" i="3"/>
  <c r="J8891" i="3"/>
  <c r="J8890" i="3"/>
  <c r="J8889" i="3"/>
  <c r="J8888" i="3"/>
  <c r="J8887" i="3"/>
  <c r="J8886" i="3"/>
  <c r="J8885" i="3"/>
  <c r="J8884" i="3"/>
  <c r="J8883" i="3"/>
  <c r="J8882" i="3"/>
  <c r="J8881" i="3"/>
  <c r="J8880" i="3"/>
  <c r="J8879" i="3"/>
  <c r="J8878" i="3"/>
  <c r="J8877" i="3"/>
  <c r="J8876" i="3"/>
  <c r="J8875" i="3"/>
  <c r="J8874" i="3"/>
  <c r="J8873" i="3"/>
  <c r="J8872" i="3"/>
  <c r="J8871" i="3"/>
  <c r="J8870" i="3"/>
  <c r="J8869" i="3"/>
  <c r="J8868" i="3"/>
  <c r="J8867" i="3"/>
  <c r="J8866" i="3"/>
  <c r="J8865" i="3"/>
  <c r="J8864" i="3"/>
  <c r="J8863" i="3"/>
  <c r="J8862" i="3"/>
  <c r="J8861" i="3"/>
  <c r="J8860" i="3"/>
  <c r="J8859" i="3"/>
  <c r="J8858" i="3"/>
  <c r="J8857" i="3"/>
  <c r="J8856" i="3"/>
  <c r="J8855" i="3"/>
  <c r="J8854" i="3"/>
  <c r="J8853" i="3"/>
  <c r="J8852" i="3"/>
  <c r="J8851" i="3"/>
  <c r="J8850" i="3"/>
  <c r="J8849" i="3"/>
  <c r="J8848" i="3"/>
  <c r="J8847" i="3"/>
  <c r="J8846" i="3"/>
  <c r="J8845" i="3"/>
  <c r="J8844" i="3"/>
  <c r="J8843" i="3"/>
  <c r="J8842" i="3"/>
  <c r="J8841" i="3"/>
  <c r="J8840" i="3"/>
  <c r="J8839" i="3"/>
  <c r="J8838" i="3"/>
  <c r="J8837" i="3"/>
  <c r="J8836" i="3"/>
  <c r="J8835" i="3"/>
  <c r="J8834" i="3"/>
  <c r="J8833" i="3"/>
  <c r="J8832" i="3"/>
  <c r="J8831" i="3"/>
  <c r="J8830" i="3"/>
  <c r="J8829" i="3"/>
  <c r="J8828" i="3"/>
  <c r="J8827" i="3"/>
  <c r="J8826" i="3"/>
  <c r="J8825" i="3"/>
  <c r="J8824" i="3"/>
  <c r="J8823" i="3"/>
  <c r="J8822" i="3"/>
  <c r="J8821" i="3"/>
  <c r="J8820" i="3"/>
  <c r="J8819" i="3"/>
  <c r="J8818" i="3"/>
  <c r="J8817" i="3"/>
  <c r="J8816" i="3"/>
  <c r="J8815" i="3"/>
  <c r="J8814" i="3"/>
  <c r="J8813" i="3"/>
  <c r="J8812" i="3"/>
  <c r="J8811" i="3"/>
  <c r="J8810" i="3"/>
  <c r="J8809" i="3"/>
  <c r="J8808" i="3"/>
  <c r="J8807" i="3"/>
  <c r="J8806" i="3"/>
  <c r="J8805" i="3"/>
  <c r="J8804" i="3"/>
  <c r="J8803" i="3"/>
  <c r="J8802" i="3"/>
  <c r="J8801" i="3"/>
  <c r="J8800" i="3"/>
  <c r="J8799" i="3"/>
  <c r="J8798" i="3"/>
  <c r="J8797" i="3"/>
  <c r="J8796" i="3"/>
  <c r="J8795" i="3"/>
  <c r="J8794" i="3"/>
  <c r="J8793" i="3"/>
  <c r="J8792" i="3"/>
  <c r="J8791" i="3"/>
  <c r="J8790" i="3"/>
  <c r="J8789" i="3"/>
  <c r="J8788" i="3"/>
  <c r="J8787" i="3"/>
  <c r="J8786" i="3"/>
  <c r="J8785" i="3"/>
  <c r="J8784" i="3"/>
  <c r="J8783" i="3"/>
  <c r="J8782" i="3"/>
  <c r="J8781" i="3"/>
  <c r="J8780" i="3"/>
  <c r="J8779" i="3"/>
  <c r="J8778" i="3"/>
  <c r="J8777" i="3"/>
  <c r="J8776" i="3"/>
  <c r="J8775" i="3"/>
  <c r="J8774" i="3"/>
  <c r="J8773" i="3"/>
  <c r="J8772" i="3"/>
  <c r="J8771" i="3"/>
  <c r="J8770" i="3"/>
  <c r="J8769" i="3"/>
  <c r="J8768" i="3"/>
  <c r="J8767" i="3"/>
  <c r="J8766" i="3"/>
  <c r="J8765" i="3"/>
  <c r="J8764" i="3"/>
  <c r="J8763" i="3"/>
  <c r="J8762" i="3"/>
  <c r="J8761" i="3"/>
  <c r="J8760" i="3"/>
  <c r="J8759" i="3"/>
  <c r="J8758" i="3"/>
  <c r="J8757" i="3"/>
  <c r="J8756" i="3"/>
  <c r="J8755" i="3"/>
  <c r="J8754" i="3"/>
  <c r="J8753" i="3"/>
  <c r="J8752" i="3"/>
  <c r="J8751" i="3"/>
  <c r="J8750" i="3"/>
  <c r="J8749" i="3"/>
  <c r="J8748" i="3"/>
  <c r="J8747" i="3"/>
  <c r="J8746" i="3"/>
  <c r="J8745" i="3"/>
  <c r="J8744" i="3"/>
  <c r="J8743" i="3"/>
  <c r="J8742" i="3"/>
  <c r="J8741" i="3"/>
  <c r="J8740" i="3"/>
  <c r="J8739" i="3"/>
  <c r="J8738" i="3"/>
  <c r="J8737" i="3"/>
  <c r="J8736" i="3"/>
  <c r="J8735" i="3"/>
  <c r="J8734" i="3"/>
  <c r="J8733" i="3"/>
  <c r="J8732" i="3"/>
  <c r="J8731" i="3"/>
  <c r="J8730" i="3"/>
  <c r="J8729" i="3"/>
  <c r="J8728" i="3"/>
  <c r="J8727" i="3"/>
  <c r="J8726" i="3"/>
  <c r="J8725" i="3"/>
  <c r="J8724" i="3"/>
  <c r="J8723" i="3"/>
  <c r="J8722" i="3"/>
  <c r="J8721" i="3"/>
  <c r="J8720" i="3"/>
  <c r="J8719" i="3"/>
  <c r="J8718" i="3"/>
  <c r="J8717" i="3"/>
  <c r="J8716" i="3"/>
  <c r="J8715" i="3"/>
  <c r="J8714" i="3"/>
  <c r="J8713" i="3"/>
  <c r="J8712" i="3"/>
  <c r="J8711" i="3"/>
  <c r="J8710" i="3"/>
  <c r="J8709" i="3"/>
  <c r="J8708" i="3"/>
  <c r="J8707" i="3"/>
  <c r="J8706" i="3"/>
  <c r="J8705" i="3"/>
  <c r="J8704" i="3"/>
  <c r="J8703" i="3"/>
  <c r="J8702" i="3"/>
  <c r="J8701" i="3"/>
  <c r="J8700" i="3"/>
  <c r="J8699" i="3"/>
  <c r="J8698" i="3"/>
  <c r="J8697" i="3"/>
  <c r="J8696" i="3"/>
  <c r="J8695" i="3"/>
  <c r="J8694" i="3"/>
  <c r="J8693" i="3"/>
  <c r="J8692" i="3"/>
  <c r="J8691" i="3"/>
  <c r="J8690" i="3"/>
  <c r="J8689" i="3"/>
  <c r="J8688" i="3"/>
  <c r="J8687" i="3"/>
  <c r="J8686" i="3"/>
  <c r="J8685" i="3"/>
  <c r="J8684" i="3"/>
  <c r="J8683" i="3"/>
  <c r="J8682" i="3"/>
  <c r="J8681" i="3"/>
  <c r="J8680" i="3"/>
  <c r="J8679" i="3"/>
  <c r="J8678" i="3"/>
  <c r="J8677" i="3"/>
  <c r="J8676" i="3"/>
  <c r="J8675" i="3"/>
  <c r="J8674" i="3"/>
  <c r="J8673" i="3"/>
  <c r="J8672" i="3"/>
  <c r="J8671" i="3"/>
  <c r="J8670" i="3"/>
  <c r="J8669" i="3"/>
  <c r="J8668" i="3"/>
  <c r="J8667" i="3"/>
  <c r="J8666" i="3"/>
  <c r="J8665" i="3"/>
  <c r="J8664" i="3"/>
  <c r="J8663" i="3"/>
  <c r="J8662" i="3"/>
  <c r="J8661" i="3"/>
  <c r="J8660" i="3"/>
  <c r="J8659" i="3"/>
  <c r="J8658" i="3"/>
  <c r="J8657" i="3"/>
  <c r="J8656" i="3"/>
  <c r="J8655" i="3"/>
  <c r="J8654" i="3"/>
  <c r="J8653" i="3"/>
  <c r="J8652" i="3"/>
  <c r="J8651" i="3"/>
  <c r="J8650" i="3"/>
  <c r="J8649" i="3"/>
  <c r="J8648" i="3"/>
  <c r="J8647" i="3"/>
  <c r="J8646" i="3"/>
  <c r="J8645" i="3"/>
  <c r="J8644" i="3"/>
  <c r="J8643" i="3"/>
  <c r="J8642" i="3"/>
  <c r="J8641" i="3"/>
  <c r="J8640" i="3"/>
  <c r="J8639" i="3"/>
  <c r="J8638" i="3"/>
  <c r="J8637" i="3"/>
  <c r="J8636" i="3"/>
  <c r="J8635" i="3"/>
  <c r="J8634" i="3"/>
  <c r="J8633" i="3"/>
  <c r="J8632" i="3"/>
  <c r="J8631" i="3"/>
  <c r="J8630" i="3"/>
  <c r="J8629" i="3"/>
  <c r="J8628" i="3"/>
  <c r="J8627" i="3"/>
  <c r="J8626" i="3"/>
  <c r="J8625" i="3"/>
  <c r="J8624" i="3"/>
  <c r="J8623" i="3"/>
  <c r="J8622" i="3"/>
  <c r="J8621" i="3"/>
  <c r="J8620" i="3"/>
  <c r="J8619" i="3"/>
  <c r="J8618" i="3"/>
  <c r="J8617" i="3"/>
  <c r="J8616" i="3"/>
  <c r="J8615" i="3"/>
  <c r="J8614" i="3"/>
  <c r="J8613" i="3"/>
  <c r="J8612" i="3"/>
  <c r="J8611" i="3"/>
  <c r="J8610" i="3"/>
  <c r="J8609" i="3"/>
  <c r="J8608" i="3"/>
  <c r="J8607" i="3"/>
  <c r="J8606" i="3"/>
  <c r="J8605" i="3"/>
  <c r="J8604" i="3"/>
  <c r="J8603" i="3"/>
  <c r="J8602" i="3"/>
  <c r="J8601" i="3"/>
  <c r="J8600" i="3"/>
  <c r="J8599" i="3"/>
  <c r="J8598" i="3"/>
  <c r="J8597" i="3"/>
  <c r="J8596" i="3"/>
  <c r="J8595" i="3"/>
  <c r="J8594" i="3"/>
  <c r="J8593" i="3"/>
  <c r="J8592" i="3"/>
  <c r="J8591" i="3"/>
  <c r="J8590" i="3"/>
  <c r="J8589" i="3"/>
  <c r="J8588" i="3"/>
  <c r="J8587" i="3"/>
  <c r="J8586" i="3"/>
  <c r="J8585" i="3"/>
  <c r="J8584" i="3"/>
  <c r="J8583" i="3"/>
  <c r="J8582" i="3"/>
  <c r="J8581" i="3"/>
  <c r="J8580" i="3"/>
  <c r="J8579" i="3"/>
  <c r="J8578" i="3"/>
  <c r="J8577" i="3"/>
  <c r="J8576" i="3"/>
  <c r="J8575" i="3"/>
  <c r="J8574" i="3"/>
  <c r="J8573" i="3"/>
  <c r="J8572" i="3"/>
  <c r="J8571" i="3"/>
  <c r="J8570" i="3"/>
  <c r="J8569" i="3"/>
  <c r="J8568" i="3"/>
  <c r="J8567" i="3"/>
  <c r="J8566" i="3"/>
  <c r="J8565" i="3"/>
  <c r="J8564" i="3"/>
  <c r="J8563" i="3"/>
  <c r="J8562" i="3"/>
  <c r="J8561" i="3"/>
  <c r="J8560" i="3"/>
  <c r="J8559" i="3"/>
  <c r="J8558" i="3"/>
  <c r="J8557" i="3"/>
  <c r="J8556" i="3"/>
  <c r="J8555" i="3"/>
  <c r="J8554" i="3"/>
  <c r="J8553" i="3"/>
  <c r="J8552" i="3"/>
  <c r="J8551" i="3"/>
  <c r="J8550" i="3"/>
  <c r="J8549" i="3"/>
  <c r="J8548" i="3"/>
  <c r="J8547" i="3"/>
  <c r="J8546" i="3"/>
  <c r="J8545" i="3"/>
  <c r="J8544" i="3"/>
  <c r="J8543" i="3"/>
  <c r="J8542" i="3"/>
  <c r="J8541" i="3"/>
  <c r="J8540" i="3"/>
  <c r="J8539" i="3"/>
  <c r="J8538" i="3"/>
  <c r="J8537" i="3"/>
  <c r="J8536" i="3"/>
  <c r="J8535" i="3"/>
  <c r="J8534" i="3"/>
  <c r="J8533" i="3"/>
  <c r="J8532" i="3"/>
  <c r="J8531" i="3"/>
  <c r="J8530" i="3"/>
  <c r="J8529" i="3"/>
  <c r="J8528" i="3"/>
  <c r="J8527" i="3"/>
  <c r="J8526" i="3"/>
  <c r="J8525" i="3"/>
  <c r="J8524" i="3"/>
  <c r="J8523" i="3"/>
  <c r="J8522" i="3"/>
  <c r="J8521" i="3"/>
  <c r="J8520" i="3"/>
  <c r="J8519" i="3"/>
  <c r="J8518" i="3"/>
  <c r="J8517" i="3"/>
  <c r="J8516" i="3"/>
  <c r="J8515" i="3"/>
  <c r="J8514" i="3"/>
  <c r="J8513" i="3"/>
  <c r="J8512" i="3"/>
  <c r="J8511" i="3"/>
  <c r="J8510" i="3"/>
  <c r="J8509" i="3"/>
  <c r="J8508" i="3"/>
  <c r="J8507" i="3"/>
  <c r="J8506" i="3"/>
  <c r="J8505" i="3"/>
  <c r="J8504" i="3"/>
  <c r="J8503" i="3"/>
  <c r="J8502" i="3"/>
  <c r="J8501" i="3"/>
  <c r="J8500" i="3"/>
  <c r="J8499" i="3"/>
  <c r="J8498" i="3"/>
  <c r="J8497" i="3"/>
  <c r="J8496" i="3"/>
  <c r="J8495" i="3"/>
  <c r="J8494" i="3"/>
  <c r="J8493" i="3"/>
  <c r="J8492" i="3"/>
  <c r="J8491" i="3"/>
  <c r="J8490" i="3"/>
  <c r="J8489" i="3"/>
  <c r="J8488" i="3"/>
  <c r="J8487" i="3"/>
  <c r="J8486" i="3"/>
  <c r="J8485" i="3"/>
  <c r="J8484" i="3"/>
  <c r="J8483" i="3"/>
  <c r="J8482" i="3"/>
  <c r="J8481" i="3"/>
  <c r="J8480" i="3"/>
  <c r="J8479" i="3"/>
  <c r="J8478" i="3"/>
  <c r="J8477" i="3"/>
  <c r="J8476" i="3"/>
  <c r="J8475" i="3"/>
  <c r="J8474" i="3"/>
  <c r="J8473" i="3"/>
  <c r="J8472" i="3"/>
  <c r="J8471" i="3"/>
  <c r="J8470" i="3"/>
  <c r="J8469" i="3"/>
  <c r="J8468" i="3"/>
  <c r="J8467" i="3"/>
  <c r="J8466" i="3"/>
  <c r="J8465" i="3"/>
  <c r="J8464" i="3"/>
  <c r="J8463" i="3"/>
  <c r="J8462" i="3"/>
  <c r="J8461" i="3"/>
  <c r="J8460" i="3"/>
  <c r="J8459" i="3"/>
  <c r="J8458" i="3"/>
  <c r="J8457" i="3"/>
  <c r="J8456" i="3"/>
  <c r="J8455" i="3"/>
  <c r="J8454" i="3"/>
  <c r="J8453" i="3"/>
  <c r="J8452" i="3"/>
  <c r="J8451" i="3"/>
  <c r="J8450" i="3"/>
  <c r="J8449" i="3"/>
  <c r="J8448" i="3"/>
  <c r="J8447" i="3"/>
  <c r="J8446" i="3"/>
  <c r="J8445" i="3"/>
  <c r="J8444" i="3"/>
  <c r="J8443" i="3"/>
  <c r="J8442" i="3"/>
  <c r="J8441" i="3"/>
  <c r="J8440" i="3"/>
  <c r="J8439" i="3"/>
  <c r="J8438" i="3"/>
  <c r="J8437" i="3"/>
  <c r="J8436" i="3"/>
  <c r="J8435" i="3"/>
  <c r="J8434" i="3"/>
  <c r="J8433" i="3"/>
  <c r="J8432" i="3"/>
  <c r="J8431" i="3"/>
  <c r="J8430" i="3"/>
  <c r="J8429" i="3"/>
  <c r="J8428" i="3"/>
  <c r="J8427" i="3"/>
  <c r="J8426" i="3"/>
  <c r="J8425" i="3"/>
  <c r="J8424" i="3"/>
  <c r="J8423" i="3"/>
  <c r="J8422" i="3"/>
  <c r="J8421" i="3"/>
  <c r="J8420" i="3"/>
  <c r="J8419" i="3"/>
  <c r="J8418" i="3"/>
  <c r="J8417" i="3"/>
  <c r="J8416" i="3"/>
  <c r="J8415" i="3"/>
  <c r="J8414" i="3"/>
  <c r="J8413" i="3"/>
  <c r="J8412" i="3"/>
  <c r="J8411" i="3"/>
  <c r="J8410" i="3"/>
  <c r="J8409" i="3"/>
  <c r="J8408" i="3"/>
  <c r="J8407" i="3"/>
  <c r="J8406" i="3"/>
  <c r="J8405" i="3"/>
  <c r="J8404" i="3"/>
  <c r="J8403" i="3"/>
  <c r="J8402" i="3"/>
  <c r="J8401" i="3"/>
  <c r="J8400" i="3"/>
  <c r="J8399" i="3"/>
  <c r="J8398" i="3"/>
  <c r="J8397" i="3"/>
  <c r="J8396" i="3"/>
  <c r="J8395" i="3"/>
  <c r="J8394" i="3"/>
  <c r="J8393" i="3"/>
  <c r="J8392" i="3"/>
  <c r="J8391" i="3"/>
  <c r="J8390" i="3"/>
  <c r="J8389" i="3"/>
  <c r="J8388" i="3"/>
  <c r="J8387" i="3"/>
  <c r="J8386" i="3"/>
  <c r="J8385" i="3"/>
  <c r="J8384" i="3"/>
  <c r="J8383" i="3"/>
  <c r="J8382" i="3"/>
  <c r="J8381" i="3"/>
  <c r="J8380" i="3"/>
  <c r="J8379" i="3"/>
  <c r="J8378" i="3"/>
  <c r="J8377" i="3"/>
  <c r="J8376" i="3"/>
  <c r="J8375" i="3"/>
  <c r="J8374" i="3"/>
  <c r="J8373" i="3"/>
  <c r="J8372" i="3"/>
  <c r="J8371" i="3"/>
  <c r="J8370" i="3"/>
  <c r="J8369" i="3"/>
  <c r="J8368" i="3"/>
  <c r="J8367" i="3"/>
  <c r="J8366" i="3"/>
  <c r="J8365" i="3"/>
  <c r="J8364" i="3"/>
  <c r="J8363" i="3"/>
  <c r="J8362" i="3"/>
  <c r="J8361" i="3"/>
  <c r="J8360" i="3"/>
  <c r="J8359" i="3"/>
  <c r="J8358" i="3"/>
  <c r="J8357" i="3"/>
  <c r="J8356" i="3"/>
  <c r="J8355" i="3"/>
  <c r="J8354" i="3"/>
  <c r="J8353" i="3"/>
  <c r="J8352" i="3"/>
  <c r="J8351" i="3"/>
  <c r="J8350" i="3"/>
  <c r="J8349" i="3"/>
  <c r="J8348" i="3"/>
  <c r="J8347" i="3"/>
  <c r="J8346" i="3"/>
  <c r="J8345" i="3"/>
  <c r="J8344" i="3"/>
  <c r="J8343" i="3"/>
  <c r="J8342" i="3"/>
  <c r="J8341" i="3"/>
  <c r="J8340" i="3"/>
  <c r="J8339" i="3"/>
  <c r="J8338" i="3"/>
  <c r="J8337" i="3"/>
  <c r="J8336" i="3"/>
  <c r="J8335" i="3"/>
  <c r="J8334" i="3"/>
  <c r="J8333" i="3"/>
  <c r="J8332" i="3"/>
  <c r="J8331" i="3"/>
  <c r="J8330" i="3"/>
  <c r="J8329" i="3"/>
  <c r="J8328" i="3"/>
  <c r="J8327" i="3"/>
  <c r="J8326" i="3"/>
  <c r="J8325" i="3"/>
  <c r="J8324" i="3"/>
  <c r="J8323" i="3"/>
  <c r="J8322" i="3"/>
  <c r="J8321" i="3"/>
  <c r="J8320" i="3"/>
  <c r="J8319" i="3"/>
  <c r="J8318" i="3"/>
  <c r="J8317" i="3"/>
  <c r="J8316" i="3"/>
  <c r="J8315" i="3"/>
  <c r="J8314" i="3"/>
  <c r="J8313" i="3"/>
  <c r="J8312" i="3"/>
  <c r="J8311" i="3"/>
  <c r="J8310" i="3"/>
  <c r="J8309" i="3"/>
  <c r="J8308" i="3"/>
  <c r="J8307" i="3"/>
  <c r="J8306" i="3"/>
  <c r="J8305" i="3"/>
  <c r="J8304" i="3"/>
  <c r="J8303" i="3"/>
  <c r="J8302" i="3"/>
  <c r="J8301" i="3"/>
  <c r="J8300" i="3"/>
  <c r="J8299" i="3"/>
  <c r="J8298" i="3"/>
  <c r="J8297" i="3"/>
  <c r="J8296" i="3"/>
  <c r="J8295" i="3"/>
  <c r="J8294" i="3"/>
  <c r="J8293" i="3"/>
  <c r="J8292" i="3"/>
  <c r="J8291" i="3"/>
  <c r="J8290" i="3"/>
  <c r="J8289" i="3"/>
  <c r="J8288" i="3"/>
  <c r="J8287" i="3"/>
  <c r="J8286" i="3"/>
  <c r="J8285" i="3"/>
  <c r="J8284" i="3"/>
  <c r="J8283" i="3"/>
  <c r="J8282" i="3"/>
  <c r="J8281" i="3"/>
  <c r="J8280" i="3"/>
  <c r="J8279" i="3"/>
  <c r="J8278" i="3"/>
  <c r="J8277" i="3"/>
  <c r="J8276" i="3"/>
  <c r="J8275" i="3"/>
  <c r="J8274" i="3"/>
  <c r="J8273" i="3"/>
  <c r="J8272" i="3"/>
  <c r="J8271" i="3"/>
  <c r="J8270" i="3"/>
  <c r="J8269" i="3"/>
  <c r="J8268" i="3"/>
  <c r="J8267" i="3"/>
  <c r="J8266" i="3"/>
  <c r="J8265" i="3"/>
  <c r="J8264" i="3"/>
  <c r="J8263" i="3"/>
  <c r="J8262" i="3"/>
  <c r="J8261" i="3"/>
  <c r="J8260" i="3"/>
  <c r="J8259" i="3"/>
  <c r="J8258" i="3"/>
  <c r="J8257" i="3"/>
  <c r="J8256" i="3"/>
  <c r="J8255" i="3"/>
  <c r="J8254" i="3"/>
  <c r="J8253" i="3"/>
  <c r="J8252" i="3"/>
  <c r="J8251" i="3"/>
  <c r="J8250" i="3"/>
  <c r="J8249" i="3"/>
  <c r="J8248" i="3"/>
  <c r="J8247" i="3"/>
  <c r="J8246" i="3"/>
  <c r="J8245" i="3"/>
  <c r="J8244" i="3"/>
  <c r="J8243" i="3"/>
  <c r="J8242" i="3"/>
  <c r="J8241" i="3"/>
  <c r="J8240" i="3"/>
  <c r="J8239" i="3"/>
  <c r="J8238" i="3"/>
  <c r="J8237" i="3"/>
  <c r="J8236" i="3"/>
  <c r="J8235" i="3"/>
  <c r="J8234" i="3"/>
  <c r="J8233" i="3"/>
  <c r="J8232" i="3"/>
  <c r="J8231" i="3"/>
  <c r="J8230" i="3"/>
  <c r="J8229" i="3"/>
  <c r="J8228" i="3"/>
  <c r="J8227" i="3"/>
  <c r="J8226" i="3"/>
  <c r="J8225" i="3"/>
  <c r="J8224" i="3"/>
  <c r="J8223" i="3"/>
  <c r="J8222" i="3"/>
  <c r="J8221" i="3"/>
  <c r="J8220" i="3"/>
  <c r="J8219" i="3"/>
  <c r="J8218" i="3"/>
  <c r="J8217" i="3"/>
  <c r="J8216" i="3"/>
  <c r="J8215" i="3"/>
  <c r="J8214" i="3"/>
  <c r="J8213" i="3"/>
  <c r="J8212" i="3"/>
  <c r="J8211" i="3"/>
  <c r="J8210" i="3"/>
  <c r="J8209" i="3"/>
  <c r="J8208" i="3"/>
  <c r="J8207" i="3"/>
  <c r="J8206" i="3"/>
  <c r="J8205" i="3"/>
  <c r="J8204" i="3"/>
  <c r="J8203" i="3"/>
  <c r="J8202" i="3"/>
  <c r="J8201" i="3"/>
  <c r="J8200" i="3"/>
  <c r="J8199" i="3"/>
  <c r="J8198" i="3"/>
  <c r="J8197" i="3"/>
  <c r="J8196" i="3"/>
  <c r="J8195" i="3"/>
  <c r="J8194" i="3"/>
  <c r="J8193" i="3"/>
  <c r="J8192" i="3"/>
  <c r="J8191" i="3"/>
  <c r="J8190" i="3"/>
  <c r="J8189" i="3"/>
  <c r="J8188" i="3"/>
  <c r="J8187" i="3"/>
  <c r="J8186" i="3"/>
  <c r="J8185" i="3"/>
  <c r="J8184" i="3"/>
  <c r="J8183" i="3"/>
  <c r="J8182" i="3"/>
  <c r="J8181" i="3"/>
  <c r="J8180" i="3"/>
  <c r="J8179" i="3"/>
  <c r="J8178" i="3"/>
  <c r="J8177" i="3"/>
  <c r="J8176" i="3"/>
  <c r="J8175" i="3"/>
  <c r="J8174" i="3"/>
  <c r="J8173" i="3"/>
  <c r="J8172" i="3"/>
  <c r="J8171" i="3"/>
  <c r="J8170" i="3"/>
  <c r="J8169" i="3"/>
  <c r="J8168" i="3"/>
  <c r="J8167" i="3"/>
  <c r="J8166" i="3"/>
  <c r="J8165" i="3"/>
  <c r="J8164" i="3"/>
  <c r="J8163" i="3"/>
  <c r="J8162" i="3"/>
  <c r="J8161" i="3"/>
  <c r="J8160" i="3"/>
  <c r="J8159" i="3"/>
  <c r="J8158" i="3"/>
  <c r="J8157" i="3"/>
  <c r="J8156" i="3"/>
  <c r="J8155" i="3"/>
  <c r="J8154" i="3"/>
  <c r="J8153" i="3"/>
  <c r="J8152" i="3"/>
  <c r="J8151" i="3"/>
  <c r="J8150" i="3"/>
  <c r="J8149" i="3"/>
  <c r="J8148" i="3"/>
  <c r="J8147" i="3"/>
  <c r="J8146" i="3"/>
  <c r="J8145" i="3"/>
  <c r="J8144" i="3"/>
  <c r="J8143" i="3"/>
  <c r="J8142" i="3"/>
  <c r="J8141" i="3"/>
  <c r="J8140" i="3"/>
  <c r="J8139" i="3"/>
  <c r="J8138" i="3"/>
  <c r="J8137" i="3"/>
  <c r="J8136" i="3"/>
  <c r="J8135" i="3"/>
  <c r="J8134" i="3"/>
  <c r="J8133" i="3"/>
  <c r="J8132" i="3"/>
  <c r="J8131" i="3"/>
  <c r="J8130" i="3"/>
  <c r="J8129" i="3"/>
  <c r="J8128" i="3"/>
  <c r="J8127" i="3"/>
  <c r="J8126" i="3"/>
  <c r="J8125" i="3"/>
  <c r="J8124" i="3"/>
  <c r="J8123" i="3"/>
  <c r="J8122" i="3"/>
  <c r="J8121" i="3"/>
  <c r="J8120" i="3"/>
  <c r="J8119" i="3"/>
  <c r="J8118" i="3"/>
  <c r="J8117" i="3"/>
  <c r="J8116" i="3"/>
  <c r="J8115" i="3"/>
  <c r="J8114" i="3"/>
  <c r="J8113" i="3"/>
  <c r="J8112" i="3"/>
  <c r="J8111" i="3"/>
  <c r="J8110" i="3"/>
  <c r="J8109" i="3"/>
  <c r="J8108" i="3"/>
  <c r="J8107" i="3"/>
  <c r="J8106" i="3"/>
  <c r="J8105" i="3"/>
  <c r="J8104" i="3"/>
  <c r="J8103" i="3"/>
  <c r="J8102" i="3"/>
  <c r="J8101" i="3"/>
  <c r="J8100" i="3"/>
  <c r="J8099" i="3"/>
  <c r="J8098" i="3"/>
  <c r="J8097" i="3"/>
  <c r="J8096" i="3"/>
  <c r="J8095" i="3"/>
  <c r="J8094" i="3"/>
  <c r="J8093" i="3"/>
  <c r="J8092" i="3"/>
  <c r="J8091" i="3"/>
  <c r="J8090" i="3"/>
  <c r="J8089" i="3"/>
  <c r="J8088" i="3"/>
  <c r="J8087" i="3"/>
  <c r="J8086" i="3"/>
  <c r="J8085" i="3"/>
  <c r="J8084" i="3"/>
  <c r="J8083" i="3"/>
  <c r="J8082" i="3"/>
  <c r="J8081" i="3"/>
  <c r="J8080" i="3"/>
  <c r="J8079" i="3"/>
  <c r="J8078" i="3"/>
  <c r="J8077" i="3"/>
  <c r="J8076" i="3"/>
  <c r="J8075" i="3"/>
  <c r="J8074" i="3"/>
  <c r="J8073" i="3"/>
  <c r="J8072" i="3"/>
  <c r="J8071" i="3"/>
  <c r="J8070" i="3"/>
  <c r="J8069" i="3"/>
  <c r="J8068" i="3"/>
  <c r="J8067" i="3"/>
  <c r="J8066" i="3"/>
  <c r="J8065" i="3"/>
  <c r="J8064" i="3"/>
  <c r="J8063" i="3"/>
  <c r="J8062" i="3"/>
  <c r="J8061" i="3"/>
  <c r="J8060" i="3"/>
  <c r="J8059" i="3"/>
  <c r="J8058" i="3"/>
  <c r="J8057" i="3"/>
  <c r="J8056" i="3"/>
  <c r="J8055" i="3"/>
  <c r="J8054" i="3"/>
  <c r="J8053" i="3"/>
  <c r="J8052" i="3"/>
  <c r="J8051" i="3"/>
  <c r="J8050" i="3"/>
  <c r="J8049" i="3"/>
  <c r="J8048" i="3"/>
  <c r="J8047" i="3"/>
  <c r="J8046" i="3"/>
  <c r="J8045" i="3"/>
  <c r="J8044" i="3"/>
  <c r="J8043" i="3"/>
  <c r="J8042" i="3"/>
  <c r="J8041" i="3"/>
  <c r="J8040" i="3"/>
  <c r="J8039" i="3"/>
  <c r="J8038" i="3"/>
  <c r="J8037" i="3"/>
  <c r="J8036" i="3"/>
  <c r="J8035" i="3"/>
  <c r="J8034" i="3"/>
  <c r="J8033" i="3"/>
  <c r="J8032" i="3"/>
  <c r="J8031" i="3"/>
  <c r="J8030" i="3"/>
  <c r="J8029" i="3"/>
  <c r="J8028" i="3"/>
  <c r="J8027" i="3"/>
  <c r="J8026" i="3"/>
  <c r="J8025" i="3"/>
  <c r="J8024" i="3"/>
  <c r="J8023" i="3"/>
  <c r="J8022" i="3"/>
  <c r="J8021" i="3"/>
  <c r="J8020" i="3"/>
  <c r="J8019" i="3"/>
  <c r="J8018" i="3"/>
  <c r="J8017" i="3"/>
  <c r="J8016" i="3"/>
  <c r="J8015" i="3"/>
  <c r="J8014" i="3"/>
  <c r="J8013" i="3"/>
  <c r="J8012" i="3"/>
  <c r="J8011" i="3"/>
  <c r="J8010" i="3"/>
  <c r="J8009" i="3"/>
  <c r="J8008" i="3"/>
  <c r="J8007" i="3"/>
  <c r="J8006" i="3"/>
  <c r="J8005" i="3"/>
  <c r="J8004" i="3"/>
  <c r="J8003" i="3"/>
  <c r="J8002" i="3"/>
  <c r="J8001" i="3"/>
  <c r="J8000" i="3"/>
  <c r="J7999" i="3"/>
  <c r="J7998" i="3"/>
  <c r="J7997" i="3"/>
  <c r="J7996" i="3"/>
  <c r="J7995" i="3"/>
  <c r="J7994" i="3"/>
  <c r="J7993" i="3"/>
  <c r="J7992" i="3"/>
  <c r="J7991" i="3"/>
  <c r="J7990" i="3"/>
  <c r="J7989" i="3"/>
  <c r="J7988" i="3"/>
  <c r="J7987" i="3"/>
  <c r="J7986" i="3"/>
  <c r="J7985" i="3"/>
  <c r="J7984" i="3"/>
  <c r="J7983" i="3"/>
  <c r="J7982" i="3"/>
  <c r="J7981" i="3"/>
  <c r="J7980" i="3"/>
  <c r="J7979" i="3"/>
  <c r="J7978" i="3"/>
  <c r="J7977" i="3"/>
  <c r="J7976" i="3"/>
  <c r="J7975" i="3"/>
  <c r="J7974" i="3"/>
  <c r="J7973" i="3"/>
  <c r="J7972" i="3"/>
  <c r="J7971" i="3"/>
  <c r="J7970" i="3"/>
  <c r="J7969" i="3"/>
  <c r="J7968" i="3"/>
  <c r="J7967" i="3"/>
  <c r="J7966" i="3"/>
  <c r="J7965" i="3"/>
  <c r="J7964" i="3"/>
  <c r="J7963" i="3"/>
  <c r="J7962" i="3"/>
  <c r="J7961" i="3"/>
  <c r="J7960" i="3"/>
  <c r="J7959" i="3"/>
  <c r="J7958" i="3"/>
  <c r="J7957" i="3"/>
  <c r="J7956" i="3"/>
  <c r="J7955" i="3"/>
  <c r="J7954" i="3"/>
  <c r="J7953" i="3"/>
  <c r="J7952" i="3"/>
  <c r="J7951" i="3"/>
  <c r="J7950" i="3"/>
  <c r="J7949" i="3"/>
  <c r="J7948" i="3"/>
  <c r="J7947" i="3"/>
  <c r="J7946" i="3"/>
  <c r="J7945" i="3"/>
  <c r="J7944" i="3"/>
  <c r="J7943" i="3"/>
  <c r="J7942" i="3"/>
  <c r="J7941" i="3"/>
  <c r="J7940" i="3"/>
  <c r="J7939" i="3"/>
  <c r="J7938" i="3"/>
  <c r="J7937" i="3"/>
  <c r="J7936" i="3"/>
  <c r="J7935" i="3"/>
  <c r="J7934" i="3"/>
  <c r="J7933" i="3"/>
  <c r="J7932" i="3"/>
  <c r="J7931" i="3"/>
  <c r="J7930" i="3"/>
  <c r="J7929" i="3"/>
  <c r="J7928" i="3"/>
  <c r="J7927" i="3"/>
  <c r="J7926" i="3"/>
  <c r="J7925" i="3"/>
  <c r="J7924" i="3"/>
  <c r="J7923" i="3"/>
  <c r="J7922" i="3"/>
  <c r="J7921" i="3"/>
  <c r="J7920" i="3"/>
  <c r="J7919" i="3"/>
  <c r="J7918" i="3"/>
  <c r="J7917" i="3"/>
  <c r="J7916" i="3"/>
  <c r="J7915" i="3"/>
  <c r="J7914" i="3"/>
  <c r="J7913" i="3"/>
  <c r="J7912" i="3"/>
  <c r="J7911" i="3"/>
  <c r="J7910" i="3"/>
  <c r="J7909" i="3"/>
  <c r="J7908" i="3"/>
  <c r="J7907" i="3"/>
  <c r="J7906" i="3"/>
  <c r="J7905" i="3"/>
  <c r="J7904" i="3"/>
  <c r="J7903" i="3"/>
  <c r="J7902" i="3"/>
  <c r="J7901" i="3"/>
  <c r="J7900" i="3"/>
  <c r="J7899" i="3"/>
  <c r="J7898" i="3"/>
  <c r="J7897" i="3"/>
  <c r="J7896" i="3"/>
  <c r="J7895" i="3"/>
  <c r="J7894" i="3"/>
  <c r="J7893" i="3"/>
  <c r="J7892" i="3"/>
  <c r="J7891" i="3"/>
  <c r="J7890" i="3"/>
  <c r="J7889" i="3"/>
  <c r="J7888" i="3"/>
  <c r="J7887" i="3"/>
  <c r="J7886" i="3"/>
  <c r="J7885" i="3"/>
  <c r="J7884" i="3"/>
  <c r="J7883" i="3"/>
  <c r="J7882" i="3"/>
  <c r="J7881" i="3"/>
  <c r="J7880" i="3"/>
  <c r="J7879" i="3"/>
  <c r="J7878" i="3"/>
  <c r="J7877" i="3"/>
  <c r="J7876" i="3"/>
  <c r="J7875" i="3"/>
  <c r="J7874" i="3"/>
  <c r="J7873" i="3"/>
  <c r="J7872" i="3"/>
  <c r="J7871" i="3"/>
  <c r="J7870" i="3"/>
  <c r="J7869" i="3"/>
  <c r="J7868" i="3"/>
  <c r="J7867" i="3"/>
  <c r="J7866" i="3"/>
  <c r="J7865" i="3"/>
  <c r="J7864" i="3"/>
  <c r="J7863" i="3"/>
  <c r="J7862" i="3"/>
  <c r="J7861" i="3"/>
  <c r="J7860" i="3"/>
  <c r="J7859" i="3"/>
  <c r="J7858" i="3"/>
  <c r="J7857" i="3"/>
  <c r="J7856" i="3"/>
  <c r="J7855" i="3"/>
  <c r="J7854" i="3"/>
  <c r="J7853" i="3"/>
  <c r="J7852" i="3"/>
  <c r="J7851" i="3"/>
  <c r="J7850" i="3"/>
  <c r="J7849" i="3"/>
  <c r="J7848" i="3"/>
  <c r="J7847" i="3"/>
  <c r="J7846" i="3"/>
  <c r="J7845" i="3"/>
  <c r="J7844" i="3"/>
  <c r="J7843" i="3"/>
  <c r="J7842" i="3"/>
  <c r="J7841" i="3"/>
  <c r="J7840" i="3"/>
  <c r="J7839" i="3"/>
  <c r="J7838" i="3"/>
  <c r="J7837" i="3"/>
  <c r="J7836" i="3"/>
  <c r="J7835" i="3"/>
  <c r="J7834" i="3"/>
  <c r="J7833" i="3"/>
  <c r="J7832" i="3"/>
  <c r="J7831" i="3"/>
  <c r="J7830" i="3"/>
  <c r="J7829" i="3"/>
  <c r="J7828" i="3"/>
  <c r="J7827" i="3"/>
  <c r="J7826" i="3"/>
  <c r="J7825" i="3"/>
  <c r="J7824" i="3"/>
  <c r="J7823" i="3"/>
  <c r="J7822" i="3"/>
  <c r="J7821" i="3"/>
  <c r="J7820" i="3"/>
  <c r="J7819" i="3"/>
  <c r="J7818" i="3"/>
  <c r="J7817" i="3"/>
  <c r="J7816" i="3"/>
  <c r="J7815" i="3"/>
  <c r="J7814" i="3"/>
  <c r="J7813" i="3"/>
  <c r="J7812" i="3"/>
  <c r="J7811" i="3"/>
  <c r="J7810" i="3"/>
  <c r="J7809" i="3"/>
  <c r="J7808" i="3"/>
  <c r="J7807" i="3"/>
  <c r="J7806" i="3"/>
  <c r="J7805" i="3"/>
  <c r="J7804" i="3"/>
  <c r="J7803" i="3"/>
  <c r="J7802" i="3"/>
  <c r="J7801" i="3"/>
  <c r="J7800" i="3"/>
  <c r="J7799" i="3"/>
  <c r="J7798" i="3"/>
  <c r="J7797" i="3"/>
  <c r="J7796" i="3"/>
  <c r="J7795" i="3"/>
  <c r="J7794" i="3"/>
  <c r="J7793" i="3"/>
  <c r="J7792" i="3"/>
  <c r="J7791" i="3"/>
  <c r="J7790" i="3"/>
  <c r="J7789" i="3"/>
  <c r="J7788" i="3"/>
  <c r="J7787" i="3"/>
  <c r="J7786" i="3"/>
  <c r="J7785" i="3"/>
  <c r="J7784" i="3"/>
  <c r="J7783" i="3"/>
  <c r="J7782" i="3"/>
  <c r="J7781" i="3"/>
  <c r="J7780" i="3"/>
  <c r="J7779" i="3"/>
  <c r="J7778" i="3"/>
  <c r="J7777" i="3"/>
  <c r="J7776" i="3"/>
  <c r="J7775" i="3"/>
  <c r="J7774" i="3"/>
  <c r="J7773" i="3"/>
  <c r="J7772" i="3"/>
  <c r="J7771" i="3"/>
  <c r="J7770" i="3"/>
  <c r="J7769" i="3"/>
  <c r="J7768" i="3"/>
  <c r="J7767" i="3"/>
  <c r="J7766" i="3"/>
  <c r="J7765" i="3"/>
  <c r="J7764" i="3"/>
  <c r="J7763" i="3"/>
  <c r="J7762" i="3"/>
  <c r="J7761" i="3"/>
  <c r="J7760" i="3"/>
  <c r="J7759" i="3"/>
  <c r="J7758" i="3"/>
  <c r="J7757" i="3"/>
  <c r="J7756" i="3"/>
  <c r="J7755" i="3"/>
  <c r="J7754" i="3"/>
  <c r="J7753" i="3"/>
  <c r="J7752" i="3"/>
  <c r="J7751" i="3"/>
  <c r="J7750" i="3"/>
  <c r="J7749" i="3"/>
  <c r="J7748" i="3"/>
  <c r="J7747" i="3"/>
  <c r="J7746" i="3"/>
  <c r="J7745" i="3"/>
  <c r="J7744" i="3"/>
  <c r="J7743" i="3"/>
  <c r="J7742" i="3"/>
  <c r="J7741" i="3"/>
  <c r="J7740" i="3"/>
  <c r="J7739" i="3"/>
  <c r="J7738" i="3"/>
  <c r="J7737" i="3"/>
  <c r="J7736" i="3"/>
  <c r="J7735" i="3"/>
  <c r="J7734" i="3"/>
  <c r="J7733" i="3"/>
  <c r="J7732" i="3"/>
  <c r="J7731" i="3"/>
  <c r="J7730" i="3"/>
  <c r="J7729" i="3"/>
  <c r="J7728" i="3"/>
  <c r="J7727" i="3"/>
  <c r="J7726" i="3"/>
  <c r="J7725" i="3"/>
  <c r="J7724" i="3"/>
  <c r="J7723" i="3"/>
  <c r="J7722" i="3"/>
  <c r="J7721" i="3"/>
  <c r="J7720" i="3"/>
  <c r="J7719" i="3"/>
  <c r="J7718" i="3"/>
  <c r="J7717" i="3"/>
  <c r="J7716" i="3"/>
  <c r="J7715" i="3"/>
  <c r="J7714" i="3"/>
  <c r="J7713" i="3"/>
  <c r="J7712" i="3"/>
  <c r="J7711" i="3"/>
  <c r="J7710" i="3"/>
  <c r="J7709" i="3"/>
  <c r="J7708" i="3"/>
  <c r="J7707" i="3"/>
  <c r="J7706" i="3"/>
  <c r="J7705" i="3"/>
  <c r="J7704" i="3"/>
  <c r="J7703" i="3"/>
  <c r="J7702" i="3"/>
  <c r="J7701" i="3"/>
  <c r="J7700" i="3"/>
  <c r="J7699" i="3"/>
  <c r="J7698" i="3"/>
  <c r="J7697" i="3"/>
  <c r="J7696" i="3"/>
  <c r="J7695" i="3"/>
  <c r="J7694" i="3"/>
  <c r="J7693" i="3"/>
  <c r="J7692" i="3"/>
  <c r="J7691" i="3"/>
  <c r="J7690" i="3"/>
  <c r="J7689" i="3"/>
  <c r="J7688" i="3"/>
  <c r="J7687" i="3"/>
  <c r="J7686" i="3"/>
  <c r="J7685" i="3"/>
  <c r="J7684" i="3"/>
  <c r="J7683" i="3"/>
  <c r="J7682" i="3"/>
  <c r="J7681" i="3"/>
  <c r="J7680" i="3"/>
  <c r="J7679" i="3"/>
  <c r="J7678" i="3"/>
  <c r="J7677" i="3"/>
  <c r="J7676" i="3"/>
  <c r="J7675" i="3"/>
  <c r="J7674" i="3"/>
  <c r="J7673" i="3"/>
  <c r="J7672" i="3"/>
  <c r="J7671" i="3"/>
  <c r="J7670" i="3"/>
  <c r="J7669" i="3"/>
  <c r="J7668" i="3"/>
  <c r="J7667" i="3"/>
  <c r="J7666" i="3"/>
  <c r="J7665" i="3"/>
  <c r="J7664" i="3"/>
  <c r="J7663" i="3"/>
  <c r="J7662" i="3"/>
  <c r="J7661" i="3"/>
  <c r="J7660" i="3"/>
  <c r="J7659" i="3"/>
  <c r="J7658" i="3"/>
  <c r="J7657" i="3"/>
  <c r="J7656" i="3"/>
  <c r="J7655" i="3"/>
  <c r="J7654" i="3"/>
  <c r="J7653" i="3"/>
  <c r="J7652" i="3"/>
  <c r="J7651" i="3"/>
  <c r="J7650" i="3"/>
  <c r="J7649" i="3"/>
  <c r="J7648" i="3"/>
  <c r="J7647" i="3"/>
  <c r="J7646" i="3"/>
  <c r="J7645" i="3"/>
  <c r="J7644" i="3"/>
  <c r="J7643" i="3"/>
  <c r="J7642" i="3"/>
  <c r="J7641" i="3"/>
  <c r="J7640" i="3"/>
  <c r="J7639" i="3"/>
  <c r="J7638" i="3"/>
  <c r="J7637" i="3"/>
  <c r="J7636" i="3"/>
  <c r="J7635" i="3"/>
  <c r="J7634" i="3"/>
  <c r="J7633" i="3"/>
  <c r="J7632" i="3"/>
  <c r="J7631" i="3"/>
  <c r="J7630" i="3"/>
  <c r="J7629" i="3"/>
  <c r="J7628" i="3"/>
  <c r="J7627" i="3"/>
  <c r="J7626" i="3"/>
  <c r="J7625" i="3"/>
  <c r="J7624" i="3"/>
  <c r="J7623" i="3"/>
  <c r="J7622" i="3"/>
  <c r="J7621" i="3"/>
  <c r="J7620" i="3"/>
  <c r="J7619" i="3"/>
  <c r="J7618" i="3"/>
  <c r="J7617" i="3"/>
  <c r="J7616" i="3"/>
  <c r="J7615" i="3"/>
  <c r="J7614" i="3"/>
  <c r="J7613" i="3"/>
  <c r="J7612" i="3"/>
  <c r="J7611" i="3"/>
  <c r="J7610" i="3"/>
  <c r="J7609" i="3"/>
  <c r="J7608" i="3"/>
  <c r="J7607" i="3"/>
  <c r="J7606" i="3"/>
  <c r="J7605" i="3"/>
  <c r="J7604" i="3"/>
  <c r="J7603" i="3"/>
  <c r="J7602" i="3"/>
  <c r="J7601" i="3"/>
  <c r="J7600" i="3"/>
  <c r="J7599" i="3"/>
  <c r="J7598" i="3"/>
  <c r="J7597" i="3"/>
  <c r="J7596" i="3"/>
  <c r="J7595" i="3"/>
  <c r="J7594" i="3"/>
  <c r="J7593" i="3"/>
  <c r="J7592" i="3"/>
  <c r="J7591" i="3"/>
  <c r="J7590" i="3"/>
  <c r="J7589" i="3"/>
  <c r="J7588" i="3"/>
  <c r="J7587" i="3"/>
  <c r="J7586" i="3"/>
  <c r="J7585" i="3"/>
  <c r="J7584" i="3"/>
  <c r="J7583" i="3"/>
  <c r="J7582" i="3"/>
  <c r="J7581" i="3"/>
  <c r="J7580" i="3"/>
  <c r="J7579" i="3"/>
  <c r="J7578" i="3"/>
  <c r="J7577" i="3"/>
  <c r="J7576" i="3"/>
  <c r="J7575" i="3"/>
  <c r="J7574" i="3"/>
  <c r="J7573" i="3"/>
  <c r="J7572" i="3"/>
  <c r="J7571" i="3"/>
  <c r="J7570" i="3"/>
  <c r="J7569" i="3"/>
  <c r="J7568" i="3"/>
  <c r="J7567" i="3"/>
  <c r="J7566" i="3"/>
  <c r="J7565" i="3"/>
  <c r="J7564" i="3"/>
  <c r="J7563" i="3"/>
  <c r="J7562" i="3"/>
  <c r="J7561" i="3"/>
  <c r="J7560" i="3"/>
  <c r="J7559" i="3"/>
  <c r="J7558" i="3"/>
  <c r="J7557" i="3"/>
  <c r="J7556" i="3"/>
  <c r="J7555" i="3"/>
  <c r="J7554" i="3"/>
  <c r="J7553" i="3"/>
  <c r="J7552" i="3"/>
  <c r="J7551" i="3"/>
  <c r="J7550" i="3"/>
  <c r="J7549" i="3"/>
  <c r="J7548" i="3"/>
  <c r="J7547" i="3"/>
  <c r="J7546" i="3"/>
  <c r="J7545" i="3"/>
  <c r="J7544" i="3"/>
  <c r="J7543" i="3"/>
  <c r="J7542" i="3"/>
  <c r="J7541" i="3"/>
  <c r="J7540" i="3"/>
  <c r="J7539" i="3"/>
  <c r="J7538" i="3"/>
  <c r="J7537" i="3"/>
  <c r="J7536" i="3"/>
  <c r="J7535" i="3"/>
  <c r="J7534" i="3"/>
  <c r="J7533" i="3"/>
  <c r="J7532" i="3"/>
  <c r="J7531" i="3"/>
  <c r="J7530" i="3"/>
  <c r="J7529" i="3"/>
  <c r="J7528" i="3"/>
  <c r="J7527" i="3"/>
  <c r="J7526" i="3"/>
  <c r="J7525" i="3"/>
  <c r="J7524" i="3"/>
  <c r="J7523" i="3"/>
  <c r="J7522" i="3"/>
  <c r="J7521" i="3"/>
  <c r="J7520" i="3"/>
  <c r="J7519" i="3"/>
  <c r="J7518" i="3"/>
  <c r="J7517" i="3"/>
  <c r="J7516" i="3"/>
  <c r="J7515" i="3"/>
  <c r="J7514" i="3"/>
  <c r="J7513" i="3"/>
  <c r="J7512" i="3"/>
  <c r="J7511" i="3"/>
  <c r="J7510" i="3"/>
  <c r="J7509" i="3"/>
  <c r="J7508" i="3"/>
  <c r="J7507" i="3"/>
  <c r="J7506" i="3"/>
  <c r="J7505" i="3"/>
  <c r="J7504" i="3"/>
  <c r="J7503" i="3"/>
  <c r="J7502" i="3"/>
  <c r="J7501" i="3"/>
  <c r="J7500" i="3"/>
  <c r="J7499" i="3"/>
  <c r="J7498" i="3"/>
  <c r="J7497" i="3"/>
  <c r="J7496" i="3"/>
  <c r="J7495" i="3"/>
  <c r="J7494" i="3"/>
  <c r="J7493" i="3"/>
  <c r="J7492" i="3"/>
  <c r="J7491" i="3"/>
  <c r="J7490" i="3"/>
  <c r="J7489" i="3"/>
  <c r="J7488" i="3"/>
  <c r="J7487" i="3"/>
  <c r="J7486" i="3"/>
  <c r="J7485" i="3"/>
  <c r="J7484" i="3"/>
  <c r="J7483" i="3"/>
  <c r="J7482" i="3"/>
  <c r="J7481" i="3"/>
  <c r="J7480" i="3"/>
  <c r="J7479" i="3"/>
  <c r="J7478" i="3"/>
  <c r="J7477" i="3"/>
  <c r="J7476" i="3"/>
  <c r="J7475" i="3"/>
  <c r="J7474" i="3"/>
  <c r="J7473" i="3"/>
  <c r="J7472" i="3"/>
  <c r="J7471" i="3"/>
  <c r="J7470" i="3"/>
  <c r="J7469" i="3"/>
  <c r="J7468" i="3"/>
  <c r="J7467" i="3"/>
  <c r="J7466" i="3"/>
  <c r="J7465" i="3"/>
  <c r="J7464" i="3"/>
  <c r="J7463" i="3"/>
  <c r="J7462" i="3"/>
  <c r="J7461" i="3"/>
  <c r="J7460" i="3"/>
  <c r="J7459" i="3"/>
  <c r="J7458" i="3"/>
  <c r="J7457" i="3"/>
  <c r="J7456" i="3"/>
  <c r="J7455" i="3"/>
  <c r="J7454" i="3"/>
  <c r="J7453" i="3"/>
  <c r="J7452" i="3"/>
  <c r="J7451" i="3"/>
  <c r="J7450" i="3"/>
  <c r="J7449" i="3"/>
  <c r="J7448" i="3"/>
  <c r="J7447" i="3"/>
  <c r="J7446" i="3"/>
  <c r="J7445" i="3"/>
  <c r="J7444" i="3"/>
  <c r="J7443" i="3"/>
  <c r="J7442" i="3"/>
  <c r="J7441" i="3"/>
  <c r="J7440" i="3"/>
  <c r="J7439" i="3"/>
  <c r="J7438" i="3"/>
  <c r="J7437" i="3"/>
  <c r="J7436" i="3"/>
  <c r="J7435" i="3"/>
  <c r="J7434" i="3"/>
  <c r="J7433" i="3"/>
  <c r="J7432" i="3"/>
  <c r="J7431" i="3"/>
  <c r="J7430" i="3"/>
  <c r="J7429" i="3"/>
  <c r="J7428" i="3"/>
  <c r="J7427" i="3"/>
  <c r="J7426" i="3"/>
  <c r="J7425" i="3"/>
  <c r="J7424" i="3"/>
  <c r="J7423" i="3"/>
  <c r="J7422" i="3"/>
  <c r="J7421" i="3"/>
  <c r="J7420" i="3"/>
  <c r="J7419" i="3"/>
  <c r="J7418" i="3"/>
  <c r="J7417" i="3"/>
  <c r="J7416" i="3"/>
  <c r="J7415" i="3"/>
  <c r="J7414" i="3"/>
  <c r="J7413" i="3"/>
  <c r="J7412" i="3"/>
  <c r="J7411" i="3"/>
  <c r="J7410" i="3"/>
  <c r="J7409" i="3"/>
  <c r="J7408" i="3"/>
  <c r="J7407" i="3"/>
  <c r="J7406" i="3"/>
  <c r="J7405" i="3"/>
  <c r="J7404" i="3"/>
  <c r="J7403" i="3"/>
  <c r="J7402" i="3"/>
  <c r="J7401" i="3"/>
  <c r="J7400" i="3"/>
  <c r="J7399" i="3"/>
  <c r="J7398" i="3"/>
  <c r="J7397" i="3"/>
  <c r="J7396" i="3"/>
  <c r="J7395" i="3"/>
  <c r="J7394" i="3"/>
  <c r="J7393" i="3"/>
  <c r="J7392" i="3"/>
  <c r="J7391" i="3"/>
  <c r="J7390" i="3"/>
  <c r="J7389" i="3"/>
  <c r="J7388" i="3"/>
  <c r="J7387" i="3"/>
  <c r="J7386" i="3"/>
  <c r="J7385" i="3"/>
  <c r="J7384" i="3"/>
  <c r="J7383" i="3"/>
  <c r="J7382" i="3"/>
  <c r="J7381" i="3"/>
  <c r="J7380" i="3"/>
  <c r="J7379" i="3"/>
  <c r="J7378" i="3"/>
  <c r="J7377" i="3"/>
  <c r="J7376" i="3"/>
  <c r="J7375" i="3"/>
  <c r="J7374" i="3"/>
  <c r="J7373" i="3"/>
  <c r="J7372" i="3"/>
  <c r="J7371" i="3"/>
  <c r="J7370" i="3"/>
  <c r="J7369" i="3"/>
  <c r="J7368" i="3"/>
  <c r="J7367" i="3"/>
  <c r="J7366" i="3"/>
  <c r="J7365" i="3"/>
  <c r="J7364" i="3"/>
  <c r="J7363" i="3"/>
  <c r="J7362" i="3"/>
  <c r="J7361" i="3"/>
  <c r="J7360" i="3"/>
  <c r="J7359" i="3"/>
  <c r="J7358" i="3"/>
  <c r="J7357" i="3"/>
  <c r="J7356" i="3"/>
  <c r="J7355" i="3"/>
  <c r="J7354" i="3"/>
  <c r="J7353" i="3"/>
  <c r="J7352" i="3"/>
  <c r="J7351" i="3"/>
  <c r="J7350" i="3"/>
  <c r="J7349" i="3"/>
  <c r="J7348" i="3"/>
  <c r="J7347" i="3"/>
  <c r="J7346" i="3"/>
  <c r="J7345" i="3"/>
  <c r="J7344" i="3"/>
  <c r="J7343" i="3"/>
  <c r="J7342" i="3"/>
  <c r="J7341" i="3"/>
  <c r="J7340" i="3"/>
  <c r="J7339" i="3"/>
  <c r="J7338" i="3"/>
  <c r="J7337" i="3"/>
  <c r="J7336" i="3"/>
  <c r="J7335" i="3"/>
  <c r="J7334" i="3"/>
  <c r="J7333" i="3"/>
  <c r="J7332" i="3"/>
  <c r="J7331" i="3"/>
  <c r="J7330" i="3"/>
  <c r="J7329" i="3"/>
  <c r="J7328" i="3"/>
  <c r="J7327" i="3"/>
  <c r="J7326" i="3"/>
  <c r="J7325" i="3"/>
  <c r="J7324" i="3"/>
  <c r="J7323" i="3"/>
  <c r="J7322" i="3"/>
  <c r="J7321" i="3"/>
  <c r="J7320" i="3"/>
  <c r="J7319" i="3"/>
  <c r="J7318" i="3"/>
  <c r="J7317" i="3"/>
  <c r="J7316" i="3"/>
  <c r="J7315" i="3"/>
  <c r="J7314" i="3"/>
  <c r="J7313" i="3"/>
  <c r="J7312" i="3"/>
  <c r="J7311" i="3"/>
  <c r="J7310" i="3"/>
  <c r="J7309" i="3"/>
  <c r="J7308" i="3"/>
  <c r="J7307" i="3"/>
  <c r="J7306" i="3"/>
  <c r="J7305" i="3"/>
  <c r="J7304" i="3"/>
  <c r="J7303" i="3"/>
  <c r="J7302" i="3"/>
  <c r="J7301" i="3"/>
  <c r="J7300" i="3"/>
  <c r="J7299" i="3"/>
  <c r="J7298" i="3"/>
  <c r="J7297" i="3"/>
  <c r="J7296" i="3"/>
  <c r="J7295" i="3"/>
  <c r="J7294" i="3"/>
  <c r="J7293" i="3"/>
  <c r="J7292" i="3"/>
  <c r="J7291" i="3"/>
  <c r="J7290" i="3"/>
  <c r="J7289" i="3"/>
  <c r="J7288" i="3"/>
  <c r="J7287" i="3"/>
  <c r="J7286" i="3"/>
  <c r="J7285" i="3"/>
  <c r="J7284" i="3"/>
  <c r="J7283" i="3"/>
  <c r="J7282" i="3"/>
  <c r="J7281" i="3"/>
  <c r="J7280" i="3"/>
  <c r="J7279" i="3"/>
  <c r="J7278" i="3"/>
  <c r="J7277" i="3"/>
  <c r="J7276" i="3"/>
  <c r="J7275" i="3"/>
  <c r="J7274" i="3"/>
  <c r="J7273" i="3"/>
  <c r="J7272" i="3"/>
  <c r="J7271" i="3"/>
  <c r="J7270" i="3"/>
  <c r="J7269" i="3"/>
  <c r="J7268" i="3"/>
  <c r="J7267" i="3"/>
  <c r="J7266" i="3"/>
  <c r="J7265" i="3"/>
  <c r="J7264" i="3"/>
  <c r="J7263" i="3"/>
  <c r="J7262" i="3"/>
  <c r="J7261" i="3"/>
  <c r="J7260" i="3"/>
  <c r="J7259" i="3"/>
  <c r="J7258" i="3"/>
  <c r="J7257" i="3"/>
  <c r="J7256" i="3"/>
  <c r="J7255" i="3"/>
  <c r="J7254" i="3"/>
  <c r="J7253" i="3"/>
  <c r="J7252" i="3"/>
  <c r="J7251" i="3"/>
  <c r="J7250" i="3"/>
  <c r="J7249" i="3"/>
  <c r="J7248" i="3"/>
  <c r="J7247" i="3"/>
  <c r="J7246" i="3"/>
  <c r="J7245" i="3"/>
  <c r="J7244" i="3"/>
  <c r="J7243" i="3"/>
  <c r="J7242" i="3"/>
  <c r="J7241" i="3"/>
  <c r="J7240" i="3"/>
  <c r="J7239" i="3"/>
  <c r="J7238" i="3"/>
  <c r="J7237" i="3"/>
  <c r="J7236" i="3"/>
  <c r="J7235" i="3"/>
  <c r="J7234" i="3"/>
  <c r="J7233" i="3"/>
  <c r="J7232" i="3"/>
  <c r="J7231" i="3"/>
  <c r="J7230" i="3"/>
  <c r="J7229" i="3"/>
  <c r="J7228" i="3"/>
  <c r="J7227" i="3"/>
  <c r="J7226" i="3"/>
  <c r="J7225" i="3"/>
  <c r="J7224" i="3"/>
  <c r="J7223" i="3"/>
  <c r="J7222" i="3"/>
  <c r="J7221" i="3"/>
  <c r="J7220" i="3"/>
  <c r="J7219" i="3"/>
  <c r="J7218" i="3"/>
  <c r="J7217" i="3"/>
  <c r="J7216" i="3"/>
  <c r="J7215" i="3"/>
  <c r="J7214" i="3"/>
  <c r="J7213" i="3"/>
  <c r="J7212" i="3"/>
  <c r="J7211" i="3"/>
  <c r="J7210" i="3"/>
  <c r="J7209" i="3"/>
  <c r="J7208" i="3"/>
  <c r="J7207" i="3"/>
  <c r="J7206" i="3"/>
  <c r="J7205" i="3"/>
  <c r="J7204" i="3"/>
  <c r="J7203" i="3"/>
  <c r="J7202" i="3"/>
  <c r="J7201" i="3"/>
  <c r="J7200" i="3"/>
  <c r="J7199" i="3"/>
  <c r="J7198" i="3"/>
  <c r="J7197" i="3"/>
  <c r="J7196" i="3"/>
  <c r="J7195" i="3"/>
  <c r="J7194" i="3"/>
  <c r="J7193" i="3"/>
  <c r="J7192" i="3"/>
  <c r="J7191" i="3"/>
  <c r="J7190" i="3"/>
  <c r="J7189" i="3"/>
  <c r="J7188" i="3"/>
  <c r="J7187" i="3"/>
  <c r="J7186" i="3"/>
  <c r="J7185" i="3"/>
  <c r="J7184" i="3"/>
  <c r="J7183" i="3"/>
  <c r="J7182" i="3"/>
  <c r="J7181" i="3"/>
  <c r="J7180" i="3"/>
  <c r="J7179" i="3"/>
  <c r="J7178" i="3"/>
  <c r="J7177" i="3"/>
  <c r="J7176" i="3"/>
  <c r="J7175" i="3"/>
  <c r="J7174" i="3"/>
  <c r="J7173" i="3"/>
  <c r="J7172" i="3"/>
  <c r="J7171" i="3"/>
  <c r="J7170" i="3"/>
  <c r="J7169" i="3"/>
  <c r="J7168" i="3"/>
  <c r="J7167" i="3"/>
  <c r="J7166" i="3"/>
  <c r="J7165" i="3"/>
  <c r="J7164" i="3"/>
  <c r="J7163" i="3"/>
  <c r="J7162" i="3"/>
  <c r="J7161" i="3"/>
  <c r="J7160" i="3"/>
  <c r="J7159" i="3"/>
  <c r="J7158" i="3"/>
  <c r="J7157" i="3"/>
  <c r="J7156" i="3"/>
  <c r="J7155" i="3"/>
  <c r="J7154" i="3"/>
  <c r="J7153" i="3"/>
  <c r="J7152" i="3"/>
  <c r="J7151" i="3"/>
  <c r="J7150" i="3"/>
  <c r="J7149" i="3"/>
  <c r="J7148" i="3"/>
  <c r="J7147" i="3"/>
  <c r="J7146" i="3"/>
  <c r="J7145" i="3"/>
  <c r="J7144" i="3"/>
  <c r="J7143" i="3"/>
  <c r="J7142" i="3"/>
  <c r="J7141" i="3"/>
  <c r="J7140" i="3"/>
  <c r="J7139" i="3"/>
  <c r="J7138" i="3"/>
  <c r="J7137" i="3"/>
  <c r="J7136" i="3"/>
  <c r="J7135" i="3"/>
  <c r="J7134" i="3"/>
  <c r="J7133" i="3"/>
  <c r="J7132" i="3"/>
  <c r="J7131" i="3"/>
  <c r="J7130" i="3"/>
  <c r="J7129" i="3"/>
  <c r="J7128" i="3"/>
  <c r="J7127" i="3"/>
  <c r="J7126" i="3"/>
  <c r="J7125" i="3"/>
  <c r="J7124" i="3"/>
  <c r="J7123" i="3"/>
  <c r="J7122" i="3"/>
  <c r="J7121" i="3"/>
  <c r="J7120" i="3"/>
  <c r="J7119" i="3"/>
  <c r="J7118" i="3"/>
  <c r="J7117" i="3"/>
  <c r="J7116" i="3"/>
  <c r="J7115" i="3"/>
  <c r="J7114" i="3"/>
  <c r="J7113" i="3"/>
  <c r="J7112" i="3"/>
  <c r="J7111" i="3"/>
  <c r="J7110" i="3"/>
  <c r="J7109" i="3"/>
  <c r="J7108" i="3"/>
  <c r="J7107" i="3"/>
  <c r="J7106" i="3"/>
  <c r="J7105" i="3"/>
  <c r="J7104" i="3"/>
  <c r="J7103" i="3"/>
  <c r="J7102" i="3"/>
  <c r="J7101" i="3"/>
  <c r="J7100" i="3"/>
  <c r="J7099" i="3"/>
  <c r="J7098" i="3"/>
  <c r="J7097" i="3"/>
  <c r="J7096" i="3"/>
  <c r="J7095" i="3"/>
  <c r="J7094" i="3"/>
  <c r="J7093" i="3"/>
  <c r="J7092" i="3"/>
  <c r="J7091" i="3"/>
  <c r="J7090" i="3"/>
  <c r="J7089" i="3"/>
  <c r="J7088" i="3"/>
  <c r="J7087" i="3"/>
  <c r="J7086" i="3"/>
  <c r="J7085" i="3"/>
  <c r="J7084" i="3"/>
  <c r="J7083" i="3"/>
  <c r="J7082" i="3"/>
  <c r="J7081" i="3"/>
  <c r="J7080" i="3"/>
  <c r="J7079" i="3"/>
  <c r="J7078" i="3"/>
  <c r="J7077" i="3"/>
  <c r="J7076" i="3"/>
  <c r="J7075" i="3"/>
  <c r="J7074" i="3"/>
  <c r="J7073" i="3"/>
  <c r="J7072" i="3"/>
  <c r="J7071" i="3"/>
  <c r="J7070" i="3"/>
  <c r="J7069" i="3"/>
  <c r="J7068" i="3"/>
  <c r="J7067" i="3"/>
  <c r="J7066" i="3"/>
  <c r="J7065" i="3"/>
  <c r="J7064" i="3"/>
  <c r="J7063" i="3"/>
  <c r="J7062" i="3"/>
  <c r="J7061" i="3"/>
  <c r="J7060" i="3"/>
  <c r="J7059" i="3"/>
  <c r="J7058" i="3"/>
  <c r="J7057" i="3"/>
  <c r="J7056" i="3"/>
  <c r="J7055" i="3"/>
  <c r="J7054" i="3"/>
  <c r="J7053" i="3"/>
  <c r="J7052" i="3"/>
  <c r="J7051" i="3"/>
  <c r="J7050" i="3"/>
  <c r="J7049" i="3"/>
  <c r="J7048" i="3"/>
  <c r="J7047" i="3"/>
  <c r="J7046" i="3"/>
  <c r="J7045" i="3"/>
  <c r="J7044" i="3"/>
  <c r="J7043" i="3"/>
  <c r="J7042" i="3"/>
  <c r="J7041" i="3"/>
  <c r="J7040" i="3"/>
  <c r="J7039" i="3"/>
  <c r="J7038" i="3"/>
  <c r="J7037" i="3"/>
  <c r="J7036" i="3"/>
  <c r="J7035" i="3"/>
  <c r="J7034" i="3"/>
  <c r="J7033" i="3"/>
  <c r="J7032" i="3"/>
  <c r="J7031" i="3"/>
  <c r="J7030" i="3"/>
  <c r="J7029" i="3"/>
  <c r="J7028" i="3"/>
  <c r="J7027" i="3"/>
  <c r="J7026" i="3"/>
  <c r="J7025" i="3"/>
  <c r="J7024" i="3"/>
  <c r="J7023" i="3"/>
  <c r="J7022" i="3"/>
  <c r="J7021" i="3"/>
  <c r="J7020" i="3"/>
  <c r="J7019" i="3"/>
  <c r="J7018" i="3"/>
  <c r="J7017" i="3"/>
  <c r="J7016" i="3"/>
  <c r="J7015" i="3"/>
  <c r="J7014" i="3"/>
  <c r="J7013" i="3"/>
  <c r="J7012" i="3"/>
  <c r="J7011" i="3"/>
  <c r="J7010" i="3"/>
  <c r="J7009" i="3"/>
  <c r="J7008" i="3"/>
  <c r="J7007" i="3"/>
  <c r="J7006" i="3"/>
  <c r="J7005" i="3"/>
  <c r="J7004" i="3"/>
  <c r="J7003" i="3"/>
  <c r="J7002" i="3"/>
  <c r="J7001" i="3"/>
  <c r="J7000" i="3"/>
  <c r="J6999" i="3"/>
  <c r="J6998" i="3"/>
  <c r="J6997" i="3"/>
  <c r="J6996" i="3"/>
  <c r="J6995" i="3"/>
  <c r="J6994" i="3"/>
  <c r="J6993" i="3"/>
  <c r="J6992" i="3"/>
  <c r="J6991" i="3"/>
  <c r="J6990" i="3"/>
  <c r="J6989" i="3"/>
  <c r="J6988" i="3"/>
  <c r="J6987" i="3"/>
  <c r="J6986" i="3"/>
  <c r="J6985" i="3"/>
  <c r="J6984" i="3"/>
  <c r="J6983" i="3"/>
  <c r="J6982" i="3"/>
  <c r="J6981" i="3"/>
  <c r="J6980" i="3"/>
  <c r="J6979" i="3"/>
  <c r="J6978" i="3"/>
  <c r="J6977" i="3"/>
  <c r="J6976" i="3"/>
  <c r="J6975" i="3"/>
  <c r="J6974" i="3"/>
  <c r="J6973" i="3"/>
  <c r="J6972" i="3"/>
  <c r="J6971" i="3"/>
  <c r="J6970" i="3"/>
  <c r="J6969" i="3"/>
  <c r="J6968" i="3"/>
  <c r="J6967" i="3"/>
  <c r="J6966" i="3"/>
  <c r="J6965" i="3"/>
  <c r="J6964" i="3"/>
  <c r="J6963" i="3"/>
  <c r="J6962" i="3"/>
  <c r="J6961" i="3"/>
  <c r="J6960" i="3"/>
  <c r="J6959" i="3"/>
  <c r="J6958" i="3"/>
  <c r="J6957" i="3"/>
  <c r="J6956" i="3"/>
  <c r="J6955" i="3"/>
  <c r="J6954" i="3"/>
  <c r="J6953" i="3"/>
  <c r="J6952" i="3"/>
  <c r="J6951" i="3"/>
  <c r="J6950" i="3"/>
  <c r="J6949" i="3"/>
  <c r="J6948" i="3"/>
  <c r="J6947" i="3"/>
  <c r="J6946" i="3"/>
  <c r="J6945" i="3"/>
  <c r="J6944" i="3"/>
  <c r="J6943" i="3"/>
  <c r="J6942" i="3"/>
  <c r="J6941" i="3"/>
  <c r="J6940" i="3"/>
  <c r="J6939" i="3"/>
  <c r="J6938" i="3"/>
  <c r="J6937" i="3"/>
  <c r="J6936" i="3"/>
  <c r="J6935" i="3"/>
  <c r="J6934" i="3"/>
  <c r="J6933" i="3"/>
  <c r="J6932" i="3"/>
  <c r="J6931" i="3"/>
  <c r="J6930" i="3"/>
  <c r="J6929" i="3"/>
  <c r="J6928" i="3"/>
  <c r="J6927" i="3"/>
  <c r="J6926" i="3"/>
  <c r="J6925" i="3"/>
  <c r="J6924" i="3"/>
  <c r="J6923" i="3"/>
  <c r="J6922" i="3"/>
  <c r="J6921" i="3"/>
  <c r="J6920" i="3"/>
  <c r="J6919" i="3"/>
  <c r="J6918" i="3"/>
  <c r="J6917" i="3"/>
  <c r="J6916" i="3"/>
  <c r="J6915" i="3"/>
  <c r="J6914" i="3"/>
  <c r="J6913" i="3"/>
  <c r="J6912" i="3"/>
  <c r="J6911" i="3"/>
  <c r="J6910" i="3"/>
  <c r="J6909" i="3"/>
  <c r="J6908" i="3"/>
  <c r="J6907" i="3"/>
  <c r="J6906" i="3"/>
  <c r="J6905" i="3"/>
  <c r="J6904" i="3"/>
  <c r="J6903" i="3"/>
  <c r="J6902" i="3"/>
  <c r="J6901" i="3"/>
  <c r="J6900" i="3"/>
  <c r="J6899" i="3"/>
  <c r="J6898" i="3"/>
  <c r="J6897" i="3"/>
  <c r="J6896" i="3"/>
  <c r="J6895" i="3"/>
  <c r="J6894" i="3"/>
  <c r="J6893" i="3"/>
  <c r="J6892" i="3"/>
  <c r="J6891" i="3"/>
  <c r="J6890" i="3"/>
  <c r="J6889" i="3"/>
  <c r="J6888" i="3"/>
  <c r="J6887" i="3"/>
  <c r="J6886" i="3"/>
  <c r="J6885" i="3"/>
  <c r="J6884" i="3"/>
  <c r="J6883" i="3"/>
  <c r="J6882" i="3"/>
  <c r="J6881" i="3"/>
  <c r="J6880" i="3"/>
  <c r="J6879" i="3"/>
  <c r="J6878" i="3"/>
  <c r="J6877" i="3"/>
  <c r="J6876" i="3"/>
  <c r="J6875" i="3"/>
  <c r="J6874" i="3"/>
  <c r="J6873" i="3"/>
  <c r="J6872" i="3"/>
  <c r="J6871" i="3"/>
  <c r="J6870" i="3"/>
  <c r="J6869" i="3"/>
  <c r="J6868" i="3"/>
  <c r="J6867" i="3"/>
  <c r="J6866" i="3"/>
  <c r="J6865" i="3"/>
  <c r="J6864" i="3"/>
  <c r="J6863" i="3"/>
  <c r="J6862" i="3"/>
  <c r="J6861" i="3"/>
  <c r="J6860" i="3"/>
  <c r="J6859" i="3"/>
  <c r="J6858" i="3"/>
  <c r="J6857" i="3"/>
  <c r="J6856" i="3"/>
  <c r="J6855" i="3"/>
  <c r="J6854" i="3"/>
  <c r="J6853" i="3"/>
  <c r="J6852" i="3"/>
  <c r="J6851" i="3"/>
  <c r="J6850" i="3"/>
  <c r="J6849" i="3"/>
  <c r="J6848" i="3"/>
  <c r="J6847" i="3"/>
  <c r="J6846" i="3"/>
  <c r="J6845" i="3"/>
  <c r="J6844" i="3"/>
  <c r="J6843" i="3"/>
  <c r="J6842" i="3"/>
  <c r="J6841" i="3"/>
  <c r="J6840" i="3"/>
  <c r="J6839" i="3"/>
  <c r="J6838" i="3"/>
  <c r="J6837" i="3"/>
  <c r="J6836" i="3"/>
  <c r="J6835" i="3"/>
  <c r="J6834" i="3"/>
  <c r="J6833" i="3"/>
  <c r="J6832" i="3"/>
  <c r="J6831" i="3"/>
  <c r="J6830" i="3"/>
  <c r="J6829" i="3"/>
  <c r="J6828" i="3"/>
  <c r="J6827" i="3"/>
  <c r="J6826" i="3"/>
  <c r="J6825" i="3"/>
  <c r="J6824" i="3"/>
  <c r="J6823" i="3"/>
  <c r="J6822" i="3"/>
  <c r="J6821" i="3"/>
  <c r="J6820" i="3"/>
  <c r="J6819" i="3"/>
  <c r="J6818" i="3"/>
  <c r="J6817" i="3"/>
  <c r="J6816" i="3"/>
  <c r="J6815" i="3"/>
  <c r="J6814" i="3"/>
  <c r="J6813" i="3"/>
  <c r="J6812" i="3"/>
  <c r="J6811" i="3"/>
  <c r="J6810" i="3"/>
  <c r="J6809" i="3"/>
  <c r="J6808" i="3"/>
  <c r="J6807" i="3"/>
  <c r="J6806" i="3"/>
  <c r="J6805" i="3"/>
  <c r="J6804" i="3"/>
  <c r="J6803" i="3"/>
  <c r="J6802" i="3"/>
  <c r="J6801" i="3"/>
  <c r="J6800" i="3"/>
  <c r="J6799" i="3"/>
  <c r="J6798" i="3"/>
  <c r="J6797" i="3"/>
  <c r="J6796" i="3"/>
  <c r="J6795" i="3"/>
  <c r="J6794" i="3"/>
  <c r="J6793" i="3"/>
  <c r="J6792" i="3"/>
  <c r="J6791" i="3"/>
  <c r="J6790" i="3"/>
  <c r="J6789" i="3"/>
  <c r="J6788" i="3"/>
  <c r="J6787" i="3"/>
  <c r="J6786" i="3"/>
  <c r="J6785" i="3"/>
  <c r="J6784" i="3"/>
  <c r="J6783" i="3"/>
  <c r="J6782" i="3"/>
  <c r="J6781" i="3"/>
  <c r="J6780" i="3"/>
  <c r="J6779" i="3"/>
  <c r="J6778" i="3"/>
  <c r="J6777" i="3"/>
  <c r="J6776" i="3"/>
  <c r="J6775" i="3"/>
  <c r="J6774" i="3"/>
  <c r="J6773" i="3"/>
  <c r="J6772" i="3"/>
  <c r="J6771" i="3"/>
  <c r="J6770" i="3"/>
  <c r="J6769" i="3"/>
  <c r="J6768" i="3"/>
  <c r="J6767" i="3"/>
  <c r="J6766" i="3"/>
  <c r="J6765" i="3"/>
  <c r="J6764" i="3"/>
  <c r="J6763" i="3"/>
  <c r="J6762" i="3"/>
  <c r="J6761" i="3"/>
  <c r="J6760" i="3"/>
  <c r="J6759" i="3"/>
  <c r="J6758" i="3"/>
  <c r="J6757" i="3"/>
  <c r="J6756" i="3"/>
  <c r="J6755" i="3"/>
  <c r="J6754" i="3"/>
  <c r="J6753" i="3"/>
  <c r="J6752" i="3"/>
  <c r="J6751" i="3"/>
  <c r="J6750" i="3"/>
  <c r="J6749" i="3"/>
  <c r="J6748" i="3"/>
  <c r="J6747" i="3"/>
  <c r="J6746" i="3"/>
  <c r="J6745" i="3"/>
  <c r="J6744" i="3"/>
  <c r="J6743" i="3"/>
  <c r="J6742" i="3"/>
  <c r="J6741" i="3"/>
  <c r="J6740" i="3"/>
  <c r="J6739" i="3"/>
  <c r="J6738" i="3"/>
  <c r="J6737" i="3"/>
  <c r="J6736" i="3"/>
  <c r="J6735" i="3"/>
  <c r="J6734" i="3"/>
  <c r="J6733" i="3"/>
  <c r="J6732" i="3"/>
  <c r="J6731" i="3"/>
  <c r="J6730" i="3"/>
  <c r="J6729" i="3"/>
  <c r="J6728" i="3"/>
  <c r="J6727" i="3"/>
  <c r="J6726" i="3"/>
  <c r="J6725" i="3"/>
  <c r="J6724" i="3"/>
  <c r="J6723" i="3"/>
  <c r="J6722" i="3"/>
  <c r="J6721" i="3"/>
  <c r="J6720" i="3"/>
  <c r="J6719" i="3"/>
  <c r="J6718" i="3"/>
  <c r="J6717" i="3"/>
  <c r="J6716" i="3"/>
  <c r="J6715" i="3"/>
  <c r="J6714" i="3"/>
  <c r="J6713" i="3"/>
  <c r="J6712" i="3"/>
  <c r="J6711" i="3"/>
  <c r="J6710" i="3"/>
  <c r="J6709" i="3"/>
  <c r="J6708" i="3"/>
  <c r="J6707" i="3"/>
  <c r="J6706" i="3"/>
  <c r="J6705" i="3"/>
  <c r="J6704" i="3"/>
  <c r="J6703" i="3"/>
  <c r="J6702" i="3"/>
  <c r="J6701" i="3"/>
  <c r="J6700" i="3"/>
  <c r="J6699" i="3"/>
  <c r="J6698" i="3"/>
  <c r="J6697" i="3"/>
  <c r="J6696" i="3"/>
  <c r="J6695" i="3"/>
  <c r="J6694" i="3"/>
  <c r="J6693" i="3"/>
  <c r="J6692" i="3"/>
  <c r="J6691" i="3"/>
  <c r="J6690" i="3"/>
  <c r="J6689" i="3"/>
  <c r="J6688" i="3"/>
  <c r="J6687" i="3"/>
  <c r="J6686" i="3"/>
  <c r="J6685" i="3"/>
  <c r="J6684" i="3"/>
  <c r="J6683" i="3"/>
  <c r="J6682" i="3"/>
  <c r="J6681" i="3"/>
  <c r="J6680" i="3"/>
  <c r="J6679" i="3"/>
  <c r="J6678" i="3"/>
  <c r="J6677" i="3"/>
  <c r="J6676" i="3"/>
  <c r="J6675" i="3"/>
  <c r="J6674" i="3"/>
  <c r="J6673" i="3"/>
  <c r="J6672" i="3"/>
  <c r="J6671" i="3"/>
  <c r="J6670" i="3"/>
  <c r="J6669" i="3"/>
  <c r="J6668" i="3"/>
  <c r="J6667" i="3"/>
  <c r="J6666" i="3"/>
  <c r="J6665" i="3"/>
  <c r="J6664" i="3"/>
  <c r="J6663" i="3"/>
  <c r="J6662" i="3"/>
  <c r="J6661" i="3"/>
  <c r="J6660" i="3"/>
  <c r="J6659" i="3"/>
  <c r="J6658" i="3"/>
  <c r="J6657" i="3"/>
  <c r="J6656" i="3"/>
  <c r="J6655" i="3"/>
  <c r="J6654" i="3"/>
  <c r="J6653" i="3"/>
  <c r="J6652" i="3"/>
  <c r="J6651" i="3"/>
  <c r="J6650" i="3"/>
  <c r="J6649" i="3"/>
  <c r="J6648" i="3"/>
  <c r="J6647" i="3"/>
  <c r="J6646" i="3"/>
  <c r="J6645" i="3"/>
  <c r="J6644" i="3"/>
  <c r="J6643" i="3"/>
  <c r="J6642" i="3"/>
  <c r="J6641" i="3"/>
  <c r="J6640" i="3"/>
  <c r="J6639" i="3"/>
  <c r="J6638" i="3"/>
  <c r="J6637" i="3"/>
  <c r="J6636" i="3"/>
  <c r="J6635" i="3"/>
  <c r="J6634" i="3"/>
  <c r="J6633" i="3"/>
  <c r="J6632" i="3"/>
  <c r="J6631" i="3"/>
  <c r="J6630" i="3"/>
  <c r="J6629" i="3"/>
  <c r="J6628" i="3"/>
  <c r="J6627" i="3"/>
  <c r="J6626" i="3"/>
  <c r="J6625" i="3"/>
  <c r="J6624" i="3"/>
  <c r="J6623" i="3"/>
  <c r="J6622" i="3"/>
  <c r="J6621" i="3"/>
  <c r="J6620" i="3"/>
  <c r="J6619" i="3"/>
  <c r="J6618" i="3"/>
  <c r="J6617" i="3"/>
  <c r="J6616" i="3"/>
  <c r="J6615" i="3"/>
  <c r="J6614" i="3"/>
  <c r="J6613" i="3"/>
  <c r="J6612" i="3"/>
  <c r="J6611" i="3"/>
  <c r="J6610" i="3"/>
  <c r="J6609" i="3"/>
  <c r="J6608" i="3"/>
  <c r="J6607" i="3"/>
  <c r="J6606" i="3"/>
  <c r="J6605" i="3"/>
  <c r="J6604" i="3"/>
  <c r="J6603" i="3"/>
  <c r="J6602" i="3"/>
  <c r="J6601" i="3"/>
  <c r="J6600" i="3"/>
  <c r="J6599" i="3"/>
  <c r="J6598" i="3"/>
  <c r="J6597" i="3"/>
  <c r="J6596" i="3"/>
  <c r="J6595" i="3"/>
  <c r="J6594" i="3"/>
  <c r="J6593" i="3"/>
  <c r="J6592" i="3"/>
  <c r="J6591" i="3"/>
  <c r="J6590" i="3"/>
  <c r="J6589" i="3"/>
  <c r="J6588" i="3"/>
  <c r="J6587" i="3"/>
  <c r="J6586" i="3"/>
  <c r="J6585" i="3"/>
  <c r="J6584" i="3"/>
  <c r="J6583" i="3"/>
  <c r="J6582" i="3"/>
  <c r="J6581" i="3"/>
  <c r="J6580" i="3"/>
  <c r="J6579" i="3"/>
  <c r="J6578" i="3"/>
  <c r="J6577" i="3"/>
  <c r="J6576" i="3"/>
  <c r="J6575" i="3"/>
  <c r="J6574" i="3"/>
  <c r="J6573" i="3"/>
  <c r="J6572" i="3"/>
  <c r="J6571" i="3"/>
  <c r="J6570" i="3"/>
  <c r="J6569" i="3"/>
  <c r="J6568" i="3"/>
  <c r="J6567" i="3"/>
  <c r="J6566" i="3"/>
  <c r="J6565" i="3"/>
  <c r="J6564" i="3"/>
  <c r="J6563" i="3"/>
  <c r="J6562" i="3"/>
  <c r="J6561" i="3"/>
  <c r="J6560" i="3"/>
  <c r="J6559" i="3"/>
  <c r="J6558" i="3"/>
  <c r="J6557" i="3"/>
  <c r="J6556" i="3"/>
  <c r="J6555" i="3"/>
  <c r="J6554" i="3"/>
  <c r="J6553" i="3"/>
  <c r="J6552" i="3"/>
  <c r="J6551" i="3"/>
  <c r="J6550" i="3"/>
  <c r="J6549" i="3"/>
  <c r="J6548" i="3"/>
  <c r="J6547" i="3"/>
  <c r="J6546" i="3"/>
  <c r="J6545" i="3"/>
  <c r="J6544" i="3"/>
  <c r="J6543" i="3"/>
  <c r="J6542" i="3"/>
  <c r="J6541" i="3"/>
  <c r="J6540" i="3"/>
  <c r="J6539" i="3"/>
  <c r="J6538" i="3"/>
  <c r="J6537" i="3"/>
  <c r="J6536" i="3"/>
  <c r="J6535" i="3"/>
  <c r="J6534" i="3"/>
  <c r="J6533" i="3"/>
  <c r="J6532" i="3"/>
  <c r="J6531" i="3"/>
  <c r="J6530" i="3"/>
  <c r="J6529" i="3"/>
  <c r="J6528" i="3"/>
  <c r="J6527" i="3"/>
  <c r="J6526" i="3"/>
  <c r="J6525" i="3"/>
  <c r="J6524" i="3"/>
  <c r="J6523" i="3"/>
  <c r="J6522" i="3"/>
  <c r="J6521" i="3"/>
  <c r="J6520" i="3"/>
  <c r="J6519" i="3"/>
  <c r="J6518" i="3"/>
  <c r="J6517" i="3"/>
  <c r="J6516" i="3"/>
  <c r="J6515" i="3"/>
  <c r="J6514" i="3"/>
  <c r="J6513" i="3"/>
  <c r="J6512" i="3"/>
  <c r="J6511" i="3"/>
  <c r="J6510" i="3"/>
  <c r="J6509" i="3"/>
  <c r="J6508" i="3"/>
  <c r="J6507" i="3"/>
  <c r="J6506" i="3"/>
  <c r="J6505" i="3"/>
  <c r="J6504" i="3"/>
  <c r="J6503" i="3"/>
  <c r="J6502" i="3"/>
  <c r="J6501" i="3"/>
  <c r="J6500" i="3"/>
  <c r="J6499" i="3"/>
  <c r="J6498" i="3"/>
  <c r="J6497" i="3"/>
  <c r="J6496" i="3"/>
  <c r="J6495" i="3"/>
  <c r="J6494" i="3"/>
  <c r="J6493" i="3"/>
  <c r="J6492" i="3"/>
  <c r="J6491" i="3"/>
  <c r="J6490" i="3"/>
  <c r="J6489" i="3"/>
  <c r="J6488" i="3"/>
  <c r="J6487" i="3"/>
  <c r="J6486" i="3"/>
  <c r="J6485" i="3"/>
  <c r="J6484" i="3"/>
  <c r="J6483" i="3"/>
  <c r="J6482" i="3"/>
  <c r="J6481" i="3"/>
  <c r="J6480" i="3"/>
  <c r="J6479" i="3"/>
  <c r="J6478" i="3"/>
  <c r="J6477" i="3"/>
  <c r="J6476" i="3"/>
  <c r="J6475" i="3"/>
  <c r="J6474" i="3"/>
  <c r="J6473" i="3"/>
  <c r="J6472" i="3"/>
  <c r="J6471" i="3"/>
  <c r="J6470" i="3"/>
  <c r="J6469" i="3"/>
  <c r="J6468" i="3"/>
  <c r="J6467" i="3"/>
  <c r="J6466" i="3"/>
  <c r="J6465" i="3"/>
  <c r="J6464" i="3"/>
  <c r="J6463" i="3"/>
  <c r="J6462" i="3"/>
  <c r="J6461" i="3"/>
  <c r="J6460" i="3"/>
  <c r="J6459" i="3"/>
  <c r="J6458" i="3"/>
  <c r="J6457" i="3"/>
  <c r="J6456" i="3"/>
  <c r="J6455" i="3"/>
  <c r="J6454" i="3"/>
  <c r="J6453" i="3"/>
  <c r="J6452" i="3"/>
  <c r="J6451" i="3"/>
  <c r="J6450" i="3"/>
  <c r="J6449" i="3"/>
  <c r="J6448" i="3"/>
  <c r="J6447" i="3"/>
  <c r="J6446" i="3"/>
  <c r="J6445" i="3"/>
  <c r="J6444" i="3"/>
  <c r="J6443" i="3"/>
  <c r="J6442" i="3"/>
  <c r="J6441" i="3"/>
  <c r="J6440" i="3"/>
  <c r="J6439" i="3"/>
  <c r="J6438" i="3"/>
  <c r="J6437" i="3"/>
  <c r="J6436" i="3"/>
  <c r="J6435" i="3"/>
  <c r="J6434" i="3"/>
  <c r="J6433" i="3"/>
  <c r="J6432" i="3"/>
  <c r="J6431" i="3"/>
  <c r="J6430" i="3"/>
  <c r="J6429" i="3"/>
  <c r="J6428" i="3"/>
  <c r="J6427" i="3"/>
  <c r="J6426" i="3"/>
  <c r="J6425" i="3"/>
  <c r="J6424" i="3"/>
  <c r="J6423" i="3"/>
  <c r="J6422" i="3"/>
  <c r="J6421" i="3"/>
  <c r="J6420" i="3"/>
  <c r="J6419" i="3"/>
  <c r="J6418" i="3"/>
  <c r="J6417" i="3"/>
  <c r="J6416" i="3"/>
  <c r="J6415" i="3"/>
  <c r="J6414" i="3"/>
  <c r="J6413" i="3"/>
  <c r="J6412" i="3"/>
  <c r="J6411" i="3"/>
  <c r="J6410" i="3"/>
  <c r="J6409" i="3"/>
  <c r="J6408" i="3"/>
  <c r="J6407" i="3"/>
  <c r="J6406" i="3"/>
  <c r="J6405" i="3"/>
  <c r="J6404" i="3"/>
  <c r="J6403" i="3"/>
  <c r="J6402" i="3"/>
  <c r="J6401" i="3"/>
  <c r="J6400" i="3"/>
  <c r="J6399" i="3"/>
  <c r="J6398" i="3"/>
  <c r="J6397" i="3"/>
  <c r="J6396" i="3"/>
  <c r="J6395" i="3"/>
  <c r="J6394" i="3"/>
  <c r="J6393" i="3"/>
  <c r="J6392" i="3"/>
  <c r="J6391" i="3"/>
  <c r="J6390" i="3"/>
  <c r="J6389" i="3"/>
  <c r="J6388" i="3"/>
  <c r="J6387" i="3"/>
  <c r="J6386" i="3"/>
  <c r="J6385" i="3"/>
  <c r="J6384" i="3"/>
  <c r="J6383" i="3"/>
  <c r="J6382" i="3"/>
  <c r="J6381" i="3"/>
  <c r="J6380" i="3"/>
  <c r="J6379" i="3"/>
  <c r="J6378" i="3"/>
  <c r="J6377" i="3"/>
  <c r="J6376" i="3"/>
  <c r="J6375" i="3"/>
  <c r="J6374" i="3"/>
  <c r="J6373" i="3"/>
  <c r="J6372" i="3"/>
  <c r="J6371" i="3"/>
  <c r="J6370" i="3"/>
  <c r="J6369" i="3"/>
  <c r="J6368" i="3"/>
  <c r="J6367" i="3"/>
  <c r="J6366" i="3"/>
  <c r="J6365" i="3"/>
  <c r="J6364" i="3"/>
  <c r="J6363" i="3"/>
  <c r="J6362" i="3"/>
  <c r="J6361" i="3"/>
  <c r="J6360" i="3"/>
  <c r="J6359" i="3"/>
  <c r="J6358" i="3"/>
  <c r="J6357" i="3"/>
  <c r="J6356" i="3"/>
  <c r="J6355" i="3"/>
  <c r="J6354" i="3"/>
  <c r="J6353" i="3"/>
  <c r="J6352" i="3"/>
  <c r="J6351" i="3"/>
  <c r="J6350" i="3"/>
  <c r="J6349" i="3"/>
  <c r="J6348" i="3"/>
  <c r="J6347" i="3"/>
  <c r="J6346" i="3"/>
  <c r="J6345" i="3"/>
  <c r="J6344" i="3"/>
  <c r="J6343" i="3"/>
  <c r="J6342" i="3"/>
  <c r="J6341" i="3"/>
  <c r="J6340" i="3"/>
  <c r="J6339" i="3"/>
  <c r="J6338" i="3"/>
  <c r="J6337" i="3"/>
  <c r="J6336" i="3"/>
  <c r="J6335" i="3"/>
  <c r="J6334" i="3"/>
  <c r="J6333" i="3"/>
  <c r="J6332" i="3"/>
  <c r="J6331" i="3"/>
  <c r="J6330" i="3"/>
  <c r="J6329" i="3"/>
  <c r="J6328" i="3"/>
  <c r="J6327" i="3"/>
  <c r="J6326" i="3"/>
  <c r="J6325" i="3"/>
  <c r="J6324" i="3"/>
  <c r="J6323" i="3"/>
  <c r="J6322" i="3"/>
  <c r="J6321" i="3"/>
  <c r="J6320" i="3"/>
  <c r="J6319" i="3"/>
  <c r="J6318" i="3"/>
  <c r="J6317" i="3"/>
  <c r="J6316" i="3"/>
  <c r="J6315" i="3"/>
  <c r="J6314" i="3"/>
  <c r="J6313" i="3"/>
  <c r="J6312" i="3"/>
  <c r="J6311" i="3"/>
  <c r="J6310" i="3"/>
  <c r="J6309" i="3"/>
  <c r="J6308" i="3"/>
  <c r="J6307" i="3"/>
  <c r="J6306" i="3"/>
  <c r="J6305" i="3"/>
  <c r="J6304" i="3"/>
  <c r="J6303" i="3"/>
  <c r="J6302" i="3"/>
  <c r="J6301" i="3"/>
  <c r="J6300" i="3"/>
  <c r="J6299" i="3"/>
  <c r="J6298" i="3"/>
  <c r="J6297" i="3"/>
  <c r="J6296" i="3"/>
  <c r="J6295" i="3"/>
  <c r="J6294" i="3"/>
  <c r="J6293" i="3"/>
  <c r="J6292" i="3"/>
  <c r="J6291" i="3"/>
  <c r="J6290" i="3"/>
  <c r="J6289" i="3"/>
  <c r="J6288" i="3"/>
  <c r="J6287" i="3"/>
  <c r="J6286" i="3"/>
  <c r="J6285" i="3"/>
  <c r="J6284" i="3"/>
  <c r="J6283" i="3"/>
  <c r="J6282" i="3"/>
  <c r="J6281" i="3"/>
  <c r="J6280" i="3"/>
  <c r="J6279" i="3"/>
  <c r="J6278" i="3"/>
  <c r="J6277" i="3"/>
  <c r="J6276" i="3"/>
  <c r="J6275" i="3"/>
  <c r="J6274" i="3"/>
  <c r="J6273" i="3"/>
  <c r="J6272" i="3"/>
  <c r="J6271" i="3"/>
  <c r="J6270" i="3"/>
  <c r="J6269" i="3"/>
  <c r="J6268" i="3"/>
  <c r="J6267" i="3"/>
  <c r="J6266" i="3"/>
  <c r="J6265" i="3"/>
  <c r="J6264" i="3"/>
  <c r="J6263" i="3"/>
  <c r="J6262" i="3"/>
  <c r="J6261" i="3"/>
  <c r="J6260" i="3"/>
  <c r="J6259" i="3"/>
  <c r="J6258" i="3"/>
  <c r="J6257" i="3"/>
  <c r="J6256" i="3"/>
  <c r="J6255" i="3"/>
  <c r="J6254" i="3"/>
  <c r="J6253" i="3"/>
  <c r="J6252" i="3"/>
  <c r="J6251" i="3"/>
  <c r="J6250" i="3"/>
  <c r="J6249" i="3"/>
  <c r="J6248" i="3"/>
  <c r="J6247" i="3"/>
  <c r="J6246" i="3"/>
  <c r="J6245" i="3"/>
  <c r="J6244" i="3"/>
  <c r="J6243" i="3"/>
  <c r="J6242" i="3"/>
  <c r="J6241" i="3"/>
  <c r="J6240" i="3"/>
  <c r="J6239" i="3"/>
  <c r="J6238" i="3"/>
  <c r="J6237" i="3"/>
  <c r="J6236" i="3"/>
  <c r="J6235" i="3"/>
  <c r="J6234" i="3"/>
  <c r="J6233" i="3"/>
  <c r="J6232" i="3"/>
  <c r="J6231" i="3"/>
  <c r="J6230" i="3"/>
  <c r="J6229" i="3"/>
  <c r="J6228" i="3"/>
  <c r="J6227" i="3"/>
  <c r="J6226" i="3"/>
  <c r="J6225" i="3"/>
  <c r="J6224" i="3"/>
  <c r="J6223" i="3"/>
  <c r="J6222" i="3"/>
  <c r="J6221" i="3"/>
  <c r="J6220" i="3"/>
  <c r="J6219" i="3"/>
  <c r="J6218" i="3"/>
  <c r="J6217" i="3"/>
  <c r="J6216" i="3"/>
  <c r="J6215" i="3"/>
  <c r="J6214" i="3"/>
  <c r="J6213" i="3"/>
  <c r="J6212" i="3"/>
  <c r="J6211" i="3"/>
  <c r="J6210" i="3"/>
  <c r="J6209" i="3"/>
  <c r="J6208" i="3"/>
  <c r="J6207" i="3"/>
  <c r="J6206" i="3"/>
  <c r="J6205" i="3"/>
  <c r="J6204" i="3"/>
  <c r="J6203" i="3"/>
  <c r="J6202" i="3"/>
  <c r="J6201" i="3"/>
  <c r="J6200" i="3"/>
  <c r="J6199" i="3"/>
  <c r="J6198" i="3"/>
  <c r="J6197" i="3"/>
  <c r="J6196" i="3"/>
  <c r="J6195" i="3"/>
  <c r="J6194" i="3"/>
  <c r="J6193" i="3"/>
  <c r="J6192" i="3"/>
  <c r="J6191" i="3"/>
  <c r="J6190" i="3"/>
  <c r="J6189" i="3"/>
  <c r="J6188" i="3"/>
  <c r="J6187" i="3"/>
  <c r="J6186" i="3"/>
  <c r="J6185" i="3"/>
  <c r="J6184" i="3"/>
  <c r="J6183" i="3"/>
  <c r="J6182" i="3"/>
  <c r="J6181" i="3"/>
  <c r="J6180" i="3"/>
  <c r="J6179" i="3"/>
  <c r="J6178" i="3"/>
  <c r="J6177" i="3"/>
  <c r="J6176" i="3"/>
  <c r="J6175" i="3"/>
  <c r="J6174" i="3"/>
  <c r="J6173" i="3"/>
  <c r="J6172" i="3"/>
  <c r="J6171" i="3"/>
  <c r="J6170" i="3"/>
  <c r="J6169" i="3"/>
  <c r="J6168" i="3"/>
  <c r="J6167" i="3"/>
  <c r="J6166" i="3"/>
  <c r="J6165" i="3"/>
  <c r="J6164" i="3"/>
  <c r="J6163" i="3"/>
  <c r="J6162" i="3"/>
  <c r="J6161" i="3"/>
  <c r="J6160" i="3"/>
  <c r="J6159" i="3"/>
  <c r="J6158" i="3"/>
  <c r="J6157" i="3"/>
  <c r="J6156" i="3"/>
  <c r="J6155" i="3"/>
  <c r="J6154" i="3"/>
  <c r="J6153" i="3"/>
  <c r="J6152" i="3"/>
  <c r="J6151" i="3"/>
  <c r="J6150" i="3"/>
  <c r="J6149" i="3"/>
  <c r="J6148" i="3"/>
  <c r="J6147" i="3"/>
  <c r="J6146" i="3"/>
  <c r="J6145" i="3"/>
  <c r="J6144" i="3"/>
  <c r="J6143" i="3"/>
  <c r="J6142" i="3"/>
  <c r="J6141" i="3"/>
  <c r="J6140" i="3"/>
  <c r="J6139" i="3"/>
  <c r="J6138" i="3"/>
  <c r="J6137" i="3"/>
  <c r="J6136" i="3"/>
  <c r="J6135" i="3"/>
  <c r="J6134" i="3"/>
  <c r="J6133" i="3"/>
  <c r="J6132" i="3"/>
  <c r="J6131" i="3"/>
  <c r="J6130" i="3"/>
  <c r="J6129" i="3"/>
  <c r="J6128" i="3"/>
  <c r="J6127" i="3"/>
  <c r="J6126" i="3"/>
  <c r="J6125" i="3"/>
  <c r="J6124" i="3"/>
  <c r="J6123" i="3"/>
  <c r="J6122" i="3"/>
  <c r="J6121" i="3"/>
  <c r="J6120" i="3"/>
  <c r="J6119" i="3"/>
  <c r="J6118" i="3"/>
  <c r="J6117" i="3"/>
  <c r="J6116" i="3"/>
  <c r="J6115" i="3"/>
  <c r="J6114" i="3"/>
  <c r="J6113" i="3"/>
  <c r="J6112" i="3"/>
  <c r="J6111" i="3"/>
  <c r="J6110" i="3"/>
  <c r="J6109" i="3"/>
  <c r="J6108" i="3"/>
  <c r="J6107" i="3"/>
  <c r="J6106" i="3"/>
  <c r="J6105" i="3"/>
  <c r="J6104" i="3"/>
  <c r="J6103" i="3"/>
  <c r="J6102" i="3"/>
  <c r="J6101" i="3"/>
  <c r="J6100" i="3"/>
  <c r="J6099" i="3"/>
  <c r="J6098" i="3"/>
  <c r="J6097" i="3"/>
  <c r="J6096" i="3"/>
  <c r="J6095" i="3"/>
  <c r="J6094" i="3"/>
  <c r="J6093" i="3"/>
  <c r="J6092" i="3"/>
  <c r="J6091" i="3"/>
  <c r="J6090" i="3"/>
  <c r="J6089" i="3"/>
  <c r="J6088" i="3"/>
  <c r="J6087" i="3"/>
  <c r="J6086" i="3"/>
  <c r="J6085" i="3"/>
  <c r="J6084" i="3"/>
  <c r="J6083" i="3"/>
  <c r="J6082" i="3"/>
  <c r="J6081" i="3"/>
  <c r="J6080" i="3"/>
  <c r="J6079" i="3"/>
  <c r="J6078" i="3"/>
  <c r="J6077" i="3"/>
  <c r="J6076" i="3"/>
  <c r="J6075" i="3"/>
  <c r="J6074" i="3"/>
  <c r="J6073" i="3"/>
  <c r="J6072" i="3"/>
  <c r="J6071" i="3"/>
  <c r="J6070" i="3"/>
  <c r="J6069" i="3"/>
  <c r="J6068" i="3"/>
  <c r="J6067" i="3"/>
  <c r="J6066" i="3"/>
  <c r="J6065" i="3"/>
  <c r="J6064" i="3"/>
  <c r="J6063" i="3"/>
  <c r="J6062" i="3"/>
  <c r="J6061" i="3"/>
  <c r="J6060" i="3"/>
  <c r="J6059" i="3"/>
  <c r="J6058" i="3"/>
  <c r="J6057" i="3"/>
  <c r="J6056" i="3"/>
  <c r="J6055" i="3"/>
  <c r="J6054" i="3"/>
  <c r="J6053" i="3"/>
  <c r="J6052" i="3"/>
  <c r="J6051" i="3"/>
  <c r="J6050" i="3"/>
  <c r="J6049" i="3"/>
  <c r="J6048" i="3"/>
  <c r="J6047" i="3"/>
  <c r="J6046" i="3"/>
  <c r="J6045" i="3"/>
  <c r="J6044" i="3"/>
  <c r="J6043" i="3"/>
  <c r="J6042" i="3"/>
  <c r="J6041" i="3"/>
  <c r="J6040" i="3"/>
  <c r="J6039" i="3"/>
  <c r="J6038" i="3"/>
  <c r="J6037" i="3"/>
  <c r="J6036" i="3"/>
  <c r="J6035" i="3"/>
  <c r="J6034" i="3"/>
  <c r="J6033" i="3"/>
  <c r="J6032" i="3"/>
  <c r="J6031" i="3"/>
  <c r="J6030" i="3"/>
  <c r="J6029" i="3"/>
  <c r="J6028" i="3"/>
  <c r="J6027" i="3"/>
  <c r="J6026" i="3"/>
  <c r="J6025" i="3"/>
  <c r="J6024" i="3"/>
  <c r="J6023" i="3"/>
  <c r="J6022" i="3"/>
  <c r="J6021" i="3"/>
  <c r="J6020" i="3"/>
  <c r="J6019" i="3"/>
  <c r="J6018" i="3"/>
  <c r="J6017" i="3"/>
  <c r="J6016" i="3"/>
  <c r="J6015" i="3"/>
  <c r="J6014" i="3"/>
  <c r="J6013" i="3"/>
  <c r="J6012" i="3"/>
  <c r="J6011" i="3"/>
  <c r="J6010" i="3"/>
  <c r="J6009" i="3"/>
  <c r="J6008" i="3"/>
  <c r="J6007" i="3"/>
  <c r="J6006" i="3"/>
  <c r="J6005" i="3"/>
  <c r="J6004" i="3"/>
  <c r="J6003" i="3"/>
  <c r="J6002" i="3"/>
  <c r="J6001" i="3"/>
  <c r="J6000" i="3"/>
  <c r="J5999" i="3"/>
  <c r="J5998" i="3"/>
  <c r="J5997" i="3"/>
  <c r="J5996" i="3"/>
  <c r="J5995" i="3"/>
  <c r="J5994" i="3"/>
  <c r="J5993" i="3"/>
  <c r="J5992" i="3"/>
  <c r="J5991" i="3"/>
  <c r="J5990" i="3"/>
  <c r="J5989" i="3"/>
  <c r="J5988" i="3"/>
  <c r="J5987" i="3"/>
  <c r="J5986" i="3"/>
  <c r="J5985" i="3"/>
  <c r="J5984" i="3"/>
  <c r="J5983" i="3"/>
  <c r="J5982" i="3"/>
  <c r="J5981" i="3"/>
  <c r="J5980" i="3"/>
  <c r="J5979" i="3"/>
  <c r="J5978" i="3"/>
  <c r="J5977" i="3"/>
  <c r="J5976" i="3"/>
  <c r="J5975" i="3"/>
  <c r="J5974" i="3"/>
  <c r="J5973" i="3"/>
  <c r="J5972" i="3"/>
  <c r="J5971" i="3"/>
  <c r="J5970" i="3"/>
  <c r="J5969" i="3"/>
  <c r="J5968" i="3"/>
  <c r="J5967" i="3"/>
  <c r="J5966" i="3"/>
  <c r="J5965" i="3"/>
  <c r="J5964" i="3"/>
  <c r="J5963" i="3"/>
  <c r="J5962" i="3"/>
  <c r="J5961" i="3"/>
  <c r="J5960" i="3"/>
  <c r="J5959" i="3"/>
  <c r="J5958" i="3"/>
  <c r="J5957" i="3"/>
  <c r="J5956" i="3"/>
  <c r="J5955" i="3"/>
  <c r="J5954" i="3"/>
  <c r="J5953" i="3"/>
  <c r="J5952" i="3"/>
  <c r="J5951" i="3"/>
  <c r="J5950" i="3"/>
  <c r="J5949" i="3"/>
  <c r="J5948" i="3"/>
  <c r="J5947" i="3"/>
  <c r="J5946" i="3"/>
  <c r="J5945" i="3"/>
  <c r="J5944" i="3"/>
  <c r="J5943" i="3"/>
  <c r="J5942" i="3"/>
  <c r="J5941" i="3"/>
  <c r="J5940" i="3"/>
  <c r="J5939" i="3"/>
  <c r="J5938" i="3"/>
  <c r="J5937" i="3"/>
  <c r="J5936" i="3"/>
  <c r="J5935" i="3"/>
  <c r="J5934" i="3"/>
  <c r="J5933" i="3"/>
  <c r="J5932" i="3"/>
  <c r="J5931" i="3"/>
  <c r="J5930" i="3"/>
  <c r="J5929" i="3"/>
  <c r="J5928" i="3"/>
  <c r="J5927" i="3"/>
  <c r="J5926" i="3"/>
  <c r="J5925" i="3"/>
  <c r="J5924" i="3"/>
  <c r="J5923" i="3"/>
  <c r="J5922" i="3"/>
  <c r="J5921" i="3"/>
  <c r="J5920" i="3"/>
  <c r="J5919" i="3"/>
  <c r="J5918" i="3"/>
  <c r="J5917" i="3"/>
  <c r="J5916" i="3"/>
  <c r="J5915" i="3"/>
  <c r="J5914" i="3"/>
  <c r="J5913" i="3"/>
  <c r="J5912" i="3"/>
  <c r="J5911" i="3"/>
  <c r="J5910" i="3"/>
  <c r="J5909" i="3"/>
  <c r="J5908" i="3"/>
  <c r="J5907" i="3"/>
  <c r="J5906" i="3"/>
  <c r="J5905" i="3"/>
  <c r="J5904" i="3"/>
  <c r="J5903" i="3"/>
  <c r="J5902" i="3"/>
  <c r="J5901" i="3"/>
  <c r="J5900" i="3"/>
  <c r="J5899" i="3"/>
  <c r="J5898" i="3"/>
  <c r="J5897" i="3"/>
  <c r="J5896" i="3"/>
  <c r="J5895" i="3"/>
  <c r="J5894" i="3"/>
  <c r="J5893" i="3"/>
  <c r="J5892" i="3"/>
  <c r="J5891" i="3"/>
  <c r="J5890" i="3"/>
  <c r="J5889" i="3"/>
  <c r="J5888" i="3"/>
  <c r="J5887" i="3"/>
  <c r="J5886" i="3"/>
  <c r="J5885" i="3"/>
  <c r="J5884" i="3"/>
  <c r="J5883" i="3"/>
  <c r="J5882" i="3"/>
  <c r="J5881" i="3"/>
  <c r="J5880" i="3"/>
  <c r="J5879" i="3"/>
  <c r="J5878" i="3"/>
  <c r="J5877" i="3"/>
  <c r="J5876" i="3"/>
  <c r="J5875" i="3"/>
  <c r="J5874" i="3"/>
  <c r="J5873" i="3"/>
  <c r="J5872" i="3"/>
  <c r="J5871" i="3"/>
  <c r="J5870" i="3"/>
  <c r="J5869" i="3"/>
  <c r="J5868" i="3"/>
  <c r="J5867" i="3"/>
  <c r="J5866" i="3"/>
  <c r="J5865" i="3"/>
  <c r="J5864" i="3"/>
  <c r="J5863" i="3"/>
  <c r="J5862" i="3"/>
  <c r="J5861" i="3"/>
  <c r="J5860" i="3"/>
  <c r="J5859" i="3"/>
  <c r="J5858" i="3"/>
  <c r="J5857" i="3"/>
  <c r="J5856" i="3"/>
  <c r="J5855" i="3"/>
  <c r="J5854" i="3"/>
  <c r="J5853" i="3"/>
  <c r="J5852" i="3"/>
  <c r="J5851" i="3"/>
  <c r="J5850" i="3"/>
  <c r="J5849" i="3"/>
  <c r="J5848" i="3"/>
  <c r="J5847" i="3"/>
  <c r="J5846" i="3"/>
  <c r="J5845" i="3"/>
  <c r="J5844" i="3"/>
  <c r="J5843" i="3"/>
  <c r="J5842" i="3"/>
  <c r="J5841" i="3"/>
  <c r="J5840" i="3"/>
  <c r="J5839" i="3"/>
  <c r="J5838" i="3"/>
  <c r="J5837" i="3"/>
  <c r="J5836" i="3"/>
  <c r="J5835" i="3"/>
  <c r="J5834" i="3"/>
  <c r="J5833" i="3"/>
  <c r="J5832" i="3"/>
  <c r="J5831" i="3"/>
  <c r="J5830" i="3"/>
  <c r="J5829" i="3"/>
  <c r="J5828" i="3"/>
  <c r="J5827" i="3"/>
  <c r="J5826" i="3"/>
  <c r="J5825" i="3"/>
  <c r="J5824" i="3"/>
  <c r="J5823" i="3"/>
  <c r="J5822" i="3"/>
  <c r="J5821" i="3"/>
  <c r="J5820" i="3"/>
  <c r="J5819" i="3"/>
  <c r="J5818" i="3"/>
  <c r="J5817" i="3"/>
  <c r="J5816" i="3"/>
  <c r="J5815" i="3"/>
  <c r="J5814" i="3"/>
  <c r="J5813" i="3"/>
  <c r="J5812" i="3"/>
  <c r="J5811" i="3"/>
  <c r="J5810" i="3"/>
  <c r="J5809" i="3"/>
  <c r="J5808" i="3"/>
  <c r="J5807" i="3"/>
  <c r="J5806" i="3"/>
  <c r="J5805" i="3"/>
  <c r="J5804" i="3"/>
  <c r="J5803" i="3"/>
  <c r="J5802" i="3"/>
  <c r="J5801" i="3"/>
  <c r="J5800" i="3"/>
  <c r="J5799" i="3"/>
  <c r="J5798" i="3"/>
  <c r="J5797" i="3"/>
  <c r="J5796" i="3"/>
  <c r="J5795" i="3"/>
  <c r="J5794" i="3"/>
  <c r="J5793" i="3"/>
  <c r="J5792" i="3"/>
  <c r="J5791" i="3"/>
  <c r="J5790" i="3"/>
  <c r="J5789" i="3"/>
  <c r="J5788" i="3"/>
  <c r="J5787" i="3"/>
  <c r="J5786" i="3"/>
  <c r="J5785" i="3"/>
  <c r="J5784" i="3"/>
  <c r="J5783" i="3"/>
  <c r="J5782" i="3"/>
  <c r="J5781" i="3"/>
  <c r="J5780" i="3"/>
  <c r="J5779" i="3"/>
  <c r="J5778" i="3"/>
  <c r="J5777" i="3"/>
  <c r="J5776" i="3"/>
  <c r="J5775" i="3"/>
  <c r="J5774" i="3"/>
  <c r="J5773" i="3"/>
  <c r="J5772" i="3"/>
  <c r="J5771" i="3"/>
  <c r="J5770" i="3"/>
  <c r="J5769" i="3"/>
  <c r="J5768" i="3"/>
  <c r="J5767" i="3"/>
  <c r="J5766" i="3"/>
  <c r="J5765" i="3"/>
  <c r="J5764" i="3"/>
  <c r="J5763" i="3"/>
  <c r="J5762" i="3"/>
  <c r="J5761" i="3"/>
  <c r="J5760" i="3"/>
  <c r="J5759" i="3"/>
  <c r="J5758" i="3"/>
  <c r="J5757" i="3"/>
  <c r="J5756" i="3"/>
  <c r="J5755" i="3"/>
  <c r="J5754" i="3"/>
  <c r="J5753" i="3"/>
  <c r="J5752" i="3"/>
  <c r="J5751" i="3"/>
  <c r="J5750" i="3"/>
  <c r="J5749" i="3"/>
  <c r="J5748" i="3"/>
  <c r="J5747" i="3"/>
  <c r="J5746" i="3"/>
  <c r="J5745" i="3"/>
  <c r="J5744" i="3"/>
  <c r="J5743" i="3"/>
  <c r="J5742" i="3"/>
  <c r="J5741" i="3"/>
  <c r="J5740" i="3"/>
  <c r="J5739" i="3"/>
  <c r="J5738" i="3"/>
  <c r="J5737" i="3"/>
  <c r="J5736" i="3"/>
  <c r="J5735" i="3"/>
  <c r="J5734" i="3"/>
  <c r="J5733" i="3"/>
  <c r="J5732" i="3"/>
  <c r="J5731" i="3"/>
  <c r="J5730" i="3"/>
  <c r="J5729" i="3"/>
  <c r="J5728" i="3"/>
  <c r="J5727" i="3"/>
  <c r="J5726" i="3"/>
  <c r="J5725" i="3"/>
  <c r="J5724" i="3"/>
  <c r="J5723" i="3"/>
  <c r="J5722" i="3"/>
  <c r="J5721" i="3"/>
  <c r="J5720" i="3"/>
  <c r="J5719" i="3"/>
  <c r="J5718" i="3"/>
  <c r="J5717" i="3"/>
  <c r="J5716" i="3"/>
  <c r="J5715" i="3"/>
  <c r="J5714" i="3"/>
  <c r="J5713" i="3"/>
  <c r="J5712" i="3"/>
  <c r="J5711" i="3"/>
  <c r="J5710" i="3"/>
  <c r="J5709" i="3"/>
  <c r="J5708" i="3"/>
  <c r="J5707" i="3"/>
  <c r="J5706" i="3"/>
  <c r="J5705" i="3"/>
  <c r="J5704" i="3"/>
  <c r="J5703" i="3"/>
  <c r="J5702" i="3"/>
  <c r="J5701" i="3"/>
  <c r="J5700" i="3"/>
  <c r="J5699" i="3"/>
  <c r="J5698" i="3"/>
  <c r="J5697" i="3"/>
  <c r="J5696" i="3"/>
  <c r="J5695" i="3"/>
  <c r="J5694" i="3"/>
  <c r="J5693" i="3"/>
  <c r="J5692" i="3"/>
  <c r="J5691" i="3"/>
  <c r="J5690" i="3"/>
  <c r="J5689" i="3"/>
  <c r="J5688" i="3"/>
  <c r="J5687" i="3"/>
  <c r="J5686" i="3"/>
  <c r="J5685" i="3"/>
  <c r="J5684" i="3"/>
  <c r="J5683" i="3"/>
  <c r="J5682" i="3"/>
  <c r="J5681" i="3"/>
  <c r="J5680" i="3"/>
  <c r="J5679" i="3"/>
  <c r="J5678" i="3"/>
  <c r="J5677" i="3"/>
  <c r="J5676" i="3"/>
  <c r="J5675" i="3"/>
  <c r="J5674" i="3"/>
  <c r="J5673" i="3"/>
  <c r="J5672" i="3"/>
  <c r="J5671" i="3"/>
  <c r="J5670" i="3"/>
  <c r="J5669" i="3"/>
  <c r="J5668" i="3"/>
  <c r="J5667" i="3"/>
  <c r="J5666" i="3"/>
  <c r="J5665" i="3"/>
  <c r="J5664" i="3"/>
  <c r="J5663" i="3"/>
  <c r="J5662" i="3"/>
  <c r="J5661" i="3"/>
  <c r="J5660" i="3"/>
  <c r="J5659" i="3"/>
  <c r="J5658" i="3"/>
  <c r="J5657" i="3"/>
  <c r="J5656" i="3"/>
  <c r="J5655" i="3"/>
  <c r="J5654" i="3"/>
  <c r="J5653" i="3"/>
  <c r="J5652" i="3"/>
  <c r="J5651" i="3"/>
  <c r="J5650" i="3"/>
  <c r="J5649" i="3"/>
  <c r="J5648" i="3"/>
  <c r="J5647" i="3"/>
  <c r="J5646" i="3"/>
  <c r="J5645" i="3"/>
  <c r="J5644" i="3"/>
  <c r="J5643" i="3"/>
  <c r="J5642" i="3"/>
  <c r="J5641" i="3"/>
  <c r="J5640" i="3"/>
  <c r="J5639" i="3"/>
  <c r="J5638" i="3"/>
  <c r="J5637" i="3"/>
  <c r="J5636" i="3"/>
  <c r="J5635" i="3"/>
  <c r="J5634" i="3"/>
  <c r="J5633" i="3"/>
  <c r="J5632" i="3"/>
  <c r="J5631" i="3"/>
  <c r="J5630" i="3"/>
  <c r="J5629" i="3"/>
  <c r="J5628" i="3"/>
  <c r="J5627" i="3"/>
  <c r="J5626" i="3"/>
  <c r="J5625" i="3"/>
  <c r="J5624" i="3"/>
  <c r="J5623" i="3"/>
  <c r="J5622" i="3"/>
  <c r="J5621" i="3"/>
  <c r="J5620" i="3"/>
  <c r="J5619" i="3"/>
  <c r="J5618" i="3"/>
  <c r="J5617" i="3"/>
  <c r="J5616" i="3"/>
  <c r="J5615" i="3"/>
  <c r="J5614" i="3"/>
  <c r="J5613" i="3"/>
  <c r="J5612" i="3"/>
  <c r="J5611" i="3"/>
  <c r="J5610" i="3"/>
  <c r="J5609" i="3"/>
  <c r="J5608" i="3"/>
  <c r="J5607" i="3"/>
  <c r="J5606" i="3"/>
  <c r="J5605" i="3"/>
  <c r="J5604" i="3"/>
  <c r="J5603" i="3"/>
  <c r="J5602" i="3"/>
  <c r="J5601" i="3"/>
  <c r="J5600" i="3"/>
  <c r="J5599" i="3"/>
  <c r="J5598" i="3"/>
  <c r="J5597" i="3"/>
  <c r="J5596" i="3"/>
  <c r="J5595" i="3"/>
  <c r="J5594" i="3"/>
  <c r="J5593" i="3"/>
  <c r="J5592" i="3"/>
  <c r="J5591" i="3"/>
  <c r="J5590" i="3"/>
  <c r="J5589" i="3"/>
  <c r="J5588" i="3"/>
  <c r="J5587" i="3"/>
  <c r="J5586" i="3"/>
  <c r="J5585" i="3"/>
  <c r="J5584" i="3"/>
  <c r="J5583" i="3"/>
  <c r="J5582" i="3"/>
  <c r="J5581" i="3"/>
  <c r="J5580" i="3"/>
  <c r="J5579" i="3"/>
  <c r="J5578" i="3"/>
  <c r="J5577" i="3"/>
  <c r="J5576" i="3"/>
  <c r="J5575" i="3"/>
  <c r="J5574" i="3"/>
  <c r="J5573" i="3"/>
  <c r="J5572" i="3"/>
  <c r="J5571" i="3"/>
  <c r="J5570" i="3"/>
  <c r="J5569" i="3"/>
  <c r="J5568" i="3"/>
  <c r="J5567" i="3"/>
  <c r="J5566" i="3"/>
  <c r="J5565" i="3"/>
  <c r="J5564" i="3"/>
  <c r="J5563" i="3"/>
  <c r="J5562" i="3"/>
  <c r="J5561" i="3"/>
  <c r="J5560" i="3"/>
  <c r="J5559" i="3"/>
  <c r="J5558" i="3"/>
  <c r="J5557" i="3"/>
  <c r="J5556" i="3"/>
  <c r="J5555" i="3"/>
  <c r="J5554" i="3"/>
  <c r="J5553" i="3"/>
  <c r="J5552" i="3"/>
  <c r="J5551" i="3"/>
  <c r="J5550" i="3"/>
  <c r="J5549" i="3"/>
  <c r="J5548" i="3"/>
  <c r="J5547" i="3"/>
  <c r="J5546" i="3"/>
  <c r="J5545" i="3"/>
  <c r="J5544" i="3"/>
  <c r="J5543" i="3"/>
  <c r="J5542" i="3"/>
  <c r="J5541" i="3"/>
  <c r="J5540" i="3"/>
  <c r="J5539" i="3"/>
  <c r="J5538" i="3"/>
  <c r="J5537" i="3"/>
  <c r="J5536" i="3"/>
  <c r="J5535" i="3"/>
  <c r="J5534" i="3"/>
  <c r="J5533" i="3"/>
  <c r="J5532" i="3"/>
  <c r="J5531" i="3"/>
  <c r="J5530" i="3"/>
  <c r="J5529" i="3"/>
  <c r="J5528" i="3"/>
  <c r="J5527" i="3"/>
  <c r="J5526" i="3"/>
  <c r="J5525" i="3"/>
  <c r="J5524" i="3"/>
  <c r="J5523" i="3"/>
  <c r="J5522" i="3"/>
  <c r="J5521" i="3"/>
  <c r="J5520" i="3"/>
  <c r="J5519" i="3"/>
  <c r="J5518" i="3"/>
  <c r="J5517" i="3"/>
  <c r="J5516" i="3"/>
  <c r="J5515" i="3"/>
  <c r="J5514" i="3"/>
  <c r="J5513" i="3"/>
  <c r="J5512" i="3"/>
  <c r="J5511" i="3"/>
  <c r="J5510" i="3"/>
  <c r="J5509" i="3"/>
  <c r="J5508" i="3"/>
  <c r="J5507" i="3"/>
  <c r="J5506" i="3"/>
  <c r="J5505" i="3"/>
  <c r="J5504" i="3"/>
  <c r="J5503" i="3"/>
  <c r="J5502" i="3"/>
  <c r="J5501" i="3"/>
  <c r="J5500" i="3"/>
  <c r="J5499" i="3"/>
  <c r="J5498" i="3"/>
  <c r="J5497" i="3"/>
  <c r="J5496" i="3"/>
  <c r="J5495" i="3"/>
  <c r="J5494" i="3"/>
  <c r="J5493" i="3"/>
  <c r="J5492" i="3"/>
  <c r="J5491" i="3"/>
  <c r="J5490" i="3"/>
  <c r="J5489" i="3"/>
  <c r="J5488" i="3"/>
  <c r="J5487" i="3"/>
  <c r="J5486" i="3"/>
  <c r="J5485" i="3"/>
  <c r="J5484" i="3"/>
  <c r="J5483" i="3"/>
  <c r="J5482" i="3"/>
  <c r="J5481" i="3"/>
  <c r="J5480" i="3"/>
  <c r="J5479" i="3"/>
  <c r="J5478" i="3"/>
  <c r="J5477" i="3"/>
  <c r="J5476" i="3"/>
  <c r="J5475" i="3"/>
  <c r="J5474" i="3"/>
  <c r="J5473" i="3"/>
  <c r="J5472" i="3"/>
  <c r="J5471" i="3"/>
  <c r="J5470" i="3"/>
  <c r="J5469" i="3"/>
  <c r="J5468" i="3"/>
  <c r="J5467" i="3"/>
  <c r="J5466" i="3"/>
  <c r="J5465" i="3"/>
  <c r="J5464" i="3"/>
  <c r="J5463" i="3"/>
  <c r="J5462" i="3"/>
  <c r="J5461" i="3"/>
  <c r="J5460" i="3"/>
  <c r="J5459" i="3"/>
  <c r="J5458" i="3"/>
  <c r="J5457" i="3"/>
  <c r="J5456" i="3"/>
  <c r="J5455" i="3"/>
  <c r="J5454" i="3"/>
  <c r="J5453" i="3"/>
  <c r="J5452" i="3"/>
  <c r="J5451" i="3"/>
  <c r="J5450" i="3"/>
  <c r="J5449" i="3"/>
  <c r="J5448" i="3"/>
  <c r="J5447" i="3"/>
  <c r="J5446" i="3"/>
  <c r="J5445" i="3"/>
  <c r="J5444" i="3"/>
  <c r="J5443" i="3"/>
  <c r="J5442" i="3"/>
  <c r="J5441" i="3"/>
  <c r="J5440" i="3"/>
  <c r="J5439" i="3"/>
  <c r="J5438" i="3"/>
  <c r="J5437" i="3"/>
  <c r="J5436" i="3"/>
  <c r="J5435" i="3"/>
  <c r="J5434" i="3"/>
  <c r="J5433" i="3"/>
  <c r="J5432" i="3"/>
  <c r="J5431" i="3"/>
  <c r="J5430" i="3"/>
  <c r="J5429" i="3"/>
  <c r="J5428" i="3"/>
  <c r="J5427" i="3"/>
  <c r="J5426" i="3"/>
  <c r="J5425" i="3"/>
  <c r="J5424" i="3"/>
  <c r="J5423" i="3"/>
  <c r="J5422" i="3"/>
  <c r="J5421" i="3"/>
  <c r="J5420" i="3"/>
  <c r="J5419" i="3"/>
  <c r="J5418" i="3"/>
  <c r="J5417" i="3"/>
  <c r="J5416" i="3"/>
  <c r="J5415" i="3"/>
  <c r="J5414" i="3"/>
  <c r="J5413" i="3"/>
  <c r="J5412" i="3"/>
  <c r="J5411" i="3"/>
  <c r="J5410" i="3"/>
  <c r="J5409" i="3"/>
  <c r="J5408" i="3"/>
  <c r="J5407" i="3"/>
  <c r="J5406" i="3"/>
  <c r="J5405" i="3"/>
  <c r="J5404" i="3"/>
  <c r="J5403" i="3"/>
  <c r="J5402" i="3"/>
  <c r="J5401" i="3"/>
  <c r="J5400" i="3"/>
  <c r="J5399" i="3"/>
  <c r="J5398" i="3"/>
  <c r="J5397" i="3"/>
  <c r="J5396" i="3"/>
  <c r="J5395" i="3"/>
  <c r="J5394" i="3"/>
  <c r="J5393" i="3"/>
  <c r="J5392" i="3"/>
  <c r="J5391" i="3"/>
  <c r="J5390" i="3"/>
  <c r="J5389" i="3"/>
  <c r="J5388" i="3"/>
  <c r="J5387" i="3"/>
  <c r="J5386" i="3"/>
  <c r="J5385" i="3"/>
  <c r="J5384" i="3"/>
  <c r="J5383" i="3"/>
  <c r="J5382" i="3"/>
  <c r="J5381" i="3"/>
  <c r="J5380" i="3"/>
  <c r="J5379" i="3"/>
  <c r="J5378" i="3"/>
  <c r="J5377" i="3"/>
  <c r="J5376" i="3"/>
  <c r="J5375" i="3"/>
  <c r="J5374" i="3"/>
  <c r="J5373" i="3"/>
  <c r="J5372" i="3"/>
  <c r="J5371" i="3"/>
  <c r="J5370" i="3"/>
  <c r="J5369" i="3"/>
  <c r="J5368" i="3"/>
  <c r="J5367" i="3"/>
  <c r="J5366" i="3"/>
  <c r="J5365" i="3"/>
  <c r="J5364" i="3"/>
  <c r="J5363" i="3"/>
  <c r="J5362" i="3"/>
  <c r="J5361" i="3"/>
  <c r="J5360" i="3"/>
  <c r="J5359" i="3"/>
  <c r="J5358" i="3"/>
  <c r="J5357" i="3"/>
  <c r="J5356" i="3"/>
  <c r="J5355" i="3"/>
  <c r="J5354" i="3"/>
  <c r="J5353" i="3"/>
  <c r="J5352" i="3"/>
  <c r="J5351" i="3"/>
  <c r="J5350" i="3"/>
  <c r="J5349" i="3"/>
  <c r="J5348" i="3"/>
  <c r="J5347" i="3"/>
  <c r="J5346" i="3"/>
  <c r="J5345" i="3"/>
  <c r="J5344" i="3"/>
  <c r="J5343" i="3"/>
  <c r="J5342" i="3"/>
  <c r="J5341" i="3"/>
  <c r="J5340" i="3"/>
  <c r="J5339" i="3"/>
  <c r="J5338" i="3"/>
  <c r="J5337" i="3"/>
  <c r="J5336" i="3"/>
  <c r="J5335" i="3"/>
  <c r="J5334" i="3"/>
  <c r="J5333" i="3"/>
  <c r="J5332" i="3"/>
  <c r="J5331" i="3"/>
  <c r="J5330" i="3"/>
  <c r="J5329" i="3"/>
  <c r="J5328" i="3"/>
  <c r="J5327" i="3"/>
  <c r="J5326" i="3"/>
  <c r="J5325" i="3"/>
  <c r="J5324" i="3"/>
  <c r="J5323" i="3"/>
  <c r="J5322" i="3"/>
  <c r="J5321" i="3"/>
  <c r="J5320" i="3"/>
  <c r="J5319" i="3"/>
  <c r="J5318" i="3"/>
  <c r="J5317" i="3"/>
  <c r="J5316" i="3"/>
  <c r="J5315" i="3"/>
  <c r="J5314" i="3"/>
  <c r="J5313" i="3"/>
  <c r="J5312" i="3"/>
  <c r="J5311" i="3"/>
  <c r="J5310" i="3"/>
  <c r="J5309" i="3"/>
  <c r="J5308" i="3"/>
  <c r="J5307" i="3"/>
  <c r="J5306" i="3"/>
  <c r="J5305" i="3"/>
  <c r="J5304" i="3"/>
  <c r="J5303" i="3"/>
  <c r="J5302" i="3"/>
  <c r="J5301" i="3"/>
  <c r="J5300" i="3"/>
  <c r="J5299" i="3"/>
  <c r="J5298" i="3"/>
  <c r="J5297" i="3"/>
  <c r="J5296" i="3"/>
  <c r="J5295" i="3"/>
  <c r="J5294" i="3"/>
  <c r="J5293" i="3"/>
  <c r="J5292" i="3"/>
  <c r="J5291" i="3"/>
  <c r="J5290" i="3"/>
  <c r="J5289" i="3"/>
  <c r="J5288" i="3"/>
  <c r="J5287" i="3"/>
  <c r="J5286" i="3"/>
  <c r="J5285" i="3"/>
  <c r="J5284" i="3"/>
  <c r="J5283" i="3"/>
  <c r="J5282" i="3"/>
  <c r="J5281" i="3"/>
  <c r="J5280" i="3"/>
  <c r="J5279" i="3"/>
  <c r="J5278" i="3"/>
  <c r="J5277" i="3"/>
  <c r="J5276" i="3"/>
  <c r="J5275" i="3"/>
  <c r="J5274" i="3"/>
  <c r="J5273" i="3"/>
  <c r="J5272" i="3"/>
  <c r="J5271" i="3"/>
  <c r="J5270" i="3"/>
  <c r="J5269" i="3"/>
  <c r="J5268" i="3"/>
  <c r="J5267" i="3"/>
  <c r="J5266" i="3"/>
  <c r="J5265" i="3"/>
  <c r="J5264" i="3"/>
  <c r="J5263" i="3"/>
  <c r="J5262" i="3"/>
  <c r="J5261" i="3"/>
  <c r="J5260" i="3"/>
  <c r="J5259" i="3"/>
  <c r="J5258" i="3"/>
  <c r="J5257" i="3"/>
  <c r="J5256" i="3"/>
  <c r="J5255" i="3"/>
  <c r="J5254" i="3"/>
  <c r="J5253" i="3"/>
  <c r="J5252" i="3"/>
  <c r="J5251" i="3"/>
  <c r="J5250" i="3"/>
  <c r="J5249" i="3"/>
  <c r="J5248" i="3"/>
  <c r="J5247" i="3"/>
  <c r="J5246" i="3"/>
  <c r="J5245" i="3"/>
  <c r="J5244" i="3"/>
  <c r="J5243" i="3"/>
  <c r="J5242" i="3"/>
  <c r="J5241" i="3"/>
  <c r="J5240" i="3"/>
  <c r="J5239" i="3"/>
  <c r="J5238" i="3"/>
  <c r="J5237" i="3"/>
  <c r="J5236" i="3"/>
  <c r="J5235" i="3"/>
  <c r="J5234" i="3"/>
  <c r="J5233" i="3"/>
  <c r="J5232" i="3"/>
  <c r="J5231" i="3"/>
  <c r="J5230" i="3"/>
  <c r="J5229" i="3"/>
  <c r="J5228" i="3"/>
  <c r="J5227" i="3"/>
  <c r="J5226" i="3"/>
  <c r="J5225" i="3"/>
  <c r="J5224" i="3"/>
  <c r="J5223" i="3"/>
  <c r="J5222" i="3"/>
  <c r="J5221" i="3"/>
  <c r="J5220" i="3"/>
  <c r="J5219" i="3"/>
  <c r="J5218" i="3"/>
  <c r="J5217" i="3"/>
  <c r="J5216" i="3"/>
  <c r="J5215" i="3"/>
  <c r="J5214" i="3"/>
  <c r="J5213" i="3"/>
  <c r="J5212" i="3"/>
  <c r="J5211" i="3"/>
  <c r="J5210" i="3"/>
  <c r="J5209" i="3"/>
  <c r="J5208" i="3"/>
  <c r="J5207" i="3"/>
  <c r="J5206" i="3"/>
  <c r="J5205" i="3"/>
  <c r="J5204" i="3"/>
  <c r="J5203" i="3"/>
  <c r="J5202" i="3"/>
  <c r="J5201" i="3"/>
  <c r="J5200" i="3"/>
  <c r="J5199" i="3"/>
  <c r="J5198" i="3"/>
  <c r="J5197" i="3"/>
  <c r="J5196" i="3"/>
  <c r="J5195" i="3"/>
  <c r="J5194" i="3"/>
  <c r="J5193" i="3"/>
  <c r="J5192" i="3"/>
  <c r="J5191" i="3"/>
  <c r="J5190" i="3"/>
  <c r="J5189" i="3"/>
  <c r="J5188" i="3"/>
  <c r="J5187" i="3"/>
  <c r="J5186" i="3"/>
  <c r="J5185" i="3"/>
  <c r="J5184" i="3"/>
  <c r="J5183" i="3"/>
  <c r="J5182" i="3"/>
  <c r="J5181" i="3"/>
  <c r="J5180" i="3"/>
  <c r="J5179" i="3"/>
  <c r="J5178" i="3"/>
  <c r="J5177" i="3"/>
  <c r="J5176" i="3"/>
  <c r="J5175" i="3"/>
  <c r="J5174" i="3"/>
  <c r="J5173" i="3"/>
  <c r="J5172" i="3"/>
  <c r="J5171" i="3"/>
  <c r="J5170" i="3"/>
  <c r="J5169" i="3"/>
  <c r="J5168" i="3"/>
  <c r="J5167" i="3"/>
  <c r="J5166" i="3"/>
  <c r="J5165" i="3"/>
  <c r="J5164" i="3"/>
  <c r="J5163" i="3"/>
  <c r="J5162" i="3"/>
  <c r="J5161" i="3"/>
  <c r="J5160" i="3"/>
  <c r="J5159" i="3"/>
  <c r="J5158" i="3"/>
  <c r="J5157" i="3"/>
  <c r="J5156" i="3"/>
  <c r="J5155" i="3"/>
  <c r="J5154" i="3"/>
  <c r="J5153" i="3"/>
  <c r="J5152" i="3"/>
  <c r="J5151" i="3"/>
  <c r="J5150" i="3"/>
  <c r="J5149" i="3"/>
  <c r="J5148" i="3"/>
  <c r="J5147" i="3"/>
  <c r="J5146" i="3"/>
  <c r="J5145" i="3"/>
  <c r="J5144" i="3"/>
  <c r="J5143" i="3"/>
  <c r="J5142" i="3"/>
  <c r="J5141" i="3"/>
  <c r="J5140" i="3"/>
  <c r="J5139" i="3"/>
  <c r="J5138" i="3"/>
  <c r="J5137" i="3"/>
  <c r="J5136" i="3"/>
  <c r="J5135" i="3"/>
  <c r="J5134" i="3"/>
  <c r="J5133" i="3"/>
  <c r="J5132" i="3"/>
  <c r="J5131" i="3"/>
  <c r="J5130" i="3"/>
  <c r="J5129" i="3"/>
  <c r="J5128" i="3"/>
  <c r="J5127" i="3"/>
  <c r="J5126" i="3"/>
  <c r="J5125" i="3"/>
  <c r="J5124" i="3"/>
  <c r="J5123" i="3"/>
  <c r="J5122" i="3"/>
  <c r="J5121" i="3"/>
  <c r="J5120" i="3"/>
  <c r="J5119" i="3"/>
  <c r="J5118" i="3"/>
  <c r="J5117" i="3"/>
  <c r="J5116" i="3"/>
  <c r="J5115" i="3"/>
  <c r="J5114" i="3"/>
  <c r="J5113" i="3"/>
  <c r="J5112" i="3"/>
  <c r="J5111" i="3"/>
  <c r="J5110" i="3"/>
  <c r="J5109" i="3"/>
  <c r="J5108" i="3"/>
  <c r="J5107" i="3"/>
  <c r="J5106" i="3"/>
  <c r="J5105" i="3"/>
  <c r="J5104" i="3"/>
  <c r="J5103" i="3"/>
  <c r="J5102" i="3"/>
  <c r="J5101" i="3"/>
  <c r="J5100" i="3"/>
  <c r="J5099" i="3"/>
  <c r="J5098" i="3"/>
  <c r="J5097" i="3"/>
  <c r="J5096" i="3"/>
  <c r="J5095" i="3"/>
  <c r="J5094" i="3"/>
  <c r="J5093" i="3"/>
  <c r="J5092" i="3"/>
  <c r="J5091" i="3"/>
  <c r="J5090" i="3"/>
  <c r="J5089" i="3"/>
  <c r="J5088" i="3"/>
  <c r="J5087" i="3"/>
  <c r="J5086" i="3"/>
  <c r="J5085" i="3"/>
  <c r="J5084" i="3"/>
  <c r="J5083" i="3"/>
  <c r="J5082" i="3"/>
  <c r="J5081" i="3"/>
  <c r="J5080" i="3"/>
  <c r="J5079" i="3"/>
  <c r="J5078" i="3"/>
  <c r="J5077" i="3"/>
  <c r="J5076" i="3"/>
  <c r="J5075" i="3"/>
  <c r="J5074" i="3"/>
  <c r="J5073" i="3"/>
  <c r="J5072" i="3"/>
  <c r="J5071" i="3"/>
  <c r="J5070" i="3"/>
  <c r="J5069" i="3"/>
  <c r="J5068" i="3"/>
  <c r="J5067" i="3"/>
  <c r="J5066" i="3"/>
  <c r="J5065" i="3"/>
  <c r="J5064" i="3"/>
  <c r="J5063" i="3"/>
  <c r="J5062" i="3"/>
  <c r="J5061" i="3"/>
  <c r="J5060" i="3"/>
  <c r="J5059" i="3"/>
  <c r="J5058" i="3"/>
  <c r="J5057" i="3"/>
  <c r="J5056" i="3"/>
  <c r="J5055" i="3"/>
  <c r="J5054" i="3"/>
  <c r="J5053" i="3"/>
  <c r="J5052" i="3"/>
  <c r="J5051" i="3"/>
  <c r="J5050" i="3"/>
  <c r="J5049" i="3"/>
  <c r="J5048" i="3"/>
  <c r="J5047" i="3"/>
  <c r="J5046" i="3"/>
  <c r="J5045" i="3"/>
  <c r="J5044" i="3"/>
  <c r="J5043" i="3"/>
  <c r="J5042" i="3"/>
  <c r="J5041" i="3"/>
  <c r="J5040" i="3"/>
  <c r="J5039" i="3"/>
  <c r="J5038" i="3"/>
  <c r="J5037" i="3"/>
  <c r="J5036" i="3"/>
  <c r="J5035" i="3"/>
  <c r="J5034" i="3"/>
  <c r="J5033" i="3"/>
  <c r="J5032" i="3"/>
  <c r="J5031" i="3"/>
  <c r="J5030" i="3"/>
  <c r="J5029" i="3"/>
  <c r="J5028" i="3"/>
  <c r="J5027" i="3"/>
  <c r="J5026" i="3"/>
  <c r="J5025" i="3"/>
  <c r="J5024" i="3"/>
  <c r="J5023" i="3"/>
  <c r="J5022" i="3"/>
  <c r="J5021" i="3"/>
  <c r="J5020" i="3"/>
  <c r="J5019" i="3"/>
  <c r="J5018" i="3"/>
  <c r="J5017" i="3"/>
  <c r="J5016" i="3"/>
  <c r="J5015" i="3"/>
  <c r="J5014" i="3"/>
  <c r="J5013" i="3"/>
  <c r="J5012" i="3"/>
  <c r="J5011" i="3"/>
  <c r="J5010" i="3"/>
  <c r="J5009" i="3"/>
  <c r="J5008" i="3"/>
  <c r="J5007" i="3"/>
  <c r="J5006" i="3"/>
  <c r="J5005" i="3"/>
  <c r="J5004" i="3"/>
  <c r="J5003" i="3"/>
  <c r="J5002" i="3"/>
  <c r="J5001" i="3"/>
  <c r="J5000" i="3"/>
  <c r="J4999" i="3"/>
  <c r="J4998" i="3"/>
  <c r="J4997" i="3"/>
  <c r="J4996" i="3"/>
  <c r="J4995" i="3"/>
  <c r="J4994" i="3"/>
  <c r="J4993" i="3"/>
  <c r="J4992" i="3"/>
  <c r="J4991" i="3"/>
  <c r="J4990" i="3"/>
  <c r="J4989" i="3"/>
  <c r="J4988" i="3"/>
  <c r="J4987" i="3"/>
  <c r="J4986" i="3"/>
  <c r="J4985" i="3"/>
  <c r="J4984" i="3"/>
  <c r="J4983" i="3"/>
  <c r="J4982" i="3"/>
  <c r="J4981" i="3"/>
  <c r="J4980" i="3"/>
  <c r="J4979" i="3"/>
  <c r="J4978" i="3"/>
  <c r="J4977" i="3"/>
  <c r="J4976" i="3"/>
  <c r="J4975" i="3"/>
  <c r="J4974" i="3"/>
  <c r="J4973" i="3"/>
  <c r="J4972" i="3"/>
  <c r="J4971" i="3"/>
  <c r="J4970" i="3"/>
  <c r="J4969" i="3"/>
  <c r="J4968" i="3"/>
  <c r="J4967" i="3"/>
  <c r="J4966" i="3"/>
  <c r="J4965" i="3"/>
  <c r="J4964" i="3"/>
  <c r="J4963" i="3"/>
  <c r="J4962" i="3"/>
  <c r="J4961" i="3"/>
  <c r="J4960" i="3"/>
  <c r="J4959" i="3"/>
  <c r="J4958" i="3"/>
  <c r="J4957" i="3"/>
  <c r="J4956" i="3"/>
  <c r="J4955" i="3"/>
  <c r="J4954" i="3"/>
  <c r="J4953" i="3"/>
  <c r="J4952" i="3"/>
  <c r="J4951" i="3"/>
  <c r="J4950" i="3"/>
  <c r="J4949" i="3"/>
  <c r="J4948" i="3"/>
  <c r="J4947" i="3"/>
  <c r="J4946" i="3"/>
  <c r="J4945" i="3"/>
  <c r="J4944" i="3"/>
  <c r="J4943" i="3"/>
  <c r="J4942" i="3"/>
  <c r="J4941" i="3"/>
  <c r="J4940" i="3"/>
  <c r="J4939" i="3"/>
  <c r="J4938" i="3"/>
  <c r="J4937" i="3"/>
  <c r="J4936" i="3"/>
  <c r="J4935" i="3"/>
  <c r="J4934" i="3"/>
  <c r="J4933" i="3"/>
  <c r="J4932" i="3"/>
  <c r="J4931" i="3"/>
  <c r="J4930" i="3"/>
  <c r="J4929" i="3"/>
  <c r="J4928" i="3"/>
  <c r="J4927" i="3"/>
  <c r="J4926" i="3"/>
  <c r="J4925" i="3"/>
  <c r="J4924" i="3"/>
  <c r="J4923" i="3"/>
  <c r="J4922" i="3"/>
  <c r="J4921" i="3"/>
  <c r="J4920" i="3"/>
  <c r="J4919" i="3"/>
  <c r="J4918" i="3"/>
  <c r="J4917" i="3"/>
  <c r="J4916" i="3"/>
  <c r="J4915" i="3"/>
  <c r="J4914" i="3"/>
  <c r="J4913" i="3"/>
  <c r="J4912" i="3"/>
  <c r="J4911" i="3"/>
  <c r="J4910" i="3"/>
  <c r="J4909" i="3"/>
  <c r="J4908" i="3"/>
  <c r="J4907" i="3"/>
  <c r="J4906" i="3"/>
  <c r="J4905" i="3"/>
  <c r="J4904" i="3"/>
  <c r="J4903" i="3"/>
  <c r="J4902" i="3"/>
  <c r="J4901" i="3"/>
  <c r="J4900" i="3"/>
  <c r="J4899" i="3"/>
  <c r="J4898" i="3"/>
  <c r="J4897" i="3"/>
  <c r="J4896" i="3"/>
  <c r="J4895" i="3"/>
  <c r="J4894" i="3"/>
  <c r="J4893" i="3"/>
  <c r="J4892" i="3"/>
  <c r="J4891" i="3"/>
  <c r="J4890" i="3"/>
  <c r="J4889" i="3"/>
  <c r="J4888" i="3"/>
  <c r="J4887" i="3"/>
  <c r="J4886" i="3"/>
  <c r="J4885" i="3"/>
  <c r="J4884" i="3"/>
  <c r="J4883" i="3"/>
  <c r="J4882" i="3"/>
  <c r="J4881" i="3"/>
  <c r="J4880" i="3"/>
  <c r="J4879" i="3"/>
  <c r="J4878" i="3"/>
  <c r="J4877" i="3"/>
  <c r="J4876" i="3"/>
  <c r="J4875" i="3"/>
  <c r="J4874" i="3"/>
  <c r="J4873" i="3"/>
  <c r="J4872" i="3"/>
  <c r="J4871" i="3"/>
  <c r="J4870" i="3"/>
  <c r="J4869" i="3"/>
  <c r="J4868" i="3"/>
  <c r="J4867" i="3"/>
  <c r="J4866" i="3"/>
  <c r="J4865" i="3"/>
  <c r="J4864" i="3"/>
  <c r="J4863" i="3"/>
  <c r="J4862" i="3"/>
  <c r="J4861" i="3"/>
  <c r="J4860" i="3"/>
  <c r="J4859" i="3"/>
  <c r="J4858" i="3"/>
  <c r="J4857" i="3"/>
  <c r="J4856" i="3"/>
  <c r="J4855" i="3"/>
  <c r="J4854" i="3"/>
  <c r="J4853" i="3"/>
  <c r="J4852" i="3"/>
  <c r="J4851" i="3"/>
  <c r="J4850" i="3"/>
  <c r="J4849" i="3"/>
  <c r="J4848" i="3"/>
  <c r="J4847" i="3"/>
  <c r="J4846" i="3"/>
  <c r="J4845" i="3"/>
  <c r="J4844" i="3"/>
  <c r="J4843" i="3"/>
  <c r="J4842" i="3"/>
  <c r="J4841" i="3"/>
  <c r="J4840" i="3"/>
  <c r="J4839" i="3"/>
  <c r="J4838" i="3"/>
  <c r="J4837" i="3"/>
  <c r="J4836" i="3"/>
  <c r="J4835" i="3"/>
  <c r="J4834" i="3"/>
  <c r="J4833" i="3"/>
  <c r="J4832" i="3"/>
  <c r="J4831" i="3"/>
  <c r="J4830" i="3"/>
  <c r="J4829" i="3"/>
  <c r="J4828" i="3"/>
  <c r="J4827" i="3"/>
  <c r="J4826" i="3"/>
  <c r="J4825" i="3"/>
  <c r="J4824" i="3"/>
  <c r="J4823" i="3"/>
  <c r="J4822" i="3"/>
  <c r="J4821" i="3"/>
  <c r="J4820" i="3"/>
  <c r="J4819" i="3"/>
  <c r="J4818" i="3"/>
  <c r="J4817" i="3"/>
  <c r="J4816" i="3"/>
  <c r="J4815" i="3"/>
  <c r="J4814" i="3"/>
  <c r="J4813" i="3"/>
  <c r="J4812" i="3"/>
  <c r="J4811" i="3"/>
  <c r="J4810" i="3"/>
  <c r="J4809" i="3"/>
  <c r="J4808" i="3"/>
  <c r="J4807" i="3"/>
  <c r="J4806" i="3"/>
  <c r="J4805" i="3"/>
  <c r="J4804" i="3"/>
  <c r="J4803" i="3"/>
  <c r="J4802" i="3"/>
  <c r="J4801" i="3"/>
  <c r="J4800" i="3"/>
  <c r="J4799" i="3"/>
  <c r="J4798" i="3"/>
  <c r="J4797" i="3"/>
  <c r="J4796" i="3"/>
  <c r="J4795" i="3"/>
  <c r="J4794" i="3"/>
  <c r="J4793" i="3"/>
  <c r="J4792" i="3"/>
  <c r="J4791" i="3"/>
  <c r="J4790" i="3"/>
  <c r="J4789" i="3"/>
  <c r="J4788" i="3"/>
  <c r="J4787" i="3"/>
  <c r="J4786" i="3"/>
  <c r="J4785" i="3"/>
  <c r="J4784" i="3"/>
  <c r="J4783" i="3"/>
  <c r="J4782" i="3"/>
  <c r="J4781" i="3"/>
  <c r="J4780" i="3"/>
  <c r="J4779" i="3"/>
  <c r="J4778" i="3"/>
  <c r="J4777" i="3"/>
  <c r="J4776" i="3"/>
  <c r="J4775" i="3"/>
  <c r="J4774" i="3"/>
  <c r="J4773" i="3"/>
  <c r="J4772" i="3"/>
  <c r="J4771" i="3"/>
  <c r="J4770" i="3"/>
  <c r="J4769" i="3"/>
  <c r="J4768" i="3"/>
  <c r="J4767" i="3"/>
  <c r="J4766" i="3"/>
  <c r="J4765" i="3"/>
  <c r="J4764" i="3"/>
  <c r="J4763" i="3"/>
  <c r="J4762" i="3"/>
  <c r="J4761" i="3"/>
  <c r="J4760" i="3"/>
  <c r="J4759" i="3"/>
  <c r="J4758" i="3"/>
  <c r="J4757" i="3"/>
  <c r="J4756" i="3"/>
  <c r="J4755" i="3"/>
  <c r="J4754" i="3"/>
  <c r="J4753" i="3"/>
  <c r="J4752" i="3"/>
  <c r="J4751" i="3"/>
  <c r="J4750" i="3"/>
  <c r="J4749" i="3"/>
  <c r="J4748" i="3"/>
  <c r="J4747" i="3"/>
  <c r="J4746" i="3"/>
  <c r="J4745" i="3"/>
  <c r="J4744" i="3"/>
  <c r="J4743" i="3"/>
  <c r="J4742" i="3"/>
  <c r="J4741" i="3"/>
  <c r="J4740" i="3"/>
  <c r="J4739" i="3"/>
  <c r="J4738" i="3"/>
  <c r="J4737" i="3"/>
  <c r="J4736" i="3"/>
  <c r="J4735" i="3"/>
  <c r="J4734" i="3"/>
  <c r="J4733" i="3"/>
  <c r="J4732" i="3"/>
  <c r="J4731" i="3"/>
  <c r="J4730" i="3"/>
  <c r="J4729" i="3"/>
  <c r="J4728" i="3"/>
  <c r="J4727" i="3"/>
  <c r="J4726" i="3"/>
  <c r="J4725" i="3"/>
  <c r="J4724" i="3"/>
  <c r="J4723" i="3"/>
  <c r="J4722" i="3"/>
  <c r="J4721" i="3"/>
  <c r="J4720" i="3"/>
  <c r="J4719" i="3"/>
  <c r="J4718" i="3"/>
  <c r="J4717" i="3"/>
  <c r="J4716" i="3"/>
  <c r="J4715" i="3"/>
  <c r="J4714" i="3"/>
  <c r="J4713" i="3"/>
  <c r="J4712" i="3"/>
  <c r="J4711" i="3"/>
  <c r="J4710" i="3"/>
  <c r="J4709" i="3"/>
  <c r="J4708" i="3"/>
  <c r="J4707" i="3"/>
  <c r="J4706" i="3"/>
  <c r="J4705" i="3"/>
  <c r="J4704" i="3"/>
  <c r="J4703" i="3"/>
  <c r="J4702" i="3"/>
  <c r="J4701" i="3"/>
  <c r="J4700" i="3"/>
  <c r="J4699" i="3"/>
  <c r="J4698" i="3"/>
  <c r="J4697" i="3"/>
  <c r="J4696" i="3"/>
  <c r="J4695" i="3"/>
  <c r="J4694" i="3"/>
  <c r="J4693" i="3"/>
  <c r="J4692" i="3"/>
  <c r="J4691" i="3"/>
  <c r="J4690" i="3"/>
  <c r="J4689" i="3"/>
  <c r="J4688" i="3"/>
  <c r="J4687" i="3"/>
  <c r="J4686" i="3"/>
  <c r="J4685" i="3"/>
  <c r="J4684" i="3"/>
  <c r="J4683" i="3"/>
  <c r="J4682" i="3"/>
  <c r="J4681" i="3"/>
  <c r="J4680" i="3"/>
  <c r="J4679" i="3"/>
  <c r="J4678" i="3"/>
  <c r="J4677" i="3"/>
  <c r="J4676" i="3"/>
  <c r="J4675" i="3"/>
  <c r="J4674" i="3"/>
  <c r="J4673" i="3"/>
  <c r="J4672" i="3"/>
  <c r="J4671" i="3"/>
  <c r="J4670" i="3"/>
  <c r="J4669" i="3"/>
  <c r="J4668" i="3"/>
  <c r="J4667" i="3"/>
  <c r="J4666" i="3"/>
  <c r="J4665" i="3"/>
  <c r="J4664" i="3"/>
  <c r="J4663" i="3"/>
  <c r="J4662" i="3"/>
  <c r="J4661" i="3"/>
  <c r="J4660" i="3"/>
  <c r="J4659" i="3"/>
  <c r="J4658" i="3"/>
  <c r="J4657" i="3"/>
  <c r="J4656" i="3"/>
  <c r="J4655" i="3"/>
  <c r="J4654" i="3"/>
  <c r="J4653" i="3"/>
  <c r="J4652" i="3"/>
  <c r="J4651" i="3"/>
  <c r="J4650" i="3"/>
  <c r="J4649" i="3"/>
  <c r="J4648" i="3"/>
  <c r="J4647" i="3"/>
  <c r="J4646" i="3"/>
  <c r="J4645" i="3"/>
  <c r="J4644" i="3"/>
  <c r="J4643" i="3"/>
  <c r="J4642" i="3"/>
  <c r="J4641" i="3"/>
  <c r="J4640" i="3"/>
  <c r="J4639" i="3"/>
  <c r="J4638" i="3"/>
  <c r="J4637" i="3"/>
  <c r="J4636" i="3"/>
  <c r="J4635" i="3"/>
  <c r="J4634" i="3"/>
  <c r="J4633" i="3"/>
  <c r="J4632" i="3"/>
  <c r="J4631" i="3"/>
  <c r="J4630" i="3"/>
  <c r="J4629" i="3"/>
  <c r="J4628" i="3"/>
  <c r="J4627" i="3"/>
  <c r="J4626" i="3"/>
  <c r="J4625" i="3"/>
  <c r="J4624" i="3"/>
  <c r="J4623" i="3"/>
  <c r="J4622" i="3"/>
  <c r="J4621" i="3"/>
  <c r="J4620" i="3"/>
  <c r="J4619" i="3"/>
  <c r="J4618" i="3"/>
  <c r="J4617" i="3"/>
  <c r="J4616" i="3"/>
  <c r="J4615" i="3"/>
  <c r="J4614" i="3"/>
  <c r="J4613" i="3"/>
  <c r="J4612" i="3"/>
  <c r="J4611" i="3"/>
  <c r="J4610" i="3"/>
  <c r="J4609" i="3"/>
  <c r="J4608" i="3"/>
  <c r="J4607" i="3"/>
  <c r="J4606" i="3"/>
  <c r="J4605" i="3"/>
  <c r="J4604" i="3"/>
  <c r="J4603" i="3"/>
  <c r="J4602" i="3"/>
  <c r="J4601" i="3"/>
  <c r="J4600" i="3"/>
  <c r="J4599" i="3"/>
  <c r="J4598" i="3"/>
  <c r="J4597" i="3"/>
  <c r="J4596" i="3"/>
  <c r="J4595" i="3"/>
  <c r="J4594" i="3"/>
  <c r="J4593" i="3"/>
  <c r="J4592" i="3"/>
  <c r="J4591" i="3"/>
  <c r="J4590" i="3"/>
  <c r="J4589" i="3"/>
  <c r="J4588" i="3"/>
  <c r="J4587" i="3"/>
  <c r="J4586" i="3"/>
  <c r="J4585" i="3"/>
  <c r="J4584" i="3"/>
  <c r="J4583" i="3"/>
  <c r="J4582" i="3"/>
  <c r="J4581" i="3"/>
  <c r="J4580" i="3"/>
  <c r="J4579" i="3"/>
  <c r="J4578" i="3"/>
  <c r="J4577" i="3"/>
  <c r="J4576" i="3"/>
  <c r="J4575" i="3"/>
  <c r="J4574" i="3"/>
  <c r="J4573" i="3"/>
  <c r="J4572" i="3"/>
  <c r="J4571" i="3"/>
  <c r="J4570" i="3"/>
  <c r="J4569" i="3"/>
  <c r="J4568" i="3"/>
  <c r="J4567" i="3"/>
  <c r="J4566" i="3"/>
  <c r="J4565" i="3"/>
  <c r="J4564" i="3"/>
  <c r="J4563" i="3"/>
  <c r="J4562" i="3"/>
  <c r="J4561" i="3"/>
  <c r="J4560" i="3"/>
  <c r="J4559" i="3"/>
  <c r="J4558" i="3"/>
  <c r="J4557" i="3"/>
  <c r="J4556" i="3"/>
  <c r="J4555" i="3"/>
  <c r="J4554" i="3"/>
  <c r="J4553" i="3"/>
  <c r="J4552" i="3"/>
  <c r="J4551" i="3"/>
  <c r="J4550" i="3"/>
  <c r="J4549" i="3"/>
  <c r="J4548" i="3"/>
  <c r="J4547" i="3"/>
  <c r="J4546" i="3"/>
  <c r="J4545" i="3"/>
  <c r="J4544" i="3"/>
  <c r="J4543" i="3"/>
  <c r="J4542" i="3"/>
  <c r="J4541" i="3"/>
  <c r="J4540" i="3"/>
  <c r="J4539" i="3"/>
  <c r="J4538" i="3"/>
  <c r="J4537" i="3"/>
  <c r="J4536" i="3"/>
  <c r="J4535" i="3"/>
  <c r="J4534" i="3"/>
  <c r="J4533" i="3"/>
  <c r="J4532" i="3"/>
  <c r="J4531" i="3"/>
  <c r="J4530" i="3"/>
  <c r="J4529" i="3"/>
  <c r="J4528" i="3"/>
  <c r="J4527" i="3"/>
  <c r="J4526" i="3"/>
  <c r="J4525" i="3"/>
  <c r="J4524" i="3"/>
  <c r="J4523" i="3"/>
  <c r="J4522" i="3"/>
  <c r="J4521" i="3"/>
  <c r="J4520" i="3"/>
  <c r="J4519" i="3"/>
  <c r="J4518" i="3"/>
  <c r="J4517" i="3"/>
  <c r="J4516" i="3"/>
  <c r="J4515" i="3"/>
  <c r="J4514" i="3"/>
  <c r="J4513" i="3"/>
  <c r="J4512" i="3"/>
  <c r="J4511" i="3"/>
  <c r="J4510" i="3"/>
  <c r="J4509" i="3"/>
  <c r="J4508" i="3"/>
  <c r="J4507" i="3"/>
  <c r="J4506" i="3"/>
  <c r="J4505" i="3"/>
  <c r="J4504" i="3"/>
  <c r="J4503" i="3"/>
  <c r="J4502" i="3"/>
  <c r="J4501" i="3"/>
  <c r="J4500" i="3"/>
  <c r="J4499" i="3"/>
  <c r="J4498" i="3"/>
  <c r="J4497" i="3"/>
  <c r="J4496" i="3"/>
  <c r="J4495" i="3"/>
  <c r="J4494" i="3"/>
  <c r="J4493" i="3"/>
  <c r="J4492" i="3"/>
  <c r="J4491" i="3"/>
  <c r="J4490" i="3"/>
  <c r="J4489" i="3"/>
  <c r="J4488" i="3"/>
  <c r="J4487" i="3"/>
  <c r="J4486" i="3"/>
  <c r="J4485" i="3"/>
  <c r="J4484" i="3"/>
  <c r="J4483" i="3"/>
  <c r="J4482" i="3"/>
  <c r="J4481" i="3"/>
  <c r="J4480" i="3"/>
  <c r="J4479" i="3"/>
  <c r="J4478" i="3"/>
  <c r="J4477" i="3"/>
  <c r="J4476" i="3"/>
  <c r="J4475" i="3"/>
  <c r="J4474" i="3"/>
  <c r="J4473" i="3"/>
  <c r="J4472" i="3"/>
  <c r="J4471" i="3"/>
  <c r="J4470" i="3"/>
  <c r="J4469" i="3"/>
  <c r="J4468" i="3"/>
  <c r="J4467" i="3"/>
  <c r="J4466" i="3"/>
  <c r="J4465" i="3"/>
  <c r="J4464" i="3"/>
  <c r="J4463" i="3"/>
  <c r="J4462" i="3"/>
  <c r="J4461" i="3"/>
  <c r="J4460" i="3"/>
  <c r="J4459" i="3"/>
  <c r="J4458" i="3"/>
  <c r="J4457" i="3"/>
  <c r="J4456" i="3"/>
  <c r="J4455" i="3"/>
  <c r="J4454" i="3"/>
  <c r="J4453" i="3"/>
  <c r="J4452" i="3"/>
  <c r="J4451" i="3"/>
  <c r="J4450" i="3"/>
  <c r="J4449" i="3"/>
  <c r="J4448" i="3"/>
  <c r="J4447" i="3"/>
  <c r="J4446" i="3"/>
  <c r="J4445" i="3"/>
  <c r="J4444" i="3"/>
  <c r="J4443" i="3"/>
  <c r="J4442" i="3"/>
  <c r="J4441" i="3"/>
  <c r="J4440" i="3"/>
  <c r="J4439" i="3"/>
  <c r="J4438" i="3"/>
  <c r="J4437" i="3"/>
  <c r="J4436" i="3"/>
  <c r="J4435" i="3"/>
  <c r="J4434" i="3"/>
  <c r="J4433" i="3"/>
  <c r="J4432" i="3"/>
  <c r="J4431" i="3"/>
  <c r="J4430" i="3"/>
  <c r="J4429" i="3"/>
  <c r="J4428" i="3"/>
  <c r="J4427" i="3"/>
  <c r="J4426" i="3"/>
  <c r="J4425" i="3"/>
  <c r="J4424" i="3"/>
  <c r="J4423" i="3"/>
  <c r="J4422" i="3"/>
  <c r="J4421" i="3"/>
  <c r="J4420" i="3"/>
  <c r="J4419" i="3"/>
  <c r="J4418" i="3"/>
  <c r="J4417" i="3"/>
  <c r="J4416" i="3"/>
  <c r="J4415" i="3"/>
  <c r="J4414" i="3"/>
  <c r="J4413" i="3"/>
  <c r="J4412" i="3"/>
  <c r="J4411" i="3"/>
  <c r="J4410" i="3"/>
  <c r="J4409" i="3"/>
  <c r="J4408" i="3"/>
  <c r="J4407" i="3"/>
  <c r="J4406" i="3"/>
  <c r="J4405" i="3"/>
  <c r="J4404" i="3"/>
  <c r="J4403" i="3"/>
  <c r="J4402" i="3"/>
  <c r="J4401" i="3"/>
  <c r="J4400" i="3"/>
  <c r="J4399" i="3"/>
  <c r="J4398" i="3"/>
  <c r="J4397" i="3"/>
  <c r="J4396" i="3"/>
  <c r="J4395" i="3"/>
  <c r="J4394" i="3"/>
  <c r="J4393" i="3"/>
  <c r="J4392" i="3"/>
  <c r="J4391" i="3"/>
  <c r="J4390" i="3"/>
  <c r="J4389" i="3"/>
  <c r="J4388" i="3"/>
  <c r="J4387" i="3"/>
  <c r="J4386" i="3"/>
  <c r="J4385" i="3"/>
  <c r="J4384" i="3"/>
  <c r="J4383" i="3"/>
  <c r="J4382" i="3"/>
  <c r="J4381" i="3"/>
  <c r="J4380" i="3"/>
  <c r="J4379" i="3"/>
  <c r="J4378" i="3"/>
  <c r="J4377" i="3"/>
  <c r="J4376" i="3"/>
  <c r="J4375" i="3"/>
  <c r="J4374" i="3"/>
  <c r="J4373" i="3"/>
  <c r="J4372" i="3"/>
  <c r="J4371" i="3"/>
  <c r="J4370" i="3"/>
  <c r="J4369" i="3"/>
  <c r="J4368" i="3"/>
  <c r="J4367" i="3"/>
  <c r="J4366" i="3"/>
  <c r="J4365" i="3"/>
  <c r="J4364" i="3"/>
  <c r="J4363" i="3"/>
  <c r="J4362" i="3"/>
  <c r="J4361" i="3"/>
  <c r="J4360" i="3"/>
  <c r="J4359" i="3"/>
  <c r="J4358" i="3"/>
  <c r="J4357" i="3"/>
  <c r="J4356" i="3"/>
  <c r="J4355" i="3"/>
  <c r="J4354" i="3"/>
  <c r="J4353" i="3"/>
  <c r="J4352" i="3"/>
  <c r="J4351" i="3"/>
  <c r="J4350" i="3"/>
  <c r="J4349" i="3"/>
  <c r="J4348" i="3"/>
  <c r="J4347" i="3"/>
  <c r="J4346" i="3"/>
  <c r="J4345" i="3"/>
  <c r="J4344" i="3"/>
  <c r="J4343" i="3"/>
  <c r="J4342" i="3"/>
  <c r="J4341" i="3"/>
  <c r="J4340" i="3"/>
  <c r="J4339" i="3"/>
  <c r="J4338" i="3"/>
  <c r="J4337" i="3"/>
  <c r="J4336" i="3"/>
  <c r="J4335" i="3"/>
  <c r="J4334" i="3"/>
  <c r="J4333" i="3"/>
  <c r="J4332" i="3"/>
  <c r="J4331" i="3"/>
  <c r="J4330" i="3"/>
  <c r="J4329" i="3"/>
  <c r="J4328" i="3"/>
  <c r="J4327" i="3"/>
  <c r="J4326" i="3"/>
  <c r="J4325" i="3"/>
  <c r="J4324" i="3"/>
  <c r="J4323" i="3"/>
  <c r="J4322" i="3"/>
  <c r="J4321" i="3"/>
  <c r="J4320" i="3"/>
  <c r="J4319" i="3"/>
  <c r="J4318" i="3"/>
  <c r="J4317" i="3"/>
  <c r="J4316" i="3"/>
  <c r="J4315" i="3"/>
  <c r="J4314" i="3"/>
  <c r="J4313" i="3"/>
  <c r="J4312" i="3"/>
  <c r="J4311" i="3"/>
  <c r="J4310" i="3"/>
  <c r="J4309" i="3"/>
  <c r="J4308" i="3"/>
  <c r="J4307" i="3"/>
  <c r="J4306" i="3"/>
  <c r="J4305" i="3"/>
  <c r="J4304" i="3"/>
  <c r="J4303" i="3"/>
  <c r="J4302" i="3"/>
  <c r="J4301" i="3"/>
  <c r="J4300" i="3"/>
  <c r="J4299" i="3"/>
  <c r="J4298" i="3"/>
  <c r="J4297" i="3"/>
  <c r="J4296" i="3"/>
  <c r="J4295" i="3"/>
  <c r="J4294" i="3"/>
  <c r="J4293" i="3"/>
  <c r="J4292" i="3"/>
  <c r="J4291" i="3"/>
  <c r="J4290" i="3"/>
  <c r="J4289" i="3"/>
  <c r="J4288" i="3"/>
  <c r="J4287" i="3"/>
  <c r="J4286" i="3"/>
  <c r="J4285" i="3"/>
  <c r="J4284" i="3"/>
  <c r="J4283" i="3"/>
  <c r="J4282" i="3"/>
  <c r="J4281" i="3"/>
  <c r="J4280" i="3"/>
  <c r="J4279" i="3"/>
  <c r="J4278" i="3"/>
  <c r="J4277" i="3"/>
  <c r="J4276" i="3"/>
  <c r="J4275" i="3"/>
  <c r="J4274" i="3"/>
  <c r="J4273" i="3"/>
  <c r="J4272" i="3"/>
  <c r="J4271" i="3"/>
  <c r="J4270" i="3"/>
  <c r="J4269" i="3"/>
  <c r="J4268" i="3"/>
  <c r="J4267" i="3"/>
  <c r="J4266" i="3"/>
  <c r="J4265" i="3"/>
  <c r="J4264" i="3"/>
  <c r="J4263" i="3"/>
  <c r="J4262" i="3"/>
  <c r="J4261" i="3"/>
  <c r="J4260" i="3"/>
  <c r="J4259" i="3"/>
  <c r="J4258" i="3"/>
  <c r="J4257" i="3"/>
  <c r="J4256" i="3"/>
  <c r="J4255" i="3"/>
  <c r="J4254" i="3"/>
  <c r="J4253" i="3"/>
  <c r="J4252" i="3"/>
  <c r="J4251" i="3"/>
  <c r="J4250" i="3"/>
  <c r="J4249" i="3"/>
  <c r="J4248" i="3"/>
  <c r="J4247" i="3"/>
  <c r="J4246" i="3"/>
  <c r="J4245" i="3"/>
  <c r="J4244" i="3"/>
  <c r="J4243" i="3"/>
  <c r="J4242" i="3"/>
  <c r="J4241" i="3"/>
  <c r="J4240" i="3"/>
  <c r="J4239" i="3"/>
  <c r="J4238" i="3"/>
  <c r="J4237" i="3"/>
  <c r="J4236" i="3"/>
  <c r="J4235" i="3"/>
  <c r="J4234" i="3"/>
  <c r="J4233" i="3"/>
  <c r="J4232" i="3"/>
  <c r="J4231" i="3"/>
  <c r="J4230" i="3"/>
  <c r="J4229" i="3"/>
  <c r="J4228" i="3"/>
  <c r="J4227" i="3"/>
  <c r="J4226" i="3"/>
  <c r="J4225" i="3"/>
  <c r="J4224" i="3"/>
  <c r="J4223" i="3"/>
  <c r="J4222" i="3"/>
  <c r="J4221" i="3"/>
  <c r="J4220" i="3"/>
  <c r="J4219" i="3"/>
  <c r="J4218" i="3"/>
  <c r="J4217" i="3"/>
  <c r="J4216" i="3"/>
  <c r="J4215" i="3"/>
  <c r="J4214" i="3"/>
  <c r="J4213" i="3"/>
  <c r="J4212" i="3"/>
  <c r="J4211" i="3"/>
  <c r="J4210" i="3"/>
  <c r="J4209" i="3"/>
  <c r="J4208" i="3"/>
  <c r="J4207" i="3"/>
  <c r="J4206" i="3"/>
  <c r="J4205" i="3"/>
  <c r="J4204" i="3"/>
  <c r="J4203" i="3"/>
  <c r="J4202" i="3"/>
  <c r="J4201" i="3"/>
  <c r="J4200" i="3"/>
  <c r="J4199" i="3"/>
  <c r="J4198" i="3"/>
  <c r="J4197" i="3"/>
  <c r="J4196" i="3"/>
  <c r="J4195" i="3"/>
  <c r="J4194" i="3"/>
  <c r="J4193" i="3"/>
  <c r="J4192" i="3"/>
  <c r="J4191" i="3"/>
  <c r="J4190" i="3"/>
  <c r="J4189" i="3"/>
  <c r="J4188" i="3"/>
  <c r="J4187" i="3"/>
  <c r="J4186" i="3"/>
  <c r="J4185" i="3"/>
  <c r="J4184" i="3"/>
  <c r="J4183" i="3"/>
  <c r="J4182" i="3"/>
  <c r="J4181" i="3"/>
  <c r="J4180" i="3"/>
  <c r="J4179" i="3"/>
  <c r="J4178" i="3"/>
  <c r="J4177" i="3"/>
  <c r="J4176" i="3"/>
  <c r="J4175" i="3"/>
  <c r="J4174" i="3"/>
  <c r="J4173" i="3"/>
  <c r="J4172" i="3"/>
  <c r="J4171" i="3"/>
  <c r="J4170" i="3"/>
  <c r="J4169" i="3"/>
  <c r="J4168" i="3"/>
  <c r="J4167" i="3"/>
  <c r="J4166" i="3"/>
  <c r="J4165" i="3"/>
  <c r="J4164" i="3"/>
  <c r="J4163" i="3"/>
  <c r="J4162" i="3"/>
  <c r="J4161" i="3"/>
  <c r="J4160" i="3"/>
  <c r="J4159" i="3"/>
  <c r="J4158" i="3"/>
  <c r="J4157" i="3"/>
  <c r="J4156" i="3"/>
  <c r="J4155" i="3"/>
  <c r="J4154" i="3"/>
  <c r="J4153" i="3"/>
  <c r="J4152" i="3"/>
  <c r="J4151" i="3"/>
  <c r="J4150" i="3"/>
  <c r="J4149" i="3"/>
  <c r="J4148" i="3"/>
  <c r="J4147" i="3"/>
  <c r="J4146" i="3"/>
  <c r="J4145" i="3"/>
  <c r="J4144" i="3"/>
  <c r="J4143" i="3"/>
  <c r="J4142" i="3"/>
  <c r="J4141" i="3"/>
  <c r="J4140" i="3"/>
  <c r="J4139" i="3"/>
  <c r="J4138" i="3"/>
  <c r="J4137" i="3"/>
  <c r="J4136" i="3"/>
  <c r="J4135" i="3"/>
  <c r="J4134" i="3"/>
  <c r="J4133" i="3"/>
  <c r="J4132" i="3"/>
  <c r="J4131" i="3"/>
  <c r="J4130" i="3"/>
  <c r="J4129" i="3"/>
  <c r="J4128" i="3"/>
  <c r="J4127" i="3"/>
  <c r="J4126" i="3"/>
  <c r="J4125" i="3"/>
  <c r="J4124" i="3"/>
  <c r="J4123" i="3"/>
  <c r="J4122" i="3"/>
  <c r="J4121" i="3"/>
  <c r="J4120" i="3"/>
  <c r="J4119" i="3"/>
  <c r="J4118" i="3"/>
  <c r="J4117" i="3"/>
  <c r="J4116" i="3"/>
  <c r="J4115" i="3"/>
  <c r="J4114" i="3"/>
  <c r="J4113" i="3"/>
  <c r="J4112" i="3"/>
  <c r="J4111" i="3"/>
  <c r="J4110" i="3"/>
  <c r="J4109" i="3"/>
  <c r="J4108" i="3"/>
  <c r="J4107" i="3"/>
  <c r="J4106" i="3"/>
  <c r="J4105" i="3"/>
  <c r="J4104" i="3"/>
  <c r="J4103" i="3"/>
  <c r="J4102" i="3"/>
  <c r="J4101" i="3"/>
  <c r="J4100" i="3"/>
  <c r="J4099" i="3"/>
  <c r="J4098" i="3"/>
  <c r="J4097" i="3"/>
  <c r="J4096" i="3"/>
  <c r="J4095" i="3"/>
  <c r="J4094" i="3"/>
  <c r="J4093" i="3"/>
  <c r="J4092" i="3"/>
  <c r="J4091" i="3"/>
  <c r="J4090" i="3"/>
  <c r="J4089" i="3"/>
  <c r="J4088" i="3"/>
  <c r="J4087" i="3"/>
  <c r="J4086" i="3"/>
  <c r="J4085" i="3"/>
  <c r="J4084" i="3"/>
  <c r="J4083" i="3"/>
  <c r="J4082" i="3"/>
  <c r="J4081" i="3"/>
  <c r="J4080" i="3"/>
  <c r="J4079" i="3"/>
  <c r="J4078" i="3"/>
  <c r="J4077" i="3"/>
  <c r="J4076" i="3"/>
  <c r="J4075" i="3"/>
  <c r="J4074" i="3"/>
  <c r="J4073" i="3"/>
  <c r="J4072" i="3"/>
  <c r="J4071" i="3"/>
  <c r="J4070" i="3"/>
  <c r="J4069" i="3"/>
  <c r="J4068" i="3"/>
  <c r="J4067" i="3"/>
  <c r="J4066" i="3"/>
  <c r="J4065" i="3"/>
  <c r="J4064" i="3"/>
  <c r="J4063" i="3"/>
  <c r="J4062" i="3"/>
  <c r="J4061" i="3"/>
  <c r="J4060" i="3"/>
  <c r="J4059" i="3"/>
  <c r="J4058" i="3"/>
  <c r="J4057" i="3"/>
  <c r="J4056" i="3"/>
  <c r="J4055" i="3"/>
  <c r="J4054" i="3"/>
  <c r="J4053" i="3"/>
  <c r="J4052" i="3"/>
  <c r="J4051" i="3"/>
  <c r="J4050" i="3"/>
  <c r="J4049" i="3"/>
  <c r="J4048" i="3"/>
  <c r="J4047" i="3"/>
  <c r="J4046" i="3"/>
  <c r="J4045" i="3"/>
  <c r="J4044" i="3"/>
  <c r="J4043" i="3"/>
  <c r="J4042" i="3"/>
  <c r="J4041" i="3"/>
  <c r="J4040" i="3"/>
  <c r="J4039" i="3"/>
  <c r="J4038" i="3"/>
  <c r="J4037" i="3"/>
  <c r="J4036" i="3"/>
  <c r="J4035" i="3"/>
  <c r="J4034" i="3"/>
  <c r="J4033" i="3"/>
  <c r="J4032" i="3"/>
  <c r="J4031" i="3"/>
  <c r="J4030" i="3"/>
  <c r="J4029" i="3"/>
  <c r="J4028" i="3"/>
  <c r="J4027" i="3"/>
  <c r="J4026" i="3"/>
  <c r="J4025" i="3"/>
  <c r="J4024" i="3"/>
  <c r="J4023" i="3"/>
  <c r="J4022" i="3"/>
  <c r="J4021" i="3"/>
  <c r="J4020" i="3"/>
  <c r="J4019" i="3"/>
  <c r="J4018" i="3"/>
  <c r="J4017" i="3"/>
  <c r="J4016" i="3"/>
  <c r="J4015" i="3"/>
  <c r="J4014" i="3"/>
  <c r="J4013" i="3"/>
  <c r="J4012" i="3"/>
  <c r="J4011" i="3"/>
  <c r="J4010" i="3"/>
  <c r="J4009" i="3"/>
  <c r="J4008" i="3"/>
  <c r="J4007" i="3"/>
  <c r="J4006" i="3"/>
  <c r="J4005" i="3"/>
  <c r="J4004" i="3"/>
  <c r="J4003" i="3"/>
  <c r="J4002" i="3"/>
  <c r="J4001" i="3"/>
  <c r="J4000" i="3"/>
  <c r="J3999" i="3"/>
  <c r="J3998" i="3"/>
  <c r="J3997" i="3"/>
  <c r="J3996" i="3"/>
  <c r="J3995" i="3"/>
  <c r="J3994" i="3"/>
  <c r="J3993" i="3"/>
  <c r="J3992" i="3"/>
  <c r="J3991" i="3"/>
  <c r="J3990" i="3"/>
  <c r="J3989" i="3"/>
  <c r="J3988" i="3"/>
  <c r="J3987" i="3"/>
  <c r="J3986" i="3"/>
  <c r="J3985" i="3"/>
  <c r="J3984" i="3"/>
  <c r="J3983" i="3"/>
  <c r="J3982" i="3"/>
  <c r="J3981" i="3"/>
  <c r="J3980" i="3"/>
  <c r="J3979" i="3"/>
  <c r="J3978" i="3"/>
  <c r="J3977" i="3"/>
  <c r="J3976" i="3"/>
  <c r="J3975" i="3"/>
  <c r="J3974" i="3"/>
  <c r="J3973" i="3"/>
  <c r="J3972" i="3"/>
  <c r="J3971" i="3"/>
  <c r="J3970" i="3"/>
  <c r="J3969" i="3"/>
  <c r="J3968" i="3"/>
  <c r="J3967" i="3"/>
  <c r="J3966" i="3"/>
  <c r="J3965" i="3"/>
  <c r="J3964" i="3"/>
  <c r="J3963" i="3"/>
  <c r="J3962" i="3"/>
  <c r="J3961" i="3"/>
  <c r="J3960" i="3"/>
  <c r="J3959" i="3"/>
  <c r="J3958" i="3"/>
  <c r="J3957" i="3"/>
  <c r="J3956" i="3"/>
  <c r="J3955" i="3"/>
  <c r="J3954" i="3"/>
  <c r="J3953" i="3"/>
  <c r="J3952" i="3"/>
  <c r="J3951" i="3"/>
  <c r="J3950" i="3"/>
  <c r="J3949" i="3"/>
  <c r="J3948" i="3"/>
  <c r="J3947" i="3"/>
  <c r="J3946" i="3"/>
  <c r="J3945" i="3"/>
  <c r="J3944" i="3"/>
  <c r="J3943" i="3"/>
  <c r="J3942" i="3"/>
  <c r="J3941" i="3"/>
  <c r="J3940" i="3"/>
  <c r="J3939" i="3"/>
  <c r="J3938" i="3"/>
  <c r="J3937" i="3"/>
  <c r="J3936" i="3"/>
  <c r="J3935" i="3"/>
  <c r="J3934" i="3"/>
  <c r="J3933" i="3"/>
  <c r="J3932" i="3"/>
  <c r="J3931" i="3"/>
  <c r="J3930" i="3"/>
  <c r="J3929" i="3"/>
  <c r="J3928" i="3"/>
  <c r="J3927" i="3"/>
  <c r="J3926" i="3"/>
  <c r="J3925" i="3"/>
  <c r="J3924" i="3"/>
  <c r="J3923" i="3"/>
  <c r="J3922" i="3"/>
  <c r="J3921" i="3"/>
  <c r="J3920" i="3"/>
  <c r="J3919" i="3"/>
  <c r="J3918" i="3"/>
  <c r="J3917" i="3"/>
  <c r="J3916" i="3"/>
  <c r="J3915" i="3"/>
  <c r="J3914" i="3"/>
  <c r="J3913" i="3"/>
  <c r="J3912" i="3"/>
  <c r="J3911" i="3"/>
  <c r="J3910" i="3"/>
  <c r="J3909" i="3"/>
  <c r="J3908" i="3"/>
  <c r="J3907" i="3"/>
  <c r="J3906" i="3"/>
  <c r="J3905" i="3"/>
  <c r="J3904" i="3"/>
  <c r="J3903" i="3"/>
  <c r="J3902" i="3"/>
  <c r="J3901" i="3"/>
  <c r="J3900" i="3"/>
  <c r="J3899" i="3"/>
  <c r="J3898" i="3"/>
  <c r="J3897" i="3"/>
  <c r="J3896" i="3"/>
  <c r="J3895" i="3"/>
  <c r="J3894" i="3"/>
  <c r="J3893" i="3"/>
  <c r="J3892" i="3"/>
  <c r="J3891" i="3"/>
  <c r="J3890" i="3"/>
  <c r="J3889" i="3"/>
  <c r="J3888" i="3"/>
  <c r="J3887" i="3"/>
  <c r="J3886" i="3"/>
  <c r="J3885" i="3"/>
  <c r="J3884" i="3"/>
  <c r="J3883" i="3"/>
  <c r="J3882" i="3"/>
  <c r="J3881" i="3"/>
  <c r="J3880" i="3"/>
  <c r="J3879" i="3"/>
  <c r="J3878" i="3"/>
  <c r="J3877" i="3"/>
  <c r="J3876" i="3"/>
  <c r="J3875" i="3"/>
  <c r="J3874" i="3"/>
  <c r="J3873" i="3"/>
  <c r="J3872" i="3"/>
  <c r="J3871" i="3"/>
  <c r="J3870" i="3"/>
  <c r="J3869" i="3"/>
  <c r="J3868" i="3"/>
  <c r="J3867" i="3"/>
  <c r="J3866" i="3"/>
  <c r="J3865" i="3"/>
  <c r="J3864" i="3"/>
  <c r="J3863" i="3"/>
  <c r="J3862" i="3"/>
  <c r="J3861" i="3"/>
  <c r="J3860" i="3"/>
  <c r="J3859" i="3"/>
  <c r="J3858" i="3"/>
  <c r="J3857" i="3"/>
  <c r="J3856" i="3"/>
  <c r="J3855" i="3"/>
  <c r="J3854" i="3"/>
  <c r="J3853" i="3"/>
  <c r="J3852" i="3"/>
  <c r="J3851" i="3"/>
  <c r="J3850" i="3"/>
  <c r="J3849" i="3"/>
  <c r="J3848" i="3"/>
  <c r="J3847" i="3"/>
  <c r="J3846" i="3"/>
  <c r="J3845" i="3"/>
  <c r="J3844" i="3"/>
  <c r="J3843" i="3"/>
  <c r="J3842" i="3"/>
  <c r="J3841" i="3"/>
  <c r="J3840" i="3"/>
  <c r="J3839" i="3"/>
  <c r="J3838" i="3"/>
  <c r="J3837" i="3"/>
  <c r="J3836" i="3"/>
  <c r="J3835" i="3"/>
  <c r="J3834" i="3"/>
  <c r="J3833" i="3"/>
  <c r="J3832" i="3"/>
  <c r="J3831" i="3"/>
  <c r="J3830" i="3"/>
  <c r="J3829" i="3"/>
  <c r="J3828" i="3"/>
  <c r="J3827" i="3"/>
  <c r="J3826" i="3"/>
  <c r="J3825" i="3"/>
  <c r="J3824" i="3"/>
  <c r="J3823" i="3"/>
  <c r="J3822" i="3"/>
  <c r="J3821" i="3"/>
  <c r="J3820" i="3"/>
  <c r="J3819" i="3"/>
  <c r="J3818" i="3"/>
  <c r="J3817" i="3"/>
  <c r="J3816" i="3"/>
  <c r="J3815" i="3"/>
  <c r="J3814" i="3"/>
  <c r="J3813" i="3"/>
  <c r="J3812" i="3"/>
  <c r="J3811" i="3"/>
  <c r="J3810" i="3"/>
  <c r="J3809" i="3"/>
  <c r="J3808" i="3"/>
  <c r="J3807" i="3"/>
  <c r="J3806" i="3"/>
  <c r="J3805" i="3"/>
  <c r="J3804" i="3"/>
  <c r="J3803" i="3"/>
  <c r="J3802" i="3"/>
  <c r="J3801" i="3"/>
  <c r="J3800" i="3"/>
  <c r="J3799" i="3"/>
  <c r="J3798" i="3"/>
  <c r="J3797" i="3"/>
  <c r="J3796" i="3"/>
  <c r="J3795" i="3"/>
  <c r="J3794" i="3"/>
  <c r="J3793" i="3"/>
  <c r="J3792" i="3"/>
  <c r="J3791" i="3"/>
  <c r="J3790" i="3"/>
  <c r="J3789" i="3"/>
  <c r="J3788" i="3"/>
  <c r="J3787" i="3"/>
  <c r="J3786" i="3"/>
  <c r="J3785" i="3"/>
  <c r="J3784" i="3"/>
  <c r="J3783" i="3"/>
  <c r="J3782" i="3"/>
  <c r="J3781" i="3"/>
  <c r="J3780" i="3"/>
  <c r="J3779" i="3"/>
  <c r="J3778" i="3"/>
  <c r="J3777" i="3"/>
  <c r="J3776" i="3"/>
  <c r="J3775" i="3"/>
  <c r="J3774" i="3"/>
  <c r="J3773" i="3"/>
  <c r="J3772" i="3"/>
  <c r="J3771" i="3"/>
  <c r="J3770" i="3"/>
  <c r="J3769" i="3"/>
  <c r="J3768" i="3"/>
  <c r="J3767" i="3"/>
  <c r="J3766" i="3"/>
  <c r="J3765" i="3"/>
  <c r="J3764" i="3"/>
  <c r="J3763" i="3"/>
  <c r="J3762" i="3"/>
  <c r="J3761" i="3"/>
  <c r="J3760" i="3"/>
  <c r="J3759" i="3"/>
  <c r="J3758" i="3"/>
  <c r="J3757" i="3"/>
  <c r="J3756" i="3"/>
  <c r="J3755" i="3"/>
  <c r="J3754" i="3"/>
  <c r="J3753" i="3"/>
  <c r="J3752" i="3"/>
  <c r="J3751" i="3"/>
  <c r="J3750" i="3"/>
  <c r="J3749" i="3"/>
  <c r="J3748" i="3"/>
  <c r="J3747" i="3"/>
  <c r="J3746" i="3"/>
  <c r="J3745" i="3"/>
  <c r="J3744" i="3"/>
  <c r="J3743" i="3"/>
  <c r="J3742" i="3"/>
  <c r="J3741" i="3"/>
  <c r="J3740" i="3"/>
  <c r="J3739" i="3"/>
  <c r="J3738" i="3"/>
  <c r="J3737" i="3"/>
  <c r="J3736" i="3"/>
  <c r="J3735" i="3"/>
  <c r="J3734" i="3"/>
  <c r="J3733" i="3"/>
  <c r="J3732" i="3"/>
  <c r="J3731" i="3"/>
  <c r="J3730" i="3"/>
  <c r="J3729" i="3"/>
  <c r="J3728" i="3"/>
  <c r="J3727" i="3"/>
  <c r="J3726" i="3"/>
  <c r="J3725" i="3"/>
  <c r="J3724" i="3"/>
  <c r="J3723" i="3"/>
  <c r="J3722" i="3"/>
  <c r="J3721" i="3"/>
  <c r="J3720" i="3"/>
  <c r="J3719" i="3"/>
  <c r="J3718" i="3"/>
  <c r="J3717" i="3"/>
  <c r="J3716" i="3"/>
  <c r="J3715" i="3"/>
  <c r="J3714" i="3"/>
  <c r="J3713" i="3"/>
  <c r="J3712" i="3"/>
  <c r="J3711" i="3"/>
  <c r="J3710" i="3"/>
  <c r="J3709" i="3"/>
  <c r="J3708" i="3"/>
  <c r="J3707" i="3"/>
  <c r="J3706" i="3"/>
  <c r="J3705" i="3"/>
  <c r="J3704" i="3"/>
  <c r="J3703" i="3"/>
  <c r="J3702" i="3"/>
  <c r="J3701" i="3"/>
  <c r="J3700" i="3"/>
  <c r="J3699" i="3"/>
  <c r="J3698" i="3"/>
  <c r="J3697" i="3"/>
  <c r="J3696" i="3"/>
  <c r="J3695" i="3"/>
  <c r="J3694" i="3"/>
  <c r="J3693" i="3"/>
  <c r="J3692" i="3"/>
  <c r="J3691" i="3"/>
  <c r="J3690" i="3"/>
  <c r="J3689" i="3"/>
  <c r="J3688" i="3"/>
  <c r="J3687" i="3"/>
  <c r="J3686" i="3"/>
  <c r="J3685" i="3"/>
  <c r="J3684" i="3"/>
  <c r="J3683" i="3"/>
  <c r="J3682" i="3"/>
  <c r="J3681" i="3"/>
  <c r="J3680" i="3"/>
  <c r="J3679" i="3"/>
  <c r="J3678" i="3"/>
  <c r="J3677" i="3"/>
  <c r="J3676" i="3"/>
  <c r="J3675" i="3"/>
  <c r="J3674" i="3"/>
  <c r="J3673" i="3"/>
  <c r="J3672" i="3"/>
  <c r="J3671" i="3"/>
  <c r="J3670" i="3"/>
  <c r="J3669" i="3"/>
  <c r="J3668" i="3"/>
  <c r="J3667" i="3"/>
  <c r="J3666" i="3"/>
  <c r="J3665" i="3"/>
  <c r="J3664" i="3"/>
  <c r="J3663" i="3"/>
  <c r="J3662" i="3"/>
  <c r="J3661" i="3"/>
  <c r="J3660" i="3"/>
  <c r="J3659" i="3"/>
  <c r="J3658" i="3"/>
  <c r="J3657" i="3"/>
  <c r="J3656" i="3"/>
  <c r="J3655" i="3"/>
  <c r="J3654" i="3"/>
  <c r="J3653" i="3"/>
  <c r="J3652" i="3"/>
  <c r="J3651" i="3"/>
  <c r="J3650" i="3"/>
  <c r="J3649" i="3"/>
  <c r="J3648" i="3"/>
  <c r="J3647" i="3"/>
  <c r="J3646" i="3"/>
  <c r="J3645" i="3"/>
  <c r="J3644" i="3"/>
  <c r="J3643" i="3"/>
  <c r="J3642" i="3"/>
  <c r="J3641" i="3"/>
  <c r="J3640" i="3"/>
  <c r="J3639" i="3"/>
  <c r="J3638" i="3"/>
  <c r="J3637" i="3"/>
  <c r="J3636" i="3"/>
  <c r="J3635" i="3"/>
  <c r="J3634" i="3"/>
  <c r="J3633" i="3"/>
  <c r="J3632" i="3"/>
  <c r="J3631" i="3"/>
  <c r="J3630" i="3"/>
  <c r="J3629" i="3"/>
  <c r="J3628" i="3"/>
  <c r="J3627" i="3"/>
  <c r="J3626" i="3"/>
  <c r="J3625" i="3"/>
  <c r="J3624" i="3"/>
  <c r="J3623" i="3"/>
  <c r="J3622" i="3"/>
  <c r="J3621" i="3"/>
  <c r="J3620" i="3"/>
  <c r="J3619" i="3"/>
  <c r="J3618" i="3"/>
  <c r="J3617" i="3"/>
  <c r="J3616" i="3"/>
  <c r="J3615" i="3"/>
  <c r="J3614" i="3"/>
  <c r="J3613" i="3"/>
  <c r="J3612" i="3"/>
  <c r="J3611" i="3"/>
  <c r="J3610" i="3"/>
  <c r="J3609" i="3"/>
  <c r="J3608" i="3"/>
  <c r="J3607" i="3"/>
  <c r="J3606" i="3"/>
  <c r="J3605" i="3"/>
  <c r="J3604" i="3"/>
  <c r="J3603" i="3"/>
  <c r="J3602" i="3"/>
  <c r="J3601" i="3"/>
  <c r="J3600" i="3"/>
  <c r="J3599" i="3"/>
  <c r="J3598" i="3"/>
  <c r="J3597" i="3"/>
  <c r="J3596" i="3"/>
  <c r="J3595" i="3"/>
  <c r="J3594" i="3"/>
  <c r="J3593" i="3"/>
  <c r="J3592" i="3"/>
  <c r="J3591" i="3"/>
  <c r="J3590" i="3"/>
  <c r="J3589" i="3"/>
  <c r="J3588" i="3"/>
  <c r="J3587" i="3"/>
  <c r="J3586" i="3"/>
  <c r="J3585" i="3"/>
  <c r="J3584" i="3"/>
  <c r="J3583" i="3"/>
  <c r="J3582" i="3"/>
  <c r="J3581" i="3"/>
  <c r="J3580" i="3"/>
  <c r="J3579" i="3"/>
  <c r="J3578" i="3"/>
  <c r="J3577" i="3"/>
  <c r="J3576" i="3"/>
  <c r="J3575" i="3"/>
  <c r="J3574" i="3"/>
  <c r="J3573" i="3"/>
  <c r="J3572" i="3"/>
  <c r="J3571" i="3"/>
  <c r="J3570" i="3"/>
  <c r="J3569" i="3"/>
  <c r="J3568" i="3"/>
  <c r="J3567" i="3"/>
  <c r="J3566" i="3"/>
  <c r="J3565" i="3"/>
  <c r="J3564" i="3"/>
  <c r="J3563" i="3"/>
  <c r="J3562" i="3"/>
  <c r="J3561" i="3"/>
  <c r="J3560" i="3"/>
  <c r="J3559" i="3"/>
  <c r="J3558" i="3"/>
  <c r="J3557" i="3"/>
  <c r="J3556" i="3"/>
  <c r="J3555" i="3"/>
  <c r="J3554" i="3"/>
  <c r="J3553" i="3"/>
  <c r="J3552" i="3"/>
  <c r="J3551" i="3"/>
  <c r="J3550" i="3"/>
  <c r="J3549" i="3"/>
  <c r="J3548" i="3"/>
  <c r="J3547" i="3"/>
  <c r="J3546" i="3"/>
  <c r="J3545" i="3"/>
  <c r="J3544" i="3"/>
  <c r="J3543" i="3"/>
  <c r="J3542" i="3"/>
  <c r="J3541" i="3"/>
  <c r="J3540" i="3"/>
  <c r="J3539" i="3"/>
  <c r="J3538" i="3"/>
  <c r="J3537" i="3"/>
  <c r="J3536" i="3"/>
  <c r="J3535" i="3"/>
  <c r="J3534" i="3"/>
  <c r="J3533" i="3"/>
  <c r="J3532" i="3"/>
  <c r="J3531" i="3"/>
  <c r="J3530" i="3"/>
  <c r="J3529" i="3"/>
  <c r="J3528" i="3"/>
  <c r="J3527" i="3"/>
  <c r="J3526" i="3"/>
  <c r="J3525" i="3"/>
  <c r="J3524" i="3"/>
  <c r="J3523" i="3"/>
  <c r="J3522" i="3"/>
  <c r="J3521" i="3"/>
  <c r="J3520" i="3"/>
  <c r="J3519" i="3"/>
  <c r="J3518" i="3"/>
  <c r="J3517" i="3"/>
  <c r="J3516" i="3"/>
  <c r="J3515" i="3"/>
  <c r="J3514" i="3"/>
  <c r="J3513" i="3"/>
  <c r="J3512" i="3"/>
  <c r="J3511" i="3"/>
  <c r="J3510" i="3"/>
  <c r="J3509" i="3"/>
  <c r="J3508" i="3"/>
  <c r="J3507" i="3"/>
  <c r="J3506" i="3"/>
  <c r="J3505" i="3"/>
  <c r="J3504" i="3"/>
  <c r="J3503" i="3"/>
  <c r="J3502" i="3"/>
  <c r="J3501" i="3"/>
  <c r="J3500" i="3"/>
  <c r="J3499" i="3"/>
  <c r="J3498" i="3"/>
  <c r="J3497" i="3"/>
  <c r="J3496" i="3"/>
  <c r="J3495" i="3"/>
  <c r="J3494" i="3"/>
  <c r="J3493" i="3"/>
  <c r="J3492" i="3"/>
  <c r="J3491" i="3"/>
  <c r="J3490" i="3"/>
  <c r="J3489" i="3"/>
  <c r="J3488" i="3"/>
  <c r="J3487" i="3"/>
  <c r="J3486" i="3"/>
  <c r="J3485" i="3"/>
  <c r="J3484" i="3"/>
  <c r="J3483" i="3"/>
  <c r="J3482" i="3"/>
  <c r="J3481" i="3"/>
  <c r="J3480" i="3"/>
  <c r="J3479" i="3"/>
  <c r="J3478" i="3"/>
  <c r="J3477" i="3"/>
  <c r="J3476" i="3"/>
  <c r="J3475" i="3"/>
  <c r="J3474" i="3"/>
  <c r="J3473" i="3"/>
  <c r="J3472" i="3"/>
  <c r="J3471" i="3"/>
  <c r="J3470" i="3"/>
  <c r="J3469" i="3"/>
  <c r="J3468" i="3"/>
  <c r="J3467" i="3"/>
  <c r="J3466" i="3"/>
  <c r="J3465" i="3"/>
  <c r="J3464" i="3"/>
  <c r="J3463" i="3"/>
  <c r="J3462" i="3"/>
  <c r="J3461" i="3"/>
  <c r="J3460" i="3"/>
  <c r="J3459" i="3"/>
  <c r="J3458" i="3"/>
  <c r="J3457" i="3"/>
  <c r="J3456" i="3"/>
  <c r="J3455" i="3"/>
  <c r="J3454" i="3"/>
  <c r="J3453" i="3"/>
  <c r="J3452" i="3"/>
  <c r="J3451" i="3"/>
  <c r="J3450" i="3"/>
  <c r="J3449" i="3"/>
  <c r="J3448" i="3"/>
  <c r="J3447" i="3"/>
  <c r="J3446" i="3"/>
  <c r="J3445" i="3"/>
  <c r="J3444" i="3"/>
  <c r="J3443" i="3"/>
  <c r="J3442" i="3"/>
  <c r="J3441" i="3"/>
  <c r="J3440" i="3"/>
  <c r="J3439" i="3"/>
  <c r="J3438" i="3"/>
  <c r="J3437" i="3"/>
  <c r="J3436" i="3"/>
  <c r="J3435" i="3"/>
  <c r="J3434" i="3"/>
  <c r="J3433" i="3"/>
  <c r="J3432" i="3"/>
  <c r="J3431" i="3"/>
  <c r="J3430" i="3"/>
  <c r="J3429" i="3"/>
  <c r="J3428" i="3"/>
  <c r="J3427" i="3"/>
  <c r="J3426" i="3"/>
  <c r="J3425" i="3"/>
  <c r="J3424" i="3"/>
  <c r="J3423" i="3"/>
  <c r="J3422" i="3"/>
  <c r="J3421" i="3"/>
  <c r="J3420" i="3"/>
  <c r="J3419" i="3"/>
  <c r="J3418" i="3"/>
  <c r="J3417" i="3"/>
  <c r="J3416" i="3"/>
  <c r="J3415" i="3"/>
  <c r="J3414" i="3"/>
  <c r="J3413" i="3"/>
  <c r="J3412" i="3"/>
  <c r="J3411" i="3"/>
  <c r="J3410" i="3"/>
  <c r="J3409" i="3"/>
  <c r="J3408" i="3"/>
  <c r="J3407" i="3"/>
  <c r="J3406" i="3"/>
  <c r="J3405" i="3"/>
  <c r="J3404" i="3"/>
  <c r="J3403" i="3"/>
  <c r="J3402" i="3"/>
  <c r="J3401" i="3"/>
  <c r="J3400" i="3"/>
  <c r="J3399" i="3"/>
  <c r="J3398" i="3"/>
  <c r="J3397" i="3"/>
  <c r="J3396" i="3"/>
  <c r="J3395" i="3"/>
  <c r="J3394" i="3"/>
  <c r="J3393" i="3"/>
  <c r="J3392" i="3"/>
  <c r="J3391" i="3"/>
  <c r="J3390" i="3"/>
  <c r="J3389" i="3"/>
  <c r="J3388" i="3"/>
  <c r="J3387" i="3"/>
  <c r="J3386" i="3"/>
  <c r="J3385" i="3"/>
  <c r="J3384" i="3"/>
  <c r="J3383" i="3"/>
  <c r="J3382" i="3"/>
  <c r="J3381" i="3"/>
  <c r="J3380" i="3"/>
  <c r="J3379" i="3"/>
  <c r="J3378" i="3"/>
  <c r="J3377" i="3"/>
  <c r="J3376" i="3"/>
  <c r="J3375" i="3"/>
  <c r="J3374" i="3"/>
  <c r="J3373" i="3"/>
  <c r="J3372" i="3"/>
  <c r="J3371" i="3"/>
  <c r="J3370" i="3"/>
  <c r="J3369" i="3"/>
  <c r="J3368" i="3"/>
  <c r="J3367" i="3"/>
  <c r="J3366" i="3"/>
  <c r="J3365" i="3"/>
  <c r="J3364" i="3"/>
  <c r="J3363" i="3"/>
  <c r="J3362" i="3"/>
  <c r="J3361" i="3"/>
  <c r="J3360" i="3"/>
  <c r="J3359" i="3"/>
  <c r="J3358" i="3"/>
  <c r="J3357" i="3"/>
  <c r="J3356" i="3"/>
  <c r="J3355" i="3"/>
  <c r="J3354" i="3"/>
  <c r="J3353" i="3"/>
  <c r="J3352" i="3"/>
  <c r="J3351" i="3"/>
  <c r="J3350" i="3"/>
  <c r="J3349" i="3"/>
  <c r="J3348" i="3"/>
  <c r="J3347" i="3"/>
  <c r="J3346" i="3"/>
  <c r="J3345" i="3"/>
  <c r="J3344" i="3"/>
  <c r="J3343" i="3"/>
  <c r="J3342" i="3"/>
  <c r="J3341" i="3"/>
  <c r="J3340" i="3"/>
  <c r="J3339" i="3"/>
  <c r="J3338" i="3"/>
  <c r="J3337" i="3"/>
  <c r="J3336" i="3"/>
  <c r="J3335" i="3"/>
  <c r="J3334" i="3"/>
  <c r="J3333" i="3"/>
  <c r="J3332" i="3"/>
  <c r="J3331" i="3"/>
  <c r="J3330" i="3"/>
  <c r="J3329" i="3"/>
  <c r="J3328" i="3"/>
  <c r="J3327" i="3"/>
  <c r="J3326" i="3"/>
  <c r="J3325" i="3"/>
  <c r="J3324" i="3"/>
  <c r="J3323" i="3"/>
  <c r="J3322" i="3"/>
  <c r="J3321" i="3"/>
  <c r="J3320" i="3"/>
  <c r="J3319" i="3"/>
  <c r="J3318" i="3"/>
  <c r="J3317" i="3"/>
  <c r="J3316" i="3"/>
  <c r="J3315" i="3"/>
  <c r="J3314" i="3"/>
  <c r="J3313" i="3"/>
  <c r="J3312" i="3"/>
  <c r="J3311" i="3"/>
  <c r="J3310" i="3"/>
  <c r="J3309" i="3"/>
  <c r="J3308" i="3"/>
  <c r="J3307" i="3"/>
  <c r="J3306" i="3"/>
  <c r="J3305" i="3"/>
  <c r="J3304" i="3"/>
  <c r="J3303" i="3"/>
  <c r="J3302" i="3"/>
  <c r="J3301" i="3"/>
  <c r="J3300" i="3"/>
  <c r="J3299" i="3"/>
  <c r="J3298" i="3"/>
  <c r="J3297" i="3"/>
  <c r="J3296" i="3"/>
  <c r="J3295" i="3"/>
  <c r="J3294" i="3"/>
  <c r="J3293" i="3"/>
  <c r="J3292" i="3"/>
  <c r="J3291" i="3"/>
  <c r="J3290" i="3"/>
  <c r="J3289" i="3"/>
  <c r="J3288" i="3"/>
  <c r="J3287" i="3"/>
  <c r="J3286" i="3"/>
  <c r="J3285" i="3"/>
  <c r="J3284" i="3"/>
  <c r="J3283" i="3"/>
  <c r="J3282" i="3"/>
  <c r="J3281" i="3"/>
  <c r="J3280" i="3"/>
  <c r="J3279" i="3"/>
  <c r="J3278" i="3"/>
  <c r="J3277" i="3"/>
  <c r="J3276" i="3"/>
  <c r="J3275" i="3"/>
  <c r="J3274" i="3"/>
  <c r="J3273" i="3"/>
  <c r="J3272" i="3"/>
  <c r="J3271" i="3"/>
  <c r="J3270" i="3"/>
  <c r="J3269" i="3"/>
  <c r="J3268" i="3"/>
  <c r="J3267" i="3"/>
  <c r="J3266" i="3"/>
  <c r="J3265" i="3"/>
  <c r="J3264" i="3"/>
  <c r="J3263" i="3"/>
  <c r="J3262" i="3"/>
  <c r="J3261" i="3"/>
  <c r="J3260" i="3"/>
  <c r="J3259" i="3"/>
  <c r="J3258" i="3"/>
  <c r="J3257" i="3"/>
  <c r="J3256" i="3"/>
  <c r="J3255" i="3"/>
  <c r="J3254" i="3"/>
  <c r="J3253" i="3"/>
  <c r="J3252" i="3"/>
  <c r="J3251" i="3"/>
  <c r="J3250" i="3"/>
  <c r="J3249" i="3"/>
  <c r="J3248" i="3"/>
  <c r="J3247" i="3"/>
  <c r="J3246" i="3"/>
  <c r="J3245" i="3"/>
  <c r="J3244" i="3"/>
  <c r="J3243" i="3"/>
  <c r="J3242" i="3"/>
  <c r="J3241" i="3"/>
  <c r="J3240" i="3"/>
  <c r="J3239" i="3"/>
  <c r="J3238" i="3"/>
  <c r="J3237" i="3"/>
  <c r="J3236" i="3"/>
  <c r="J3235" i="3"/>
  <c r="J3234" i="3"/>
  <c r="J3233" i="3"/>
  <c r="J3232" i="3"/>
  <c r="J3231" i="3"/>
  <c r="J3230" i="3"/>
  <c r="J3229" i="3"/>
  <c r="J3228" i="3"/>
  <c r="J3227" i="3"/>
  <c r="J3226" i="3"/>
  <c r="J3225" i="3"/>
  <c r="J3224" i="3"/>
  <c r="J3223" i="3"/>
  <c r="J3222" i="3"/>
  <c r="J3221" i="3"/>
  <c r="J3220" i="3"/>
  <c r="J3219" i="3"/>
  <c r="J3218" i="3"/>
  <c r="J3217" i="3"/>
  <c r="J3216" i="3"/>
  <c r="J3215" i="3"/>
  <c r="J3214" i="3"/>
  <c r="J3213" i="3"/>
  <c r="J3212" i="3"/>
  <c r="J3211" i="3"/>
  <c r="J3210" i="3"/>
  <c r="J3209" i="3"/>
  <c r="J3208" i="3"/>
  <c r="J3207" i="3"/>
  <c r="J3206" i="3"/>
  <c r="J3205" i="3"/>
  <c r="J3204" i="3"/>
  <c r="J3203" i="3"/>
  <c r="J3202" i="3"/>
  <c r="J3201" i="3"/>
  <c r="J3200" i="3"/>
  <c r="J3199" i="3"/>
  <c r="J3198" i="3"/>
  <c r="J3197" i="3"/>
  <c r="J3196" i="3"/>
  <c r="J3195" i="3"/>
  <c r="J3194" i="3"/>
  <c r="J3193" i="3"/>
  <c r="J3192" i="3"/>
  <c r="J3191" i="3"/>
  <c r="J3190" i="3"/>
  <c r="J3189" i="3"/>
  <c r="J3188" i="3"/>
  <c r="J3187" i="3"/>
  <c r="J3186" i="3"/>
  <c r="J3185" i="3"/>
  <c r="J3184" i="3"/>
  <c r="J3183" i="3"/>
  <c r="J3182" i="3"/>
  <c r="J3181" i="3"/>
  <c r="J3180" i="3"/>
  <c r="J3179" i="3"/>
  <c r="J3178" i="3"/>
  <c r="J3177" i="3"/>
  <c r="J3176" i="3"/>
  <c r="J3175" i="3"/>
  <c r="J3174" i="3"/>
  <c r="J3173" i="3"/>
  <c r="J3172" i="3"/>
  <c r="J3171" i="3"/>
  <c r="J3170" i="3"/>
  <c r="J3169" i="3"/>
  <c r="J3168" i="3"/>
  <c r="J3167" i="3"/>
  <c r="J3166" i="3"/>
  <c r="J3165" i="3"/>
  <c r="J3164" i="3"/>
  <c r="J3163" i="3"/>
  <c r="J3162" i="3"/>
  <c r="J3161" i="3"/>
  <c r="J3160" i="3"/>
  <c r="J3159" i="3"/>
  <c r="J3158" i="3"/>
  <c r="J3157" i="3"/>
  <c r="J3156" i="3"/>
  <c r="J3155" i="3"/>
  <c r="J3154" i="3"/>
  <c r="J3153" i="3"/>
  <c r="J3152" i="3"/>
  <c r="J3151" i="3"/>
  <c r="J3150" i="3"/>
  <c r="J3149" i="3"/>
  <c r="J3148" i="3"/>
  <c r="J3147" i="3"/>
  <c r="J3146" i="3"/>
  <c r="J3145" i="3"/>
  <c r="J3144" i="3"/>
  <c r="J3143" i="3"/>
  <c r="J3142" i="3"/>
  <c r="J3141" i="3"/>
  <c r="J3140" i="3"/>
  <c r="J3139" i="3"/>
  <c r="J3138" i="3"/>
  <c r="J3137" i="3"/>
  <c r="J3136" i="3"/>
  <c r="J3135" i="3"/>
  <c r="J3134" i="3"/>
  <c r="J3133" i="3"/>
  <c r="J3132" i="3"/>
  <c r="J3131" i="3"/>
  <c r="J3130" i="3"/>
  <c r="J3129" i="3"/>
  <c r="J3128" i="3"/>
  <c r="J3127" i="3"/>
  <c r="J3126" i="3"/>
  <c r="J3125" i="3"/>
  <c r="J3124" i="3"/>
  <c r="J3123" i="3"/>
  <c r="J3122" i="3"/>
  <c r="J3121" i="3"/>
  <c r="J3120" i="3"/>
  <c r="J3119" i="3"/>
  <c r="J3118" i="3"/>
  <c r="J3117" i="3"/>
  <c r="J3116" i="3"/>
  <c r="J3115" i="3"/>
  <c r="J3114" i="3"/>
  <c r="J3113" i="3"/>
  <c r="J3112" i="3"/>
  <c r="J3111" i="3"/>
  <c r="J3110" i="3"/>
  <c r="J3109" i="3"/>
  <c r="J3108" i="3"/>
  <c r="J3107" i="3"/>
  <c r="J3106" i="3"/>
  <c r="J3105" i="3"/>
  <c r="J3104" i="3"/>
  <c r="J3103" i="3"/>
  <c r="J3102" i="3"/>
  <c r="J3101" i="3"/>
  <c r="J3100" i="3"/>
  <c r="J3099" i="3"/>
  <c r="J3098" i="3"/>
  <c r="J3097" i="3"/>
  <c r="J3096" i="3"/>
  <c r="J3095" i="3"/>
  <c r="J3094" i="3"/>
  <c r="J3093" i="3"/>
  <c r="J3092" i="3"/>
  <c r="J3091" i="3"/>
  <c r="J3090" i="3"/>
  <c r="J3089" i="3"/>
  <c r="J3088" i="3"/>
  <c r="J3087" i="3"/>
  <c r="J3086" i="3"/>
  <c r="J3085" i="3"/>
  <c r="J3084" i="3"/>
  <c r="J3083" i="3"/>
  <c r="J3082" i="3"/>
  <c r="J3081" i="3"/>
  <c r="J3080" i="3"/>
  <c r="J3079" i="3"/>
  <c r="J3078" i="3"/>
  <c r="J3077" i="3"/>
  <c r="J3076" i="3"/>
  <c r="J3075" i="3"/>
  <c r="J3074" i="3"/>
  <c r="J3073" i="3"/>
  <c r="J3072" i="3"/>
  <c r="J3071" i="3"/>
  <c r="J3070" i="3"/>
  <c r="J3069" i="3"/>
  <c r="J3068" i="3"/>
  <c r="J3067" i="3"/>
  <c r="J3066" i="3"/>
  <c r="J3065" i="3"/>
  <c r="J3064" i="3"/>
  <c r="J3063" i="3"/>
  <c r="J3062" i="3"/>
  <c r="J3061" i="3"/>
  <c r="J3060" i="3"/>
  <c r="J3059" i="3"/>
  <c r="J3058" i="3"/>
  <c r="J3057" i="3"/>
  <c r="J3056" i="3"/>
  <c r="J3055" i="3"/>
  <c r="J3054" i="3"/>
  <c r="J3053" i="3"/>
  <c r="J3052" i="3"/>
  <c r="J3051" i="3"/>
  <c r="J3050" i="3"/>
  <c r="J3049" i="3"/>
  <c r="J3048" i="3"/>
  <c r="J3047" i="3"/>
  <c r="J3046" i="3"/>
  <c r="J3045" i="3"/>
  <c r="J3044" i="3"/>
  <c r="J3043" i="3"/>
  <c r="J3042" i="3"/>
  <c r="J3041" i="3"/>
  <c r="J3040" i="3"/>
  <c r="J3039" i="3"/>
  <c r="J3038" i="3"/>
  <c r="J3037" i="3"/>
  <c r="J3036" i="3"/>
  <c r="J3035" i="3"/>
  <c r="J3034" i="3"/>
  <c r="J3033" i="3"/>
  <c r="J3032" i="3"/>
  <c r="J3031" i="3"/>
  <c r="J3030" i="3"/>
  <c r="J3029" i="3"/>
  <c r="J3028" i="3"/>
  <c r="J3027" i="3"/>
  <c r="J3026" i="3"/>
  <c r="J3025" i="3"/>
  <c r="J3024" i="3"/>
  <c r="J3023" i="3"/>
  <c r="J3022" i="3"/>
  <c r="J3021" i="3"/>
  <c r="J3020" i="3"/>
  <c r="J3019" i="3"/>
  <c r="J3018" i="3"/>
  <c r="J3017" i="3"/>
  <c r="J3016" i="3"/>
  <c r="J3015" i="3"/>
  <c r="J3014" i="3"/>
  <c r="J3013" i="3"/>
  <c r="J3012" i="3"/>
  <c r="J3011" i="3"/>
  <c r="J3010" i="3"/>
  <c r="J3009" i="3"/>
  <c r="J3008" i="3"/>
  <c r="J3007" i="3"/>
  <c r="J3006" i="3"/>
  <c r="J3005" i="3"/>
  <c r="J3004" i="3"/>
  <c r="J3003" i="3"/>
  <c r="J3002" i="3"/>
  <c r="J3001" i="3"/>
  <c r="J3000" i="3"/>
  <c r="J2999" i="3"/>
  <c r="J2998" i="3"/>
  <c r="J2997" i="3"/>
  <c r="J2996" i="3"/>
  <c r="J2995" i="3"/>
  <c r="J2994" i="3"/>
  <c r="J2993" i="3"/>
  <c r="J2992" i="3"/>
  <c r="J2991" i="3"/>
  <c r="J2990" i="3"/>
  <c r="J2989" i="3"/>
  <c r="J2988" i="3"/>
  <c r="J2987" i="3"/>
  <c r="J2986" i="3"/>
  <c r="J2985" i="3"/>
  <c r="J2984" i="3"/>
  <c r="J2983" i="3"/>
  <c r="J2982" i="3"/>
  <c r="J2981" i="3"/>
  <c r="J2980" i="3"/>
  <c r="J2979" i="3"/>
  <c r="J2978" i="3"/>
  <c r="J2977" i="3"/>
  <c r="J2976" i="3"/>
  <c r="J2975" i="3"/>
  <c r="J2974" i="3"/>
  <c r="J2973" i="3"/>
  <c r="J2972" i="3"/>
  <c r="J2971" i="3"/>
  <c r="J2970" i="3"/>
  <c r="J2969" i="3"/>
  <c r="J2968" i="3"/>
  <c r="J2967" i="3"/>
  <c r="J2966" i="3"/>
  <c r="J2965" i="3"/>
  <c r="J2964" i="3"/>
  <c r="J2963" i="3"/>
  <c r="J2962" i="3"/>
  <c r="J2961" i="3"/>
  <c r="J2960" i="3"/>
  <c r="J2959" i="3"/>
  <c r="J2958" i="3"/>
  <c r="J2957" i="3"/>
  <c r="J2956" i="3"/>
  <c r="J2955" i="3"/>
  <c r="J2954" i="3"/>
  <c r="J2953" i="3"/>
  <c r="J2952" i="3"/>
  <c r="J2951" i="3"/>
  <c r="J2950" i="3"/>
  <c r="J2949" i="3"/>
  <c r="J2948" i="3"/>
  <c r="J2947" i="3"/>
  <c r="J2946" i="3"/>
  <c r="J2945" i="3"/>
  <c r="J2944" i="3"/>
  <c r="J2943" i="3"/>
  <c r="J2942" i="3"/>
  <c r="J2941" i="3"/>
  <c r="J2940" i="3"/>
  <c r="J2939" i="3"/>
  <c r="J2938" i="3"/>
  <c r="J2937" i="3"/>
  <c r="J2936" i="3"/>
  <c r="J2935" i="3"/>
  <c r="J2934" i="3"/>
  <c r="J2933" i="3"/>
  <c r="J2932" i="3"/>
  <c r="J2931" i="3"/>
  <c r="J2930" i="3"/>
  <c r="J2929" i="3"/>
  <c r="J2928" i="3"/>
  <c r="J2927" i="3"/>
  <c r="J2926" i="3"/>
  <c r="J2925" i="3"/>
  <c r="J2924" i="3"/>
  <c r="J2923" i="3"/>
  <c r="J2922" i="3"/>
  <c r="J2921" i="3"/>
  <c r="J2920" i="3"/>
  <c r="J2919" i="3"/>
  <c r="J2918" i="3"/>
  <c r="J2917" i="3"/>
  <c r="J2916" i="3"/>
  <c r="J2915" i="3"/>
  <c r="J2914" i="3"/>
  <c r="J2913" i="3"/>
  <c r="J2912" i="3"/>
  <c r="J2911" i="3"/>
  <c r="J2910" i="3"/>
  <c r="J2909" i="3"/>
  <c r="J2908" i="3"/>
  <c r="J2907" i="3"/>
  <c r="J2906" i="3"/>
  <c r="J2905" i="3"/>
  <c r="J2904" i="3"/>
  <c r="J2903" i="3"/>
  <c r="J2902" i="3"/>
  <c r="J2901" i="3"/>
  <c r="J2900" i="3"/>
  <c r="J2899" i="3"/>
  <c r="J2898" i="3"/>
  <c r="J2897" i="3"/>
  <c r="J2896" i="3"/>
  <c r="J2895" i="3"/>
  <c r="J2894" i="3"/>
  <c r="J2893" i="3"/>
  <c r="J2892" i="3"/>
  <c r="J2891" i="3"/>
  <c r="J2890" i="3"/>
  <c r="J2889" i="3"/>
  <c r="J2888" i="3"/>
  <c r="J2887" i="3"/>
  <c r="J2886" i="3"/>
  <c r="J2885" i="3"/>
  <c r="J2884" i="3"/>
  <c r="J2883" i="3"/>
  <c r="J2882" i="3"/>
  <c r="J2881" i="3"/>
  <c r="J2880" i="3"/>
  <c r="J2879" i="3"/>
  <c r="J2878" i="3"/>
  <c r="J2877" i="3"/>
  <c r="J2876" i="3"/>
  <c r="J2875" i="3"/>
  <c r="J2874" i="3"/>
  <c r="J2873" i="3"/>
  <c r="J2872" i="3"/>
  <c r="J2871" i="3"/>
  <c r="J2870" i="3"/>
  <c r="J2869" i="3"/>
  <c r="J2868" i="3"/>
  <c r="J2867" i="3"/>
  <c r="J2866" i="3"/>
  <c r="J2865" i="3"/>
  <c r="J2864" i="3"/>
  <c r="J2863" i="3"/>
  <c r="J2862" i="3"/>
  <c r="J2861" i="3"/>
  <c r="J2860" i="3"/>
  <c r="J2859" i="3"/>
  <c r="J2858" i="3"/>
  <c r="J2857" i="3"/>
  <c r="J2856" i="3"/>
  <c r="J2855" i="3"/>
  <c r="J2854" i="3"/>
  <c r="J2853" i="3"/>
  <c r="J2852" i="3"/>
  <c r="J2851" i="3"/>
  <c r="J2850" i="3"/>
  <c r="J2849" i="3"/>
  <c r="J2848" i="3"/>
  <c r="J2847" i="3"/>
  <c r="J2846" i="3"/>
  <c r="J2845" i="3"/>
  <c r="J2844" i="3"/>
  <c r="J2843" i="3"/>
  <c r="J2842" i="3"/>
  <c r="J2841" i="3"/>
  <c r="J2840" i="3"/>
  <c r="J2839" i="3"/>
  <c r="J2838" i="3"/>
  <c r="J2837" i="3"/>
  <c r="J2836" i="3"/>
  <c r="J2835" i="3"/>
  <c r="J2834" i="3"/>
  <c r="J2833" i="3"/>
  <c r="J2832" i="3"/>
  <c r="J2831" i="3"/>
  <c r="J2830" i="3"/>
  <c r="J2829" i="3"/>
  <c r="J2828" i="3"/>
  <c r="J2827" i="3"/>
  <c r="J2826" i="3"/>
  <c r="J2825" i="3"/>
  <c r="J2824" i="3"/>
  <c r="J2823" i="3"/>
  <c r="J2822" i="3"/>
  <c r="J2821" i="3"/>
  <c r="J2820" i="3"/>
  <c r="J2819" i="3"/>
  <c r="J2818" i="3"/>
  <c r="J2817" i="3"/>
  <c r="J2816" i="3"/>
  <c r="J2815" i="3"/>
  <c r="J2814" i="3"/>
  <c r="J2813" i="3"/>
  <c r="J2812" i="3"/>
  <c r="J2811" i="3"/>
  <c r="J2810" i="3"/>
  <c r="J2809" i="3"/>
  <c r="J2808" i="3"/>
  <c r="J2807" i="3"/>
  <c r="J2806" i="3"/>
  <c r="J2805" i="3"/>
  <c r="J2804" i="3"/>
  <c r="J2803" i="3"/>
  <c r="J2802" i="3"/>
  <c r="J2801" i="3"/>
  <c r="J2800" i="3"/>
  <c r="J2799" i="3"/>
  <c r="J2798" i="3"/>
  <c r="J2797" i="3"/>
  <c r="J2796" i="3"/>
  <c r="J2795" i="3"/>
  <c r="J2794" i="3"/>
  <c r="J2793" i="3"/>
  <c r="J2792" i="3"/>
  <c r="J2791" i="3"/>
  <c r="J2790" i="3"/>
  <c r="J2789" i="3"/>
  <c r="J2788" i="3"/>
  <c r="J2787" i="3"/>
  <c r="J2786" i="3"/>
  <c r="J2785" i="3"/>
  <c r="J2784" i="3"/>
  <c r="J2783" i="3"/>
  <c r="J2782" i="3"/>
  <c r="J2781" i="3"/>
  <c r="J2780" i="3"/>
  <c r="J2779" i="3"/>
  <c r="J2778" i="3"/>
  <c r="J2777" i="3"/>
  <c r="J2776" i="3"/>
  <c r="J2775" i="3"/>
  <c r="J2774" i="3"/>
  <c r="J2773" i="3"/>
  <c r="J2772" i="3"/>
  <c r="J2771" i="3"/>
  <c r="J2770" i="3"/>
  <c r="J2769" i="3"/>
  <c r="J2768" i="3"/>
  <c r="J2767" i="3"/>
  <c r="J2766" i="3"/>
  <c r="J2765" i="3"/>
  <c r="J2764" i="3"/>
  <c r="J2763" i="3"/>
  <c r="J2762" i="3"/>
  <c r="J2761" i="3"/>
  <c r="J2760" i="3"/>
  <c r="J2759" i="3"/>
  <c r="J2758" i="3"/>
  <c r="J2757" i="3"/>
  <c r="J2756" i="3"/>
  <c r="J2755" i="3"/>
  <c r="J2754" i="3"/>
  <c r="J2753" i="3"/>
  <c r="J2752" i="3"/>
  <c r="J2751" i="3"/>
  <c r="J2750" i="3"/>
  <c r="J2749" i="3"/>
  <c r="J2748" i="3"/>
  <c r="J2747" i="3"/>
  <c r="J2746" i="3"/>
  <c r="J2745" i="3"/>
  <c r="J2744" i="3"/>
  <c r="J2743" i="3"/>
  <c r="J2742" i="3"/>
  <c r="J2741" i="3"/>
  <c r="J2740" i="3"/>
  <c r="J2739" i="3"/>
  <c r="J2738" i="3"/>
  <c r="J2737" i="3"/>
  <c r="J2736" i="3"/>
  <c r="J2735" i="3"/>
  <c r="J2734" i="3"/>
  <c r="J2733" i="3"/>
  <c r="J2732" i="3"/>
  <c r="J2731" i="3"/>
  <c r="J2730" i="3"/>
  <c r="J2729" i="3"/>
  <c r="J2728" i="3"/>
  <c r="J2727" i="3"/>
  <c r="J2726" i="3"/>
  <c r="J2725" i="3"/>
  <c r="J2724" i="3"/>
  <c r="J2723" i="3"/>
  <c r="J2722" i="3"/>
  <c r="J2721" i="3"/>
  <c r="J2720" i="3"/>
  <c r="J2719" i="3"/>
  <c r="J2718" i="3"/>
  <c r="J2717" i="3"/>
  <c r="J2716" i="3"/>
  <c r="J2715" i="3"/>
  <c r="J2714" i="3"/>
  <c r="J2713" i="3"/>
  <c r="J2712" i="3"/>
  <c r="J2711" i="3"/>
  <c r="J2710" i="3"/>
  <c r="J2709" i="3"/>
  <c r="J2708" i="3"/>
  <c r="J2707" i="3"/>
  <c r="J2706" i="3"/>
  <c r="J2705" i="3"/>
  <c r="J2704" i="3"/>
  <c r="J2703" i="3"/>
  <c r="J2702" i="3"/>
  <c r="J2701" i="3"/>
  <c r="J2700" i="3"/>
  <c r="J2699" i="3"/>
  <c r="J2698" i="3"/>
  <c r="J2697" i="3"/>
  <c r="J2696" i="3"/>
  <c r="J2695" i="3"/>
  <c r="J2694" i="3"/>
  <c r="J2693" i="3"/>
  <c r="J2692" i="3"/>
  <c r="J2691" i="3"/>
  <c r="J2690" i="3"/>
  <c r="J2689" i="3"/>
  <c r="J2688" i="3"/>
  <c r="J2687" i="3"/>
  <c r="J2686" i="3"/>
  <c r="J2685" i="3"/>
  <c r="J2684" i="3"/>
  <c r="J2683" i="3"/>
  <c r="J2682" i="3"/>
  <c r="J2681" i="3"/>
  <c r="J2680" i="3"/>
  <c r="J2679" i="3"/>
  <c r="J2678" i="3"/>
  <c r="J2677" i="3"/>
  <c r="J2676" i="3"/>
  <c r="J2675" i="3"/>
  <c r="J2674" i="3"/>
  <c r="J2673" i="3"/>
  <c r="J2672" i="3"/>
  <c r="J2671" i="3"/>
  <c r="J2670" i="3"/>
  <c r="J2669" i="3"/>
  <c r="J2668" i="3"/>
  <c r="J2667" i="3"/>
  <c r="J2666" i="3"/>
  <c r="J2665" i="3"/>
  <c r="J2664" i="3"/>
  <c r="J2663" i="3"/>
  <c r="J2662" i="3"/>
  <c r="J2661" i="3"/>
  <c r="J2660" i="3"/>
  <c r="J2659" i="3"/>
  <c r="J2658" i="3"/>
  <c r="J2657" i="3"/>
  <c r="J2656" i="3"/>
  <c r="J2655" i="3"/>
  <c r="J2654" i="3"/>
  <c r="J2653" i="3"/>
  <c r="J2652" i="3"/>
  <c r="J2651" i="3"/>
  <c r="J2650" i="3"/>
  <c r="J2649" i="3"/>
  <c r="J2648" i="3"/>
  <c r="J2647" i="3"/>
  <c r="J2646" i="3"/>
  <c r="J2645" i="3"/>
  <c r="J2644" i="3"/>
  <c r="J2643" i="3"/>
  <c r="J2642" i="3"/>
  <c r="J2641" i="3"/>
  <c r="J2640" i="3"/>
  <c r="J2639" i="3"/>
  <c r="J2638" i="3"/>
  <c r="J2637" i="3"/>
  <c r="J2636" i="3"/>
  <c r="J2635" i="3"/>
  <c r="J2634" i="3"/>
  <c r="J2633" i="3"/>
  <c r="J2632" i="3"/>
  <c r="J2631" i="3"/>
  <c r="J2630" i="3"/>
  <c r="J2629" i="3"/>
  <c r="J2628" i="3"/>
  <c r="J2627" i="3"/>
  <c r="J2626" i="3"/>
  <c r="J2625" i="3"/>
  <c r="J2624" i="3"/>
  <c r="J2623" i="3"/>
  <c r="J2622" i="3"/>
  <c r="J2621" i="3"/>
  <c r="J2620" i="3"/>
  <c r="J2619" i="3"/>
  <c r="J2618" i="3"/>
  <c r="J2617" i="3"/>
  <c r="J2616" i="3"/>
  <c r="J2615" i="3"/>
  <c r="J2614" i="3"/>
  <c r="J2613" i="3"/>
  <c r="J2612" i="3"/>
  <c r="J2611" i="3"/>
  <c r="J2610" i="3"/>
  <c r="J2609" i="3"/>
  <c r="J2608" i="3"/>
  <c r="J2607" i="3"/>
  <c r="J2606" i="3"/>
  <c r="J2605" i="3"/>
  <c r="J2604" i="3"/>
  <c r="J2603" i="3"/>
  <c r="J2602" i="3"/>
  <c r="J2601" i="3"/>
  <c r="J2600" i="3"/>
  <c r="J2599" i="3"/>
  <c r="J2598" i="3"/>
  <c r="J2597" i="3"/>
  <c r="J2596" i="3"/>
  <c r="J2595" i="3"/>
  <c r="J2594" i="3"/>
  <c r="J2593" i="3"/>
  <c r="J2592" i="3"/>
  <c r="J2591" i="3"/>
  <c r="J2590" i="3"/>
  <c r="J2589" i="3"/>
  <c r="J2588" i="3"/>
  <c r="J2587" i="3"/>
  <c r="J2586" i="3"/>
  <c r="J2585" i="3"/>
  <c r="J2584" i="3"/>
  <c r="J2583" i="3"/>
  <c r="J2582" i="3"/>
  <c r="J2581" i="3"/>
  <c r="J2580" i="3"/>
  <c r="J2579" i="3"/>
  <c r="J2578" i="3"/>
  <c r="J2577" i="3"/>
  <c r="J2576" i="3"/>
  <c r="J2575" i="3"/>
  <c r="J2574" i="3"/>
  <c r="J2573" i="3"/>
  <c r="J2572" i="3"/>
  <c r="J2571" i="3"/>
  <c r="J2570" i="3"/>
  <c r="J2569" i="3"/>
  <c r="J2568" i="3"/>
  <c r="J2567" i="3"/>
  <c r="J2566" i="3"/>
  <c r="J2565" i="3"/>
  <c r="J2564" i="3"/>
  <c r="J2563" i="3"/>
  <c r="J2562" i="3"/>
  <c r="J2561" i="3"/>
  <c r="J2560" i="3"/>
  <c r="J2559" i="3"/>
  <c r="J2558" i="3"/>
  <c r="J2557" i="3"/>
  <c r="J2556" i="3"/>
  <c r="J2555" i="3"/>
  <c r="J2554" i="3"/>
  <c r="J2553" i="3"/>
  <c r="J2552" i="3"/>
  <c r="J2551" i="3"/>
  <c r="J2550" i="3"/>
  <c r="J2549" i="3"/>
  <c r="J2548" i="3"/>
  <c r="J2547" i="3"/>
  <c r="J2546" i="3"/>
  <c r="J2545" i="3"/>
  <c r="J2544" i="3"/>
  <c r="J2543" i="3"/>
  <c r="J2542" i="3"/>
  <c r="J2541" i="3"/>
  <c r="J2540" i="3"/>
  <c r="J2539" i="3"/>
  <c r="J2538" i="3"/>
  <c r="J2537" i="3"/>
  <c r="J2536" i="3"/>
  <c r="J2535" i="3"/>
  <c r="J2534" i="3"/>
  <c r="J2533" i="3"/>
  <c r="J2532" i="3"/>
  <c r="J2531" i="3"/>
  <c r="J2530" i="3"/>
  <c r="J2529" i="3"/>
  <c r="J2528" i="3"/>
  <c r="J2527" i="3"/>
  <c r="J2526" i="3"/>
  <c r="J2525" i="3"/>
  <c r="J2524" i="3"/>
  <c r="J2523" i="3"/>
  <c r="J2522" i="3"/>
  <c r="J2521" i="3"/>
  <c r="J2520" i="3"/>
  <c r="J2519" i="3"/>
  <c r="J2518" i="3"/>
  <c r="J2517" i="3"/>
  <c r="J2516" i="3"/>
  <c r="J2515" i="3"/>
  <c r="J2514" i="3"/>
  <c r="J2513" i="3"/>
  <c r="J2512" i="3"/>
  <c r="J2511" i="3"/>
  <c r="J2510" i="3"/>
  <c r="J2509" i="3"/>
  <c r="J2508" i="3"/>
  <c r="J2507" i="3"/>
  <c r="J2506" i="3"/>
  <c r="J2505" i="3"/>
  <c r="J2504" i="3"/>
  <c r="J2503" i="3"/>
  <c r="J2502" i="3"/>
  <c r="J2501" i="3"/>
  <c r="J2500" i="3"/>
  <c r="J2499" i="3"/>
  <c r="J2498" i="3"/>
  <c r="J2497" i="3"/>
  <c r="J2496" i="3"/>
  <c r="J2495" i="3"/>
  <c r="J2494" i="3"/>
  <c r="J2493" i="3"/>
  <c r="J2492" i="3"/>
  <c r="J2491" i="3"/>
  <c r="J2490" i="3"/>
  <c r="J2489" i="3"/>
  <c r="J2488" i="3"/>
  <c r="J2487" i="3"/>
  <c r="J2486" i="3"/>
  <c r="J2485" i="3"/>
  <c r="J2484" i="3"/>
  <c r="J2483" i="3"/>
  <c r="J2482" i="3"/>
  <c r="J2481" i="3"/>
  <c r="J2480" i="3"/>
  <c r="J2479" i="3"/>
  <c r="J2478" i="3"/>
  <c r="J2477" i="3"/>
  <c r="J2476" i="3"/>
  <c r="J2475" i="3"/>
  <c r="J2474" i="3"/>
  <c r="J2473" i="3"/>
  <c r="J2472" i="3"/>
  <c r="J2471" i="3"/>
  <c r="J2470" i="3"/>
  <c r="J2469" i="3"/>
  <c r="J2468" i="3"/>
  <c r="J2467" i="3"/>
  <c r="J2466" i="3"/>
  <c r="J2465" i="3"/>
  <c r="J2464" i="3"/>
  <c r="J2463" i="3"/>
  <c r="J2462" i="3"/>
  <c r="J2461" i="3"/>
  <c r="J2460" i="3"/>
  <c r="J2459" i="3"/>
  <c r="J2458" i="3"/>
  <c r="J2457" i="3"/>
  <c r="J2456" i="3"/>
  <c r="J2455" i="3"/>
  <c r="J2454" i="3"/>
  <c r="J2453" i="3"/>
  <c r="J2452" i="3"/>
  <c r="J2451" i="3"/>
  <c r="J2450" i="3"/>
  <c r="J2449" i="3"/>
  <c r="J2448" i="3"/>
  <c r="J2447" i="3"/>
  <c r="J2446" i="3"/>
  <c r="J2445" i="3"/>
  <c r="J2444" i="3"/>
  <c r="J2443" i="3"/>
  <c r="J2442" i="3"/>
  <c r="J2441" i="3"/>
  <c r="J2440" i="3"/>
  <c r="J2439" i="3"/>
  <c r="J2438" i="3"/>
  <c r="J2437" i="3"/>
  <c r="J2436" i="3"/>
  <c r="J2435" i="3"/>
  <c r="J2434" i="3"/>
  <c r="J2433" i="3"/>
  <c r="J2432" i="3"/>
  <c r="J2431" i="3"/>
  <c r="J2430" i="3"/>
  <c r="J2429" i="3"/>
  <c r="J2428" i="3"/>
  <c r="J2427" i="3"/>
  <c r="J2426" i="3"/>
  <c r="J2425" i="3"/>
  <c r="J2424" i="3"/>
  <c r="J2423" i="3"/>
  <c r="J2422" i="3"/>
  <c r="J2421" i="3"/>
  <c r="J2420" i="3"/>
  <c r="J2419" i="3"/>
  <c r="J2418" i="3"/>
  <c r="J2417" i="3"/>
  <c r="J2416" i="3"/>
  <c r="J2415" i="3"/>
  <c r="J2414" i="3"/>
  <c r="J2413" i="3"/>
  <c r="J2412" i="3"/>
  <c r="J2411" i="3"/>
  <c r="J2410" i="3"/>
  <c r="J2409" i="3"/>
  <c r="J2408" i="3"/>
  <c r="J2407" i="3"/>
  <c r="J2406" i="3"/>
  <c r="J2405" i="3"/>
  <c r="J2404" i="3"/>
  <c r="J2403" i="3"/>
  <c r="J2402" i="3"/>
  <c r="J2401" i="3"/>
  <c r="J2400" i="3"/>
  <c r="J2399" i="3"/>
  <c r="J2398" i="3"/>
  <c r="J2397" i="3"/>
  <c r="J2396" i="3"/>
  <c r="J2395" i="3"/>
  <c r="J2394" i="3"/>
  <c r="J2393" i="3"/>
  <c r="J2392" i="3"/>
  <c r="J2391" i="3"/>
  <c r="J2390" i="3"/>
  <c r="J2389" i="3"/>
  <c r="J2388" i="3"/>
  <c r="J2387" i="3"/>
  <c r="J2386" i="3"/>
  <c r="J2385" i="3"/>
  <c r="J2384" i="3"/>
  <c r="J2383" i="3"/>
  <c r="J2382" i="3"/>
  <c r="J2381" i="3"/>
  <c r="J2380" i="3"/>
  <c r="J2379" i="3"/>
  <c r="J2378" i="3"/>
  <c r="J2377" i="3"/>
  <c r="J2376" i="3"/>
  <c r="J2375" i="3"/>
  <c r="J2374" i="3"/>
  <c r="J2373" i="3"/>
  <c r="J2372" i="3"/>
  <c r="J2371" i="3"/>
  <c r="J2370" i="3"/>
  <c r="J2369" i="3"/>
  <c r="J2368" i="3"/>
  <c r="J2367" i="3"/>
  <c r="J2366" i="3"/>
  <c r="J2365" i="3"/>
  <c r="J2364" i="3"/>
  <c r="J2363" i="3"/>
  <c r="J2362" i="3"/>
  <c r="J2361" i="3"/>
  <c r="J2360" i="3"/>
  <c r="J2359" i="3"/>
  <c r="J2358" i="3"/>
  <c r="J2357" i="3"/>
  <c r="J2356" i="3"/>
  <c r="J2355" i="3"/>
  <c r="J2354" i="3"/>
  <c r="J2353" i="3"/>
  <c r="J2352" i="3"/>
  <c r="J2351" i="3"/>
  <c r="J2350" i="3"/>
  <c r="J2349" i="3"/>
  <c r="J2348" i="3"/>
  <c r="J2347" i="3"/>
  <c r="J2346" i="3"/>
  <c r="J2345" i="3"/>
  <c r="J2344" i="3"/>
  <c r="J2343" i="3"/>
  <c r="J2342" i="3"/>
  <c r="J2341" i="3"/>
  <c r="J2340" i="3"/>
  <c r="J2339" i="3"/>
  <c r="J2338" i="3"/>
  <c r="J2337" i="3"/>
  <c r="J2336" i="3"/>
  <c r="J2335" i="3"/>
  <c r="J2334" i="3"/>
  <c r="J2333" i="3"/>
  <c r="J2332" i="3"/>
  <c r="J2331" i="3"/>
  <c r="J2330" i="3"/>
  <c r="J2329" i="3"/>
  <c r="J2328" i="3"/>
  <c r="J2327" i="3"/>
  <c r="J2326" i="3"/>
  <c r="J2325" i="3"/>
  <c r="J2324" i="3"/>
  <c r="J2323" i="3"/>
  <c r="J2322" i="3"/>
  <c r="J2321" i="3"/>
  <c r="J2320" i="3"/>
  <c r="J2319" i="3"/>
  <c r="J2318" i="3"/>
  <c r="J2317" i="3"/>
  <c r="J2316" i="3"/>
  <c r="J2315" i="3"/>
  <c r="J2314" i="3"/>
  <c r="J2313" i="3"/>
  <c r="J2312" i="3"/>
  <c r="J2311" i="3"/>
  <c r="J2310" i="3"/>
  <c r="J2309" i="3"/>
  <c r="J2308" i="3"/>
  <c r="J2307" i="3"/>
  <c r="J2306" i="3"/>
  <c r="J2305" i="3"/>
  <c r="J2304" i="3"/>
  <c r="J2303" i="3"/>
  <c r="J2302" i="3"/>
  <c r="J2301" i="3"/>
  <c r="J2300" i="3"/>
  <c r="J2299" i="3"/>
  <c r="J2298" i="3"/>
  <c r="J2297" i="3"/>
  <c r="J2296" i="3"/>
  <c r="J2295" i="3"/>
  <c r="J2294" i="3"/>
  <c r="J2293" i="3"/>
  <c r="J2292" i="3"/>
  <c r="J2291" i="3"/>
  <c r="J2290" i="3"/>
  <c r="J2289" i="3"/>
  <c r="J2288" i="3"/>
  <c r="J2287" i="3"/>
  <c r="J2286" i="3"/>
  <c r="J2285" i="3"/>
  <c r="J2284" i="3"/>
  <c r="J2283" i="3"/>
  <c r="J2282" i="3"/>
  <c r="J2281" i="3"/>
  <c r="J2280" i="3"/>
  <c r="J2279" i="3"/>
  <c r="J2278" i="3"/>
  <c r="J2277" i="3"/>
  <c r="J2276" i="3"/>
  <c r="J2275" i="3"/>
  <c r="J2274" i="3"/>
  <c r="J2273" i="3"/>
  <c r="J2272" i="3"/>
  <c r="J2271" i="3"/>
  <c r="J2270" i="3"/>
  <c r="J2269" i="3"/>
  <c r="J2268" i="3"/>
  <c r="J2267" i="3"/>
  <c r="J2266" i="3"/>
  <c r="J2265" i="3"/>
  <c r="J2264" i="3"/>
  <c r="J2263" i="3"/>
  <c r="J2262" i="3"/>
  <c r="J2261" i="3"/>
  <c r="J2260" i="3"/>
  <c r="J2259" i="3"/>
  <c r="J2258" i="3"/>
  <c r="J2257" i="3"/>
  <c r="J2256" i="3"/>
  <c r="J2255" i="3"/>
  <c r="J2254" i="3"/>
  <c r="J2253" i="3"/>
  <c r="J2252" i="3"/>
  <c r="J2251" i="3"/>
  <c r="J2250" i="3"/>
  <c r="J2249" i="3"/>
  <c r="J2248" i="3"/>
  <c r="J2247" i="3"/>
  <c r="J2246" i="3"/>
  <c r="J2245" i="3"/>
  <c r="J2244" i="3"/>
  <c r="J2243" i="3"/>
  <c r="J2242" i="3"/>
  <c r="J2241" i="3"/>
  <c r="J2240" i="3"/>
  <c r="J2239" i="3"/>
  <c r="J2238" i="3"/>
  <c r="J2237" i="3"/>
  <c r="J2236" i="3"/>
  <c r="J2235" i="3"/>
  <c r="J2234" i="3"/>
  <c r="J2233" i="3"/>
  <c r="J2232" i="3"/>
  <c r="J2231" i="3"/>
  <c r="J2230" i="3"/>
  <c r="J2229" i="3"/>
  <c r="J2228" i="3"/>
  <c r="J2227" i="3"/>
  <c r="J2226" i="3"/>
  <c r="J2225" i="3"/>
  <c r="J2224" i="3"/>
  <c r="J2223" i="3"/>
  <c r="J2222" i="3"/>
  <c r="J2221" i="3"/>
  <c r="J2220" i="3"/>
  <c r="J2219" i="3"/>
  <c r="J2218" i="3"/>
  <c r="J2217" i="3"/>
  <c r="J2216" i="3"/>
  <c r="J2215" i="3"/>
  <c r="J2214" i="3"/>
  <c r="J2213" i="3"/>
  <c r="J2212" i="3"/>
  <c r="J2211" i="3"/>
  <c r="J2210" i="3"/>
  <c r="J2209" i="3"/>
  <c r="J2208" i="3"/>
  <c r="J2207" i="3"/>
  <c r="J2206" i="3"/>
  <c r="J2205" i="3"/>
  <c r="J2204" i="3"/>
  <c r="J2203" i="3"/>
  <c r="J2202" i="3"/>
  <c r="J2201" i="3"/>
  <c r="J2200" i="3"/>
  <c r="J2199" i="3"/>
  <c r="J2198" i="3"/>
  <c r="J2197" i="3"/>
  <c r="J2196" i="3"/>
  <c r="J2195" i="3"/>
  <c r="J2194" i="3"/>
  <c r="J2193" i="3"/>
  <c r="J2192" i="3"/>
  <c r="J2191" i="3"/>
  <c r="J2190" i="3"/>
  <c r="J2189" i="3"/>
  <c r="J2188" i="3"/>
  <c r="J2187" i="3"/>
  <c r="J2186" i="3"/>
  <c r="J2185" i="3"/>
  <c r="J2184" i="3"/>
  <c r="J2183" i="3"/>
  <c r="J2182" i="3"/>
  <c r="J2181" i="3"/>
  <c r="J2180" i="3"/>
  <c r="J2179" i="3"/>
  <c r="J2178" i="3"/>
  <c r="J2177" i="3"/>
  <c r="J2176" i="3"/>
  <c r="J2175" i="3"/>
  <c r="J2174" i="3"/>
  <c r="J2173" i="3"/>
  <c r="J2172" i="3"/>
  <c r="J2171" i="3"/>
  <c r="J2170" i="3"/>
  <c r="J2169" i="3"/>
  <c r="J2168" i="3"/>
  <c r="J2167" i="3"/>
  <c r="J2166" i="3"/>
  <c r="J2165" i="3"/>
  <c r="J2164" i="3"/>
  <c r="J2163" i="3"/>
  <c r="J2162" i="3"/>
  <c r="J2161" i="3"/>
  <c r="J2160" i="3"/>
  <c r="J2159" i="3"/>
  <c r="J2158" i="3"/>
  <c r="J2157" i="3"/>
  <c r="J2156" i="3"/>
  <c r="J2155" i="3"/>
  <c r="J2154" i="3"/>
  <c r="J2153" i="3"/>
  <c r="J2152" i="3"/>
  <c r="J2151" i="3"/>
  <c r="J2150" i="3"/>
  <c r="J2149" i="3"/>
  <c r="J2148" i="3"/>
  <c r="J2147" i="3"/>
  <c r="J2146" i="3"/>
  <c r="J2145" i="3"/>
  <c r="J2144" i="3"/>
  <c r="J2143" i="3"/>
  <c r="J2142" i="3"/>
  <c r="J2141" i="3"/>
  <c r="J2140" i="3"/>
  <c r="J2139" i="3"/>
  <c r="J2138" i="3"/>
  <c r="J2137" i="3"/>
  <c r="J2136" i="3"/>
  <c r="J2135" i="3"/>
  <c r="J2134" i="3"/>
  <c r="J2133" i="3"/>
  <c r="J2132" i="3"/>
  <c r="J2131" i="3"/>
  <c r="J2130" i="3"/>
  <c r="J2129" i="3"/>
  <c r="J2128" i="3"/>
  <c r="J2127" i="3"/>
  <c r="J2126" i="3"/>
  <c r="J2125" i="3"/>
  <c r="J2124" i="3"/>
  <c r="J2123" i="3"/>
  <c r="J2122" i="3"/>
  <c r="J2121" i="3"/>
  <c r="J2120" i="3"/>
  <c r="J2119" i="3"/>
  <c r="J2118" i="3"/>
  <c r="J2117" i="3"/>
  <c r="J2116" i="3"/>
  <c r="J2115" i="3"/>
  <c r="J2114" i="3"/>
  <c r="J2113" i="3"/>
  <c r="J2112" i="3"/>
  <c r="J2111" i="3"/>
  <c r="J2110" i="3"/>
  <c r="J2109" i="3"/>
  <c r="J2108" i="3"/>
  <c r="J2107" i="3"/>
  <c r="J2106" i="3"/>
  <c r="J2105" i="3"/>
  <c r="J2104" i="3"/>
  <c r="J2103" i="3"/>
  <c r="J2102" i="3"/>
  <c r="J2101" i="3"/>
  <c r="J2100" i="3"/>
  <c r="J2099" i="3"/>
  <c r="J2098" i="3"/>
  <c r="J2097" i="3"/>
  <c r="J2096" i="3"/>
  <c r="J2095" i="3"/>
  <c r="J2094" i="3"/>
  <c r="J2093" i="3"/>
  <c r="J2092" i="3"/>
  <c r="J2091" i="3"/>
  <c r="J2090" i="3"/>
  <c r="J2089" i="3"/>
  <c r="J2088" i="3"/>
  <c r="J2087" i="3"/>
  <c r="J2086" i="3"/>
  <c r="J2085" i="3"/>
  <c r="J2084" i="3"/>
  <c r="J2083" i="3"/>
  <c r="J2082" i="3"/>
  <c r="J2081" i="3"/>
  <c r="J2080" i="3"/>
  <c r="J2079" i="3"/>
  <c r="J2078" i="3"/>
  <c r="J2077" i="3"/>
  <c r="J2076" i="3"/>
  <c r="J2075" i="3"/>
  <c r="J2074" i="3"/>
  <c r="J2073" i="3"/>
  <c r="J2072" i="3"/>
  <c r="J2071" i="3"/>
  <c r="J2070" i="3"/>
  <c r="J2069" i="3"/>
  <c r="J2068" i="3"/>
  <c r="J2067" i="3"/>
  <c r="J2066" i="3"/>
  <c r="J2065" i="3"/>
  <c r="J2064" i="3"/>
  <c r="J2063" i="3"/>
  <c r="J2062" i="3"/>
  <c r="J2061" i="3"/>
  <c r="J2060" i="3"/>
  <c r="J2059" i="3"/>
  <c r="J2058" i="3"/>
  <c r="J2057" i="3"/>
  <c r="J2056" i="3"/>
  <c r="J2055" i="3"/>
  <c r="J2054" i="3"/>
  <c r="J2053" i="3"/>
  <c r="J2052" i="3"/>
  <c r="J2051" i="3"/>
  <c r="J2050" i="3"/>
  <c r="J2049" i="3"/>
  <c r="J2048" i="3"/>
  <c r="J2047" i="3"/>
  <c r="J2046" i="3"/>
  <c r="J2045" i="3"/>
  <c r="J2044" i="3"/>
  <c r="J2043" i="3"/>
  <c r="J2042" i="3"/>
  <c r="J2041" i="3"/>
  <c r="J2040" i="3"/>
  <c r="J2039" i="3"/>
  <c r="J2038" i="3"/>
  <c r="J2037" i="3"/>
  <c r="J2036" i="3"/>
  <c r="J2035" i="3"/>
  <c r="J2034" i="3"/>
  <c r="J2033" i="3"/>
  <c r="J2032" i="3"/>
  <c r="J2031" i="3"/>
  <c r="J2030" i="3"/>
  <c r="J2029" i="3"/>
  <c r="J2028" i="3"/>
  <c r="J2027" i="3"/>
  <c r="J2026" i="3"/>
  <c r="J2025" i="3"/>
  <c r="J2024" i="3"/>
  <c r="J2023" i="3"/>
  <c r="J2022" i="3"/>
  <c r="J2021" i="3"/>
  <c r="J2020" i="3"/>
  <c r="J2019" i="3"/>
  <c r="J2018" i="3"/>
  <c r="J2017" i="3"/>
  <c r="J2016" i="3"/>
  <c r="J2015" i="3"/>
  <c r="J2014" i="3"/>
  <c r="J2013" i="3"/>
  <c r="J2012" i="3"/>
  <c r="J2011" i="3"/>
  <c r="J2010" i="3"/>
  <c r="J2009" i="3"/>
  <c r="J2008" i="3"/>
  <c r="J2007" i="3"/>
  <c r="J2006" i="3"/>
  <c r="J2005" i="3"/>
  <c r="J2004" i="3"/>
  <c r="J2003" i="3"/>
  <c r="J2002" i="3"/>
  <c r="J2001" i="3"/>
  <c r="J2000" i="3"/>
  <c r="J1999" i="3"/>
  <c r="J1998" i="3"/>
  <c r="J1997" i="3"/>
  <c r="J1996" i="3"/>
  <c r="J1995" i="3"/>
  <c r="J1994" i="3"/>
  <c r="J1993" i="3"/>
  <c r="J1992" i="3"/>
  <c r="J1991" i="3"/>
  <c r="J1990" i="3"/>
  <c r="J1989" i="3"/>
  <c r="J1988" i="3"/>
  <c r="J1987" i="3"/>
  <c r="J1986" i="3"/>
  <c r="J1985" i="3"/>
  <c r="J1984" i="3"/>
  <c r="J1983" i="3"/>
  <c r="J1982" i="3"/>
  <c r="J1981" i="3"/>
  <c r="J1980" i="3"/>
  <c r="J1979" i="3"/>
  <c r="J1978" i="3"/>
  <c r="J1977" i="3"/>
  <c r="J1976" i="3"/>
  <c r="J1975" i="3"/>
  <c r="J1974" i="3"/>
  <c r="J1973" i="3"/>
  <c r="J1972" i="3"/>
  <c r="J1971" i="3"/>
  <c r="J1970" i="3"/>
  <c r="J1969" i="3"/>
  <c r="J1968" i="3"/>
  <c r="J1967" i="3"/>
  <c r="J1966" i="3"/>
  <c r="J1965" i="3"/>
  <c r="J1964" i="3"/>
  <c r="J1963" i="3"/>
  <c r="J1962" i="3"/>
  <c r="J1961" i="3"/>
  <c r="J1960" i="3"/>
  <c r="J1959" i="3"/>
  <c r="J1958" i="3"/>
  <c r="J1957" i="3"/>
  <c r="J1956" i="3"/>
  <c r="J1955" i="3"/>
  <c r="J1954" i="3"/>
  <c r="J1953" i="3"/>
  <c r="J1952" i="3"/>
  <c r="J1951" i="3"/>
  <c r="J1950" i="3"/>
  <c r="J1949" i="3"/>
  <c r="J1948" i="3"/>
  <c r="J1947" i="3"/>
  <c r="J1946" i="3"/>
  <c r="J1945" i="3"/>
  <c r="J1944" i="3"/>
  <c r="J1943" i="3"/>
  <c r="J1942" i="3"/>
  <c r="J1941" i="3"/>
  <c r="J1940" i="3"/>
  <c r="J1939" i="3"/>
  <c r="J1938" i="3"/>
  <c r="J1937" i="3"/>
  <c r="J1936" i="3"/>
  <c r="J1935" i="3"/>
  <c r="J1934" i="3"/>
  <c r="J1933" i="3"/>
  <c r="J1932" i="3"/>
  <c r="J1931" i="3"/>
  <c r="J1930" i="3"/>
  <c r="J1929" i="3"/>
  <c r="J1928" i="3"/>
  <c r="J1927" i="3"/>
  <c r="J1926" i="3"/>
  <c r="J1925" i="3"/>
  <c r="J1924" i="3"/>
  <c r="J1923" i="3"/>
  <c r="J1922" i="3"/>
  <c r="J1921" i="3"/>
  <c r="J1920" i="3"/>
  <c r="J1919" i="3"/>
  <c r="J1918" i="3"/>
  <c r="J1917" i="3"/>
  <c r="J1916" i="3"/>
  <c r="J1915" i="3"/>
  <c r="J1914" i="3"/>
  <c r="J1913" i="3"/>
  <c r="J1912" i="3"/>
  <c r="J1911" i="3"/>
  <c r="J1910" i="3"/>
  <c r="J1909" i="3"/>
  <c r="J1908" i="3"/>
  <c r="J1907" i="3"/>
  <c r="J1906" i="3"/>
  <c r="J1905" i="3"/>
  <c r="J1904" i="3"/>
  <c r="J1903" i="3"/>
  <c r="J1902" i="3"/>
  <c r="J1901" i="3"/>
  <c r="J1900" i="3"/>
  <c r="J1899" i="3"/>
  <c r="J1898" i="3"/>
  <c r="J1897" i="3"/>
  <c r="J1896" i="3"/>
  <c r="J1895" i="3"/>
  <c r="J1894" i="3"/>
  <c r="J1893" i="3"/>
  <c r="J1892" i="3"/>
  <c r="J1891" i="3"/>
  <c r="J1890" i="3"/>
  <c r="J1889" i="3"/>
  <c r="J1888" i="3"/>
  <c r="J1887" i="3"/>
  <c r="J1886" i="3"/>
  <c r="J1885" i="3"/>
  <c r="J1884" i="3"/>
  <c r="J1883" i="3"/>
  <c r="J1882" i="3"/>
  <c r="J1881" i="3"/>
  <c r="J1880" i="3"/>
  <c r="J1879" i="3"/>
  <c r="J1878" i="3"/>
  <c r="J1877" i="3"/>
  <c r="J1876" i="3"/>
  <c r="J1875" i="3"/>
  <c r="J1874" i="3"/>
  <c r="J1873" i="3"/>
  <c r="J1872" i="3"/>
  <c r="J1871" i="3"/>
  <c r="J1870" i="3"/>
  <c r="J1869" i="3"/>
  <c r="J1868" i="3"/>
  <c r="J1867" i="3"/>
  <c r="J1866" i="3"/>
  <c r="J1865" i="3"/>
  <c r="J1864" i="3"/>
  <c r="J1863" i="3"/>
  <c r="J1862" i="3"/>
  <c r="J1861" i="3"/>
  <c r="J1860" i="3"/>
  <c r="J1859" i="3"/>
  <c r="J1858" i="3"/>
  <c r="J1857" i="3"/>
  <c r="J1856" i="3"/>
  <c r="J1855" i="3"/>
  <c r="J1854" i="3"/>
  <c r="J1853" i="3"/>
  <c r="J1852" i="3"/>
  <c r="J1851" i="3"/>
  <c r="J1850" i="3"/>
  <c r="J1849" i="3"/>
  <c r="J1848" i="3"/>
  <c r="J1847" i="3"/>
  <c r="J1846" i="3"/>
  <c r="J1845" i="3"/>
  <c r="J1844" i="3"/>
  <c r="J1843" i="3"/>
  <c r="J1842" i="3"/>
  <c r="J1841" i="3"/>
  <c r="J1840" i="3"/>
  <c r="J1839" i="3"/>
  <c r="J1838" i="3"/>
  <c r="J1837" i="3"/>
  <c r="J1836" i="3"/>
  <c r="J1835" i="3"/>
  <c r="J1834" i="3"/>
  <c r="J1833" i="3"/>
  <c r="J1832" i="3"/>
  <c r="J1831" i="3"/>
  <c r="J1830" i="3"/>
  <c r="J1829" i="3"/>
  <c r="J1828" i="3"/>
  <c r="J1827" i="3"/>
  <c r="J1826" i="3"/>
  <c r="J1825" i="3"/>
  <c r="J1824" i="3"/>
  <c r="J1823" i="3"/>
  <c r="J1822" i="3"/>
  <c r="J1821" i="3"/>
  <c r="J1820" i="3"/>
  <c r="J1819" i="3"/>
  <c r="J1818" i="3"/>
  <c r="J1817" i="3"/>
  <c r="J1816" i="3"/>
  <c r="J1815" i="3"/>
  <c r="J1814" i="3"/>
  <c r="J1813" i="3"/>
  <c r="J1812" i="3"/>
  <c r="J1811" i="3"/>
  <c r="J1810" i="3"/>
  <c r="J1809" i="3"/>
  <c r="J1808" i="3"/>
  <c r="J1807" i="3"/>
  <c r="J1806" i="3"/>
  <c r="J1805" i="3"/>
  <c r="J1804" i="3"/>
  <c r="J1803" i="3"/>
  <c r="J1802" i="3"/>
  <c r="J1801" i="3"/>
  <c r="J1800" i="3"/>
  <c r="J1799" i="3"/>
  <c r="J1798" i="3"/>
  <c r="J1797" i="3"/>
  <c r="J1796" i="3"/>
  <c r="J1795" i="3"/>
  <c r="J1794" i="3"/>
  <c r="J1793" i="3"/>
  <c r="J1792" i="3"/>
  <c r="J1791" i="3"/>
  <c r="J1790" i="3"/>
  <c r="J1789" i="3"/>
  <c r="J1788" i="3"/>
  <c r="J1787" i="3"/>
  <c r="J1786" i="3"/>
  <c r="J1785" i="3"/>
  <c r="J1784" i="3"/>
  <c r="J1783" i="3"/>
  <c r="J1782" i="3"/>
  <c r="J1781" i="3"/>
  <c r="J1780" i="3"/>
  <c r="J1779" i="3"/>
  <c r="J1778" i="3"/>
  <c r="J1777" i="3"/>
  <c r="J1776" i="3"/>
  <c r="J1775" i="3"/>
  <c r="J1774" i="3"/>
  <c r="J1773" i="3"/>
  <c r="J1772" i="3"/>
  <c r="J1771" i="3"/>
  <c r="J1770" i="3"/>
  <c r="J1769" i="3"/>
  <c r="J1768" i="3"/>
  <c r="J1767" i="3"/>
  <c r="J1766" i="3"/>
  <c r="J1765" i="3"/>
  <c r="J1764" i="3"/>
  <c r="J1763" i="3"/>
  <c r="J1762" i="3"/>
  <c r="J1761" i="3"/>
  <c r="J1760" i="3"/>
  <c r="J1759" i="3"/>
  <c r="J1758" i="3"/>
  <c r="J1757" i="3"/>
  <c r="J1756" i="3"/>
  <c r="J1755" i="3"/>
  <c r="J1754" i="3"/>
  <c r="J1753" i="3"/>
  <c r="J1752" i="3"/>
  <c r="J1751" i="3"/>
  <c r="J1750" i="3"/>
  <c r="J1749" i="3"/>
  <c r="J1748" i="3"/>
  <c r="J1747" i="3"/>
  <c r="J1746" i="3"/>
  <c r="J1745" i="3"/>
  <c r="J1744" i="3"/>
  <c r="J1743" i="3"/>
  <c r="J1742" i="3"/>
  <c r="J1741" i="3"/>
  <c r="J1740" i="3"/>
  <c r="J1739" i="3"/>
  <c r="J1738" i="3"/>
  <c r="J1737" i="3"/>
  <c r="J1736" i="3"/>
  <c r="J1735" i="3"/>
  <c r="J1734" i="3"/>
  <c r="J1733" i="3"/>
  <c r="J1732" i="3"/>
  <c r="J1731" i="3"/>
  <c r="J1730" i="3"/>
  <c r="J1729" i="3"/>
  <c r="J1728" i="3"/>
  <c r="J1727" i="3"/>
  <c r="J1726" i="3"/>
  <c r="J1725" i="3"/>
  <c r="J1724" i="3"/>
  <c r="J1723" i="3"/>
  <c r="J1722" i="3"/>
  <c r="J1721" i="3"/>
  <c r="J1720" i="3"/>
  <c r="J1719" i="3"/>
  <c r="J1718" i="3"/>
  <c r="J1717" i="3"/>
  <c r="J1716" i="3"/>
  <c r="J1715" i="3"/>
  <c r="J1714" i="3"/>
  <c r="J1713" i="3"/>
  <c r="J1712" i="3"/>
  <c r="J1711" i="3"/>
  <c r="J1710" i="3"/>
  <c r="J1709" i="3"/>
  <c r="J1708" i="3"/>
  <c r="J1707" i="3"/>
  <c r="J1706" i="3"/>
  <c r="J1705" i="3"/>
  <c r="J1704" i="3"/>
  <c r="J1703" i="3"/>
  <c r="J1702" i="3"/>
  <c r="J1701" i="3"/>
  <c r="J1700" i="3"/>
  <c r="J1699" i="3"/>
  <c r="J1698" i="3"/>
  <c r="J1697" i="3"/>
  <c r="J1696" i="3"/>
  <c r="J1695" i="3"/>
  <c r="J1694" i="3"/>
  <c r="J1693" i="3"/>
  <c r="J1692" i="3"/>
  <c r="J1691" i="3"/>
  <c r="J1690" i="3"/>
  <c r="J1689" i="3"/>
  <c r="J1688" i="3"/>
  <c r="J1687" i="3"/>
  <c r="J1686" i="3"/>
  <c r="J1685" i="3"/>
  <c r="J1684" i="3"/>
  <c r="J1683" i="3"/>
  <c r="J1682" i="3"/>
  <c r="J1681" i="3"/>
  <c r="J1680" i="3"/>
  <c r="J1679" i="3"/>
  <c r="J1678" i="3"/>
  <c r="J1677" i="3"/>
  <c r="J1676" i="3"/>
  <c r="J1675" i="3"/>
  <c r="J1674" i="3"/>
  <c r="J1673" i="3"/>
  <c r="J1672" i="3"/>
  <c r="J1671" i="3"/>
  <c r="J1670" i="3"/>
  <c r="J1669" i="3"/>
  <c r="J1668" i="3"/>
  <c r="J1667" i="3"/>
  <c r="J1666" i="3"/>
  <c r="J1665" i="3"/>
  <c r="J1664" i="3"/>
  <c r="J1663" i="3"/>
  <c r="J1662" i="3"/>
  <c r="J1661" i="3"/>
  <c r="J1660" i="3"/>
  <c r="J1659" i="3"/>
  <c r="J1658" i="3"/>
  <c r="J1657" i="3"/>
  <c r="J1656" i="3"/>
  <c r="J1655" i="3"/>
  <c r="J1654" i="3"/>
  <c r="J1653" i="3"/>
  <c r="J1652" i="3"/>
  <c r="J1651" i="3"/>
  <c r="J1650" i="3"/>
  <c r="J1649" i="3"/>
  <c r="J1648" i="3"/>
  <c r="J1647" i="3"/>
  <c r="J1646" i="3"/>
  <c r="J1645" i="3"/>
  <c r="J1644" i="3"/>
  <c r="J1643" i="3"/>
  <c r="J1642" i="3"/>
  <c r="J1641" i="3"/>
  <c r="J1640" i="3"/>
  <c r="J1639" i="3"/>
  <c r="J1638" i="3"/>
  <c r="J1637" i="3"/>
  <c r="J1636" i="3"/>
  <c r="J1635" i="3"/>
  <c r="J1634" i="3"/>
  <c r="J1633" i="3"/>
  <c r="J1632" i="3"/>
  <c r="J1631" i="3"/>
  <c r="J1630" i="3"/>
  <c r="J1629" i="3"/>
  <c r="J1628" i="3"/>
  <c r="J1627" i="3"/>
  <c r="J1626" i="3"/>
  <c r="J1625" i="3"/>
  <c r="J1624" i="3"/>
  <c r="J1623" i="3"/>
  <c r="J1622" i="3"/>
  <c r="J1621" i="3"/>
  <c r="J1620" i="3"/>
  <c r="J1619" i="3"/>
  <c r="J1618" i="3"/>
  <c r="J1617" i="3"/>
  <c r="J1616" i="3"/>
  <c r="J1615" i="3"/>
  <c r="J1614" i="3"/>
  <c r="J1613" i="3"/>
  <c r="J1612" i="3"/>
  <c r="J1611" i="3"/>
  <c r="J1610" i="3"/>
  <c r="J1609" i="3"/>
  <c r="J1608" i="3"/>
  <c r="J1607" i="3"/>
  <c r="J1606" i="3"/>
  <c r="J1605" i="3"/>
  <c r="J1604" i="3"/>
  <c r="J1603" i="3"/>
  <c r="J1602" i="3"/>
  <c r="J1601" i="3"/>
  <c r="J1600" i="3"/>
  <c r="J1599" i="3"/>
  <c r="J1598" i="3"/>
  <c r="J1597" i="3"/>
  <c r="J1596" i="3"/>
  <c r="J1595" i="3"/>
  <c r="J1594" i="3"/>
  <c r="J1593" i="3"/>
  <c r="J1592" i="3"/>
  <c r="J1591" i="3"/>
  <c r="J1590" i="3"/>
  <c r="J1589" i="3"/>
  <c r="J1588" i="3"/>
  <c r="J1587" i="3"/>
  <c r="J1586" i="3"/>
  <c r="J1585" i="3"/>
  <c r="J1584" i="3"/>
  <c r="J1583" i="3"/>
  <c r="J1582" i="3"/>
  <c r="J1581" i="3"/>
  <c r="J1580" i="3"/>
  <c r="J1579" i="3"/>
  <c r="J1578" i="3"/>
  <c r="J1577" i="3"/>
  <c r="J1576" i="3"/>
  <c r="J1575" i="3"/>
  <c r="J1574" i="3"/>
  <c r="J1573" i="3"/>
  <c r="J1572" i="3"/>
  <c r="J1571" i="3"/>
  <c r="J1570" i="3"/>
  <c r="J1569" i="3"/>
  <c r="J1568" i="3"/>
  <c r="J1567" i="3"/>
  <c r="J1566" i="3"/>
  <c r="J1565" i="3"/>
  <c r="J1564" i="3"/>
  <c r="J1563" i="3"/>
  <c r="J1562" i="3"/>
  <c r="J1561" i="3"/>
  <c r="J1560" i="3"/>
  <c r="J1559" i="3"/>
  <c r="J1558" i="3"/>
  <c r="J1557" i="3"/>
  <c r="J1556" i="3"/>
  <c r="J1555" i="3"/>
  <c r="J1554" i="3"/>
  <c r="J1553" i="3"/>
  <c r="J1552" i="3"/>
  <c r="J1551" i="3"/>
  <c r="J1550" i="3"/>
  <c r="J1549" i="3"/>
  <c r="J1548" i="3"/>
  <c r="J1547" i="3"/>
  <c r="J1546" i="3"/>
  <c r="J1545" i="3"/>
  <c r="J1544" i="3"/>
  <c r="J1543" i="3"/>
  <c r="J1542" i="3"/>
  <c r="J1541" i="3"/>
  <c r="J1540" i="3"/>
  <c r="J1539" i="3"/>
  <c r="J1538" i="3"/>
  <c r="J1537" i="3"/>
  <c r="J1536" i="3"/>
  <c r="J1535" i="3"/>
  <c r="J1534" i="3"/>
  <c r="J1533" i="3"/>
  <c r="J1532" i="3"/>
  <c r="J1531" i="3"/>
  <c r="J1530" i="3"/>
  <c r="J1529" i="3"/>
  <c r="J1528" i="3"/>
  <c r="J1527" i="3"/>
  <c r="J1526" i="3"/>
  <c r="J1525" i="3"/>
  <c r="J1524" i="3"/>
  <c r="J1523" i="3"/>
  <c r="J1522" i="3"/>
  <c r="J1521" i="3"/>
  <c r="J1520" i="3"/>
  <c r="J1519" i="3"/>
  <c r="J1518" i="3"/>
  <c r="J1517" i="3"/>
  <c r="J1516" i="3"/>
  <c r="J1515" i="3"/>
  <c r="J1514" i="3"/>
  <c r="J1513" i="3"/>
  <c r="J1512" i="3"/>
  <c r="J1511" i="3"/>
  <c r="J1510" i="3"/>
  <c r="J1509" i="3"/>
  <c r="J1508" i="3"/>
  <c r="J1507" i="3"/>
  <c r="J1506" i="3"/>
  <c r="J1505" i="3"/>
  <c r="J1504" i="3"/>
  <c r="J1503" i="3"/>
  <c r="J1502" i="3"/>
  <c r="J1501" i="3"/>
  <c r="J1500" i="3"/>
  <c r="J1499" i="3"/>
  <c r="J1498" i="3"/>
  <c r="J1497" i="3"/>
  <c r="J1496" i="3"/>
  <c r="J1495" i="3"/>
  <c r="J1494" i="3"/>
  <c r="J1493" i="3"/>
  <c r="J1492" i="3"/>
  <c r="J1491" i="3"/>
  <c r="J1490" i="3"/>
  <c r="J1489" i="3"/>
  <c r="J1488" i="3"/>
  <c r="J1487" i="3"/>
  <c r="J1486" i="3"/>
  <c r="J1485" i="3"/>
  <c r="J1484" i="3"/>
  <c r="J1483" i="3"/>
  <c r="J1482" i="3"/>
  <c r="J1481" i="3"/>
  <c r="J1480" i="3"/>
  <c r="J1479" i="3"/>
  <c r="J1478" i="3"/>
  <c r="J1477" i="3"/>
  <c r="J1476" i="3"/>
  <c r="J1475" i="3"/>
  <c r="J1474" i="3"/>
  <c r="J1473" i="3"/>
  <c r="J1472" i="3"/>
  <c r="J1471" i="3"/>
  <c r="J1470" i="3"/>
  <c r="J1469" i="3"/>
  <c r="J1468" i="3"/>
  <c r="J1467" i="3"/>
  <c r="J1466" i="3"/>
  <c r="J1465" i="3"/>
  <c r="J1464" i="3"/>
  <c r="J1463" i="3"/>
  <c r="J1462" i="3"/>
  <c r="J1461" i="3"/>
  <c r="J1460" i="3"/>
  <c r="J1459" i="3"/>
  <c r="J1458" i="3"/>
  <c r="J1457" i="3"/>
  <c r="J1456" i="3"/>
  <c r="J1455" i="3"/>
  <c r="J1454" i="3"/>
  <c r="J1453" i="3"/>
  <c r="J1452" i="3"/>
  <c r="J1451" i="3"/>
  <c r="J1450" i="3"/>
  <c r="J1449" i="3"/>
  <c r="J1448" i="3"/>
  <c r="J1447" i="3"/>
  <c r="J1446" i="3"/>
  <c r="J1445" i="3"/>
  <c r="J1444" i="3"/>
  <c r="J1443" i="3"/>
  <c r="J1442" i="3"/>
  <c r="J1441" i="3"/>
  <c r="J1440" i="3"/>
  <c r="J1439" i="3"/>
  <c r="J1438" i="3"/>
  <c r="J1437" i="3"/>
  <c r="J1436" i="3"/>
  <c r="J1435" i="3"/>
  <c r="J1434" i="3"/>
  <c r="J1433" i="3"/>
  <c r="J1432" i="3"/>
  <c r="J1431" i="3"/>
  <c r="J1430" i="3"/>
  <c r="J1429" i="3"/>
  <c r="J1428" i="3"/>
  <c r="J1427" i="3"/>
  <c r="J1426" i="3"/>
  <c r="J1425" i="3"/>
  <c r="J1424" i="3"/>
  <c r="J1423" i="3"/>
  <c r="J1422" i="3"/>
  <c r="J1421" i="3"/>
  <c r="J1420" i="3"/>
  <c r="J1419" i="3"/>
  <c r="J1418" i="3"/>
  <c r="J1417" i="3"/>
  <c r="J1416" i="3"/>
  <c r="J1415" i="3"/>
  <c r="J1414" i="3"/>
  <c r="J1413" i="3"/>
  <c r="J1412" i="3"/>
  <c r="J1411" i="3"/>
  <c r="J1410" i="3"/>
  <c r="J1409" i="3"/>
  <c r="J1408" i="3"/>
  <c r="J1407" i="3"/>
  <c r="J1406" i="3"/>
  <c r="J1405" i="3"/>
  <c r="J1404" i="3"/>
  <c r="J1403" i="3"/>
  <c r="J1402" i="3"/>
  <c r="J1401" i="3"/>
  <c r="J1400" i="3"/>
  <c r="J1399" i="3"/>
  <c r="J1398" i="3"/>
  <c r="J1397" i="3"/>
  <c r="J1396" i="3"/>
  <c r="J1395" i="3"/>
  <c r="J1394" i="3"/>
  <c r="J1393" i="3"/>
  <c r="J1392" i="3"/>
  <c r="J1391" i="3"/>
  <c r="J1390" i="3"/>
  <c r="J1389" i="3"/>
  <c r="J1388" i="3"/>
  <c r="J1387" i="3"/>
  <c r="J1386" i="3"/>
  <c r="J1385" i="3"/>
  <c r="J1384" i="3"/>
  <c r="J1383" i="3"/>
  <c r="J1382" i="3"/>
  <c r="J1381" i="3"/>
  <c r="J1380" i="3"/>
  <c r="J1379" i="3"/>
  <c r="J1378" i="3"/>
  <c r="J1377" i="3"/>
  <c r="J1376" i="3"/>
  <c r="J1375" i="3"/>
  <c r="J1374" i="3"/>
  <c r="J1373" i="3"/>
  <c r="J1372" i="3"/>
  <c r="J1371" i="3"/>
  <c r="J1370" i="3"/>
  <c r="J1369" i="3"/>
  <c r="J1368" i="3"/>
  <c r="J1367" i="3"/>
  <c r="J1366" i="3"/>
  <c r="J1365" i="3"/>
  <c r="J1364" i="3"/>
  <c r="J1363" i="3"/>
  <c r="J1362" i="3"/>
  <c r="J1361" i="3"/>
  <c r="J1360" i="3"/>
  <c r="J1359" i="3"/>
  <c r="J1358" i="3"/>
  <c r="J1357" i="3"/>
  <c r="J1356" i="3"/>
  <c r="J1355" i="3"/>
  <c r="J1354" i="3"/>
  <c r="J1353" i="3"/>
  <c r="J1352" i="3"/>
  <c r="J1351" i="3"/>
  <c r="J1350" i="3"/>
  <c r="J1349" i="3"/>
  <c r="J1348" i="3"/>
  <c r="J1347" i="3"/>
  <c r="J1346" i="3"/>
  <c r="J1345" i="3"/>
  <c r="J1344" i="3"/>
  <c r="J1343" i="3"/>
  <c r="J1342" i="3"/>
  <c r="J1341" i="3"/>
  <c r="J1340" i="3"/>
  <c r="J1339" i="3"/>
  <c r="J1338" i="3"/>
  <c r="J1337" i="3"/>
  <c r="J1336" i="3"/>
  <c r="J1335" i="3"/>
  <c r="J1334" i="3"/>
  <c r="J1333" i="3"/>
  <c r="J1332" i="3"/>
  <c r="J1331" i="3"/>
  <c r="J1330" i="3"/>
  <c r="J1329" i="3"/>
  <c r="J1328" i="3"/>
  <c r="J1327" i="3"/>
  <c r="J1326" i="3"/>
  <c r="J1325" i="3"/>
  <c r="J1324" i="3"/>
  <c r="J1323" i="3"/>
  <c r="J1322" i="3"/>
  <c r="J1321" i="3"/>
  <c r="J1320" i="3"/>
  <c r="J1319" i="3"/>
  <c r="J1318" i="3"/>
  <c r="J1317" i="3"/>
  <c r="J1316" i="3"/>
  <c r="J1315" i="3"/>
  <c r="J1314" i="3"/>
  <c r="J1313" i="3"/>
  <c r="J1312" i="3"/>
  <c r="J1311" i="3"/>
  <c r="J1310" i="3"/>
  <c r="J1309" i="3"/>
  <c r="J1308" i="3"/>
  <c r="J1307" i="3"/>
  <c r="J1306" i="3"/>
  <c r="J1305" i="3"/>
  <c r="J1304" i="3"/>
  <c r="J1303" i="3"/>
  <c r="J1302" i="3"/>
  <c r="J1301" i="3"/>
  <c r="J1300" i="3"/>
  <c r="J1299" i="3"/>
  <c r="J1298" i="3"/>
  <c r="J1297" i="3"/>
  <c r="J1296" i="3"/>
  <c r="J1295" i="3"/>
  <c r="J1294" i="3"/>
  <c r="J1293" i="3"/>
  <c r="J1292" i="3"/>
  <c r="J1291" i="3"/>
  <c r="J1290" i="3"/>
  <c r="J1289" i="3"/>
  <c r="J1288" i="3"/>
  <c r="J1287" i="3"/>
  <c r="J1286" i="3"/>
  <c r="J1285" i="3"/>
  <c r="J1284" i="3"/>
  <c r="J1283" i="3"/>
  <c r="J1282" i="3"/>
  <c r="J1281" i="3"/>
  <c r="J1280" i="3"/>
  <c r="J1279" i="3"/>
  <c r="J1278" i="3"/>
  <c r="J1277" i="3"/>
  <c r="J1276" i="3"/>
  <c r="J1275" i="3"/>
  <c r="J1274" i="3"/>
  <c r="J1273" i="3"/>
  <c r="J1272" i="3"/>
  <c r="J1271" i="3"/>
  <c r="J1270" i="3"/>
  <c r="J1269" i="3"/>
  <c r="J1268" i="3"/>
  <c r="J1267" i="3"/>
  <c r="J1266" i="3"/>
  <c r="J1265" i="3"/>
  <c r="J1264" i="3"/>
  <c r="J1263" i="3"/>
  <c r="J1262" i="3"/>
  <c r="J1261" i="3"/>
  <c r="J1260" i="3"/>
  <c r="J1259" i="3"/>
  <c r="J1258" i="3"/>
  <c r="J1257" i="3"/>
  <c r="J1256" i="3"/>
  <c r="J1255" i="3"/>
  <c r="J1254" i="3"/>
  <c r="J1253" i="3"/>
  <c r="J1252" i="3"/>
  <c r="J1251" i="3"/>
  <c r="J1250" i="3"/>
  <c r="J1249" i="3"/>
  <c r="J1248" i="3"/>
  <c r="J1247" i="3"/>
  <c r="J1246" i="3"/>
  <c r="J1245" i="3"/>
  <c r="J1244" i="3"/>
  <c r="J1243" i="3"/>
  <c r="J1242" i="3"/>
  <c r="J1241" i="3"/>
  <c r="J1240" i="3"/>
  <c r="J1239" i="3"/>
  <c r="J1238" i="3"/>
  <c r="J1237" i="3"/>
  <c r="J1236" i="3"/>
  <c r="J1235" i="3"/>
  <c r="J1234" i="3"/>
  <c r="J1233" i="3"/>
  <c r="J1232" i="3"/>
  <c r="J1231" i="3"/>
  <c r="J1230" i="3"/>
  <c r="J1229" i="3"/>
  <c r="J1228" i="3"/>
  <c r="J1227" i="3"/>
  <c r="J1226" i="3"/>
  <c r="J1225" i="3"/>
  <c r="J1224" i="3"/>
  <c r="J1223" i="3"/>
  <c r="J1222" i="3"/>
  <c r="J1221" i="3"/>
  <c r="J1220" i="3"/>
  <c r="J1219" i="3"/>
  <c r="J1218" i="3"/>
  <c r="J1217" i="3"/>
  <c r="J1216" i="3"/>
  <c r="J1215" i="3"/>
  <c r="J1214" i="3"/>
  <c r="J1213" i="3"/>
  <c r="J1212" i="3"/>
  <c r="J1211" i="3"/>
  <c r="J1210" i="3"/>
  <c r="J1209" i="3"/>
  <c r="J1208" i="3"/>
  <c r="J1207" i="3"/>
  <c r="J1206" i="3"/>
  <c r="J1205" i="3"/>
  <c r="J1204" i="3"/>
  <c r="J1203" i="3"/>
  <c r="J1202" i="3"/>
  <c r="J1201" i="3"/>
  <c r="J1200" i="3"/>
  <c r="J1199" i="3"/>
  <c r="J1198" i="3"/>
  <c r="J1197" i="3"/>
  <c r="J1196" i="3"/>
  <c r="J1195" i="3"/>
  <c r="J1194" i="3"/>
  <c r="J1193" i="3"/>
  <c r="J1192" i="3"/>
  <c r="J1191" i="3"/>
  <c r="J1190" i="3"/>
  <c r="J1189" i="3"/>
  <c r="J1188" i="3"/>
  <c r="J1187" i="3"/>
  <c r="J1186" i="3"/>
  <c r="J1185" i="3"/>
  <c r="J1184" i="3"/>
  <c r="J1183" i="3"/>
  <c r="J1182" i="3"/>
  <c r="J1181" i="3"/>
  <c r="J1180" i="3"/>
  <c r="J1179" i="3"/>
  <c r="J1178" i="3"/>
  <c r="J1177" i="3"/>
  <c r="J1176" i="3"/>
  <c r="J1175" i="3"/>
  <c r="J1174" i="3"/>
  <c r="J1173" i="3"/>
  <c r="J1172" i="3"/>
  <c r="J1171" i="3"/>
  <c r="J1170" i="3"/>
  <c r="J1169" i="3"/>
  <c r="J1168" i="3"/>
  <c r="J1167" i="3"/>
  <c r="J1166" i="3"/>
  <c r="J1165" i="3"/>
  <c r="J1164" i="3"/>
  <c r="J1163" i="3"/>
  <c r="J1162" i="3"/>
  <c r="J1161" i="3"/>
  <c r="J1160" i="3"/>
  <c r="J1159" i="3"/>
  <c r="J1158" i="3"/>
  <c r="J1157" i="3"/>
  <c r="J1156" i="3"/>
  <c r="J1155" i="3"/>
  <c r="J1154" i="3"/>
  <c r="J1153" i="3"/>
  <c r="J1152" i="3"/>
  <c r="J1151" i="3"/>
  <c r="J1150" i="3"/>
  <c r="J1149" i="3"/>
  <c r="J1148" i="3"/>
  <c r="J1147" i="3"/>
  <c r="J1146" i="3"/>
  <c r="J1145" i="3"/>
  <c r="J1144" i="3"/>
  <c r="J1143" i="3"/>
  <c r="J1142" i="3"/>
  <c r="J1141" i="3"/>
  <c r="J1140" i="3"/>
  <c r="J1139" i="3"/>
  <c r="J1138" i="3"/>
  <c r="J1137" i="3"/>
  <c r="J1136" i="3"/>
  <c r="J1135" i="3"/>
  <c r="J1134" i="3"/>
  <c r="J1133" i="3"/>
  <c r="J1132" i="3"/>
  <c r="J1131" i="3"/>
  <c r="J1130" i="3"/>
  <c r="J1129" i="3"/>
  <c r="J1128" i="3"/>
  <c r="J1127" i="3"/>
  <c r="J1126" i="3"/>
  <c r="J1125" i="3"/>
  <c r="J1124" i="3"/>
  <c r="J1123" i="3"/>
  <c r="J1122" i="3"/>
  <c r="J1121" i="3"/>
  <c r="J1120" i="3"/>
  <c r="J1119" i="3"/>
  <c r="J1118" i="3"/>
  <c r="J1117" i="3"/>
  <c r="J1116" i="3"/>
  <c r="J1115" i="3"/>
  <c r="J1114" i="3"/>
  <c r="J1113" i="3"/>
  <c r="J1112" i="3"/>
  <c r="J1111" i="3"/>
  <c r="J1110" i="3"/>
  <c r="J1109" i="3"/>
  <c r="J1108" i="3"/>
  <c r="J1107" i="3"/>
  <c r="J1106" i="3"/>
  <c r="J1105" i="3"/>
  <c r="J1104" i="3"/>
  <c r="J1103" i="3"/>
  <c r="J1102" i="3"/>
  <c r="J1101" i="3"/>
  <c r="J1100" i="3"/>
  <c r="J1099" i="3"/>
  <c r="J1098" i="3"/>
  <c r="J1097" i="3"/>
  <c r="J1096" i="3"/>
  <c r="J1095" i="3"/>
  <c r="J1094" i="3"/>
  <c r="J1093" i="3"/>
  <c r="J1092" i="3"/>
  <c r="J1091" i="3"/>
  <c r="J1090" i="3"/>
  <c r="J1089" i="3"/>
  <c r="J1088" i="3"/>
  <c r="J1087" i="3"/>
  <c r="J1086" i="3"/>
  <c r="J1085" i="3"/>
  <c r="J1084" i="3"/>
  <c r="J1083" i="3"/>
  <c r="J1082" i="3"/>
  <c r="J1081" i="3"/>
  <c r="J1080" i="3"/>
  <c r="J1079" i="3"/>
  <c r="J1078" i="3"/>
  <c r="J1077" i="3"/>
  <c r="J1076" i="3"/>
  <c r="J1075" i="3"/>
  <c r="J1074" i="3"/>
  <c r="J1073" i="3"/>
  <c r="J1072" i="3"/>
  <c r="J1071" i="3"/>
  <c r="J1070" i="3"/>
  <c r="J1069" i="3"/>
  <c r="J1068" i="3"/>
  <c r="J1067" i="3"/>
  <c r="J1066" i="3"/>
  <c r="J1065" i="3"/>
  <c r="J1064" i="3"/>
  <c r="J1063" i="3"/>
  <c r="J1062" i="3"/>
  <c r="J1061" i="3"/>
  <c r="J1060" i="3"/>
  <c r="J1059" i="3"/>
  <c r="J1058" i="3"/>
  <c r="J1057" i="3"/>
  <c r="J1056" i="3"/>
  <c r="J1055" i="3"/>
  <c r="J1054" i="3"/>
  <c r="J1053" i="3"/>
  <c r="J1052" i="3"/>
  <c r="J1051" i="3"/>
  <c r="J1050" i="3"/>
  <c r="J1049" i="3"/>
  <c r="J1048" i="3"/>
  <c r="J1047" i="3"/>
  <c r="J1046" i="3"/>
  <c r="J1045" i="3"/>
  <c r="J1044" i="3"/>
  <c r="J1043" i="3"/>
  <c r="J1042" i="3"/>
  <c r="J1041" i="3"/>
  <c r="J1040" i="3"/>
  <c r="J1039" i="3"/>
  <c r="J1038" i="3"/>
  <c r="J1037" i="3"/>
  <c r="J1036" i="3"/>
  <c r="J1035" i="3"/>
  <c r="J1034" i="3"/>
  <c r="J1033" i="3"/>
  <c r="J1032" i="3"/>
  <c r="J1031" i="3"/>
  <c r="J1030" i="3"/>
  <c r="J1029" i="3"/>
  <c r="J1028" i="3"/>
  <c r="J1027" i="3"/>
  <c r="J1026" i="3"/>
  <c r="J1025" i="3"/>
  <c r="J1024" i="3"/>
  <c r="J1023" i="3"/>
  <c r="J1022" i="3"/>
  <c r="J1021" i="3"/>
  <c r="J1020" i="3"/>
  <c r="J1019" i="3"/>
  <c r="J1018" i="3"/>
  <c r="J1017" i="3"/>
  <c r="J1016" i="3"/>
  <c r="J1015" i="3"/>
  <c r="J1014" i="3"/>
  <c r="J1013" i="3"/>
  <c r="J1012" i="3"/>
  <c r="J1011" i="3"/>
  <c r="J1010" i="3"/>
  <c r="J1009" i="3"/>
  <c r="J1008" i="3"/>
  <c r="J1007" i="3"/>
  <c r="J1006" i="3"/>
  <c r="J1005" i="3"/>
  <c r="J1004" i="3"/>
  <c r="J1003" i="3"/>
  <c r="J1002" i="3"/>
  <c r="J1001" i="3"/>
  <c r="J1000" i="3"/>
  <c r="J999" i="3"/>
  <c r="J998" i="3"/>
  <c r="J997" i="3"/>
  <c r="J996" i="3"/>
  <c r="J995" i="3"/>
  <c r="J994" i="3"/>
  <c r="J993" i="3"/>
  <c r="J992" i="3"/>
  <c r="J991" i="3"/>
  <c r="J990" i="3"/>
  <c r="J989" i="3"/>
  <c r="J988" i="3"/>
  <c r="J987" i="3"/>
  <c r="J986" i="3"/>
  <c r="J985" i="3"/>
  <c r="J984" i="3"/>
  <c r="J983" i="3"/>
  <c r="J982" i="3"/>
  <c r="J981" i="3"/>
  <c r="J980" i="3"/>
  <c r="J979" i="3"/>
  <c r="J978" i="3"/>
  <c r="J977" i="3"/>
  <c r="J976" i="3"/>
  <c r="J975" i="3"/>
  <c r="J974" i="3"/>
  <c r="J973" i="3"/>
  <c r="J972" i="3"/>
  <c r="J971" i="3"/>
  <c r="J970" i="3"/>
  <c r="J969" i="3"/>
  <c r="J968" i="3"/>
  <c r="J967" i="3"/>
  <c r="J966" i="3"/>
  <c r="J965" i="3"/>
  <c r="J964" i="3"/>
  <c r="J963" i="3"/>
  <c r="J962" i="3"/>
  <c r="J961" i="3"/>
  <c r="J960" i="3"/>
  <c r="J959" i="3"/>
  <c r="J958" i="3"/>
  <c r="J957" i="3"/>
  <c r="J956" i="3"/>
  <c r="J955" i="3"/>
  <c r="J954" i="3"/>
  <c r="J953" i="3"/>
  <c r="J952" i="3"/>
  <c r="J951" i="3"/>
  <c r="J950" i="3"/>
  <c r="J949" i="3"/>
  <c r="J948" i="3"/>
  <c r="J947" i="3"/>
  <c r="J946" i="3"/>
  <c r="J945" i="3"/>
  <c r="J944" i="3"/>
  <c r="J943" i="3"/>
  <c r="J942" i="3"/>
  <c r="J941" i="3"/>
  <c r="J940" i="3"/>
  <c r="J939" i="3"/>
  <c r="J938" i="3"/>
  <c r="J937" i="3"/>
  <c r="J936" i="3"/>
  <c r="J935" i="3"/>
  <c r="J934" i="3"/>
  <c r="J933" i="3"/>
  <c r="J932" i="3"/>
  <c r="J931" i="3"/>
  <c r="J930" i="3"/>
  <c r="J929" i="3"/>
  <c r="J928" i="3"/>
  <c r="J927" i="3"/>
  <c r="J926" i="3"/>
  <c r="J925" i="3"/>
  <c r="J924" i="3"/>
  <c r="J923" i="3"/>
  <c r="J922" i="3"/>
  <c r="J921" i="3"/>
  <c r="J920" i="3"/>
  <c r="J919" i="3"/>
  <c r="J918" i="3"/>
  <c r="J917" i="3"/>
  <c r="J916" i="3"/>
  <c r="J915" i="3"/>
  <c r="J914" i="3"/>
  <c r="J913" i="3"/>
  <c r="J912" i="3"/>
  <c r="J911" i="3"/>
  <c r="J910" i="3"/>
  <c r="J909" i="3"/>
  <c r="J908" i="3"/>
  <c r="J907" i="3"/>
  <c r="J906" i="3"/>
  <c r="J905" i="3"/>
  <c r="J904" i="3"/>
  <c r="J903" i="3"/>
  <c r="J902" i="3"/>
  <c r="J901" i="3"/>
  <c r="J900" i="3"/>
  <c r="J899" i="3"/>
  <c r="J898" i="3"/>
  <c r="J897" i="3"/>
  <c r="J896" i="3"/>
  <c r="J895" i="3"/>
  <c r="J894" i="3"/>
  <c r="J893" i="3"/>
  <c r="J892" i="3"/>
  <c r="J891" i="3"/>
  <c r="J890" i="3"/>
  <c r="J889" i="3"/>
  <c r="J888" i="3"/>
  <c r="J887" i="3"/>
  <c r="J886" i="3"/>
  <c r="J885" i="3"/>
  <c r="J884" i="3"/>
  <c r="J883" i="3"/>
  <c r="J882" i="3"/>
  <c r="J881" i="3"/>
  <c r="J880" i="3"/>
  <c r="J879" i="3"/>
  <c r="J878" i="3"/>
  <c r="J877" i="3"/>
  <c r="J876" i="3"/>
  <c r="J875" i="3"/>
  <c r="J874" i="3"/>
  <c r="J873" i="3"/>
  <c r="J872" i="3"/>
  <c r="J871" i="3"/>
  <c r="J870" i="3"/>
  <c r="J869" i="3"/>
  <c r="J868" i="3"/>
  <c r="J867" i="3"/>
  <c r="J866" i="3"/>
  <c r="J865" i="3"/>
  <c r="J864" i="3"/>
  <c r="J863" i="3"/>
  <c r="J862" i="3"/>
  <c r="J861" i="3"/>
  <c r="J860" i="3"/>
  <c r="J859" i="3"/>
  <c r="J858" i="3"/>
  <c r="J857" i="3"/>
  <c r="J856" i="3"/>
  <c r="J855" i="3"/>
  <c r="J854" i="3"/>
  <c r="J853" i="3"/>
  <c r="J852" i="3"/>
  <c r="J851" i="3"/>
  <c r="J850" i="3"/>
  <c r="J849" i="3"/>
  <c r="J848" i="3"/>
  <c r="J847" i="3"/>
  <c r="J846" i="3"/>
  <c r="J845" i="3"/>
  <c r="J844" i="3"/>
  <c r="J843" i="3"/>
  <c r="J842" i="3"/>
  <c r="J841" i="3"/>
  <c r="J840" i="3"/>
  <c r="J839" i="3"/>
  <c r="J838" i="3"/>
  <c r="J837" i="3"/>
  <c r="J836" i="3"/>
  <c r="J835" i="3"/>
  <c r="J834" i="3"/>
  <c r="J833" i="3"/>
  <c r="J832" i="3"/>
  <c r="J831" i="3"/>
  <c r="J830" i="3"/>
  <c r="J829" i="3"/>
  <c r="J828" i="3"/>
  <c r="J827" i="3"/>
  <c r="J826" i="3"/>
  <c r="J825" i="3"/>
  <c r="J824" i="3"/>
  <c r="J823" i="3"/>
  <c r="J822" i="3"/>
  <c r="J821" i="3"/>
  <c r="J820" i="3"/>
  <c r="J819" i="3"/>
  <c r="J818" i="3"/>
  <c r="J817" i="3"/>
  <c r="J816" i="3"/>
  <c r="J815" i="3"/>
  <c r="J814" i="3"/>
  <c r="J813" i="3"/>
  <c r="J812" i="3"/>
  <c r="J811" i="3"/>
  <c r="J810" i="3"/>
  <c r="J809" i="3"/>
  <c r="J808" i="3"/>
  <c r="J807" i="3"/>
  <c r="J806" i="3"/>
  <c r="J805" i="3"/>
  <c r="J804" i="3"/>
  <c r="J803" i="3"/>
  <c r="J802" i="3"/>
  <c r="J801" i="3"/>
  <c r="J800" i="3"/>
  <c r="J799" i="3"/>
  <c r="J798" i="3"/>
  <c r="J797" i="3"/>
  <c r="J796" i="3"/>
  <c r="J795" i="3"/>
  <c r="J794" i="3"/>
  <c r="J793" i="3"/>
  <c r="J792" i="3"/>
  <c r="J791" i="3"/>
  <c r="J790" i="3"/>
  <c r="J789" i="3"/>
  <c r="J788" i="3"/>
  <c r="J787" i="3"/>
  <c r="J786" i="3"/>
  <c r="J785" i="3"/>
  <c r="J784" i="3"/>
  <c r="J783" i="3"/>
  <c r="J782" i="3"/>
  <c r="J781" i="3"/>
  <c r="J780" i="3"/>
  <c r="J779" i="3"/>
  <c r="J778" i="3"/>
  <c r="J777" i="3"/>
  <c r="J776" i="3"/>
  <c r="J775" i="3"/>
  <c r="J774" i="3"/>
  <c r="J773" i="3"/>
  <c r="J772" i="3"/>
  <c r="J771" i="3"/>
  <c r="J770" i="3"/>
  <c r="J769" i="3"/>
  <c r="J768" i="3"/>
  <c r="J767" i="3"/>
  <c r="J766" i="3"/>
  <c r="J765" i="3"/>
  <c r="J764" i="3"/>
  <c r="J763" i="3"/>
  <c r="J762" i="3"/>
  <c r="J761" i="3"/>
  <c r="J760" i="3"/>
  <c r="J759" i="3"/>
  <c r="J758" i="3"/>
  <c r="J757" i="3"/>
  <c r="J756" i="3"/>
  <c r="J755" i="3"/>
  <c r="J754" i="3"/>
  <c r="J753" i="3"/>
  <c r="J752" i="3"/>
  <c r="J751" i="3"/>
  <c r="J750" i="3"/>
  <c r="J749" i="3"/>
  <c r="J748" i="3"/>
  <c r="J747" i="3"/>
  <c r="J746" i="3"/>
  <c r="J745" i="3"/>
  <c r="J744" i="3"/>
  <c r="J743" i="3"/>
  <c r="J742" i="3"/>
  <c r="J741" i="3"/>
  <c r="J740" i="3"/>
  <c r="J739" i="3"/>
  <c r="J738" i="3"/>
  <c r="J737" i="3"/>
  <c r="J736" i="3"/>
  <c r="J735" i="3"/>
  <c r="J734" i="3"/>
  <c r="J733" i="3"/>
  <c r="J732" i="3"/>
  <c r="J731" i="3"/>
  <c r="J730" i="3"/>
  <c r="J729" i="3"/>
  <c r="J728" i="3"/>
  <c r="J727" i="3"/>
  <c r="J726" i="3"/>
  <c r="J725" i="3"/>
  <c r="J724" i="3"/>
  <c r="J723" i="3"/>
  <c r="J722" i="3"/>
  <c r="J721" i="3"/>
  <c r="J720" i="3"/>
  <c r="J719" i="3"/>
  <c r="J718" i="3"/>
  <c r="J717" i="3"/>
  <c r="J716" i="3"/>
  <c r="J715" i="3"/>
  <c r="J714" i="3"/>
  <c r="J713" i="3"/>
  <c r="J712" i="3"/>
  <c r="J711" i="3"/>
  <c r="J710" i="3"/>
  <c r="J709" i="3"/>
  <c r="J708" i="3"/>
  <c r="J707" i="3"/>
  <c r="J706" i="3"/>
  <c r="J705" i="3"/>
  <c r="J704" i="3"/>
  <c r="J703" i="3"/>
  <c r="J702" i="3"/>
  <c r="J701" i="3"/>
  <c r="J700" i="3"/>
  <c r="J699" i="3"/>
  <c r="J698" i="3"/>
  <c r="J697" i="3"/>
  <c r="J696" i="3"/>
  <c r="J695" i="3"/>
  <c r="J694" i="3"/>
  <c r="J693" i="3"/>
  <c r="J692" i="3"/>
  <c r="J691" i="3"/>
  <c r="J690" i="3"/>
  <c r="J689" i="3"/>
  <c r="J688" i="3"/>
  <c r="J687" i="3"/>
  <c r="J686" i="3"/>
  <c r="J685" i="3"/>
  <c r="J684" i="3"/>
  <c r="J683" i="3"/>
  <c r="J682" i="3"/>
  <c r="J681" i="3"/>
  <c r="J680" i="3"/>
  <c r="J679" i="3"/>
  <c r="J678" i="3"/>
  <c r="J677" i="3"/>
  <c r="J676" i="3"/>
  <c r="J675" i="3"/>
  <c r="J674" i="3"/>
  <c r="J673" i="3"/>
  <c r="J672" i="3"/>
  <c r="J671" i="3"/>
  <c r="J670" i="3"/>
  <c r="J669" i="3"/>
  <c r="J668" i="3"/>
  <c r="J667" i="3"/>
  <c r="J666" i="3"/>
  <c r="J665" i="3"/>
  <c r="J664" i="3"/>
  <c r="J663" i="3"/>
  <c r="J662" i="3"/>
  <c r="J661" i="3"/>
  <c r="J660" i="3"/>
  <c r="J659" i="3"/>
  <c r="J658" i="3"/>
  <c r="J657" i="3"/>
  <c r="J656" i="3"/>
  <c r="J655" i="3"/>
  <c r="J654" i="3"/>
  <c r="J653" i="3"/>
  <c r="J652" i="3"/>
  <c r="J651" i="3"/>
  <c r="J650" i="3"/>
  <c r="J649" i="3"/>
  <c r="J648" i="3"/>
  <c r="J647" i="3"/>
  <c r="J646" i="3"/>
  <c r="J645" i="3"/>
  <c r="J644" i="3"/>
  <c r="J643" i="3"/>
  <c r="J642" i="3"/>
  <c r="J641" i="3"/>
  <c r="J640" i="3"/>
  <c r="J639" i="3"/>
  <c r="J638" i="3"/>
  <c r="J637" i="3"/>
  <c r="J636" i="3"/>
  <c r="J635" i="3"/>
  <c r="J634" i="3"/>
  <c r="J633" i="3"/>
  <c r="J632" i="3"/>
  <c r="J631" i="3"/>
  <c r="J630" i="3"/>
  <c r="J629" i="3"/>
  <c r="J628" i="3"/>
  <c r="J627" i="3"/>
  <c r="J626" i="3"/>
  <c r="J625" i="3"/>
  <c r="J624" i="3"/>
  <c r="J623" i="3"/>
  <c r="J622" i="3"/>
  <c r="J621" i="3"/>
  <c r="J620" i="3"/>
  <c r="J619" i="3"/>
  <c r="J618" i="3"/>
  <c r="J617" i="3"/>
  <c r="J616" i="3"/>
  <c r="J615" i="3"/>
  <c r="J614" i="3"/>
  <c r="J613" i="3"/>
  <c r="J612" i="3"/>
  <c r="J611" i="3"/>
  <c r="J610" i="3"/>
  <c r="J609" i="3"/>
  <c r="J608" i="3"/>
  <c r="J607" i="3"/>
  <c r="J606" i="3"/>
  <c r="J605" i="3"/>
  <c r="J604" i="3"/>
  <c r="J603" i="3"/>
  <c r="J602" i="3"/>
  <c r="J601" i="3"/>
  <c r="J600" i="3"/>
  <c r="J599" i="3"/>
  <c r="J598" i="3"/>
  <c r="J597" i="3"/>
  <c r="J596" i="3"/>
  <c r="J595" i="3"/>
  <c r="J594" i="3"/>
  <c r="J593" i="3"/>
  <c r="J592" i="3"/>
  <c r="J591" i="3"/>
  <c r="J590" i="3"/>
  <c r="J589" i="3"/>
  <c r="J588" i="3"/>
  <c r="J587" i="3"/>
  <c r="J586" i="3"/>
  <c r="J585" i="3"/>
  <c r="J584" i="3"/>
  <c r="J583" i="3"/>
  <c r="J582" i="3"/>
  <c r="J581" i="3"/>
  <c r="J580" i="3"/>
  <c r="J579" i="3"/>
  <c r="J578" i="3"/>
  <c r="J577" i="3"/>
  <c r="J576" i="3"/>
  <c r="J575" i="3"/>
  <c r="J574" i="3"/>
  <c r="J573" i="3"/>
  <c r="J572" i="3"/>
  <c r="J571" i="3"/>
  <c r="J570" i="3"/>
  <c r="J569" i="3"/>
  <c r="J568" i="3"/>
  <c r="J567" i="3"/>
  <c r="J566" i="3"/>
  <c r="J565" i="3"/>
  <c r="J564" i="3"/>
  <c r="J563" i="3"/>
  <c r="J562" i="3"/>
  <c r="J561" i="3"/>
  <c r="J560" i="3"/>
  <c r="J559" i="3"/>
  <c r="J558" i="3"/>
  <c r="J557" i="3"/>
  <c r="J556" i="3"/>
  <c r="J555" i="3"/>
  <c r="J554" i="3"/>
  <c r="J553" i="3"/>
  <c r="J552" i="3"/>
  <c r="J551" i="3"/>
  <c r="J550" i="3"/>
  <c r="J549" i="3"/>
  <c r="J548" i="3"/>
  <c r="J547" i="3"/>
  <c r="J546" i="3"/>
  <c r="J545" i="3"/>
  <c r="J544" i="3"/>
  <c r="J543" i="3"/>
  <c r="J542" i="3"/>
  <c r="J541" i="3"/>
  <c r="J540" i="3"/>
  <c r="J539" i="3"/>
  <c r="J538" i="3"/>
  <c r="J537" i="3"/>
  <c r="J536" i="3"/>
  <c r="J535" i="3"/>
  <c r="J534" i="3"/>
  <c r="J533" i="3"/>
  <c r="J532" i="3"/>
  <c r="J531" i="3"/>
  <c r="J530" i="3"/>
  <c r="J529" i="3"/>
  <c r="J528" i="3"/>
  <c r="J527" i="3"/>
  <c r="J526" i="3"/>
  <c r="J525" i="3"/>
  <c r="J524" i="3"/>
  <c r="J523" i="3"/>
  <c r="J522" i="3"/>
  <c r="J521" i="3"/>
  <c r="J520" i="3"/>
  <c r="J519" i="3"/>
  <c r="J518" i="3"/>
  <c r="J517" i="3"/>
  <c r="J516" i="3"/>
  <c r="J515" i="3"/>
  <c r="J514" i="3"/>
  <c r="J513" i="3"/>
  <c r="J512" i="3"/>
  <c r="J511" i="3"/>
  <c r="J510" i="3"/>
  <c r="J509" i="3"/>
  <c r="J508" i="3"/>
  <c r="J507" i="3"/>
  <c r="J506" i="3"/>
  <c r="J505" i="3"/>
  <c r="J504" i="3"/>
  <c r="J503" i="3"/>
  <c r="J502" i="3"/>
  <c r="J501" i="3"/>
  <c r="J500" i="3"/>
  <c r="J499" i="3"/>
  <c r="J498" i="3"/>
  <c r="J497" i="3"/>
  <c r="J496" i="3"/>
  <c r="J495" i="3"/>
  <c r="J494" i="3"/>
  <c r="J493" i="3"/>
  <c r="J492" i="3"/>
  <c r="J491" i="3"/>
  <c r="J490" i="3"/>
  <c r="J489" i="3"/>
  <c r="J488" i="3"/>
  <c r="J487" i="3"/>
  <c r="J486" i="3"/>
  <c r="J485" i="3"/>
  <c r="J484" i="3"/>
  <c r="J483" i="3"/>
  <c r="J482" i="3"/>
  <c r="J481" i="3"/>
  <c r="J480" i="3"/>
  <c r="J479" i="3"/>
  <c r="J478" i="3"/>
  <c r="J477" i="3"/>
  <c r="J476" i="3"/>
  <c r="J475" i="3"/>
  <c r="J474" i="3"/>
  <c r="J473" i="3"/>
  <c r="J472" i="3"/>
  <c r="J471" i="3"/>
  <c r="J470" i="3"/>
  <c r="J469" i="3"/>
  <c r="J468" i="3"/>
  <c r="J467" i="3"/>
  <c r="J466" i="3"/>
  <c r="J465" i="3"/>
  <c r="J464" i="3"/>
  <c r="J463" i="3"/>
  <c r="J462" i="3"/>
  <c r="J461" i="3"/>
  <c r="J460" i="3"/>
  <c r="J459" i="3"/>
  <c r="J458" i="3"/>
  <c r="J457" i="3"/>
  <c r="J456" i="3"/>
  <c r="J455" i="3"/>
  <c r="J454" i="3"/>
  <c r="J453" i="3"/>
  <c r="J452" i="3"/>
  <c r="J451" i="3"/>
  <c r="J450" i="3"/>
  <c r="J449" i="3"/>
  <c r="J448" i="3"/>
  <c r="J447" i="3"/>
  <c r="J446" i="3"/>
  <c r="J445" i="3"/>
  <c r="J444" i="3"/>
  <c r="J443" i="3"/>
  <c r="J442" i="3"/>
  <c r="J441" i="3"/>
  <c r="J440" i="3"/>
  <c r="J439" i="3"/>
  <c r="J438" i="3"/>
  <c r="J437" i="3"/>
  <c r="J436" i="3"/>
  <c r="J435" i="3"/>
  <c r="J434" i="3"/>
  <c r="J433" i="3"/>
  <c r="J432" i="3"/>
  <c r="J431" i="3"/>
  <c r="J430" i="3"/>
  <c r="J429" i="3"/>
  <c r="J428" i="3"/>
  <c r="J427" i="3"/>
  <c r="J426" i="3"/>
  <c r="J425" i="3"/>
  <c r="J424" i="3"/>
  <c r="J423" i="3"/>
  <c r="J422" i="3"/>
  <c r="J421" i="3"/>
  <c r="J420" i="3"/>
  <c r="J419" i="3"/>
  <c r="J418" i="3"/>
  <c r="J417" i="3"/>
  <c r="J416" i="3"/>
  <c r="J415" i="3"/>
  <c r="J414" i="3"/>
  <c r="J413" i="3"/>
  <c r="J412" i="3"/>
  <c r="J411" i="3"/>
  <c r="J410" i="3"/>
  <c r="J409" i="3"/>
  <c r="J408" i="3"/>
  <c r="J407" i="3"/>
  <c r="J406" i="3"/>
  <c r="J405" i="3"/>
  <c r="J404" i="3"/>
  <c r="J403" i="3"/>
  <c r="J402" i="3"/>
  <c r="J401" i="3"/>
  <c r="J400" i="3"/>
  <c r="J399" i="3"/>
  <c r="J398" i="3"/>
  <c r="J397" i="3"/>
  <c r="J396" i="3"/>
  <c r="J395" i="3"/>
  <c r="J394" i="3"/>
  <c r="J393" i="3"/>
  <c r="J392" i="3"/>
  <c r="J391" i="3"/>
  <c r="J390" i="3"/>
  <c r="J389" i="3"/>
  <c r="J388" i="3"/>
  <c r="J387" i="3"/>
  <c r="J386" i="3"/>
  <c r="J385" i="3"/>
  <c r="J384" i="3"/>
  <c r="J383" i="3"/>
  <c r="J382" i="3"/>
  <c r="J381" i="3"/>
  <c r="J380" i="3"/>
  <c r="J379" i="3"/>
  <c r="J378" i="3"/>
  <c r="J377" i="3"/>
  <c r="J376" i="3"/>
  <c r="J375" i="3"/>
  <c r="J374" i="3"/>
  <c r="J373" i="3"/>
  <c r="J372" i="3"/>
  <c r="J371" i="3"/>
  <c r="J370" i="3"/>
  <c r="J369" i="3"/>
  <c r="J368" i="3"/>
  <c r="J367" i="3"/>
  <c r="J366" i="3"/>
  <c r="J365" i="3"/>
  <c r="J364" i="3"/>
  <c r="J363" i="3"/>
  <c r="J362" i="3"/>
  <c r="J361" i="3"/>
  <c r="J360" i="3"/>
  <c r="J359" i="3"/>
  <c r="J358" i="3"/>
  <c r="J357" i="3"/>
  <c r="J356" i="3"/>
  <c r="J355" i="3"/>
  <c r="J354" i="3"/>
  <c r="J353" i="3"/>
  <c r="J352" i="3"/>
  <c r="J351" i="3"/>
  <c r="J350" i="3"/>
  <c r="J349" i="3"/>
  <c r="J348" i="3"/>
  <c r="J347" i="3"/>
  <c r="J346" i="3"/>
  <c r="J345" i="3"/>
  <c r="J344" i="3"/>
  <c r="J343" i="3"/>
  <c r="J342" i="3"/>
  <c r="J341" i="3"/>
  <c r="J340" i="3"/>
  <c r="J339" i="3"/>
  <c r="J338" i="3"/>
  <c r="J337" i="3"/>
  <c r="J336" i="3"/>
  <c r="J335" i="3"/>
  <c r="J334" i="3"/>
  <c r="J333" i="3"/>
  <c r="J332" i="3"/>
  <c r="J331" i="3"/>
  <c r="J330" i="3"/>
  <c r="J329" i="3"/>
  <c r="J328" i="3"/>
  <c r="J327" i="3"/>
  <c r="J326" i="3"/>
  <c r="J325" i="3"/>
  <c r="J324" i="3"/>
  <c r="J323" i="3"/>
  <c r="J322" i="3"/>
  <c r="J321" i="3"/>
  <c r="J320" i="3"/>
  <c r="J319" i="3"/>
  <c r="J318" i="3"/>
  <c r="J317" i="3"/>
  <c r="J316" i="3"/>
  <c r="J315" i="3"/>
  <c r="J314" i="3"/>
  <c r="J313" i="3"/>
  <c r="J312" i="3"/>
  <c r="J311" i="3"/>
  <c r="J310" i="3"/>
  <c r="J309" i="3"/>
  <c r="J308" i="3"/>
  <c r="J307" i="3"/>
  <c r="J306" i="3"/>
  <c r="J305" i="3"/>
  <c r="J304" i="3"/>
  <c r="J303" i="3"/>
  <c r="J302" i="3"/>
  <c r="J301" i="3"/>
  <c r="J300" i="3"/>
  <c r="J299" i="3"/>
  <c r="J298" i="3"/>
  <c r="J297" i="3"/>
  <c r="J296" i="3"/>
  <c r="J295" i="3"/>
  <c r="J294" i="3"/>
  <c r="J293" i="3"/>
  <c r="J292" i="3"/>
  <c r="J291" i="3"/>
  <c r="J290" i="3"/>
  <c r="J289" i="3"/>
  <c r="J288" i="3"/>
  <c r="J287" i="3"/>
  <c r="J286" i="3"/>
  <c r="J285" i="3"/>
  <c r="J284" i="3"/>
  <c r="J283" i="3"/>
  <c r="J282" i="3"/>
  <c r="J281" i="3"/>
  <c r="J280" i="3"/>
  <c r="J279" i="3"/>
  <c r="J278" i="3"/>
  <c r="J277" i="3"/>
  <c r="J276" i="3"/>
  <c r="J275" i="3"/>
  <c r="J274" i="3"/>
  <c r="J273" i="3"/>
  <c r="J272" i="3"/>
  <c r="J271" i="3"/>
  <c r="J270" i="3"/>
  <c r="J269" i="3"/>
  <c r="J268" i="3"/>
  <c r="J267" i="3"/>
  <c r="J266" i="3"/>
  <c r="J265" i="3"/>
  <c r="J264" i="3"/>
  <c r="J263" i="3"/>
  <c r="J262" i="3"/>
  <c r="J261" i="3"/>
  <c r="J260" i="3"/>
  <c r="J259" i="3"/>
  <c r="J258" i="3"/>
  <c r="J257" i="3"/>
  <c r="J256" i="3"/>
  <c r="J255" i="3"/>
  <c r="J254" i="3"/>
  <c r="J253" i="3"/>
  <c r="J252" i="3"/>
  <c r="J251" i="3"/>
  <c r="J250" i="3"/>
  <c r="J249" i="3"/>
  <c r="J248" i="3"/>
  <c r="J247" i="3"/>
  <c r="J246" i="3"/>
  <c r="J245" i="3"/>
  <c r="J244" i="3"/>
  <c r="J243" i="3"/>
  <c r="J242" i="3"/>
  <c r="J241" i="3"/>
  <c r="J240" i="3"/>
  <c r="J239" i="3"/>
  <c r="J238" i="3"/>
  <c r="J237" i="3"/>
  <c r="J236" i="3"/>
  <c r="J235" i="3"/>
  <c r="J234" i="3"/>
  <c r="J233" i="3"/>
  <c r="J232" i="3"/>
  <c r="J231" i="3"/>
  <c r="J230" i="3"/>
  <c r="J229" i="3"/>
  <c r="J228" i="3"/>
  <c r="J227" i="3"/>
  <c r="J226" i="3"/>
  <c r="J225" i="3"/>
  <c r="J224" i="3"/>
  <c r="J223" i="3"/>
  <c r="J222" i="3"/>
  <c r="J221" i="3"/>
  <c r="J220" i="3"/>
  <c r="J219" i="3"/>
  <c r="J218" i="3"/>
  <c r="J217" i="3"/>
  <c r="J216" i="3"/>
  <c r="J215" i="3"/>
  <c r="J214" i="3"/>
  <c r="J213" i="3"/>
  <c r="J212" i="3"/>
  <c r="J211" i="3"/>
  <c r="J210" i="3"/>
  <c r="J209" i="3"/>
  <c r="J208" i="3"/>
  <c r="J207" i="3"/>
  <c r="J206" i="3"/>
  <c r="J205" i="3"/>
  <c r="J204" i="3"/>
  <c r="J203" i="3"/>
  <c r="J202" i="3"/>
  <c r="J201" i="3"/>
  <c r="J200" i="3"/>
  <c r="J199" i="3"/>
  <c r="J198" i="3"/>
  <c r="J197" i="3"/>
  <c r="J196" i="3"/>
  <c r="J195" i="3"/>
  <c r="J194" i="3"/>
  <c r="J193" i="3"/>
  <c r="J192" i="3"/>
  <c r="J191" i="3"/>
  <c r="J190" i="3"/>
  <c r="J189" i="3"/>
  <c r="J188" i="3"/>
  <c r="J187" i="3"/>
  <c r="J186" i="3"/>
  <c r="J185" i="3"/>
  <c r="J184" i="3"/>
  <c r="J183" i="3"/>
  <c r="J182" i="3"/>
  <c r="J181" i="3"/>
  <c r="J180" i="3"/>
  <c r="J179" i="3"/>
  <c r="J178" i="3"/>
  <c r="J177" i="3"/>
  <c r="J176" i="3"/>
  <c r="J175" i="3"/>
  <c r="J174" i="3"/>
  <c r="J173" i="3"/>
  <c r="J172" i="3"/>
  <c r="J171" i="3"/>
  <c r="J170" i="3"/>
  <c r="J169" i="3"/>
  <c r="J168" i="3"/>
  <c r="J167" i="3"/>
  <c r="J166" i="3"/>
  <c r="J165" i="3"/>
  <c r="J164" i="3"/>
  <c r="J163" i="3"/>
  <c r="J162" i="3"/>
  <c r="J161" i="3"/>
  <c r="J160" i="3"/>
  <c r="J159" i="3"/>
  <c r="J158" i="3"/>
  <c r="J157" i="3"/>
  <c r="J156" i="3"/>
  <c r="J155" i="3"/>
  <c r="J154" i="3"/>
  <c r="J153" i="3"/>
  <c r="J152" i="3"/>
  <c r="J151" i="3"/>
  <c r="J150" i="3"/>
  <c r="J149" i="3"/>
  <c r="J148" i="3"/>
  <c r="J147" i="3"/>
  <c r="J146" i="3"/>
  <c r="J145" i="3"/>
  <c r="J144" i="3"/>
  <c r="J143" i="3"/>
  <c r="J142" i="3"/>
  <c r="J141" i="3"/>
  <c r="J140" i="3"/>
  <c r="J139" i="3"/>
  <c r="J138" i="3"/>
  <c r="J137" i="3"/>
  <c r="J136" i="3"/>
  <c r="J135" i="3"/>
  <c r="J134" i="3"/>
  <c r="J133" i="3"/>
  <c r="J132" i="3"/>
  <c r="J131" i="3"/>
  <c r="J130" i="3"/>
  <c r="J129" i="3"/>
  <c r="J128" i="3"/>
  <c r="J127" i="3"/>
  <c r="J126" i="3"/>
  <c r="J125" i="3"/>
  <c r="J124" i="3"/>
  <c r="J123" i="3"/>
  <c r="J122" i="3"/>
  <c r="J121" i="3"/>
  <c r="J120" i="3"/>
  <c r="J119" i="3"/>
  <c r="J118" i="3"/>
  <c r="J117" i="3"/>
  <c r="J116" i="3"/>
  <c r="J115" i="3"/>
  <c r="J114" i="3"/>
  <c r="J113" i="3"/>
  <c r="J112" i="3"/>
  <c r="J111" i="3"/>
  <c r="J110" i="3"/>
  <c r="J109" i="3"/>
  <c r="J108" i="3"/>
  <c r="J107" i="3"/>
  <c r="J106" i="3"/>
  <c r="J105" i="3"/>
  <c r="J104" i="3"/>
  <c r="J103" i="3"/>
  <c r="J102" i="3"/>
  <c r="J101" i="3"/>
  <c r="J100" i="3"/>
  <c r="J99" i="3"/>
  <c r="J98" i="3"/>
  <c r="J97" i="3"/>
  <c r="J96" i="3"/>
  <c r="J95" i="3"/>
  <c r="J94" i="3"/>
  <c r="J93" i="3"/>
  <c r="J92" i="3"/>
  <c r="J91" i="3"/>
  <c r="J90" i="3"/>
  <c r="J89" i="3"/>
  <c r="J88" i="3"/>
  <c r="J87" i="3"/>
  <c r="J86" i="3"/>
  <c r="J85" i="3"/>
  <c r="J84" i="3"/>
  <c r="J83" i="3"/>
  <c r="J82" i="3"/>
  <c r="J81" i="3"/>
  <c r="J80" i="3"/>
  <c r="J79" i="3"/>
  <c r="J78" i="3"/>
  <c r="J77" i="3"/>
  <c r="J76" i="3"/>
  <c r="J75" i="3"/>
  <c r="J74" i="3"/>
  <c r="J73" i="3"/>
  <c r="J72" i="3"/>
  <c r="J71" i="3"/>
  <c r="J70" i="3"/>
  <c r="J69" i="3"/>
  <c r="J68" i="3"/>
  <c r="J67" i="3"/>
  <c r="J66" i="3"/>
  <c r="J65" i="3"/>
  <c r="J64" i="3"/>
  <c r="J63" i="3"/>
  <c r="J62" i="3"/>
  <c r="J61" i="3"/>
  <c r="J60" i="3"/>
  <c r="J59" i="3"/>
  <c r="J58" i="3"/>
  <c r="J57" i="3"/>
  <c r="J56" i="3"/>
  <c r="J55" i="3"/>
  <c r="J54" i="3"/>
  <c r="J53" i="3"/>
  <c r="J52" i="3"/>
  <c r="J51" i="3"/>
  <c r="J50" i="3"/>
  <c r="J49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J7" i="3"/>
  <c r="J6" i="3"/>
  <c r="J5" i="3"/>
  <c r="J4" i="3"/>
  <c r="J3" i="3"/>
  <c r="J2" i="3"/>
  <c r="I10002" i="3"/>
  <c r="I10001" i="3"/>
  <c r="I10000" i="3"/>
  <c r="I9999" i="3"/>
  <c r="I9998" i="3"/>
  <c r="I9997" i="3"/>
  <c r="I9996" i="3"/>
  <c r="I9995" i="3"/>
  <c r="I9994" i="3"/>
  <c r="I9993" i="3"/>
  <c r="I9992" i="3"/>
  <c r="I9991" i="3"/>
  <c r="I9990" i="3"/>
  <c r="I9989" i="3"/>
  <c r="I9988" i="3"/>
  <c r="I9987" i="3"/>
  <c r="I9986" i="3"/>
  <c r="I9985" i="3"/>
  <c r="I9984" i="3"/>
  <c r="I9983" i="3"/>
  <c r="I9982" i="3"/>
  <c r="I9981" i="3"/>
  <c r="I9980" i="3"/>
  <c r="I9979" i="3"/>
  <c r="I9978" i="3"/>
  <c r="I9977" i="3"/>
  <c r="I9976" i="3"/>
  <c r="I9975" i="3"/>
  <c r="I9974" i="3"/>
  <c r="I9973" i="3"/>
  <c r="I9972" i="3"/>
  <c r="I9971" i="3"/>
  <c r="I9970" i="3"/>
  <c r="I9969" i="3"/>
  <c r="I9968" i="3"/>
  <c r="I9967" i="3"/>
  <c r="I9966" i="3"/>
  <c r="I9965" i="3"/>
  <c r="I9964" i="3"/>
  <c r="I9963" i="3"/>
  <c r="I9962" i="3"/>
  <c r="I9961" i="3"/>
  <c r="I9960" i="3"/>
  <c r="I9959" i="3"/>
  <c r="I9958" i="3"/>
  <c r="I9957" i="3"/>
  <c r="I9956" i="3"/>
  <c r="I9955" i="3"/>
  <c r="I9954" i="3"/>
  <c r="I9953" i="3"/>
  <c r="I9952" i="3"/>
  <c r="I9951" i="3"/>
  <c r="I9950" i="3"/>
  <c r="I9949" i="3"/>
  <c r="I9948" i="3"/>
  <c r="I9947" i="3"/>
  <c r="I9946" i="3"/>
  <c r="I9945" i="3"/>
  <c r="I9944" i="3"/>
  <c r="I9943" i="3"/>
  <c r="I9942" i="3"/>
  <c r="I9941" i="3"/>
  <c r="I9940" i="3"/>
  <c r="I9939" i="3"/>
  <c r="I9938" i="3"/>
  <c r="I9937" i="3"/>
  <c r="I9936" i="3"/>
  <c r="I9935" i="3"/>
  <c r="I9934" i="3"/>
  <c r="I9933" i="3"/>
  <c r="I9932" i="3"/>
  <c r="I9931" i="3"/>
  <c r="I9930" i="3"/>
  <c r="I9929" i="3"/>
  <c r="I9928" i="3"/>
  <c r="I9927" i="3"/>
  <c r="I9926" i="3"/>
  <c r="I9925" i="3"/>
  <c r="I9924" i="3"/>
  <c r="I9923" i="3"/>
  <c r="I9922" i="3"/>
  <c r="I9921" i="3"/>
  <c r="I9920" i="3"/>
  <c r="I9919" i="3"/>
  <c r="I9918" i="3"/>
  <c r="I9917" i="3"/>
  <c r="I9916" i="3"/>
  <c r="I9915" i="3"/>
  <c r="I9914" i="3"/>
  <c r="I9913" i="3"/>
  <c r="I9912" i="3"/>
  <c r="I9911" i="3"/>
  <c r="I9910" i="3"/>
  <c r="I9909" i="3"/>
  <c r="I9908" i="3"/>
  <c r="I9907" i="3"/>
  <c r="I9906" i="3"/>
  <c r="I9905" i="3"/>
  <c r="I9904" i="3"/>
  <c r="I9903" i="3"/>
  <c r="I9902" i="3"/>
  <c r="I9901" i="3"/>
  <c r="I9900" i="3"/>
  <c r="I9899" i="3"/>
  <c r="I9898" i="3"/>
  <c r="I9897" i="3"/>
  <c r="I9896" i="3"/>
  <c r="I9895" i="3"/>
  <c r="I9894" i="3"/>
  <c r="I9893" i="3"/>
  <c r="I9892" i="3"/>
  <c r="I9891" i="3"/>
  <c r="I9890" i="3"/>
  <c r="I9889" i="3"/>
  <c r="I9888" i="3"/>
  <c r="I9887" i="3"/>
  <c r="I9886" i="3"/>
  <c r="I9885" i="3"/>
  <c r="I9884" i="3"/>
  <c r="I9883" i="3"/>
  <c r="I9882" i="3"/>
  <c r="I9881" i="3"/>
  <c r="I9880" i="3"/>
  <c r="I9879" i="3"/>
  <c r="I9878" i="3"/>
  <c r="I9877" i="3"/>
  <c r="I9876" i="3"/>
  <c r="I9875" i="3"/>
  <c r="I9874" i="3"/>
  <c r="I9873" i="3"/>
  <c r="I9872" i="3"/>
  <c r="I9871" i="3"/>
  <c r="I9870" i="3"/>
  <c r="I9869" i="3"/>
  <c r="I9868" i="3"/>
  <c r="I9867" i="3"/>
  <c r="I9866" i="3"/>
  <c r="I9865" i="3"/>
  <c r="I9864" i="3"/>
  <c r="I9863" i="3"/>
  <c r="I9862" i="3"/>
  <c r="I9861" i="3"/>
  <c r="I9860" i="3"/>
  <c r="I9859" i="3"/>
  <c r="I9858" i="3"/>
  <c r="I9857" i="3"/>
  <c r="I9856" i="3"/>
  <c r="I9855" i="3"/>
  <c r="I9854" i="3"/>
  <c r="I9853" i="3"/>
  <c r="I9852" i="3"/>
  <c r="I9851" i="3"/>
  <c r="I9850" i="3"/>
  <c r="I9849" i="3"/>
  <c r="I9848" i="3"/>
  <c r="I9847" i="3"/>
  <c r="I9846" i="3"/>
  <c r="I9845" i="3"/>
  <c r="I9844" i="3"/>
  <c r="I9843" i="3"/>
  <c r="I9842" i="3"/>
  <c r="I9841" i="3"/>
  <c r="I9840" i="3"/>
  <c r="I9839" i="3"/>
  <c r="I9838" i="3"/>
  <c r="I9837" i="3"/>
  <c r="I9836" i="3"/>
  <c r="I9835" i="3"/>
  <c r="I9834" i="3"/>
  <c r="I9833" i="3"/>
  <c r="I9832" i="3"/>
  <c r="I9831" i="3"/>
  <c r="I9830" i="3"/>
  <c r="I9829" i="3"/>
  <c r="I9828" i="3"/>
  <c r="I9827" i="3"/>
  <c r="I9826" i="3"/>
  <c r="I9825" i="3"/>
  <c r="I9824" i="3"/>
  <c r="I9823" i="3"/>
  <c r="I9822" i="3"/>
  <c r="I9821" i="3"/>
  <c r="I9820" i="3"/>
  <c r="I9819" i="3"/>
  <c r="I9818" i="3"/>
  <c r="I9817" i="3"/>
  <c r="I9816" i="3"/>
  <c r="I9815" i="3"/>
  <c r="I9814" i="3"/>
  <c r="I9813" i="3"/>
  <c r="I9812" i="3"/>
  <c r="I9811" i="3"/>
  <c r="I9810" i="3"/>
  <c r="I9809" i="3"/>
  <c r="I9808" i="3"/>
  <c r="I9807" i="3"/>
  <c r="I9806" i="3"/>
  <c r="I9805" i="3"/>
  <c r="I9804" i="3"/>
  <c r="I9803" i="3"/>
  <c r="I9802" i="3"/>
  <c r="I9801" i="3"/>
  <c r="I9800" i="3"/>
  <c r="I9799" i="3"/>
  <c r="I9798" i="3"/>
  <c r="I9797" i="3"/>
  <c r="I9796" i="3"/>
  <c r="I9795" i="3"/>
  <c r="I9794" i="3"/>
  <c r="I9793" i="3"/>
  <c r="I9792" i="3"/>
  <c r="I9791" i="3"/>
  <c r="I9790" i="3"/>
  <c r="I9789" i="3"/>
  <c r="I9788" i="3"/>
  <c r="I9787" i="3"/>
  <c r="I9786" i="3"/>
  <c r="I9785" i="3"/>
  <c r="I9784" i="3"/>
  <c r="I9783" i="3"/>
  <c r="I9782" i="3"/>
  <c r="I9781" i="3"/>
  <c r="I9780" i="3"/>
  <c r="I9779" i="3"/>
  <c r="I9778" i="3"/>
  <c r="I9777" i="3"/>
  <c r="I9776" i="3"/>
  <c r="I9775" i="3"/>
  <c r="I9774" i="3"/>
  <c r="I9773" i="3"/>
  <c r="I9772" i="3"/>
  <c r="I9771" i="3"/>
  <c r="I9770" i="3"/>
  <c r="I9769" i="3"/>
  <c r="I9768" i="3"/>
  <c r="I9767" i="3"/>
  <c r="I9766" i="3"/>
  <c r="I9765" i="3"/>
  <c r="I9764" i="3"/>
  <c r="I9763" i="3"/>
  <c r="I9762" i="3"/>
  <c r="I9761" i="3"/>
  <c r="I9760" i="3"/>
  <c r="I9759" i="3"/>
  <c r="I9758" i="3"/>
  <c r="I9757" i="3"/>
  <c r="I9756" i="3"/>
  <c r="I9755" i="3"/>
  <c r="I9754" i="3"/>
  <c r="I9753" i="3"/>
  <c r="I9752" i="3"/>
  <c r="I9751" i="3"/>
  <c r="I9750" i="3"/>
  <c r="I9749" i="3"/>
  <c r="I9748" i="3"/>
  <c r="I9747" i="3"/>
  <c r="I9746" i="3"/>
  <c r="I9745" i="3"/>
  <c r="I9744" i="3"/>
  <c r="I9743" i="3"/>
  <c r="I9742" i="3"/>
  <c r="I9741" i="3"/>
  <c r="I9740" i="3"/>
  <c r="I9739" i="3"/>
  <c r="I9738" i="3"/>
  <c r="I9737" i="3"/>
  <c r="I9736" i="3"/>
  <c r="I9735" i="3"/>
  <c r="I9734" i="3"/>
  <c r="I9733" i="3"/>
  <c r="I9732" i="3"/>
  <c r="I9731" i="3"/>
  <c r="I9730" i="3"/>
  <c r="I9729" i="3"/>
  <c r="I9728" i="3"/>
  <c r="I9727" i="3"/>
  <c r="I9726" i="3"/>
  <c r="I9725" i="3"/>
  <c r="I9724" i="3"/>
  <c r="I9723" i="3"/>
  <c r="I9722" i="3"/>
  <c r="I9721" i="3"/>
  <c r="I9720" i="3"/>
  <c r="I9719" i="3"/>
  <c r="I9718" i="3"/>
  <c r="I9717" i="3"/>
  <c r="I9716" i="3"/>
  <c r="I9715" i="3"/>
  <c r="I9714" i="3"/>
  <c r="I9713" i="3"/>
  <c r="I9712" i="3"/>
  <c r="I9711" i="3"/>
  <c r="I9710" i="3"/>
  <c r="I9709" i="3"/>
  <c r="I9708" i="3"/>
  <c r="I9707" i="3"/>
  <c r="I9706" i="3"/>
  <c r="I9705" i="3"/>
  <c r="I9704" i="3"/>
  <c r="I9703" i="3"/>
  <c r="I9702" i="3"/>
  <c r="I9701" i="3"/>
  <c r="I9700" i="3"/>
  <c r="I9699" i="3"/>
  <c r="I9698" i="3"/>
  <c r="I9697" i="3"/>
  <c r="I9696" i="3"/>
  <c r="I9695" i="3"/>
  <c r="I9694" i="3"/>
  <c r="I9693" i="3"/>
  <c r="I9692" i="3"/>
  <c r="I9691" i="3"/>
  <c r="I9690" i="3"/>
  <c r="I9689" i="3"/>
  <c r="I9688" i="3"/>
  <c r="I9687" i="3"/>
  <c r="I9686" i="3"/>
  <c r="I9685" i="3"/>
  <c r="I9684" i="3"/>
  <c r="I9683" i="3"/>
  <c r="I9682" i="3"/>
  <c r="I9681" i="3"/>
  <c r="I9680" i="3"/>
  <c r="I9679" i="3"/>
  <c r="I9678" i="3"/>
  <c r="I9677" i="3"/>
  <c r="I9676" i="3"/>
  <c r="I9675" i="3"/>
  <c r="I9674" i="3"/>
  <c r="I9673" i="3"/>
  <c r="I9672" i="3"/>
  <c r="I9671" i="3"/>
  <c r="I9670" i="3"/>
  <c r="I9669" i="3"/>
  <c r="I9668" i="3"/>
  <c r="I9667" i="3"/>
  <c r="I9666" i="3"/>
  <c r="I9665" i="3"/>
  <c r="I9664" i="3"/>
  <c r="I9663" i="3"/>
  <c r="I9662" i="3"/>
  <c r="I9661" i="3"/>
  <c r="I9660" i="3"/>
  <c r="I9659" i="3"/>
  <c r="I9658" i="3"/>
  <c r="I9657" i="3"/>
  <c r="I9656" i="3"/>
  <c r="I9655" i="3"/>
  <c r="I9654" i="3"/>
  <c r="I9653" i="3"/>
  <c r="I9652" i="3"/>
  <c r="I9651" i="3"/>
  <c r="I9650" i="3"/>
  <c r="I9649" i="3"/>
  <c r="I9648" i="3"/>
  <c r="I9647" i="3"/>
  <c r="I9646" i="3"/>
  <c r="I9645" i="3"/>
  <c r="I9644" i="3"/>
  <c r="I9643" i="3"/>
  <c r="I9642" i="3"/>
  <c r="I9641" i="3"/>
  <c r="I9640" i="3"/>
  <c r="I9639" i="3"/>
  <c r="I9638" i="3"/>
  <c r="I9637" i="3"/>
  <c r="I9636" i="3"/>
  <c r="I9635" i="3"/>
  <c r="I9634" i="3"/>
  <c r="I9633" i="3"/>
  <c r="I9632" i="3"/>
  <c r="I9631" i="3"/>
  <c r="I9630" i="3"/>
  <c r="I9629" i="3"/>
  <c r="I9628" i="3"/>
  <c r="I9627" i="3"/>
  <c r="I9626" i="3"/>
  <c r="I9625" i="3"/>
  <c r="I9624" i="3"/>
  <c r="I9623" i="3"/>
  <c r="I9622" i="3"/>
  <c r="I9621" i="3"/>
  <c r="I9620" i="3"/>
  <c r="I9619" i="3"/>
  <c r="I9618" i="3"/>
  <c r="I9617" i="3"/>
  <c r="I9616" i="3"/>
  <c r="I9615" i="3"/>
  <c r="I9614" i="3"/>
  <c r="I9613" i="3"/>
  <c r="I9612" i="3"/>
  <c r="I9611" i="3"/>
  <c r="I9610" i="3"/>
  <c r="I9609" i="3"/>
  <c r="I9608" i="3"/>
  <c r="I9607" i="3"/>
  <c r="I9606" i="3"/>
  <c r="I9605" i="3"/>
  <c r="I9604" i="3"/>
  <c r="I9603" i="3"/>
  <c r="I9602" i="3"/>
  <c r="I9601" i="3"/>
  <c r="I9600" i="3"/>
  <c r="I9599" i="3"/>
  <c r="I9598" i="3"/>
  <c r="I9597" i="3"/>
  <c r="I9596" i="3"/>
  <c r="I9595" i="3"/>
  <c r="I9594" i="3"/>
  <c r="I9593" i="3"/>
  <c r="I9592" i="3"/>
  <c r="I9591" i="3"/>
  <c r="I9590" i="3"/>
  <c r="I9589" i="3"/>
  <c r="I9588" i="3"/>
  <c r="I9587" i="3"/>
  <c r="I9586" i="3"/>
  <c r="I9585" i="3"/>
  <c r="I9584" i="3"/>
  <c r="I9583" i="3"/>
  <c r="I9582" i="3"/>
  <c r="I9581" i="3"/>
  <c r="I9580" i="3"/>
  <c r="I9579" i="3"/>
  <c r="I9578" i="3"/>
  <c r="I9577" i="3"/>
  <c r="I9576" i="3"/>
  <c r="I9575" i="3"/>
  <c r="I9574" i="3"/>
  <c r="I9573" i="3"/>
  <c r="I9572" i="3"/>
  <c r="I9571" i="3"/>
  <c r="I9570" i="3"/>
  <c r="I9569" i="3"/>
  <c r="I9568" i="3"/>
  <c r="I9567" i="3"/>
  <c r="I9566" i="3"/>
  <c r="I9565" i="3"/>
  <c r="I9564" i="3"/>
  <c r="I9563" i="3"/>
  <c r="I9562" i="3"/>
  <c r="I9561" i="3"/>
  <c r="I9560" i="3"/>
  <c r="I9559" i="3"/>
  <c r="I9558" i="3"/>
  <c r="I9557" i="3"/>
  <c r="I9556" i="3"/>
  <c r="I9555" i="3"/>
  <c r="I9554" i="3"/>
  <c r="I9553" i="3"/>
  <c r="I9552" i="3"/>
  <c r="I9551" i="3"/>
  <c r="I9550" i="3"/>
  <c r="I9549" i="3"/>
  <c r="I9548" i="3"/>
  <c r="I9547" i="3"/>
  <c r="I9546" i="3"/>
  <c r="I9545" i="3"/>
  <c r="I9544" i="3"/>
  <c r="I9543" i="3"/>
  <c r="I9542" i="3"/>
  <c r="I9541" i="3"/>
  <c r="I9540" i="3"/>
  <c r="I9539" i="3"/>
  <c r="I9538" i="3"/>
  <c r="I9537" i="3"/>
  <c r="I9536" i="3"/>
  <c r="I9535" i="3"/>
  <c r="I9534" i="3"/>
  <c r="I9533" i="3"/>
  <c r="I9532" i="3"/>
  <c r="I9531" i="3"/>
  <c r="I9530" i="3"/>
  <c r="I9529" i="3"/>
  <c r="I9528" i="3"/>
  <c r="I9527" i="3"/>
  <c r="I9526" i="3"/>
  <c r="I9525" i="3"/>
  <c r="I9524" i="3"/>
  <c r="I9523" i="3"/>
  <c r="I9522" i="3"/>
  <c r="I9521" i="3"/>
  <c r="I9520" i="3"/>
  <c r="I9519" i="3"/>
  <c r="I9518" i="3"/>
  <c r="I9517" i="3"/>
  <c r="I9516" i="3"/>
  <c r="I9515" i="3"/>
  <c r="I9514" i="3"/>
  <c r="I9513" i="3"/>
  <c r="I9512" i="3"/>
  <c r="I9511" i="3"/>
  <c r="I9510" i="3"/>
  <c r="I9509" i="3"/>
  <c r="I9508" i="3"/>
  <c r="I9507" i="3"/>
  <c r="I9506" i="3"/>
  <c r="I9505" i="3"/>
  <c r="I9504" i="3"/>
  <c r="I9503" i="3"/>
  <c r="I9502" i="3"/>
  <c r="I9501" i="3"/>
  <c r="I9500" i="3"/>
  <c r="I9499" i="3"/>
  <c r="I9498" i="3"/>
  <c r="I9497" i="3"/>
  <c r="I9496" i="3"/>
  <c r="I9495" i="3"/>
  <c r="I9494" i="3"/>
  <c r="I9493" i="3"/>
  <c r="I9492" i="3"/>
  <c r="I9491" i="3"/>
  <c r="I9490" i="3"/>
  <c r="I9489" i="3"/>
  <c r="I9488" i="3"/>
  <c r="I9487" i="3"/>
  <c r="I9486" i="3"/>
  <c r="I9485" i="3"/>
  <c r="I9484" i="3"/>
  <c r="I9483" i="3"/>
  <c r="I9482" i="3"/>
  <c r="I9481" i="3"/>
  <c r="I9480" i="3"/>
  <c r="I9479" i="3"/>
  <c r="I9478" i="3"/>
  <c r="I9477" i="3"/>
  <c r="I9476" i="3"/>
  <c r="I9475" i="3"/>
  <c r="I9474" i="3"/>
  <c r="I9473" i="3"/>
  <c r="I9472" i="3"/>
  <c r="I9471" i="3"/>
  <c r="I9470" i="3"/>
  <c r="I9469" i="3"/>
  <c r="I9468" i="3"/>
  <c r="I9467" i="3"/>
  <c r="I9466" i="3"/>
  <c r="I9465" i="3"/>
  <c r="I9464" i="3"/>
  <c r="I9463" i="3"/>
  <c r="I9462" i="3"/>
  <c r="I9461" i="3"/>
  <c r="I9460" i="3"/>
  <c r="I9459" i="3"/>
  <c r="I9458" i="3"/>
  <c r="I9457" i="3"/>
  <c r="I9456" i="3"/>
  <c r="I9455" i="3"/>
  <c r="I9454" i="3"/>
  <c r="I9453" i="3"/>
  <c r="I9452" i="3"/>
  <c r="I9451" i="3"/>
  <c r="I9450" i="3"/>
  <c r="I9449" i="3"/>
  <c r="I9448" i="3"/>
  <c r="I9447" i="3"/>
  <c r="I9446" i="3"/>
  <c r="I9445" i="3"/>
  <c r="I9444" i="3"/>
  <c r="I9443" i="3"/>
  <c r="I9442" i="3"/>
  <c r="I9441" i="3"/>
  <c r="I9440" i="3"/>
  <c r="I9439" i="3"/>
  <c r="I9438" i="3"/>
  <c r="I9437" i="3"/>
  <c r="I9436" i="3"/>
  <c r="I9435" i="3"/>
  <c r="I9434" i="3"/>
  <c r="I9433" i="3"/>
  <c r="I9432" i="3"/>
  <c r="I9431" i="3"/>
  <c r="I9430" i="3"/>
  <c r="I9429" i="3"/>
  <c r="I9428" i="3"/>
  <c r="I9427" i="3"/>
  <c r="I9426" i="3"/>
  <c r="I9425" i="3"/>
  <c r="I9424" i="3"/>
  <c r="I9423" i="3"/>
  <c r="I9422" i="3"/>
  <c r="I9421" i="3"/>
  <c r="I9420" i="3"/>
  <c r="I9419" i="3"/>
  <c r="I9418" i="3"/>
  <c r="I9417" i="3"/>
  <c r="I9416" i="3"/>
  <c r="I9415" i="3"/>
  <c r="I9414" i="3"/>
  <c r="I9413" i="3"/>
  <c r="I9412" i="3"/>
  <c r="I9411" i="3"/>
  <c r="I9410" i="3"/>
  <c r="I9409" i="3"/>
  <c r="I9408" i="3"/>
  <c r="I9407" i="3"/>
  <c r="I9406" i="3"/>
  <c r="I9405" i="3"/>
  <c r="I9404" i="3"/>
  <c r="I9403" i="3"/>
  <c r="I9402" i="3"/>
  <c r="I9401" i="3"/>
  <c r="I9400" i="3"/>
  <c r="I9399" i="3"/>
  <c r="I9398" i="3"/>
  <c r="I9397" i="3"/>
  <c r="I9396" i="3"/>
  <c r="I9395" i="3"/>
  <c r="I9394" i="3"/>
  <c r="I9393" i="3"/>
  <c r="I9392" i="3"/>
  <c r="I9391" i="3"/>
  <c r="I9390" i="3"/>
  <c r="I9389" i="3"/>
  <c r="I9388" i="3"/>
  <c r="I9387" i="3"/>
  <c r="I9386" i="3"/>
  <c r="I9385" i="3"/>
  <c r="I9384" i="3"/>
  <c r="I9383" i="3"/>
  <c r="I9382" i="3"/>
  <c r="I9381" i="3"/>
  <c r="I9380" i="3"/>
  <c r="I9379" i="3"/>
  <c r="I9378" i="3"/>
  <c r="I9377" i="3"/>
  <c r="I9376" i="3"/>
  <c r="I9375" i="3"/>
  <c r="I9374" i="3"/>
  <c r="I9373" i="3"/>
  <c r="I9372" i="3"/>
  <c r="I9371" i="3"/>
  <c r="I9370" i="3"/>
  <c r="I9369" i="3"/>
  <c r="I9368" i="3"/>
  <c r="I9367" i="3"/>
  <c r="I9366" i="3"/>
  <c r="I9365" i="3"/>
  <c r="I9364" i="3"/>
  <c r="I9363" i="3"/>
  <c r="I9362" i="3"/>
  <c r="I9361" i="3"/>
  <c r="I9360" i="3"/>
  <c r="I9359" i="3"/>
  <c r="I9358" i="3"/>
  <c r="I9357" i="3"/>
  <c r="I9356" i="3"/>
  <c r="I9355" i="3"/>
  <c r="I9354" i="3"/>
  <c r="I9353" i="3"/>
  <c r="I9352" i="3"/>
  <c r="I9351" i="3"/>
  <c r="I9350" i="3"/>
  <c r="I9349" i="3"/>
  <c r="I9348" i="3"/>
  <c r="I9347" i="3"/>
  <c r="I9346" i="3"/>
  <c r="I9345" i="3"/>
  <c r="I9344" i="3"/>
  <c r="I9343" i="3"/>
  <c r="I9342" i="3"/>
  <c r="I9341" i="3"/>
  <c r="I9340" i="3"/>
  <c r="I9339" i="3"/>
  <c r="I9338" i="3"/>
  <c r="I9337" i="3"/>
  <c r="I9336" i="3"/>
  <c r="I9335" i="3"/>
  <c r="I9334" i="3"/>
  <c r="I9333" i="3"/>
  <c r="I9332" i="3"/>
  <c r="I9331" i="3"/>
  <c r="I9330" i="3"/>
  <c r="I9329" i="3"/>
  <c r="I9328" i="3"/>
  <c r="I9327" i="3"/>
  <c r="I9326" i="3"/>
  <c r="I9325" i="3"/>
  <c r="I9324" i="3"/>
  <c r="I9323" i="3"/>
  <c r="I9322" i="3"/>
  <c r="I9321" i="3"/>
  <c r="I9320" i="3"/>
  <c r="I9319" i="3"/>
  <c r="I9318" i="3"/>
  <c r="I9317" i="3"/>
  <c r="I9316" i="3"/>
  <c r="I9315" i="3"/>
  <c r="I9314" i="3"/>
  <c r="I9313" i="3"/>
  <c r="I9312" i="3"/>
  <c r="I9311" i="3"/>
  <c r="I9310" i="3"/>
  <c r="I9309" i="3"/>
  <c r="I9308" i="3"/>
  <c r="I9307" i="3"/>
  <c r="I9306" i="3"/>
  <c r="I9305" i="3"/>
  <c r="I9304" i="3"/>
  <c r="I9303" i="3"/>
  <c r="I9302" i="3"/>
  <c r="I9301" i="3"/>
  <c r="I9300" i="3"/>
  <c r="I9299" i="3"/>
  <c r="I9298" i="3"/>
  <c r="I9297" i="3"/>
  <c r="I9296" i="3"/>
  <c r="I9295" i="3"/>
  <c r="I9294" i="3"/>
  <c r="I9293" i="3"/>
  <c r="I9292" i="3"/>
  <c r="I9291" i="3"/>
  <c r="I9290" i="3"/>
  <c r="I9289" i="3"/>
  <c r="I9288" i="3"/>
  <c r="I9287" i="3"/>
  <c r="I9286" i="3"/>
  <c r="I9285" i="3"/>
  <c r="I9284" i="3"/>
  <c r="I9283" i="3"/>
  <c r="I9282" i="3"/>
  <c r="I9281" i="3"/>
  <c r="I9280" i="3"/>
  <c r="I9279" i="3"/>
  <c r="I9278" i="3"/>
  <c r="I9277" i="3"/>
  <c r="I9276" i="3"/>
  <c r="I9275" i="3"/>
  <c r="I9274" i="3"/>
  <c r="I9273" i="3"/>
  <c r="I9272" i="3"/>
  <c r="I9271" i="3"/>
  <c r="I9270" i="3"/>
  <c r="I9269" i="3"/>
  <c r="I9268" i="3"/>
  <c r="I9267" i="3"/>
  <c r="I9266" i="3"/>
  <c r="I9265" i="3"/>
  <c r="I9264" i="3"/>
  <c r="I9263" i="3"/>
  <c r="I9262" i="3"/>
  <c r="I9261" i="3"/>
  <c r="I9260" i="3"/>
  <c r="I9259" i="3"/>
  <c r="I9258" i="3"/>
  <c r="I9257" i="3"/>
  <c r="I9256" i="3"/>
  <c r="I9255" i="3"/>
  <c r="I9254" i="3"/>
  <c r="I9253" i="3"/>
  <c r="I9252" i="3"/>
  <c r="I9251" i="3"/>
  <c r="I9250" i="3"/>
  <c r="I9249" i="3"/>
  <c r="I9248" i="3"/>
  <c r="I9247" i="3"/>
  <c r="I9246" i="3"/>
  <c r="I9245" i="3"/>
  <c r="I9244" i="3"/>
  <c r="I9243" i="3"/>
  <c r="I9242" i="3"/>
  <c r="I9241" i="3"/>
  <c r="I9240" i="3"/>
  <c r="I9239" i="3"/>
  <c r="I9238" i="3"/>
  <c r="I9237" i="3"/>
  <c r="I9236" i="3"/>
  <c r="I9235" i="3"/>
  <c r="I9234" i="3"/>
  <c r="I9233" i="3"/>
  <c r="I9232" i="3"/>
  <c r="I9231" i="3"/>
  <c r="I9230" i="3"/>
  <c r="I9229" i="3"/>
  <c r="I9228" i="3"/>
  <c r="I9227" i="3"/>
  <c r="I9226" i="3"/>
  <c r="I9225" i="3"/>
  <c r="I9224" i="3"/>
  <c r="I9223" i="3"/>
  <c r="I9222" i="3"/>
  <c r="I9221" i="3"/>
  <c r="I9220" i="3"/>
  <c r="I9219" i="3"/>
  <c r="I9218" i="3"/>
  <c r="I9217" i="3"/>
  <c r="I9216" i="3"/>
  <c r="I9215" i="3"/>
  <c r="I9214" i="3"/>
  <c r="I9213" i="3"/>
  <c r="I9212" i="3"/>
  <c r="I9211" i="3"/>
  <c r="I9210" i="3"/>
  <c r="I9209" i="3"/>
  <c r="I9208" i="3"/>
  <c r="I9207" i="3"/>
  <c r="I9206" i="3"/>
  <c r="I9205" i="3"/>
  <c r="I9204" i="3"/>
  <c r="I9203" i="3"/>
  <c r="I9202" i="3"/>
  <c r="I9201" i="3"/>
  <c r="I9200" i="3"/>
  <c r="I9199" i="3"/>
  <c r="I9198" i="3"/>
  <c r="I9197" i="3"/>
  <c r="I9196" i="3"/>
  <c r="I9195" i="3"/>
  <c r="I9194" i="3"/>
  <c r="I9193" i="3"/>
  <c r="I9192" i="3"/>
  <c r="I9191" i="3"/>
  <c r="I9190" i="3"/>
  <c r="I9189" i="3"/>
  <c r="I9188" i="3"/>
  <c r="I9187" i="3"/>
  <c r="I9186" i="3"/>
  <c r="I9185" i="3"/>
  <c r="I9184" i="3"/>
  <c r="I9183" i="3"/>
  <c r="I9182" i="3"/>
  <c r="I9181" i="3"/>
  <c r="I9180" i="3"/>
  <c r="I9179" i="3"/>
  <c r="I9178" i="3"/>
  <c r="I9177" i="3"/>
  <c r="I9176" i="3"/>
  <c r="I9175" i="3"/>
  <c r="I9174" i="3"/>
  <c r="I9173" i="3"/>
  <c r="I9172" i="3"/>
  <c r="I9171" i="3"/>
  <c r="I9170" i="3"/>
  <c r="I9169" i="3"/>
  <c r="I9168" i="3"/>
  <c r="I9167" i="3"/>
  <c r="I9166" i="3"/>
  <c r="I9165" i="3"/>
  <c r="I9164" i="3"/>
  <c r="I9163" i="3"/>
  <c r="I9162" i="3"/>
  <c r="I9161" i="3"/>
  <c r="I9160" i="3"/>
  <c r="I9159" i="3"/>
  <c r="I9158" i="3"/>
  <c r="I9157" i="3"/>
  <c r="I9156" i="3"/>
  <c r="I9155" i="3"/>
  <c r="I9154" i="3"/>
  <c r="I9153" i="3"/>
  <c r="I9152" i="3"/>
  <c r="I9151" i="3"/>
  <c r="I9150" i="3"/>
  <c r="I9149" i="3"/>
  <c r="I9148" i="3"/>
  <c r="I9147" i="3"/>
  <c r="I9146" i="3"/>
  <c r="I9145" i="3"/>
  <c r="I9144" i="3"/>
  <c r="I9143" i="3"/>
  <c r="I9142" i="3"/>
  <c r="I9141" i="3"/>
  <c r="I9140" i="3"/>
  <c r="I9139" i="3"/>
  <c r="I9138" i="3"/>
  <c r="I9137" i="3"/>
  <c r="I9136" i="3"/>
  <c r="I9135" i="3"/>
  <c r="I9134" i="3"/>
  <c r="I9133" i="3"/>
  <c r="I9132" i="3"/>
  <c r="I9131" i="3"/>
  <c r="I9130" i="3"/>
  <c r="I9129" i="3"/>
  <c r="I9128" i="3"/>
  <c r="I9127" i="3"/>
  <c r="I9126" i="3"/>
  <c r="I9125" i="3"/>
  <c r="I9124" i="3"/>
  <c r="I9123" i="3"/>
  <c r="I9122" i="3"/>
  <c r="I9121" i="3"/>
  <c r="I9120" i="3"/>
  <c r="I9119" i="3"/>
  <c r="I9118" i="3"/>
  <c r="I9117" i="3"/>
  <c r="I9116" i="3"/>
  <c r="I9115" i="3"/>
  <c r="I9114" i="3"/>
  <c r="I9113" i="3"/>
  <c r="I9112" i="3"/>
  <c r="I9111" i="3"/>
  <c r="I9110" i="3"/>
  <c r="I9109" i="3"/>
  <c r="I9108" i="3"/>
  <c r="I9107" i="3"/>
  <c r="I9106" i="3"/>
  <c r="I9105" i="3"/>
  <c r="I9104" i="3"/>
  <c r="I9103" i="3"/>
  <c r="I9102" i="3"/>
  <c r="I9101" i="3"/>
  <c r="I9100" i="3"/>
  <c r="I9099" i="3"/>
  <c r="I9098" i="3"/>
  <c r="I9097" i="3"/>
  <c r="I9096" i="3"/>
  <c r="I9095" i="3"/>
  <c r="I9094" i="3"/>
  <c r="I9093" i="3"/>
  <c r="I9092" i="3"/>
  <c r="I9091" i="3"/>
  <c r="I9090" i="3"/>
  <c r="I9089" i="3"/>
  <c r="I9088" i="3"/>
  <c r="I9087" i="3"/>
  <c r="I9086" i="3"/>
  <c r="I9085" i="3"/>
  <c r="I9084" i="3"/>
  <c r="I9083" i="3"/>
  <c r="I9082" i="3"/>
  <c r="I9081" i="3"/>
  <c r="I9080" i="3"/>
  <c r="I9079" i="3"/>
  <c r="I9078" i="3"/>
  <c r="I9077" i="3"/>
  <c r="I9076" i="3"/>
  <c r="I9075" i="3"/>
  <c r="I9074" i="3"/>
  <c r="I9073" i="3"/>
  <c r="I9072" i="3"/>
  <c r="I9071" i="3"/>
  <c r="I9070" i="3"/>
  <c r="I9069" i="3"/>
  <c r="I9068" i="3"/>
  <c r="I9067" i="3"/>
  <c r="I9066" i="3"/>
  <c r="I9065" i="3"/>
  <c r="I9064" i="3"/>
  <c r="I9063" i="3"/>
  <c r="I9062" i="3"/>
  <c r="I9061" i="3"/>
  <c r="I9060" i="3"/>
  <c r="I9059" i="3"/>
  <c r="I9058" i="3"/>
  <c r="I9057" i="3"/>
  <c r="I9056" i="3"/>
  <c r="I9055" i="3"/>
  <c r="I9054" i="3"/>
  <c r="I9053" i="3"/>
  <c r="I9052" i="3"/>
  <c r="I9051" i="3"/>
  <c r="I9050" i="3"/>
  <c r="I9049" i="3"/>
  <c r="I9048" i="3"/>
  <c r="I9047" i="3"/>
  <c r="I9046" i="3"/>
  <c r="I9045" i="3"/>
  <c r="I9044" i="3"/>
  <c r="I9043" i="3"/>
  <c r="I9042" i="3"/>
  <c r="I9041" i="3"/>
  <c r="I9040" i="3"/>
  <c r="I9039" i="3"/>
  <c r="I9038" i="3"/>
  <c r="I9037" i="3"/>
  <c r="I9036" i="3"/>
  <c r="I9035" i="3"/>
  <c r="I9034" i="3"/>
  <c r="I9033" i="3"/>
  <c r="I9032" i="3"/>
  <c r="I9031" i="3"/>
  <c r="I9030" i="3"/>
  <c r="I9029" i="3"/>
  <c r="I9028" i="3"/>
  <c r="I9027" i="3"/>
  <c r="I9026" i="3"/>
  <c r="I9025" i="3"/>
  <c r="I9024" i="3"/>
  <c r="I9023" i="3"/>
  <c r="I9022" i="3"/>
  <c r="I9021" i="3"/>
  <c r="I9020" i="3"/>
  <c r="I9019" i="3"/>
  <c r="I9018" i="3"/>
  <c r="I9017" i="3"/>
  <c r="I9016" i="3"/>
  <c r="I9015" i="3"/>
  <c r="I9014" i="3"/>
  <c r="I9013" i="3"/>
  <c r="I9012" i="3"/>
  <c r="I9011" i="3"/>
  <c r="I9010" i="3"/>
  <c r="I9009" i="3"/>
  <c r="I9008" i="3"/>
  <c r="I9007" i="3"/>
  <c r="I9006" i="3"/>
  <c r="I9005" i="3"/>
  <c r="I9004" i="3"/>
  <c r="I9003" i="3"/>
  <c r="I9002" i="3"/>
  <c r="I9001" i="3"/>
  <c r="I9000" i="3"/>
  <c r="I8999" i="3"/>
  <c r="I8998" i="3"/>
  <c r="I8997" i="3"/>
  <c r="I8996" i="3"/>
  <c r="I8995" i="3"/>
  <c r="I8994" i="3"/>
  <c r="I8993" i="3"/>
  <c r="I8992" i="3"/>
  <c r="I8991" i="3"/>
  <c r="I8990" i="3"/>
  <c r="I8989" i="3"/>
  <c r="I8988" i="3"/>
  <c r="I8987" i="3"/>
  <c r="I8986" i="3"/>
  <c r="I8985" i="3"/>
  <c r="I8984" i="3"/>
  <c r="I8983" i="3"/>
  <c r="I8982" i="3"/>
  <c r="I8981" i="3"/>
  <c r="I8980" i="3"/>
  <c r="I8979" i="3"/>
  <c r="I8978" i="3"/>
  <c r="I8977" i="3"/>
  <c r="I8976" i="3"/>
  <c r="I8975" i="3"/>
  <c r="I8974" i="3"/>
  <c r="I8973" i="3"/>
  <c r="I8972" i="3"/>
  <c r="I8971" i="3"/>
  <c r="I8970" i="3"/>
  <c r="I8969" i="3"/>
  <c r="I8968" i="3"/>
  <c r="I8967" i="3"/>
  <c r="I8966" i="3"/>
  <c r="I8965" i="3"/>
  <c r="I8964" i="3"/>
  <c r="I8963" i="3"/>
  <c r="I8962" i="3"/>
  <c r="I8961" i="3"/>
  <c r="I8960" i="3"/>
  <c r="I8959" i="3"/>
  <c r="I8958" i="3"/>
  <c r="I8957" i="3"/>
  <c r="I8956" i="3"/>
  <c r="I8955" i="3"/>
  <c r="I8954" i="3"/>
  <c r="I8953" i="3"/>
  <c r="I8952" i="3"/>
  <c r="I8951" i="3"/>
  <c r="I8950" i="3"/>
  <c r="I8949" i="3"/>
  <c r="I8948" i="3"/>
  <c r="I8947" i="3"/>
  <c r="I8946" i="3"/>
  <c r="I8945" i="3"/>
  <c r="I8944" i="3"/>
  <c r="I8943" i="3"/>
  <c r="I8942" i="3"/>
  <c r="I8941" i="3"/>
  <c r="I8940" i="3"/>
  <c r="I8939" i="3"/>
  <c r="I8938" i="3"/>
  <c r="I8937" i="3"/>
  <c r="I8936" i="3"/>
  <c r="I8935" i="3"/>
  <c r="I8934" i="3"/>
  <c r="I8933" i="3"/>
  <c r="I8932" i="3"/>
  <c r="I8931" i="3"/>
  <c r="I8930" i="3"/>
  <c r="I8929" i="3"/>
  <c r="I8928" i="3"/>
  <c r="I8927" i="3"/>
  <c r="I8926" i="3"/>
  <c r="I8925" i="3"/>
  <c r="I8924" i="3"/>
  <c r="I8923" i="3"/>
  <c r="I8922" i="3"/>
  <c r="I8921" i="3"/>
  <c r="I8920" i="3"/>
  <c r="I8919" i="3"/>
  <c r="I8918" i="3"/>
  <c r="I8917" i="3"/>
  <c r="I8916" i="3"/>
  <c r="I8915" i="3"/>
  <c r="I8914" i="3"/>
  <c r="I8913" i="3"/>
  <c r="I8912" i="3"/>
  <c r="I8911" i="3"/>
  <c r="I8910" i="3"/>
  <c r="I8909" i="3"/>
  <c r="I8908" i="3"/>
  <c r="I8907" i="3"/>
  <c r="I8906" i="3"/>
  <c r="I8905" i="3"/>
  <c r="I8904" i="3"/>
  <c r="I8903" i="3"/>
  <c r="I8902" i="3"/>
  <c r="I8901" i="3"/>
  <c r="I8900" i="3"/>
  <c r="I8899" i="3"/>
  <c r="I8898" i="3"/>
  <c r="I8897" i="3"/>
  <c r="I8896" i="3"/>
  <c r="I8895" i="3"/>
  <c r="I8894" i="3"/>
  <c r="I8893" i="3"/>
  <c r="I8892" i="3"/>
  <c r="I8891" i="3"/>
  <c r="I8890" i="3"/>
  <c r="I8889" i="3"/>
  <c r="I8888" i="3"/>
  <c r="I8887" i="3"/>
  <c r="I8886" i="3"/>
  <c r="I8885" i="3"/>
  <c r="I8884" i="3"/>
  <c r="I8883" i="3"/>
  <c r="I8882" i="3"/>
  <c r="I8881" i="3"/>
  <c r="I8880" i="3"/>
  <c r="I8879" i="3"/>
  <c r="I8878" i="3"/>
  <c r="I8877" i="3"/>
  <c r="I8876" i="3"/>
  <c r="I8875" i="3"/>
  <c r="I8874" i="3"/>
  <c r="I8873" i="3"/>
  <c r="I8872" i="3"/>
  <c r="I8871" i="3"/>
  <c r="I8870" i="3"/>
  <c r="I8869" i="3"/>
  <c r="I8868" i="3"/>
  <c r="I8867" i="3"/>
  <c r="I8866" i="3"/>
  <c r="I8865" i="3"/>
  <c r="I8864" i="3"/>
  <c r="I8863" i="3"/>
  <c r="I8862" i="3"/>
  <c r="I8861" i="3"/>
  <c r="I8860" i="3"/>
  <c r="I8859" i="3"/>
  <c r="I8858" i="3"/>
  <c r="I8857" i="3"/>
  <c r="I8856" i="3"/>
  <c r="I8855" i="3"/>
  <c r="I8854" i="3"/>
  <c r="I8853" i="3"/>
  <c r="I8852" i="3"/>
  <c r="I8851" i="3"/>
  <c r="I8850" i="3"/>
  <c r="I8849" i="3"/>
  <c r="I8848" i="3"/>
  <c r="I8847" i="3"/>
  <c r="I8846" i="3"/>
  <c r="I8845" i="3"/>
  <c r="I8844" i="3"/>
  <c r="I8843" i="3"/>
  <c r="I8842" i="3"/>
  <c r="I8841" i="3"/>
  <c r="I8840" i="3"/>
  <c r="I8839" i="3"/>
  <c r="I8838" i="3"/>
  <c r="I8837" i="3"/>
  <c r="I8836" i="3"/>
  <c r="I8835" i="3"/>
  <c r="I8834" i="3"/>
  <c r="I8833" i="3"/>
  <c r="I8832" i="3"/>
  <c r="I8831" i="3"/>
  <c r="I8830" i="3"/>
  <c r="I8829" i="3"/>
  <c r="I8828" i="3"/>
  <c r="I8827" i="3"/>
  <c r="I8826" i="3"/>
  <c r="I8825" i="3"/>
  <c r="I8824" i="3"/>
  <c r="I8823" i="3"/>
  <c r="I8822" i="3"/>
  <c r="I8821" i="3"/>
  <c r="I8820" i="3"/>
  <c r="I8819" i="3"/>
  <c r="I8818" i="3"/>
  <c r="I8817" i="3"/>
  <c r="I8816" i="3"/>
  <c r="I8815" i="3"/>
  <c r="I8814" i="3"/>
  <c r="I8813" i="3"/>
  <c r="I8812" i="3"/>
  <c r="I8811" i="3"/>
  <c r="I8810" i="3"/>
  <c r="I8809" i="3"/>
  <c r="I8808" i="3"/>
  <c r="I8807" i="3"/>
  <c r="I8806" i="3"/>
  <c r="I8805" i="3"/>
  <c r="I8804" i="3"/>
  <c r="I8803" i="3"/>
  <c r="I8802" i="3"/>
  <c r="I8801" i="3"/>
  <c r="I8800" i="3"/>
  <c r="I8799" i="3"/>
  <c r="I8798" i="3"/>
  <c r="I8797" i="3"/>
  <c r="I8796" i="3"/>
  <c r="I8795" i="3"/>
  <c r="I8794" i="3"/>
  <c r="I8793" i="3"/>
  <c r="I8792" i="3"/>
  <c r="I8791" i="3"/>
  <c r="I8790" i="3"/>
  <c r="I8789" i="3"/>
  <c r="I8788" i="3"/>
  <c r="I8787" i="3"/>
  <c r="I8786" i="3"/>
  <c r="I8785" i="3"/>
  <c r="I8784" i="3"/>
  <c r="I8783" i="3"/>
  <c r="I8782" i="3"/>
  <c r="I8781" i="3"/>
  <c r="I8780" i="3"/>
  <c r="I8779" i="3"/>
  <c r="I8778" i="3"/>
  <c r="I8777" i="3"/>
  <c r="I8776" i="3"/>
  <c r="I8775" i="3"/>
  <c r="I8774" i="3"/>
  <c r="I8773" i="3"/>
  <c r="I8772" i="3"/>
  <c r="I8771" i="3"/>
  <c r="I8770" i="3"/>
  <c r="I8769" i="3"/>
  <c r="I8768" i="3"/>
  <c r="I8767" i="3"/>
  <c r="I8766" i="3"/>
  <c r="I8765" i="3"/>
  <c r="I8764" i="3"/>
  <c r="I8763" i="3"/>
  <c r="I8762" i="3"/>
  <c r="I8761" i="3"/>
  <c r="I8760" i="3"/>
  <c r="I8759" i="3"/>
  <c r="I8758" i="3"/>
  <c r="I8757" i="3"/>
  <c r="I8756" i="3"/>
  <c r="I8755" i="3"/>
  <c r="I8754" i="3"/>
  <c r="I8753" i="3"/>
  <c r="I8752" i="3"/>
  <c r="I8751" i="3"/>
  <c r="I8750" i="3"/>
  <c r="I8749" i="3"/>
  <c r="I8748" i="3"/>
  <c r="I8747" i="3"/>
  <c r="I8746" i="3"/>
  <c r="I8745" i="3"/>
  <c r="I8744" i="3"/>
  <c r="I8743" i="3"/>
  <c r="I8742" i="3"/>
  <c r="I8741" i="3"/>
  <c r="I8740" i="3"/>
  <c r="I8739" i="3"/>
  <c r="I8738" i="3"/>
  <c r="I8737" i="3"/>
  <c r="I8736" i="3"/>
  <c r="I8735" i="3"/>
  <c r="I8734" i="3"/>
  <c r="I8733" i="3"/>
  <c r="I8732" i="3"/>
  <c r="I8731" i="3"/>
  <c r="I8730" i="3"/>
  <c r="I8729" i="3"/>
  <c r="I8728" i="3"/>
  <c r="I8727" i="3"/>
  <c r="I8726" i="3"/>
  <c r="I8725" i="3"/>
  <c r="I8724" i="3"/>
  <c r="I8723" i="3"/>
  <c r="I8722" i="3"/>
  <c r="I8721" i="3"/>
  <c r="I8720" i="3"/>
  <c r="I8719" i="3"/>
  <c r="I8718" i="3"/>
  <c r="I8717" i="3"/>
  <c r="I8716" i="3"/>
  <c r="I8715" i="3"/>
  <c r="I8714" i="3"/>
  <c r="I8713" i="3"/>
  <c r="I8712" i="3"/>
  <c r="I8711" i="3"/>
  <c r="I8710" i="3"/>
  <c r="I8709" i="3"/>
  <c r="I8708" i="3"/>
  <c r="I8707" i="3"/>
  <c r="I8706" i="3"/>
  <c r="I8705" i="3"/>
  <c r="I8704" i="3"/>
  <c r="I8703" i="3"/>
  <c r="I8702" i="3"/>
  <c r="I8701" i="3"/>
  <c r="I8700" i="3"/>
  <c r="I8699" i="3"/>
  <c r="I8698" i="3"/>
  <c r="I8697" i="3"/>
  <c r="I8696" i="3"/>
  <c r="I8695" i="3"/>
  <c r="I8694" i="3"/>
  <c r="I8693" i="3"/>
  <c r="I8692" i="3"/>
  <c r="I8691" i="3"/>
  <c r="I8690" i="3"/>
  <c r="I8689" i="3"/>
  <c r="I8688" i="3"/>
  <c r="I8687" i="3"/>
  <c r="I8686" i="3"/>
  <c r="I8685" i="3"/>
  <c r="I8684" i="3"/>
  <c r="I8683" i="3"/>
  <c r="I8682" i="3"/>
  <c r="I8681" i="3"/>
  <c r="I8680" i="3"/>
  <c r="I8679" i="3"/>
  <c r="I8678" i="3"/>
  <c r="I8677" i="3"/>
  <c r="I8676" i="3"/>
  <c r="I8675" i="3"/>
  <c r="I8674" i="3"/>
  <c r="I8673" i="3"/>
  <c r="I8672" i="3"/>
  <c r="I8671" i="3"/>
  <c r="I8670" i="3"/>
  <c r="I8669" i="3"/>
  <c r="I8668" i="3"/>
  <c r="I8667" i="3"/>
  <c r="I8666" i="3"/>
  <c r="I8665" i="3"/>
  <c r="I8664" i="3"/>
  <c r="I8663" i="3"/>
  <c r="I8662" i="3"/>
  <c r="I8661" i="3"/>
  <c r="I8660" i="3"/>
  <c r="I8659" i="3"/>
  <c r="I8658" i="3"/>
  <c r="I8657" i="3"/>
  <c r="I8656" i="3"/>
  <c r="I8655" i="3"/>
  <c r="I8654" i="3"/>
  <c r="I8653" i="3"/>
  <c r="I8652" i="3"/>
  <c r="I8651" i="3"/>
  <c r="I8650" i="3"/>
  <c r="I8649" i="3"/>
  <c r="I8648" i="3"/>
  <c r="I8647" i="3"/>
  <c r="I8646" i="3"/>
  <c r="I8645" i="3"/>
  <c r="I8644" i="3"/>
  <c r="I8643" i="3"/>
  <c r="I8642" i="3"/>
  <c r="I8641" i="3"/>
  <c r="I8640" i="3"/>
  <c r="I8639" i="3"/>
  <c r="I8638" i="3"/>
  <c r="I8637" i="3"/>
  <c r="I8636" i="3"/>
  <c r="I8635" i="3"/>
  <c r="I8634" i="3"/>
  <c r="I8633" i="3"/>
  <c r="I8632" i="3"/>
  <c r="I8631" i="3"/>
  <c r="I8630" i="3"/>
  <c r="I8629" i="3"/>
  <c r="I8628" i="3"/>
  <c r="I8627" i="3"/>
  <c r="I8626" i="3"/>
  <c r="I8625" i="3"/>
  <c r="I8624" i="3"/>
  <c r="I8623" i="3"/>
  <c r="I8622" i="3"/>
  <c r="I8621" i="3"/>
  <c r="I8620" i="3"/>
  <c r="I8619" i="3"/>
  <c r="I8618" i="3"/>
  <c r="I8617" i="3"/>
  <c r="I8616" i="3"/>
  <c r="I8615" i="3"/>
  <c r="I8614" i="3"/>
  <c r="I8613" i="3"/>
  <c r="I8612" i="3"/>
  <c r="I8611" i="3"/>
  <c r="I8610" i="3"/>
  <c r="I8609" i="3"/>
  <c r="I8608" i="3"/>
  <c r="I8607" i="3"/>
  <c r="I8606" i="3"/>
  <c r="I8605" i="3"/>
  <c r="I8604" i="3"/>
  <c r="I8603" i="3"/>
  <c r="I8602" i="3"/>
  <c r="I8601" i="3"/>
  <c r="I8600" i="3"/>
  <c r="I8599" i="3"/>
  <c r="I8598" i="3"/>
  <c r="I8597" i="3"/>
  <c r="I8596" i="3"/>
  <c r="I8595" i="3"/>
  <c r="I8594" i="3"/>
  <c r="I8593" i="3"/>
  <c r="I8592" i="3"/>
  <c r="I8591" i="3"/>
  <c r="I8590" i="3"/>
  <c r="I8589" i="3"/>
  <c r="I8588" i="3"/>
  <c r="I8587" i="3"/>
  <c r="I8586" i="3"/>
  <c r="I8585" i="3"/>
  <c r="I8584" i="3"/>
  <c r="I8583" i="3"/>
  <c r="I8582" i="3"/>
  <c r="I8581" i="3"/>
  <c r="I8580" i="3"/>
  <c r="I8579" i="3"/>
  <c r="I8578" i="3"/>
  <c r="I8577" i="3"/>
  <c r="I8576" i="3"/>
  <c r="I8575" i="3"/>
  <c r="I8574" i="3"/>
  <c r="I8573" i="3"/>
  <c r="I8572" i="3"/>
  <c r="I8571" i="3"/>
  <c r="I8570" i="3"/>
  <c r="I8569" i="3"/>
  <c r="I8568" i="3"/>
  <c r="I8567" i="3"/>
  <c r="I8566" i="3"/>
  <c r="I8565" i="3"/>
  <c r="I8564" i="3"/>
  <c r="I8563" i="3"/>
  <c r="I8562" i="3"/>
  <c r="I8561" i="3"/>
  <c r="I8560" i="3"/>
  <c r="I8559" i="3"/>
  <c r="I8558" i="3"/>
  <c r="I8557" i="3"/>
  <c r="I8556" i="3"/>
  <c r="I8555" i="3"/>
  <c r="I8554" i="3"/>
  <c r="I8553" i="3"/>
  <c r="I8552" i="3"/>
  <c r="I8551" i="3"/>
  <c r="I8550" i="3"/>
  <c r="I8549" i="3"/>
  <c r="I8548" i="3"/>
  <c r="I8547" i="3"/>
  <c r="I8546" i="3"/>
  <c r="I8545" i="3"/>
  <c r="I8544" i="3"/>
  <c r="I8543" i="3"/>
  <c r="I8542" i="3"/>
  <c r="I8541" i="3"/>
  <c r="I8540" i="3"/>
  <c r="I8539" i="3"/>
  <c r="I8538" i="3"/>
  <c r="I8537" i="3"/>
  <c r="I8536" i="3"/>
  <c r="I8535" i="3"/>
  <c r="I8534" i="3"/>
  <c r="I8533" i="3"/>
  <c r="I8532" i="3"/>
  <c r="I8531" i="3"/>
  <c r="I8530" i="3"/>
  <c r="I8529" i="3"/>
  <c r="I8528" i="3"/>
  <c r="I8527" i="3"/>
  <c r="I8526" i="3"/>
  <c r="I8525" i="3"/>
  <c r="I8524" i="3"/>
  <c r="I8523" i="3"/>
  <c r="I8522" i="3"/>
  <c r="I8521" i="3"/>
  <c r="I8520" i="3"/>
  <c r="I8519" i="3"/>
  <c r="I8518" i="3"/>
  <c r="I8517" i="3"/>
  <c r="I8516" i="3"/>
  <c r="I8515" i="3"/>
  <c r="I8514" i="3"/>
  <c r="I8513" i="3"/>
  <c r="I8512" i="3"/>
  <c r="I8511" i="3"/>
  <c r="I8510" i="3"/>
  <c r="I8509" i="3"/>
  <c r="I8508" i="3"/>
  <c r="I8507" i="3"/>
  <c r="I8506" i="3"/>
  <c r="I8505" i="3"/>
  <c r="I8504" i="3"/>
  <c r="I8503" i="3"/>
  <c r="I8502" i="3"/>
  <c r="I8501" i="3"/>
  <c r="I8500" i="3"/>
  <c r="I8499" i="3"/>
  <c r="I8498" i="3"/>
  <c r="I8497" i="3"/>
  <c r="I8496" i="3"/>
  <c r="I8495" i="3"/>
  <c r="I8494" i="3"/>
  <c r="I8493" i="3"/>
  <c r="I8492" i="3"/>
  <c r="I8491" i="3"/>
  <c r="I8490" i="3"/>
  <c r="I8489" i="3"/>
  <c r="I8488" i="3"/>
  <c r="I8487" i="3"/>
  <c r="I8486" i="3"/>
  <c r="I8485" i="3"/>
  <c r="I8484" i="3"/>
  <c r="I8483" i="3"/>
  <c r="I8482" i="3"/>
  <c r="I8481" i="3"/>
  <c r="I8480" i="3"/>
  <c r="I8479" i="3"/>
  <c r="I8478" i="3"/>
  <c r="I8477" i="3"/>
  <c r="I8476" i="3"/>
  <c r="I8475" i="3"/>
  <c r="I8474" i="3"/>
  <c r="I8473" i="3"/>
  <c r="I8472" i="3"/>
  <c r="I8471" i="3"/>
  <c r="I8470" i="3"/>
  <c r="I8469" i="3"/>
  <c r="I8468" i="3"/>
  <c r="I8467" i="3"/>
  <c r="I8466" i="3"/>
  <c r="I8465" i="3"/>
  <c r="I8464" i="3"/>
  <c r="I8463" i="3"/>
  <c r="I8462" i="3"/>
  <c r="I8461" i="3"/>
  <c r="I8460" i="3"/>
  <c r="I8459" i="3"/>
  <c r="I8458" i="3"/>
  <c r="I8457" i="3"/>
  <c r="I8456" i="3"/>
  <c r="I8455" i="3"/>
  <c r="I8454" i="3"/>
  <c r="I8453" i="3"/>
  <c r="I8452" i="3"/>
  <c r="I8451" i="3"/>
  <c r="I8450" i="3"/>
  <c r="I8449" i="3"/>
  <c r="I8448" i="3"/>
  <c r="I8447" i="3"/>
  <c r="I8446" i="3"/>
  <c r="I8445" i="3"/>
  <c r="I8444" i="3"/>
  <c r="I8443" i="3"/>
  <c r="I8442" i="3"/>
  <c r="I8441" i="3"/>
  <c r="I8440" i="3"/>
  <c r="I8439" i="3"/>
  <c r="I8438" i="3"/>
  <c r="I8437" i="3"/>
  <c r="I8436" i="3"/>
  <c r="I8435" i="3"/>
  <c r="I8434" i="3"/>
  <c r="I8433" i="3"/>
  <c r="I8432" i="3"/>
  <c r="I8431" i="3"/>
  <c r="I8430" i="3"/>
  <c r="I8429" i="3"/>
  <c r="I8428" i="3"/>
  <c r="I8427" i="3"/>
  <c r="I8426" i="3"/>
  <c r="I8425" i="3"/>
  <c r="I8424" i="3"/>
  <c r="I8423" i="3"/>
  <c r="I8422" i="3"/>
  <c r="I8421" i="3"/>
  <c r="I8420" i="3"/>
  <c r="I8419" i="3"/>
  <c r="I8418" i="3"/>
  <c r="I8417" i="3"/>
  <c r="I8416" i="3"/>
  <c r="I8415" i="3"/>
  <c r="I8414" i="3"/>
  <c r="I8413" i="3"/>
  <c r="I8412" i="3"/>
  <c r="I8411" i="3"/>
  <c r="I8410" i="3"/>
  <c r="I8409" i="3"/>
  <c r="I8408" i="3"/>
  <c r="I8407" i="3"/>
  <c r="I8406" i="3"/>
  <c r="I8405" i="3"/>
  <c r="I8404" i="3"/>
  <c r="I8403" i="3"/>
  <c r="I8402" i="3"/>
  <c r="I8401" i="3"/>
  <c r="I8400" i="3"/>
  <c r="I8399" i="3"/>
  <c r="I8398" i="3"/>
  <c r="I8397" i="3"/>
  <c r="I8396" i="3"/>
  <c r="I8395" i="3"/>
  <c r="I8394" i="3"/>
  <c r="I8393" i="3"/>
  <c r="I8392" i="3"/>
  <c r="I8391" i="3"/>
  <c r="I8390" i="3"/>
  <c r="I8389" i="3"/>
  <c r="I8388" i="3"/>
  <c r="I8387" i="3"/>
  <c r="I8386" i="3"/>
  <c r="I8385" i="3"/>
  <c r="I8384" i="3"/>
  <c r="I8383" i="3"/>
  <c r="I8382" i="3"/>
  <c r="I8381" i="3"/>
  <c r="I8380" i="3"/>
  <c r="I8379" i="3"/>
  <c r="I8378" i="3"/>
  <c r="I8377" i="3"/>
  <c r="I8376" i="3"/>
  <c r="I8375" i="3"/>
  <c r="I8374" i="3"/>
  <c r="I8373" i="3"/>
  <c r="I8372" i="3"/>
  <c r="I8371" i="3"/>
  <c r="I8370" i="3"/>
  <c r="I8369" i="3"/>
  <c r="I8368" i="3"/>
  <c r="I8367" i="3"/>
  <c r="I8366" i="3"/>
  <c r="I8365" i="3"/>
  <c r="I8364" i="3"/>
  <c r="I8363" i="3"/>
  <c r="I8362" i="3"/>
  <c r="I8361" i="3"/>
  <c r="I8360" i="3"/>
  <c r="I8359" i="3"/>
  <c r="I8358" i="3"/>
  <c r="I8357" i="3"/>
  <c r="I8356" i="3"/>
  <c r="I8355" i="3"/>
  <c r="I8354" i="3"/>
  <c r="I8353" i="3"/>
  <c r="I8352" i="3"/>
  <c r="I8351" i="3"/>
  <c r="I8350" i="3"/>
  <c r="I8349" i="3"/>
  <c r="I8348" i="3"/>
  <c r="I8347" i="3"/>
  <c r="I8346" i="3"/>
  <c r="I8345" i="3"/>
  <c r="I8344" i="3"/>
  <c r="I8343" i="3"/>
  <c r="I8342" i="3"/>
  <c r="I8341" i="3"/>
  <c r="I8340" i="3"/>
  <c r="I8339" i="3"/>
  <c r="I8338" i="3"/>
  <c r="I8337" i="3"/>
  <c r="I8336" i="3"/>
  <c r="I8335" i="3"/>
  <c r="I8334" i="3"/>
  <c r="I8333" i="3"/>
  <c r="I8332" i="3"/>
  <c r="I8331" i="3"/>
  <c r="I8330" i="3"/>
  <c r="I8329" i="3"/>
  <c r="I8328" i="3"/>
  <c r="I8327" i="3"/>
  <c r="I8326" i="3"/>
  <c r="I8325" i="3"/>
  <c r="I8324" i="3"/>
  <c r="I8323" i="3"/>
  <c r="I8322" i="3"/>
  <c r="I8321" i="3"/>
  <c r="I8320" i="3"/>
  <c r="I8319" i="3"/>
  <c r="I8318" i="3"/>
  <c r="I8317" i="3"/>
  <c r="I8316" i="3"/>
  <c r="I8315" i="3"/>
  <c r="I8314" i="3"/>
  <c r="I8313" i="3"/>
  <c r="I8312" i="3"/>
  <c r="I8311" i="3"/>
  <c r="I8310" i="3"/>
  <c r="I8309" i="3"/>
  <c r="I8308" i="3"/>
  <c r="I8307" i="3"/>
  <c r="I8306" i="3"/>
  <c r="I8305" i="3"/>
  <c r="I8304" i="3"/>
  <c r="I8303" i="3"/>
  <c r="I8302" i="3"/>
  <c r="I8301" i="3"/>
  <c r="I8300" i="3"/>
  <c r="I8299" i="3"/>
  <c r="I8298" i="3"/>
  <c r="I8297" i="3"/>
  <c r="I8296" i="3"/>
  <c r="I8295" i="3"/>
  <c r="I8294" i="3"/>
  <c r="I8293" i="3"/>
  <c r="I8292" i="3"/>
  <c r="I8291" i="3"/>
  <c r="I8290" i="3"/>
  <c r="I8289" i="3"/>
  <c r="I8288" i="3"/>
  <c r="I8287" i="3"/>
  <c r="I8286" i="3"/>
  <c r="I8285" i="3"/>
  <c r="I8284" i="3"/>
  <c r="I8283" i="3"/>
  <c r="I8282" i="3"/>
  <c r="I8281" i="3"/>
  <c r="I8280" i="3"/>
  <c r="I8279" i="3"/>
  <c r="I8278" i="3"/>
  <c r="I8277" i="3"/>
  <c r="I8276" i="3"/>
  <c r="I8275" i="3"/>
  <c r="I8274" i="3"/>
  <c r="I8273" i="3"/>
  <c r="I8272" i="3"/>
  <c r="I8271" i="3"/>
  <c r="I8270" i="3"/>
  <c r="I8269" i="3"/>
  <c r="I8268" i="3"/>
  <c r="I8267" i="3"/>
  <c r="I8266" i="3"/>
  <c r="I8265" i="3"/>
  <c r="I8264" i="3"/>
  <c r="I8263" i="3"/>
  <c r="I8262" i="3"/>
  <c r="I8261" i="3"/>
  <c r="I8260" i="3"/>
  <c r="I8259" i="3"/>
  <c r="I8258" i="3"/>
  <c r="I8257" i="3"/>
  <c r="I8256" i="3"/>
  <c r="I8255" i="3"/>
  <c r="I8254" i="3"/>
  <c r="I8253" i="3"/>
  <c r="I8252" i="3"/>
  <c r="I8251" i="3"/>
  <c r="I8250" i="3"/>
  <c r="I8249" i="3"/>
  <c r="I8248" i="3"/>
  <c r="I8247" i="3"/>
  <c r="I8246" i="3"/>
  <c r="I8245" i="3"/>
  <c r="I8244" i="3"/>
  <c r="I8243" i="3"/>
  <c r="I8242" i="3"/>
  <c r="I8241" i="3"/>
  <c r="I8240" i="3"/>
  <c r="I8239" i="3"/>
  <c r="I8238" i="3"/>
  <c r="I8237" i="3"/>
  <c r="I8236" i="3"/>
  <c r="I8235" i="3"/>
  <c r="I8234" i="3"/>
  <c r="I8233" i="3"/>
  <c r="I8232" i="3"/>
  <c r="I8231" i="3"/>
  <c r="I8230" i="3"/>
  <c r="I8229" i="3"/>
  <c r="I8228" i="3"/>
  <c r="I8227" i="3"/>
  <c r="I8226" i="3"/>
  <c r="I8225" i="3"/>
  <c r="I8224" i="3"/>
  <c r="I8223" i="3"/>
  <c r="I8222" i="3"/>
  <c r="I8221" i="3"/>
  <c r="I8220" i="3"/>
  <c r="I8219" i="3"/>
  <c r="I8218" i="3"/>
  <c r="I8217" i="3"/>
  <c r="I8216" i="3"/>
  <c r="I8215" i="3"/>
  <c r="I8214" i="3"/>
  <c r="I8213" i="3"/>
  <c r="I8212" i="3"/>
  <c r="I8211" i="3"/>
  <c r="I8210" i="3"/>
  <c r="I8209" i="3"/>
  <c r="I8208" i="3"/>
  <c r="I8207" i="3"/>
  <c r="I8206" i="3"/>
  <c r="I8205" i="3"/>
  <c r="I8204" i="3"/>
  <c r="I8203" i="3"/>
  <c r="I8202" i="3"/>
  <c r="I8201" i="3"/>
  <c r="I8200" i="3"/>
  <c r="I8199" i="3"/>
  <c r="I8198" i="3"/>
  <c r="I8197" i="3"/>
  <c r="I8196" i="3"/>
  <c r="I8195" i="3"/>
  <c r="I8194" i="3"/>
  <c r="I8193" i="3"/>
  <c r="I8192" i="3"/>
  <c r="I8191" i="3"/>
  <c r="I8190" i="3"/>
  <c r="I8189" i="3"/>
  <c r="I8188" i="3"/>
  <c r="I8187" i="3"/>
  <c r="I8186" i="3"/>
  <c r="I8185" i="3"/>
  <c r="I8184" i="3"/>
  <c r="I8183" i="3"/>
  <c r="I8182" i="3"/>
  <c r="I8181" i="3"/>
  <c r="I8180" i="3"/>
  <c r="I8179" i="3"/>
  <c r="I8178" i="3"/>
  <c r="I8177" i="3"/>
  <c r="I8176" i="3"/>
  <c r="I8175" i="3"/>
  <c r="I8174" i="3"/>
  <c r="I8173" i="3"/>
  <c r="I8172" i="3"/>
  <c r="I8171" i="3"/>
  <c r="I8170" i="3"/>
  <c r="I8169" i="3"/>
  <c r="I8168" i="3"/>
  <c r="I8167" i="3"/>
  <c r="I8166" i="3"/>
  <c r="I8165" i="3"/>
  <c r="I8164" i="3"/>
  <c r="I8163" i="3"/>
  <c r="I8162" i="3"/>
  <c r="I8161" i="3"/>
  <c r="I8160" i="3"/>
  <c r="I8159" i="3"/>
  <c r="I8158" i="3"/>
  <c r="I8157" i="3"/>
  <c r="I8156" i="3"/>
  <c r="I8155" i="3"/>
  <c r="I8154" i="3"/>
  <c r="I8153" i="3"/>
  <c r="I8152" i="3"/>
  <c r="I8151" i="3"/>
  <c r="I8150" i="3"/>
  <c r="I8149" i="3"/>
  <c r="I8148" i="3"/>
  <c r="I8147" i="3"/>
  <c r="I8146" i="3"/>
  <c r="I8145" i="3"/>
  <c r="I8144" i="3"/>
  <c r="I8143" i="3"/>
  <c r="I8142" i="3"/>
  <c r="I8141" i="3"/>
  <c r="I8140" i="3"/>
  <c r="I8139" i="3"/>
  <c r="I8138" i="3"/>
  <c r="I8137" i="3"/>
  <c r="I8136" i="3"/>
  <c r="I8135" i="3"/>
  <c r="I8134" i="3"/>
  <c r="I8133" i="3"/>
  <c r="I8132" i="3"/>
  <c r="I8131" i="3"/>
  <c r="I8130" i="3"/>
  <c r="I8129" i="3"/>
  <c r="I8128" i="3"/>
  <c r="I8127" i="3"/>
  <c r="I8126" i="3"/>
  <c r="I8125" i="3"/>
  <c r="I8124" i="3"/>
  <c r="I8123" i="3"/>
  <c r="I8122" i="3"/>
  <c r="I8121" i="3"/>
  <c r="I8120" i="3"/>
  <c r="I8119" i="3"/>
  <c r="I8118" i="3"/>
  <c r="I8117" i="3"/>
  <c r="I8116" i="3"/>
  <c r="I8115" i="3"/>
  <c r="I8114" i="3"/>
  <c r="I8113" i="3"/>
  <c r="I8112" i="3"/>
  <c r="I8111" i="3"/>
  <c r="I8110" i="3"/>
  <c r="I8109" i="3"/>
  <c r="I8108" i="3"/>
  <c r="I8107" i="3"/>
  <c r="I8106" i="3"/>
  <c r="I8105" i="3"/>
  <c r="I8104" i="3"/>
  <c r="I8103" i="3"/>
  <c r="I8102" i="3"/>
  <c r="I8101" i="3"/>
  <c r="I8100" i="3"/>
  <c r="I8099" i="3"/>
  <c r="I8098" i="3"/>
  <c r="I8097" i="3"/>
  <c r="I8096" i="3"/>
  <c r="I8095" i="3"/>
  <c r="I8094" i="3"/>
  <c r="I8093" i="3"/>
  <c r="I8092" i="3"/>
  <c r="I8091" i="3"/>
  <c r="I8090" i="3"/>
  <c r="I8089" i="3"/>
  <c r="I8088" i="3"/>
  <c r="I8087" i="3"/>
  <c r="I8086" i="3"/>
  <c r="I8085" i="3"/>
  <c r="I8084" i="3"/>
  <c r="I8083" i="3"/>
  <c r="I8082" i="3"/>
  <c r="I8081" i="3"/>
  <c r="I8080" i="3"/>
  <c r="I8079" i="3"/>
  <c r="I8078" i="3"/>
  <c r="I8077" i="3"/>
  <c r="I8076" i="3"/>
  <c r="I8075" i="3"/>
  <c r="I8074" i="3"/>
  <c r="I8073" i="3"/>
  <c r="I8072" i="3"/>
  <c r="I8071" i="3"/>
  <c r="I8070" i="3"/>
  <c r="I8069" i="3"/>
  <c r="I8068" i="3"/>
  <c r="I8067" i="3"/>
  <c r="I8066" i="3"/>
  <c r="I8065" i="3"/>
  <c r="I8064" i="3"/>
  <c r="I8063" i="3"/>
  <c r="I8062" i="3"/>
  <c r="I8061" i="3"/>
  <c r="I8060" i="3"/>
  <c r="I8059" i="3"/>
  <c r="I8058" i="3"/>
  <c r="I8057" i="3"/>
  <c r="I8056" i="3"/>
  <c r="I8055" i="3"/>
  <c r="I8054" i="3"/>
  <c r="I8053" i="3"/>
  <c r="I8052" i="3"/>
  <c r="I8051" i="3"/>
  <c r="I8050" i="3"/>
  <c r="I8049" i="3"/>
  <c r="I8048" i="3"/>
  <c r="I8047" i="3"/>
  <c r="I8046" i="3"/>
  <c r="I8045" i="3"/>
  <c r="I8044" i="3"/>
  <c r="I8043" i="3"/>
  <c r="I8042" i="3"/>
  <c r="I8041" i="3"/>
  <c r="I8040" i="3"/>
  <c r="I8039" i="3"/>
  <c r="I8038" i="3"/>
  <c r="I8037" i="3"/>
  <c r="I8036" i="3"/>
  <c r="I8035" i="3"/>
  <c r="I8034" i="3"/>
  <c r="I8033" i="3"/>
  <c r="I8032" i="3"/>
  <c r="I8031" i="3"/>
  <c r="I8030" i="3"/>
  <c r="I8029" i="3"/>
  <c r="I8028" i="3"/>
  <c r="I8027" i="3"/>
  <c r="I8026" i="3"/>
  <c r="I8025" i="3"/>
  <c r="I8024" i="3"/>
  <c r="I8023" i="3"/>
  <c r="I8022" i="3"/>
  <c r="I8021" i="3"/>
  <c r="I8020" i="3"/>
  <c r="I8019" i="3"/>
  <c r="I8018" i="3"/>
  <c r="I8017" i="3"/>
  <c r="I8016" i="3"/>
  <c r="I8015" i="3"/>
  <c r="I8014" i="3"/>
  <c r="I8013" i="3"/>
  <c r="I8012" i="3"/>
  <c r="I8011" i="3"/>
  <c r="I8010" i="3"/>
  <c r="I8009" i="3"/>
  <c r="I8008" i="3"/>
  <c r="I8007" i="3"/>
  <c r="I8006" i="3"/>
  <c r="I8005" i="3"/>
  <c r="I8004" i="3"/>
  <c r="I8003" i="3"/>
  <c r="I8002" i="3"/>
  <c r="I8001" i="3"/>
  <c r="I8000" i="3"/>
  <c r="I7999" i="3"/>
  <c r="I7998" i="3"/>
  <c r="I7997" i="3"/>
  <c r="I7996" i="3"/>
  <c r="I7995" i="3"/>
  <c r="I7994" i="3"/>
  <c r="I7993" i="3"/>
  <c r="I7992" i="3"/>
  <c r="I7991" i="3"/>
  <c r="I7990" i="3"/>
  <c r="I7989" i="3"/>
  <c r="I7988" i="3"/>
  <c r="I7987" i="3"/>
  <c r="I7986" i="3"/>
  <c r="I7985" i="3"/>
  <c r="I7984" i="3"/>
  <c r="I7983" i="3"/>
  <c r="I7982" i="3"/>
  <c r="I7981" i="3"/>
  <c r="I7980" i="3"/>
  <c r="I7979" i="3"/>
  <c r="I7978" i="3"/>
  <c r="I7977" i="3"/>
  <c r="I7976" i="3"/>
  <c r="I7975" i="3"/>
  <c r="I7974" i="3"/>
  <c r="I7973" i="3"/>
  <c r="I7972" i="3"/>
  <c r="I7971" i="3"/>
  <c r="I7970" i="3"/>
  <c r="I7969" i="3"/>
  <c r="I7968" i="3"/>
  <c r="I7967" i="3"/>
  <c r="I7966" i="3"/>
  <c r="I7965" i="3"/>
  <c r="I7964" i="3"/>
  <c r="I7963" i="3"/>
  <c r="I7962" i="3"/>
  <c r="I7961" i="3"/>
  <c r="I7960" i="3"/>
  <c r="I7959" i="3"/>
  <c r="I7958" i="3"/>
  <c r="I7957" i="3"/>
  <c r="I7956" i="3"/>
  <c r="I7955" i="3"/>
  <c r="I7954" i="3"/>
  <c r="I7953" i="3"/>
  <c r="I7952" i="3"/>
  <c r="I7951" i="3"/>
  <c r="I7950" i="3"/>
  <c r="I7949" i="3"/>
  <c r="I7948" i="3"/>
  <c r="I7947" i="3"/>
  <c r="I7946" i="3"/>
  <c r="I7945" i="3"/>
  <c r="I7944" i="3"/>
  <c r="I7943" i="3"/>
  <c r="I7942" i="3"/>
  <c r="I7941" i="3"/>
  <c r="I7940" i="3"/>
  <c r="I7939" i="3"/>
  <c r="I7938" i="3"/>
  <c r="I7937" i="3"/>
  <c r="I7936" i="3"/>
  <c r="I7935" i="3"/>
  <c r="I7934" i="3"/>
  <c r="I7933" i="3"/>
  <c r="I7932" i="3"/>
  <c r="I7931" i="3"/>
  <c r="I7930" i="3"/>
  <c r="I7929" i="3"/>
  <c r="I7928" i="3"/>
  <c r="I7927" i="3"/>
  <c r="I7926" i="3"/>
  <c r="I7925" i="3"/>
  <c r="I7924" i="3"/>
  <c r="I7923" i="3"/>
  <c r="I7922" i="3"/>
  <c r="I7921" i="3"/>
  <c r="I7920" i="3"/>
  <c r="I7919" i="3"/>
  <c r="I7918" i="3"/>
  <c r="I7917" i="3"/>
  <c r="I7916" i="3"/>
  <c r="I7915" i="3"/>
  <c r="I7914" i="3"/>
  <c r="I7913" i="3"/>
  <c r="I7912" i="3"/>
  <c r="I7911" i="3"/>
  <c r="I7910" i="3"/>
  <c r="I7909" i="3"/>
  <c r="I7908" i="3"/>
  <c r="I7907" i="3"/>
  <c r="I7906" i="3"/>
  <c r="I7905" i="3"/>
  <c r="I7904" i="3"/>
  <c r="I7903" i="3"/>
  <c r="I7902" i="3"/>
  <c r="I7901" i="3"/>
  <c r="I7900" i="3"/>
  <c r="I7899" i="3"/>
  <c r="I7898" i="3"/>
  <c r="I7897" i="3"/>
  <c r="I7896" i="3"/>
  <c r="I7895" i="3"/>
  <c r="I7894" i="3"/>
  <c r="I7893" i="3"/>
  <c r="I7892" i="3"/>
  <c r="I7891" i="3"/>
  <c r="I7890" i="3"/>
  <c r="I7889" i="3"/>
  <c r="I7888" i="3"/>
  <c r="I7887" i="3"/>
  <c r="I7886" i="3"/>
  <c r="I7885" i="3"/>
  <c r="I7884" i="3"/>
  <c r="I7883" i="3"/>
  <c r="I7882" i="3"/>
  <c r="I7881" i="3"/>
  <c r="I7880" i="3"/>
  <c r="I7879" i="3"/>
  <c r="I7878" i="3"/>
  <c r="I7877" i="3"/>
  <c r="I7876" i="3"/>
  <c r="I7875" i="3"/>
  <c r="I7874" i="3"/>
  <c r="I7873" i="3"/>
  <c r="I7872" i="3"/>
  <c r="I7871" i="3"/>
  <c r="I7870" i="3"/>
  <c r="I7869" i="3"/>
  <c r="I7868" i="3"/>
  <c r="I7867" i="3"/>
  <c r="I7866" i="3"/>
  <c r="I7865" i="3"/>
  <c r="I7864" i="3"/>
  <c r="I7863" i="3"/>
  <c r="I7862" i="3"/>
  <c r="I7861" i="3"/>
  <c r="I7860" i="3"/>
  <c r="I7859" i="3"/>
  <c r="I7858" i="3"/>
  <c r="I7857" i="3"/>
  <c r="I7856" i="3"/>
  <c r="I7855" i="3"/>
  <c r="I7854" i="3"/>
  <c r="I7853" i="3"/>
  <c r="I7852" i="3"/>
  <c r="I7851" i="3"/>
  <c r="I7850" i="3"/>
  <c r="I7849" i="3"/>
  <c r="I7848" i="3"/>
  <c r="I7847" i="3"/>
  <c r="I7846" i="3"/>
  <c r="I7845" i="3"/>
  <c r="I7844" i="3"/>
  <c r="I7843" i="3"/>
  <c r="I7842" i="3"/>
  <c r="I7841" i="3"/>
  <c r="I7840" i="3"/>
  <c r="I7839" i="3"/>
  <c r="I7838" i="3"/>
  <c r="I7837" i="3"/>
  <c r="I7836" i="3"/>
  <c r="I7835" i="3"/>
  <c r="I7834" i="3"/>
  <c r="I7833" i="3"/>
  <c r="I7832" i="3"/>
  <c r="I7831" i="3"/>
  <c r="I7830" i="3"/>
  <c r="I7829" i="3"/>
  <c r="I7828" i="3"/>
  <c r="I7827" i="3"/>
  <c r="I7826" i="3"/>
  <c r="I7825" i="3"/>
  <c r="I7824" i="3"/>
  <c r="I7823" i="3"/>
  <c r="I7822" i="3"/>
  <c r="I7821" i="3"/>
  <c r="I7820" i="3"/>
  <c r="I7819" i="3"/>
  <c r="I7818" i="3"/>
  <c r="I7817" i="3"/>
  <c r="I7816" i="3"/>
  <c r="I7815" i="3"/>
  <c r="I7814" i="3"/>
  <c r="I7813" i="3"/>
  <c r="I7812" i="3"/>
  <c r="I7811" i="3"/>
  <c r="I7810" i="3"/>
  <c r="I7809" i="3"/>
  <c r="I7808" i="3"/>
  <c r="I7807" i="3"/>
  <c r="I7806" i="3"/>
  <c r="I7805" i="3"/>
  <c r="I7804" i="3"/>
  <c r="I7803" i="3"/>
  <c r="I7802" i="3"/>
  <c r="I7801" i="3"/>
  <c r="I7800" i="3"/>
  <c r="I7799" i="3"/>
  <c r="I7798" i="3"/>
  <c r="I7797" i="3"/>
  <c r="I7796" i="3"/>
  <c r="I7795" i="3"/>
  <c r="I7794" i="3"/>
  <c r="I7793" i="3"/>
  <c r="I7792" i="3"/>
  <c r="I7791" i="3"/>
  <c r="I7790" i="3"/>
  <c r="I7789" i="3"/>
  <c r="I7788" i="3"/>
  <c r="I7787" i="3"/>
  <c r="I7786" i="3"/>
  <c r="I7785" i="3"/>
  <c r="I7784" i="3"/>
  <c r="I7783" i="3"/>
  <c r="I7782" i="3"/>
  <c r="I7781" i="3"/>
  <c r="I7780" i="3"/>
  <c r="I7779" i="3"/>
  <c r="I7778" i="3"/>
  <c r="I7777" i="3"/>
  <c r="I7776" i="3"/>
  <c r="I7775" i="3"/>
  <c r="I7774" i="3"/>
  <c r="I7773" i="3"/>
  <c r="I7772" i="3"/>
  <c r="I7771" i="3"/>
  <c r="I7770" i="3"/>
  <c r="I7769" i="3"/>
  <c r="I7768" i="3"/>
  <c r="I7767" i="3"/>
  <c r="I7766" i="3"/>
  <c r="I7765" i="3"/>
  <c r="I7764" i="3"/>
  <c r="I7763" i="3"/>
  <c r="I7762" i="3"/>
  <c r="I7761" i="3"/>
  <c r="I7760" i="3"/>
  <c r="I7759" i="3"/>
  <c r="I7758" i="3"/>
  <c r="I7757" i="3"/>
  <c r="I7756" i="3"/>
  <c r="I7755" i="3"/>
  <c r="I7754" i="3"/>
  <c r="I7753" i="3"/>
  <c r="I7752" i="3"/>
  <c r="I7751" i="3"/>
  <c r="I7750" i="3"/>
  <c r="I7749" i="3"/>
  <c r="I7748" i="3"/>
  <c r="I7747" i="3"/>
  <c r="I7746" i="3"/>
  <c r="I7745" i="3"/>
  <c r="I7744" i="3"/>
  <c r="I7743" i="3"/>
  <c r="I7742" i="3"/>
  <c r="I7741" i="3"/>
  <c r="I7740" i="3"/>
  <c r="I7739" i="3"/>
  <c r="I7738" i="3"/>
  <c r="I7737" i="3"/>
  <c r="I7736" i="3"/>
  <c r="I7735" i="3"/>
  <c r="I7734" i="3"/>
  <c r="I7733" i="3"/>
  <c r="I7732" i="3"/>
  <c r="I7731" i="3"/>
  <c r="I7730" i="3"/>
  <c r="I7729" i="3"/>
  <c r="I7728" i="3"/>
  <c r="I7727" i="3"/>
  <c r="I7726" i="3"/>
  <c r="I7725" i="3"/>
  <c r="I7724" i="3"/>
  <c r="I7723" i="3"/>
  <c r="I7722" i="3"/>
  <c r="I7721" i="3"/>
  <c r="I7720" i="3"/>
  <c r="I7719" i="3"/>
  <c r="I7718" i="3"/>
  <c r="I7717" i="3"/>
  <c r="I7716" i="3"/>
  <c r="I7715" i="3"/>
  <c r="I7714" i="3"/>
  <c r="I7713" i="3"/>
  <c r="I7712" i="3"/>
  <c r="I7711" i="3"/>
  <c r="I7710" i="3"/>
  <c r="I7709" i="3"/>
  <c r="I7708" i="3"/>
  <c r="I7707" i="3"/>
  <c r="I7706" i="3"/>
  <c r="I7705" i="3"/>
  <c r="I7704" i="3"/>
  <c r="I7703" i="3"/>
  <c r="I7702" i="3"/>
  <c r="I7701" i="3"/>
  <c r="I7700" i="3"/>
  <c r="I7699" i="3"/>
  <c r="I7698" i="3"/>
  <c r="I7697" i="3"/>
  <c r="I7696" i="3"/>
  <c r="I7695" i="3"/>
  <c r="I7694" i="3"/>
  <c r="I7693" i="3"/>
  <c r="I7692" i="3"/>
  <c r="I7691" i="3"/>
  <c r="I7690" i="3"/>
  <c r="I7689" i="3"/>
  <c r="I7688" i="3"/>
  <c r="I7687" i="3"/>
  <c r="I7686" i="3"/>
  <c r="I7685" i="3"/>
  <c r="I7684" i="3"/>
  <c r="I7683" i="3"/>
  <c r="I7682" i="3"/>
  <c r="I7681" i="3"/>
  <c r="I7680" i="3"/>
  <c r="I7679" i="3"/>
  <c r="I7678" i="3"/>
  <c r="I7677" i="3"/>
  <c r="I7676" i="3"/>
  <c r="I7675" i="3"/>
  <c r="I7674" i="3"/>
  <c r="I7673" i="3"/>
  <c r="I7672" i="3"/>
  <c r="I7671" i="3"/>
  <c r="I7670" i="3"/>
  <c r="I7669" i="3"/>
  <c r="I7668" i="3"/>
  <c r="I7667" i="3"/>
  <c r="I7666" i="3"/>
  <c r="I7665" i="3"/>
  <c r="I7664" i="3"/>
  <c r="I7663" i="3"/>
  <c r="I7662" i="3"/>
  <c r="I7661" i="3"/>
  <c r="I7660" i="3"/>
  <c r="I7659" i="3"/>
  <c r="I7658" i="3"/>
  <c r="I7657" i="3"/>
  <c r="I7656" i="3"/>
  <c r="I7655" i="3"/>
  <c r="I7654" i="3"/>
  <c r="I7653" i="3"/>
  <c r="I7652" i="3"/>
  <c r="I7651" i="3"/>
  <c r="I7650" i="3"/>
  <c r="I7649" i="3"/>
  <c r="I7648" i="3"/>
  <c r="I7647" i="3"/>
  <c r="I7646" i="3"/>
  <c r="I7645" i="3"/>
  <c r="I7644" i="3"/>
  <c r="I7643" i="3"/>
  <c r="I7642" i="3"/>
  <c r="I7641" i="3"/>
  <c r="I7640" i="3"/>
  <c r="I7639" i="3"/>
  <c r="I7638" i="3"/>
  <c r="I7637" i="3"/>
  <c r="I7636" i="3"/>
  <c r="I7635" i="3"/>
  <c r="I7634" i="3"/>
  <c r="I7633" i="3"/>
  <c r="I7632" i="3"/>
  <c r="I7631" i="3"/>
  <c r="I7630" i="3"/>
  <c r="I7629" i="3"/>
  <c r="I7628" i="3"/>
  <c r="I7627" i="3"/>
  <c r="I7626" i="3"/>
  <c r="I7625" i="3"/>
  <c r="I7624" i="3"/>
  <c r="I7623" i="3"/>
  <c r="I7622" i="3"/>
  <c r="I7621" i="3"/>
  <c r="I7620" i="3"/>
  <c r="I7619" i="3"/>
  <c r="I7618" i="3"/>
  <c r="I7617" i="3"/>
  <c r="I7616" i="3"/>
  <c r="I7615" i="3"/>
  <c r="I7614" i="3"/>
  <c r="I7613" i="3"/>
  <c r="I7612" i="3"/>
  <c r="I7611" i="3"/>
  <c r="I7610" i="3"/>
  <c r="I7609" i="3"/>
  <c r="I7608" i="3"/>
  <c r="I7607" i="3"/>
  <c r="I7606" i="3"/>
  <c r="I7605" i="3"/>
  <c r="I7604" i="3"/>
  <c r="I7603" i="3"/>
  <c r="I7602" i="3"/>
  <c r="I7601" i="3"/>
  <c r="I7600" i="3"/>
  <c r="I7599" i="3"/>
  <c r="I7598" i="3"/>
  <c r="I7597" i="3"/>
  <c r="I7596" i="3"/>
  <c r="I7595" i="3"/>
  <c r="I7594" i="3"/>
  <c r="I7593" i="3"/>
  <c r="I7592" i="3"/>
  <c r="I7591" i="3"/>
  <c r="I7590" i="3"/>
  <c r="I7589" i="3"/>
  <c r="I7588" i="3"/>
  <c r="I7587" i="3"/>
  <c r="I7586" i="3"/>
  <c r="I7585" i="3"/>
  <c r="I7584" i="3"/>
  <c r="I7583" i="3"/>
  <c r="I7582" i="3"/>
  <c r="I7581" i="3"/>
  <c r="I7580" i="3"/>
  <c r="I7579" i="3"/>
  <c r="I7578" i="3"/>
  <c r="I7577" i="3"/>
  <c r="I7576" i="3"/>
  <c r="I7575" i="3"/>
  <c r="I7574" i="3"/>
  <c r="I7573" i="3"/>
  <c r="I7572" i="3"/>
  <c r="I7571" i="3"/>
  <c r="I7570" i="3"/>
  <c r="I7569" i="3"/>
  <c r="I7568" i="3"/>
  <c r="I7567" i="3"/>
  <c r="I7566" i="3"/>
  <c r="I7565" i="3"/>
  <c r="I7564" i="3"/>
  <c r="I7563" i="3"/>
  <c r="I7562" i="3"/>
  <c r="I7561" i="3"/>
  <c r="I7560" i="3"/>
  <c r="I7559" i="3"/>
  <c r="I7558" i="3"/>
  <c r="I7557" i="3"/>
  <c r="I7556" i="3"/>
  <c r="I7555" i="3"/>
  <c r="I7554" i="3"/>
  <c r="I7553" i="3"/>
  <c r="I7552" i="3"/>
  <c r="I7551" i="3"/>
  <c r="I7550" i="3"/>
  <c r="I7549" i="3"/>
  <c r="I7548" i="3"/>
  <c r="I7547" i="3"/>
  <c r="I7546" i="3"/>
  <c r="I7545" i="3"/>
  <c r="I7544" i="3"/>
  <c r="I7543" i="3"/>
  <c r="I7542" i="3"/>
  <c r="I7541" i="3"/>
  <c r="I7540" i="3"/>
  <c r="I7539" i="3"/>
  <c r="I7538" i="3"/>
  <c r="I7537" i="3"/>
  <c r="I7536" i="3"/>
  <c r="I7535" i="3"/>
  <c r="I7534" i="3"/>
  <c r="I7533" i="3"/>
  <c r="I7532" i="3"/>
  <c r="I7531" i="3"/>
  <c r="I7530" i="3"/>
  <c r="I7529" i="3"/>
  <c r="I7528" i="3"/>
  <c r="I7527" i="3"/>
  <c r="I7526" i="3"/>
  <c r="I7525" i="3"/>
  <c r="I7524" i="3"/>
  <c r="I7523" i="3"/>
  <c r="I7522" i="3"/>
  <c r="I7521" i="3"/>
  <c r="I7520" i="3"/>
  <c r="I7519" i="3"/>
  <c r="I7518" i="3"/>
  <c r="I7517" i="3"/>
  <c r="I7516" i="3"/>
  <c r="I7515" i="3"/>
  <c r="I7514" i="3"/>
  <c r="I7513" i="3"/>
  <c r="I7512" i="3"/>
  <c r="I7511" i="3"/>
  <c r="I7510" i="3"/>
  <c r="I7509" i="3"/>
  <c r="I7508" i="3"/>
  <c r="I7507" i="3"/>
  <c r="I7506" i="3"/>
  <c r="I7505" i="3"/>
  <c r="I7504" i="3"/>
  <c r="I7503" i="3"/>
  <c r="I7502" i="3"/>
  <c r="I7501" i="3"/>
  <c r="I7500" i="3"/>
  <c r="I7499" i="3"/>
  <c r="I7498" i="3"/>
  <c r="I7497" i="3"/>
  <c r="I7496" i="3"/>
  <c r="I7495" i="3"/>
  <c r="I7494" i="3"/>
  <c r="I7493" i="3"/>
  <c r="I7492" i="3"/>
  <c r="I7491" i="3"/>
  <c r="I7490" i="3"/>
  <c r="I7489" i="3"/>
  <c r="I7488" i="3"/>
  <c r="I7487" i="3"/>
  <c r="I7486" i="3"/>
  <c r="I7485" i="3"/>
  <c r="I7484" i="3"/>
  <c r="I7483" i="3"/>
  <c r="I7482" i="3"/>
  <c r="I7481" i="3"/>
  <c r="I7480" i="3"/>
  <c r="I7479" i="3"/>
  <c r="I7478" i="3"/>
  <c r="I7477" i="3"/>
  <c r="I7476" i="3"/>
  <c r="I7475" i="3"/>
  <c r="I7474" i="3"/>
  <c r="I7473" i="3"/>
  <c r="I7472" i="3"/>
  <c r="I7471" i="3"/>
  <c r="I7470" i="3"/>
  <c r="I7469" i="3"/>
  <c r="I7468" i="3"/>
  <c r="I7467" i="3"/>
  <c r="I7466" i="3"/>
  <c r="I7465" i="3"/>
  <c r="I7464" i="3"/>
  <c r="I7463" i="3"/>
  <c r="I7462" i="3"/>
  <c r="I7461" i="3"/>
  <c r="I7460" i="3"/>
  <c r="I7459" i="3"/>
  <c r="I7458" i="3"/>
  <c r="I7457" i="3"/>
  <c r="I7456" i="3"/>
  <c r="I7455" i="3"/>
  <c r="I7454" i="3"/>
  <c r="I7453" i="3"/>
  <c r="I7452" i="3"/>
  <c r="I7451" i="3"/>
  <c r="I7450" i="3"/>
  <c r="I7449" i="3"/>
  <c r="I7448" i="3"/>
  <c r="I7447" i="3"/>
  <c r="I7446" i="3"/>
  <c r="I7445" i="3"/>
  <c r="I7444" i="3"/>
  <c r="I7443" i="3"/>
  <c r="I7442" i="3"/>
  <c r="I7441" i="3"/>
  <c r="I7440" i="3"/>
  <c r="I7439" i="3"/>
  <c r="I7438" i="3"/>
  <c r="I7437" i="3"/>
  <c r="I7436" i="3"/>
  <c r="I7435" i="3"/>
  <c r="I7434" i="3"/>
  <c r="I7433" i="3"/>
  <c r="I7432" i="3"/>
  <c r="I7431" i="3"/>
  <c r="I7430" i="3"/>
  <c r="I7429" i="3"/>
  <c r="I7428" i="3"/>
  <c r="I7427" i="3"/>
  <c r="I7426" i="3"/>
  <c r="I7425" i="3"/>
  <c r="I7424" i="3"/>
  <c r="I7423" i="3"/>
  <c r="I7422" i="3"/>
  <c r="I7421" i="3"/>
  <c r="I7420" i="3"/>
  <c r="I7419" i="3"/>
  <c r="I7418" i="3"/>
  <c r="I7417" i="3"/>
  <c r="I7416" i="3"/>
  <c r="I7415" i="3"/>
  <c r="I7414" i="3"/>
  <c r="I7413" i="3"/>
  <c r="I7412" i="3"/>
  <c r="I7411" i="3"/>
  <c r="I7410" i="3"/>
  <c r="I7409" i="3"/>
  <c r="I7408" i="3"/>
  <c r="I7407" i="3"/>
  <c r="I7406" i="3"/>
  <c r="I7405" i="3"/>
  <c r="I7404" i="3"/>
  <c r="I7403" i="3"/>
  <c r="I7402" i="3"/>
  <c r="I7401" i="3"/>
  <c r="I7400" i="3"/>
  <c r="I7399" i="3"/>
  <c r="I7398" i="3"/>
  <c r="I7397" i="3"/>
  <c r="I7396" i="3"/>
  <c r="I7395" i="3"/>
  <c r="I7394" i="3"/>
  <c r="I7393" i="3"/>
  <c r="I7392" i="3"/>
  <c r="I7391" i="3"/>
  <c r="I7390" i="3"/>
  <c r="I7389" i="3"/>
  <c r="I7388" i="3"/>
  <c r="I7387" i="3"/>
  <c r="I7386" i="3"/>
  <c r="I7385" i="3"/>
  <c r="I7384" i="3"/>
  <c r="I7383" i="3"/>
  <c r="I7382" i="3"/>
  <c r="I7381" i="3"/>
  <c r="I7380" i="3"/>
  <c r="I7379" i="3"/>
  <c r="I7378" i="3"/>
  <c r="I7377" i="3"/>
  <c r="I7376" i="3"/>
  <c r="I7375" i="3"/>
  <c r="I7374" i="3"/>
  <c r="I7373" i="3"/>
  <c r="I7372" i="3"/>
  <c r="I7371" i="3"/>
  <c r="I7370" i="3"/>
  <c r="I7369" i="3"/>
  <c r="I7368" i="3"/>
  <c r="I7367" i="3"/>
  <c r="I7366" i="3"/>
  <c r="I7365" i="3"/>
  <c r="I7364" i="3"/>
  <c r="I7363" i="3"/>
  <c r="I7362" i="3"/>
  <c r="I7361" i="3"/>
  <c r="I7360" i="3"/>
  <c r="I7359" i="3"/>
  <c r="I7358" i="3"/>
  <c r="I7357" i="3"/>
  <c r="I7356" i="3"/>
  <c r="I7355" i="3"/>
  <c r="I7354" i="3"/>
  <c r="I7353" i="3"/>
  <c r="I7352" i="3"/>
  <c r="I7351" i="3"/>
  <c r="I7350" i="3"/>
  <c r="I7349" i="3"/>
  <c r="I7348" i="3"/>
  <c r="I7347" i="3"/>
  <c r="I7346" i="3"/>
  <c r="I7345" i="3"/>
  <c r="I7344" i="3"/>
  <c r="I7343" i="3"/>
  <c r="I7342" i="3"/>
  <c r="I7341" i="3"/>
  <c r="I7340" i="3"/>
  <c r="I7339" i="3"/>
  <c r="I7338" i="3"/>
  <c r="I7337" i="3"/>
  <c r="I7336" i="3"/>
  <c r="I7335" i="3"/>
  <c r="I7334" i="3"/>
  <c r="I7333" i="3"/>
  <c r="I7332" i="3"/>
  <c r="I7331" i="3"/>
  <c r="I7330" i="3"/>
  <c r="I7329" i="3"/>
  <c r="I7328" i="3"/>
  <c r="I7327" i="3"/>
  <c r="I7326" i="3"/>
  <c r="I7325" i="3"/>
  <c r="I7324" i="3"/>
  <c r="I7323" i="3"/>
  <c r="I7322" i="3"/>
  <c r="I7321" i="3"/>
  <c r="I7320" i="3"/>
  <c r="I7319" i="3"/>
  <c r="I7318" i="3"/>
  <c r="I7317" i="3"/>
  <c r="I7316" i="3"/>
  <c r="I7315" i="3"/>
  <c r="I7314" i="3"/>
  <c r="I7313" i="3"/>
  <c r="I7312" i="3"/>
  <c r="I7311" i="3"/>
  <c r="I7310" i="3"/>
  <c r="I7309" i="3"/>
  <c r="I7308" i="3"/>
  <c r="I7307" i="3"/>
  <c r="I7306" i="3"/>
  <c r="I7305" i="3"/>
  <c r="I7304" i="3"/>
  <c r="I7303" i="3"/>
  <c r="I7302" i="3"/>
  <c r="I7301" i="3"/>
  <c r="I7300" i="3"/>
  <c r="I7299" i="3"/>
  <c r="I7298" i="3"/>
  <c r="I7297" i="3"/>
  <c r="I7296" i="3"/>
  <c r="I7295" i="3"/>
  <c r="I7294" i="3"/>
  <c r="I7293" i="3"/>
  <c r="I7292" i="3"/>
  <c r="I7291" i="3"/>
  <c r="I7290" i="3"/>
  <c r="I7289" i="3"/>
  <c r="I7288" i="3"/>
  <c r="I7287" i="3"/>
  <c r="I7286" i="3"/>
  <c r="I7285" i="3"/>
  <c r="I7284" i="3"/>
  <c r="I7283" i="3"/>
  <c r="I7282" i="3"/>
  <c r="I7281" i="3"/>
  <c r="I7280" i="3"/>
  <c r="I7279" i="3"/>
  <c r="I7278" i="3"/>
  <c r="I7277" i="3"/>
  <c r="I7276" i="3"/>
  <c r="I7275" i="3"/>
  <c r="I7274" i="3"/>
  <c r="I7273" i="3"/>
  <c r="I7272" i="3"/>
  <c r="I7271" i="3"/>
  <c r="I7270" i="3"/>
  <c r="I7269" i="3"/>
  <c r="I7268" i="3"/>
  <c r="I7267" i="3"/>
  <c r="I7266" i="3"/>
  <c r="I7265" i="3"/>
  <c r="I7264" i="3"/>
  <c r="I7263" i="3"/>
  <c r="I7262" i="3"/>
  <c r="I7261" i="3"/>
  <c r="I7260" i="3"/>
  <c r="I7259" i="3"/>
  <c r="I7258" i="3"/>
  <c r="I7257" i="3"/>
  <c r="I7256" i="3"/>
  <c r="I7255" i="3"/>
  <c r="I7254" i="3"/>
  <c r="I7253" i="3"/>
  <c r="I7252" i="3"/>
  <c r="I7251" i="3"/>
  <c r="I7250" i="3"/>
  <c r="I7249" i="3"/>
  <c r="I7248" i="3"/>
  <c r="I7247" i="3"/>
  <c r="I7246" i="3"/>
  <c r="I7245" i="3"/>
  <c r="I7244" i="3"/>
  <c r="I7243" i="3"/>
  <c r="I7242" i="3"/>
  <c r="I7241" i="3"/>
  <c r="I7240" i="3"/>
  <c r="I7239" i="3"/>
  <c r="I7238" i="3"/>
  <c r="I7237" i="3"/>
  <c r="I7236" i="3"/>
  <c r="I7235" i="3"/>
  <c r="I7234" i="3"/>
  <c r="I7233" i="3"/>
  <c r="I7232" i="3"/>
  <c r="I7231" i="3"/>
  <c r="I7230" i="3"/>
  <c r="I7229" i="3"/>
  <c r="I7228" i="3"/>
  <c r="I7227" i="3"/>
  <c r="I7226" i="3"/>
  <c r="I7225" i="3"/>
  <c r="I7224" i="3"/>
  <c r="I7223" i="3"/>
  <c r="I7222" i="3"/>
  <c r="I7221" i="3"/>
  <c r="I7220" i="3"/>
  <c r="I7219" i="3"/>
  <c r="I7218" i="3"/>
  <c r="I7217" i="3"/>
  <c r="I7216" i="3"/>
  <c r="I7215" i="3"/>
  <c r="I7214" i="3"/>
  <c r="I7213" i="3"/>
  <c r="I7212" i="3"/>
  <c r="I7211" i="3"/>
  <c r="I7210" i="3"/>
  <c r="I7209" i="3"/>
  <c r="I7208" i="3"/>
  <c r="I7207" i="3"/>
  <c r="I7206" i="3"/>
  <c r="I7205" i="3"/>
  <c r="I7204" i="3"/>
  <c r="I7203" i="3"/>
  <c r="I7202" i="3"/>
  <c r="I7201" i="3"/>
  <c r="I7200" i="3"/>
  <c r="I7199" i="3"/>
  <c r="I7198" i="3"/>
  <c r="I7197" i="3"/>
  <c r="I7196" i="3"/>
  <c r="I7195" i="3"/>
  <c r="I7194" i="3"/>
  <c r="I7193" i="3"/>
  <c r="I7192" i="3"/>
  <c r="I7191" i="3"/>
  <c r="I7190" i="3"/>
  <c r="I7189" i="3"/>
  <c r="I7188" i="3"/>
  <c r="I7187" i="3"/>
  <c r="I7186" i="3"/>
  <c r="I7185" i="3"/>
  <c r="I7184" i="3"/>
  <c r="I7183" i="3"/>
  <c r="I7182" i="3"/>
  <c r="I7181" i="3"/>
  <c r="I7180" i="3"/>
  <c r="I7179" i="3"/>
  <c r="I7178" i="3"/>
  <c r="I7177" i="3"/>
  <c r="I7176" i="3"/>
  <c r="I7175" i="3"/>
  <c r="I7174" i="3"/>
  <c r="I7173" i="3"/>
  <c r="I7172" i="3"/>
  <c r="I7171" i="3"/>
  <c r="I7170" i="3"/>
  <c r="I7169" i="3"/>
  <c r="I7168" i="3"/>
  <c r="I7167" i="3"/>
  <c r="I7166" i="3"/>
  <c r="I7165" i="3"/>
  <c r="I7164" i="3"/>
  <c r="I7163" i="3"/>
  <c r="I7162" i="3"/>
  <c r="I7161" i="3"/>
  <c r="I7160" i="3"/>
  <c r="I7159" i="3"/>
  <c r="I7158" i="3"/>
  <c r="I7157" i="3"/>
  <c r="I7156" i="3"/>
  <c r="I7155" i="3"/>
  <c r="I7154" i="3"/>
  <c r="I7153" i="3"/>
  <c r="I7152" i="3"/>
  <c r="I7151" i="3"/>
  <c r="I7150" i="3"/>
  <c r="I7149" i="3"/>
  <c r="I7148" i="3"/>
  <c r="I7147" i="3"/>
  <c r="I7146" i="3"/>
  <c r="I7145" i="3"/>
  <c r="I7144" i="3"/>
  <c r="I7143" i="3"/>
  <c r="I7142" i="3"/>
  <c r="I7141" i="3"/>
  <c r="I7140" i="3"/>
  <c r="I7139" i="3"/>
  <c r="I7138" i="3"/>
  <c r="I7137" i="3"/>
  <c r="I7136" i="3"/>
  <c r="I7135" i="3"/>
  <c r="I7134" i="3"/>
  <c r="I7133" i="3"/>
  <c r="I7132" i="3"/>
  <c r="I7131" i="3"/>
  <c r="I7130" i="3"/>
  <c r="I7129" i="3"/>
  <c r="I7128" i="3"/>
  <c r="I7127" i="3"/>
  <c r="I7126" i="3"/>
  <c r="I7125" i="3"/>
  <c r="I7124" i="3"/>
  <c r="I7123" i="3"/>
  <c r="I7122" i="3"/>
  <c r="I7121" i="3"/>
  <c r="I7120" i="3"/>
  <c r="I7119" i="3"/>
  <c r="I7118" i="3"/>
  <c r="I7117" i="3"/>
  <c r="I7116" i="3"/>
  <c r="I7115" i="3"/>
  <c r="I7114" i="3"/>
  <c r="I7113" i="3"/>
  <c r="I7112" i="3"/>
  <c r="I7111" i="3"/>
  <c r="I7110" i="3"/>
  <c r="I7109" i="3"/>
  <c r="I7108" i="3"/>
  <c r="I7107" i="3"/>
  <c r="I7106" i="3"/>
  <c r="I7105" i="3"/>
  <c r="I7104" i="3"/>
  <c r="I7103" i="3"/>
  <c r="I7102" i="3"/>
  <c r="I7101" i="3"/>
  <c r="I7100" i="3"/>
  <c r="I7099" i="3"/>
  <c r="I7098" i="3"/>
  <c r="I7097" i="3"/>
  <c r="I7096" i="3"/>
  <c r="I7095" i="3"/>
  <c r="I7094" i="3"/>
  <c r="I7093" i="3"/>
  <c r="I7092" i="3"/>
  <c r="I7091" i="3"/>
  <c r="I7090" i="3"/>
  <c r="I7089" i="3"/>
  <c r="I7088" i="3"/>
  <c r="I7087" i="3"/>
  <c r="I7086" i="3"/>
  <c r="I7085" i="3"/>
  <c r="I7084" i="3"/>
  <c r="I7083" i="3"/>
  <c r="I7082" i="3"/>
  <c r="I7081" i="3"/>
  <c r="I7080" i="3"/>
  <c r="I7079" i="3"/>
  <c r="I7078" i="3"/>
  <c r="I7077" i="3"/>
  <c r="I7076" i="3"/>
  <c r="I7075" i="3"/>
  <c r="I7074" i="3"/>
  <c r="I7073" i="3"/>
  <c r="I7072" i="3"/>
  <c r="I7071" i="3"/>
  <c r="I7070" i="3"/>
  <c r="I7069" i="3"/>
  <c r="I7068" i="3"/>
  <c r="I7067" i="3"/>
  <c r="I7066" i="3"/>
  <c r="I7065" i="3"/>
  <c r="I7064" i="3"/>
  <c r="I7063" i="3"/>
  <c r="I7062" i="3"/>
  <c r="I7061" i="3"/>
  <c r="I7060" i="3"/>
  <c r="I7059" i="3"/>
  <c r="I7058" i="3"/>
  <c r="I7057" i="3"/>
  <c r="I7056" i="3"/>
  <c r="I7055" i="3"/>
  <c r="I7054" i="3"/>
  <c r="I7053" i="3"/>
  <c r="I7052" i="3"/>
  <c r="I7051" i="3"/>
  <c r="I7050" i="3"/>
  <c r="I7049" i="3"/>
  <c r="I7048" i="3"/>
  <c r="I7047" i="3"/>
  <c r="I7046" i="3"/>
  <c r="I7045" i="3"/>
  <c r="I7044" i="3"/>
  <c r="I7043" i="3"/>
  <c r="I7042" i="3"/>
  <c r="I7041" i="3"/>
  <c r="I7040" i="3"/>
  <c r="I7039" i="3"/>
  <c r="I7038" i="3"/>
  <c r="I7037" i="3"/>
  <c r="I7036" i="3"/>
  <c r="I7035" i="3"/>
  <c r="I7034" i="3"/>
  <c r="I7033" i="3"/>
  <c r="I7032" i="3"/>
  <c r="I7031" i="3"/>
  <c r="I7030" i="3"/>
  <c r="I7029" i="3"/>
  <c r="I7028" i="3"/>
  <c r="I7027" i="3"/>
  <c r="I7026" i="3"/>
  <c r="I7025" i="3"/>
  <c r="I7024" i="3"/>
  <c r="I7023" i="3"/>
  <c r="I7022" i="3"/>
  <c r="I7021" i="3"/>
  <c r="I7020" i="3"/>
  <c r="I7019" i="3"/>
  <c r="I7018" i="3"/>
  <c r="I7017" i="3"/>
  <c r="I7016" i="3"/>
  <c r="I7015" i="3"/>
  <c r="I7014" i="3"/>
  <c r="I7013" i="3"/>
  <c r="I7012" i="3"/>
  <c r="I7011" i="3"/>
  <c r="I7010" i="3"/>
  <c r="I7009" i="3"/>
  <c r="I7008" i="3"/>
  <c r="I7007" i="3"/>
  <c r="I7006" i="3"/>
  <c r="I7005" i="3"/>
  <c r="I7004" i="3"/>
  <c r="I7003" i="3"/>
  <c r="I7002" i="3"/>
  <c r="I7001" i="3"/>
  <c r="I7000" i="3"/>
  <c r="I6999" i="3"/>
  <c r="I6998" i="3"/>
  <c r="I6997" i="3"/>
  <c r="I6996" i="3"/>
  <c r="I6995" i="3"/>
  <c r="I6994" i="3"/>
  <c r="I6993" i="3"/>
  <c r="I6992" i="3"/>
  <c r="I6991" i="3"/>
  <c r="I6990" i="3"/>
  <c r="I6989" i="3"/>
  <c r="I6988" i="3"/>
  <c r="I6987" i="3"/>
  <c r="I6986" i="3"/>
  <c r="I6985" i="3"/>
  <c r="I6984" i="3"/>
  <c r="I6983" i="3"/>
  <c r="I6982" i="3"/>
  <c r="I6981" i="3"/>
  <c r="I6980" i="3"/>
  <c r="I6979" i="3"/>
  <c r="I6978" i="3"/>
  <c r="I6977" i="3"/>
  <c r="I6976" i="3"/>
  <c r="I6975" i="3"/>
  <c r="I6974" i="3"/>
  <c r="I6973" i="3"/>
  <c r="I6972" i="3"/>
  <c r="I6971" i="3"/>
  <c r="I6970" i="3"/>
  <c r="I6969" i="3"/>
  <c r="I6968" i="3"/>
  <c r="I6967" i="3"/>
  <c r="I6966" i="3"/>
  <c r="I6965" i="3"/>
  <c r="I6964" i="3"/>
  <c r="I6963" i="3"/>
  <c r="I6962" i="3"/>
  <c r="I6961" i="3"/>
  <c r="I6960" i="3"/>
  <c r="I6959" i="3"/>
  <c r="I6958" i="3"/>
  <c r="I6957" i="3"/>
  <c r="I6956" i="3"/>
  <c r="I6955" i="3"/>
  <c r="I6954" i="3"/>
  <c r="I6953" i="3"/>
  <c r="I6952" i="3"/>
  <c r="I6951" i="3"/>
  <c r="I6950" i="3"/>
  <c r="I6949" i="3"/>
  <c r="I6948" i="3"/>
  <c r="I6947" i="3"/>
  <c r="I6946" i="3"/>
  <c r="I6945" i="3"/>
  <c r="I6944" i="3"/>
  <c r="I6943" i="3"/>
  <c r="I6942" i="3"/>
  <c r="I6941" i="3"/>
  <c r="I6940" i="3"/>
  <c r="I6939" i="3"/>
  <c r="I6938" i="3"/>
  <c r="I6937" i="3"/>
  <c r="I6936" i="3"/>
  <c r="I6935" i="3"/>
  <c r="I6934" i="3"/>
  <c r="I6933" i="3"/>
  <c r="I6932" i="3"/>
  <c r="I6931" i="3"/>
  <c r="I6930" i="3"/>
  <c r="I6929" i="3"/>
  <c r="I6928" i="3"/>
  <c r="I6927" i="3"/>
  <c r="I6926" i="3"/>
  <c r="I6925" i="3"/>
  <c r="I6924" i="3"/>
  <c r="I6923" i="3"/>
  <c r="I6922" i="3"/>
  <c r="I6921" i="3"/>
  <c r="I6920" i="3"/>
  <c r="I6919" i="3"/>
  <c r="I6918" i="3"/>
  <c r="I6917" i="3"/>
  <c r="I6916" i="3"/>
  <c r="I6915" i="3"/>
  <c r="I6914" i="3"/>
  <c r="I6913" i="3"/>
  <c r="I6912" i="3"/>
  <c r="I6911" i="3"/>
  <c r="I6910" i="3"/>
  <c r="I6909" i="3"/>
  <c r="I6908" i="3"/>
  <c r="I6907" i="3"/>
  <c r="I6906" i="3"/>
  <c r="I6905" i="3"/>
  <c r="I6904" i="3"/>
  <c r="I6903" i="3"/>
  <c r="I6902" i="3"/>
  <c r="I6901" i="3"/>
  <c r="I6900" i="3"/>
  <c r="I6899" i="3"/>
  <c r="I6898" i="3"/>
  <c r="I6897" i="3"/>
  <c r="I6896" i="3"/>
  <c r="I6895" i="3"/>
  <c r="I6894" i="3"/>
  <c r="I6893" i="3"/>
  <c r="I6892" i="3"/>
  <c r="I6891" i="3"/>
  <c r="I6890" i="3"/>
  <c r="I6889" i="3"/>
  <c r="I6888" i="3"/>
  <c r="I6887" i="3"/>
  <c r="I6886" i="3"/>
  <c r="I6885" i="3"/>
  <c r="I6884" i="3"/>
  <c r="I6883" i="3"/>
  <c r="I6882" i="3"/>
  <c r="I6881" i="3"/>
  <c r="I6880" i="3"/>
  <c r="I6879" i="3"/>
  <c r="I6878" i="3"/>
  <c r="I6877" i="3"/>
  <c r="I6876" i="3"/>
  <c r="I6875" i="3"/>
  <c r="I6874" i="3"/>
  <c r="I6873" i="3"/>
  <c r="I6872" i="3"/>
  <c r="I6871" i="3"/>
  <c r="I6870" i="3"/>
  <c r="I6869" i="3"/>
  <c r="I6868" i="3"/>
  <c r="I6867" i="3"/>
  <c r="I6866" i="3"/>
  <c r="I6865" i="3"/>
  <c r="I6864" i="3"/>
  <c r="I6863" i="3"/>
  <c r="I6862" i="3"/>
  <c r="I6861" i="3"/>
  <c r="I6860" i="3"/>
  <c r="I6859" i="3"/>
  <c r="I6858" i="3"/>
  <c r="I6857" i="3"/>
  <c r="I6856" i="3"/>
  <c r="I6855" i="3"/>
  <c r="I6854" i="3"/>
  <c r="I6853" i="3"/>
  <c r="I6852" i="3"/>
  <c r="I6851" i="3"/>
  <c r="I6850" i="3"/>
  <c r="I6849" i="3"/>
  <c r="I6848" i="3"/>
  <c r="I6847" i="3"/>
  <c r="I6846" i="3"/>
  <c r="I6845" i="3"/>
  <c r="I6844" i="3"/>
  <c r="I6843" i="3"/>
  <c r="I6842" i="3"/>
  <c r="I6841" i="3"/>
  <c r="I6840" i="3"/>
  <c r="I6839" i="3"/>
  <c r="I6838" i="3"/>
  <c r="I6837" i="3"/>
  <c r="I6836" i="3"/>
  <c r="I6835" i="3"/>
  <c r="I6834" i="3"/>
  <c r="I6833" i="3"/>
  <c r="I6832" i="3"/>
  <c r="I6831" i="3"/>
  <c r="I6830" i="3"/>
  <c r="I6829" i="3"/>
  <c r="I6828" i="3"/>
  <c r="I6827" i="3"/>
  <c r="I6826" i="3"/>
  <c r="I6825" i="3"/>
  <c r="I6824" i="3"/>
  <c r="I6823" i="3"/>
  <c r="I6822" i="3"/>
  <c r="I6821" i="3"/>
  <c r="I6820" i="3"/>
  <c r="I6819" i="3"/>
  <c r="I6818" i="3"/>
  <c r="I6817" i="3"/>
  <c r="I6816" i="3"/>
  <c r="I6815" i="3"/>
  <c r="I6814" i="3"/>
  <c r="I6813" i="3"/>
  <c r="I6812" i="3"/>
  <c r="I6811" i="3"/>
  <c r="I6810" i="3"/>
  <c r="I6809" i="3"/>
  <c r="I6808" i="3"/>
  <c r="I6807" i="3"/>
  <c r="I6806" i="3"/>
  <c r="I6805" i="3"/>
  <c r="I6804" i="3"/>
  <c r="I6803" i="3"/>
  <c r="I6802" i="3"/>
  <c r="I6801" i="3"/>
  <c r="I6800" i="3"/>
  <c r="I6799" i="3"/>
  <c r="I6798" i="3"/>
  <c r="I6797" i="3"/>
  <c r="I6796" i="3"/>
  <c r="I6795" i="3"/>
  <c r="I6794" i="3"/>
  <c r="I6793" i="3"/>
  <c r="I6792" i="3"/>
  <c r="I6791" i="3"/>
  <c r="I6790" i="3"/>
  <c r="I6789" i="3"/>
  <c r="I6788" i="3"/>
  <c r="I6787" i="3"/>
  <c r="I6786" i="3"/>
  <c r="I6785" i="3"/>
  <c r="I6784" i="3"/>
  <c r="I6783" i="3"/>
  <c r="I6782" i="3"/>
  <c r="I6781" i="3"/>
  <c r="I6780" i="3"/>
  <c r="I6779" i="3"/>
  <c r="I6778" i="3"/>
  <c r="I6777" i="3"/>
  <c r="I6776" i="3"/>
  <c r="I6775" i="3"/>
  <c r="I6774" i="3"/>
  <c r="I6773" i="3"/>
  <c r="I6772" i="3"/>
  <c r="I6771" i="3"/>
  <c r="I6770" i="3"/>
  <c r="I6769" i="3"/>
  <c r="I6768" i="3"/>
  <c r="I6767" i="3"/>
  <c r="I6766" i="3"/>
  <c r="I6765" i="3"/>
  <c r="I6764" i="3"/>
  <c r="I6763" i="3"/>
  <c r="I6762" i="3"/>
  <c r="I6761" i="3"/>
  <c r="I6760" i="3"/>
  <c r="I6759" i="3"/>
  <c r="I6758" i="3"/>
  <c r="I6757" i="3"/>
  <c r="I6756" i="3"/>
  <c r="I6755" i="3"/>
  <c r="I6754" i="3"/>
  <c r="I6753" i="3"/>
  <c r="I6752" i="3"/>
  <c r="I6751" i="3"/>
  <c r="I6750" i="3"/>
  <c r="I6749" i="3"/>
  <c r="I6748" i="3"/>
  <c r="I6747" i="3"/>
  <c r="I6746" i="3"/>
  <c r="I6745" i="3"/>
  <c r="I6744" i="3"/>
  <c r="I6743" i="3"/>
  <c r="I6742" i="3"/>
  <c r="I6741" i="3"/>
  <c r="I6740" i="3"/>
  <c r="I6739" i="3"/>
  <c r="I6738" i="3"/>
  <c r="I6737" i="3"/>
  <c r="I6736" i="3"/>
  <c r="I6735" i="3"/>
  <c r="I6734" i="3"/>
  <c r="I6733" i="3"/>
  <c r="I6732" i="3"/>
  <c r="I6731" i="3"/>
  <c r="I6730" i="3"/>
  <c r="I6729" i="3"/>
  <c r="I6728" i="3"/>
  <c r="I6727" i="3"/>
  <c r="I6726" i="3"/>
  <c r="I6725" i="3"/>
  <c r="I6724" i="3"/>
  <c r="I6723" i="3"/>
  <c r="I6722" i="3"/>
  <c r="I6721" i="3"/>
  <c r="I6720" i="3"/>
  <c r="I6719" i="3"/>
  <c r="I6718" i="3"/>
  <c r="I6717" i="3"/>
  <c r="I6716" i="3"/>
  <c r="I6715" i="3"/>
  <c r="I6714" i="3"/>
  <c r="I6713" i="3"/>
  <c r="I6712" i="3"/>
  <c r="I6711" i="3"/>
  <c r="I6710" i="3"/>
  <c r="I6709" i="3"/>
  <c r="I6708" i="3"/>
  <c r="I6707" i="3"/>
  <c r="I6706" i="3"/>
  <c r="I6705" i="3"/>
  <c r="I6704" i="3"/>
  <c r="I6703" i="3"/>
  <c r="I6702" i="3"/>
  <c r="I6701" i="3"/>
  <c r="I6700" i="3"/>
  <c r="I6699" i="3"/>
  <c r="I6698" i="3"/>
  <c r="I6697" i="3"/>
  <c r="I6696" i="3"/>
  <c r="I6695" i="3"/>
  <c r="I6694" i="3"/>
  <c r="I6693" i="3"/>
  <c r="I6692" i="3"/>
  <c r="I6691" i="3"/>
  <c r="I6690" i="3"/>
  <c r="I6689" i="3"/>
  <c r="I6688" i="3"/>
  <c r="I6687" i="3"/>
  <c r="I6686" i="3"/>
  <c r="I6685" i="3"/>
  <c r="I6684" i="3"/>
  <c r="I6683" i="3"/>
  <c r="I6682" i="3"/>
  <c r="I6681" i="3"/>
  <c r="I6680" i="3"/>
  <c r="I6679" i="3"/>
  <c r="I6678" i="3"/>
  <c r="I6677" i="3"/>
  <c r="I6676" i="3"/>
  <c r="I6675" i="3"/>
  <c r="I6674" i="3"/>
  <c r="I6673" i="3"/>
  <c r="I6672" i="3"/>
  <c r="I6671" i="3"/>
  <c r="I6670" i="3"/>
  <c r="I6669" i="3"/>
  <c r="I6668" i="3"/>
  <c r="I6667" i="3"/>
  <c r="I6666" i="3"/>
  <c r="I6665" i="3"/>
  <c r="I6664" i="3"/>
  <c r="I6663" i="3"/>
  <c r="I6662" i="3"/>
  <c r="I6661" i="3"/>
  <c r="I6660" i="3"/>
  <c r="I6659" i="3"/>
  <c r="I6658" i="3"/>
  <c r="I6657" i="3"/>
  <c r="I6656" i="3"/>
  <c r="I6655" i="3"/>
  <c r="I6654" i="3"/>
  <c r="I6653" i="3"/>
  <c r="I6652" i="3"/>
  <c r="I6651" i="3"/>
  <c r="I6650" i="3"/>
  <c r="I6649" i="3"/>
  <c r="I6648" i="3"/>
  <c r="I6647" i="3"/>
  <c r="I6646" i="3"/>
  <c r="I6645" i="3"/>
  <c r="I6644" i="3"/>
  <c r="I6643" i="3"/>
  <c r="I6642" i="3"/>
  <c r="I6641" i="3"/>
  <c r="I6640" i="3"/>
  <c r="I6639" i="3"/>
  <c r="I6638" i="3"/>
  <c r="I6637" i="3"/>
  <c r="I6636" i="3"/>
  <c r="I6635" i="3"/>
  <c r="I6634" i="3"/>
  <c r="I6633" i="3"/>
  <c r="I6632" i="3"/>
  <c r="I6631" i="3"/>
  <c r="I6630" i="3"/>
  <c r="I6629" i="3"/>
  <c r="I6628" i="3"/>
  <c r="I6627" i="3"/>
  <c r="I6626" i="3"/>
  <c r="I6625" i="3"/>
  <c r="I6624" i="3"/>
  <c r="I6623" i="3"/>
  <c r="I6622" i="3"/>
  <c r="I6621" i="3"/>
  <c r="I6620" i="3"/>
  <c r="I6619" i="3"/>
  <c r="I6618" i="3"/>
  <c r="I6617" i="3"/>
  <c r="I6616" i="3"/>
  <c r="I6615" i="3"/>
  <c r="I6614" i="3"/>
  <c r="I6613" i="3"/>
  <c r="I6612" i="3"/>
  <c r="I6611" i="3"/>
  <c r="I6610" i="3"/>
  <c r="I6609" i="3"/>
  <c r="I6608" i="3"/>
  <c r="I6607" i="3"/>
  <c r="I6606" i="3"/>
  <c r="I6605" i="3"/>
  <c r="I6604" i="3"/>
  <c r="I6603" i="3"/>
  <c r="I6602" i="3"/>
  <c r="I6601" i="3"/>
  <c r="I6600" i="3"/>
  <c r="I6599" i="3"/>
  <c r="I6598" i="3"/>
  <c r="I6597" i="3"/>
  <c r="I6596" i="3"/>
  <c r="I6595" i="3"/>
  <c r="I6594" i="3"/>
  <c r="I6593" i="3"/>
  <c r="I6592" i="3"/>
  <c r="I6591" i="3"/>
  <c r="I6590" i="3"/>
  <c r="I6589" i="3"/>
  <c r="I6588" i="3"/>
  <c r="I6587" i="3"/>
  <c r="I6586" i="3"/>
  <c r="I6585" i="3"/>
  <c r="I6584" i="3"/>
  <c r="I6583" i="3"/>
  <c r="I6582" i="3"/>
  <c r="I6581" i="3"/>
  <c r="I6580" i="3"/>
  <c r="I6579" i="3"/>
  <c r="I6578" i="3"/>
  <c r="I6577" i="3"/>
  <c r="I6576" i="3"/>
  <c r="I6575" i="3"/>
  <c r="I6574" i="3"/>
  <c r="I6573" i="3"/>
  <c r="I6572" i="3"/>
  <c r="I6571" i="3"/>
  <c r="I6570" i="3"/>
  <c r="I6569" i="3"/>
  <c r="I6568" i="3"/>
  <c r="I6567" i="3"/>
  <c r="I6566" i="3"/>
  <c r="I6565" i="3"/>
  <c r="I6564" i="3"/>
  <c r="I6563" i="3"/>
  <c r="I6562" i="3"/>
  <c r="I6561" i="3"/>
  <c r="I6560" i="3"/>
  <c r="I6559" i="3"/>
  <c r="I6558" i="3"/>
  <c r="I6557" i="3"/>
  <c r="I6556" i="3"/>
  <c r="I6555" i="3"/>
  <c r="I6554" i="3"/>
  <c r="I6553" i="3"/>
  <c r="I6552" i="3"/>
  <c r="I6551" i="3"/>
  <c r="I6550" i="3"/>
  <c r="I6549" i="3"/>
  <c r="I6548" i="3"/>
  <c r="I6547" i="3"/>
  <c r="I6546" i="3"/>
  <c r="I6545" i="3"/>
  <c r="I6544" i="3"/>
  <c r="I6543" i="3"/>
  <c r="I6542" i="3"/>
  <c r="I6541" i="3"/>
  <c r="I6540" i="3"/>
  <c r="I6539" i="3"/>
  <c r="I6538" i="3"/>
  <c r="I6537" i="3"/>
  <c r="I6536" i="3"/>
  <c r="I6535" i="3"/>
  <c r="I6534" i="3"/>
  <c r="I6533" i="3"/>
  <c r="I6532" i="3"/>
  <c r="I6531" i="3"/>
  <c r="I6530" i="3"/>
  <c r="I6529" i="3"/>
  <c r="I6528" i="3"/>
  <c r="I6527" i="3"/>
  <c r="I6526" i="3"/>
  <c r="I6525" i="3"/>
  <c r="I6524" i="3"/>
  <c r="I6523" i="3"/>
  <c r="I6522" i="3"/>
  <c r="I6521" i="3"/>
  <c r="I6520" i="3"/>
  <c r="I6519" i="3"/>
  <c r="I6518" i="3"/>
  <c r="I6517" i="3"/>
  <c r="I6516" i="3"/>
  <c r="I6515" i="3"/>
  <c r="I6514" i="3"/>
  <c r="I6513" i="3"/>
  <c r="I6512" i="3"/>
  <c r="I6511" i="3"/>
  <c r="I6510" i="3"/>
  <c r="I6509" i="3"/>
  <c r="I6508" i="3"/>
  <c r="I6507" i="3"/>
  <c r="I6506" i="3"/>
  <c r="I6505" i="3"/>
  <c r="I6504" i="3"/>
  <c r="I6503" i="3"/>
  <c r="I6502" i="3"/>
  <c r="I6501" i="3"/>
  <c r="I6500" i="3"/>
  <c r="I6499" i="3"/>
  <c r="I6498" i="3"/>
  <c r="I6497" i="3"/>
  <c r="I6496" i="3"/>
  <c r="I6495" i="3"/>
  <c r="I6494" i="3"/>
  <c r="I6493" i="3"/>
  <c r="I6492" i="3"/>
  <c r="I6491" i="3"/>
  <c r="I6490" i="3"/>
  <c r="I6489" i="3"/>
  <c r="I6488" i="3"/>
  <c r="I6487" i="3"/>
  <c r="I6486" i="3"/>
  <c r="I6485" i="3"/>
  <c r="I6484" i="3"/>
  <c r="I6483" i="3"/>
  <c r="I6482" i="3"/>
  <c r="I6481" i="3"/>
  <c r="I6480" i="3"/>
  <c r="I6479" i="3"/>
  <c r="I6478" i="3"/>
  <c r="I6477" i="3"/>
  <c r="I6476" i="3"/>
  <c r="I6475" i="3"/>
  <c r="I6474" i="3"/>
  <c r="I6473" i="3"/>
  <c r="I6472" i="3"/>
  <c r="I6471" i="3"/>
  <c r="I6470" i="3"/>
  <c r="I6469" i="3"/>
  <c r="I6468" i="3"/>
  <c r="I6467" i="3"/>
  <c r="I6466" i="3"/>
  <c r="I6465" i="3"/>
  <c r="I6464" i="3"/>
  <c r="I6463" i="3"/>
  <c r="I6462" i="3"/>
  <c r="I6461" i="3"/>
  <c r="I6460" i="3"/>
  <c r="I6459" i="3"/>
  <c r="I6458" i="3"/>
  <c r="I6457" i="3"/>
  <c r="I6456" i="3"/>
  <c r="I6455" i="3"/>
  <c r="I6454" i="3"/>
  <c r="I6453" i="3"/>
  <c r="I6452" i="3"/>
  <c r="I6451" i="3"/>
  <c r="I6450" i="3"/>
  <c r="I6449" i="3"/>
  <c r="I6448" i="3"/>
  <c r="I6447" i="3"/>
  <c r="I6446" i="3"/>
  <c r="I6445" i="3"/>
  <c r="I6444" i="3"/>
  <c r="I6443" i="3"/>
  <c r="I6442" i="3"/>
  <c r="I6441" i="3"/>
  <c r="I6440" i="3"/>
  <c r="I6439" i="3"/>
  <c r="I6438" i="3"/>
  <c r="I6437" i="3"/>
  <c r="I6436" i="3"/>
  <c r="I6435" i="3"/>
  <c r="I6434" i="3"/>
  <c r="I6433" i="3"/>
  <c r="I6432" i="3"/>
  <c r="I6431" i="3"/>
  <c r="I6430" i="3"/>
  <c r="I6429" i="3"/>
  <c r="I6428" i="3"/>
  <c r="I6427" i="3"/>
  <c r="I6426" i="3"/>
  <c r="I6425" i="3"/>
  <c r="I6424" i="3"/>
  <c r="I6423" i="3"/>
  <c r="I6422" i="3"/>
  <c r="I6421" i="3"/>
  <c r="I6420" i="3"/>
  <c r="I6419" i="3"/>
  <c r="I6418" i="3"/>
  <c r="I6417" i="3"/>
  <c r="I6416" i="3"/>
  <c r="I6415" i="3"/>
  <c r="I6414" i="3"/>
  <c r="I6413" i="3"/>
  <c r="I6412" i="3"/>
  <c r="I6411" i="3"/>
  <c r="I6410" i="3"/>
  <c r="I6409" i="3"/>
  <c r="I6408" i="3"/>
  <c r="I6407" i="3"/>
  <c r="I6406" i="3"/>
  <c r="I6405" i="3"/>
  <c r="I6404" i="3"/>
  <c r="I6403" i="3"/>
  <c r="I6402" i="3"/>
  <c r="I6401" i="3"/>
  <c r="I6400" i="3"/>
  <c r="I6399" i="3"/>
  <c r="I6398" i="3"/>
  <c r="I6397" i="3"/>
  <c r="I6396" i="3"/>
  <c r="I6395" i="3"/>
  <c r="I6394" i="3"/>
  <c r="I6393" i="3"/>
  <c r="I6392" i="3"/>
  <c r="I6391" i="3"/>
  <c r="I6390" i="3"/>
  <c r="I6389" i="3"/>
  <c r="I6388" i="3"/>
  <c r="I6387" i="3"/>
  <c r="I6386" i="3"/>
  <c r="I6385" i="3"/>
  <c r="I6384" i="3"/>
  <c r="I6383" i="3"/>
  <c r="I6382" i="3"/>
  <c r="I6381" i="3"/>
  <c r="I6380" i="3"/>
  <c r="I6379" i="3"/>
  <c r="I6378" i="3"/>
  <c r="I6377" i="3"/>
  <c r="I6376" i="3"/>
  <c r="I6375" i="3"/>
  <c r="I6374" i="3"/>
  <c r="I6373" i="3"/>
  <c r="I6372" i="3"/>
  <c r="I6371" i="3"/>
  <c r="I6370" i="3"/>
  <c r="I6369" i="3"/>
  <c r="I6368" i="3"/>
  <c r="I6367" i="3"/>
  <c r="I6366" i="3"/>
  <c r="I6365" i="3"/>
  <c r="I6364" i="3"/>
  <c r="I6363" i="3"/>
  <c r="I6362" i="3"/>
  <c r="I6361" i="3"/>
  <c r="I6360" i="3"/>
  <c r="I6359" i="3"/>
  <c r="I6358" i="3"/>
  <c r="I6357" i="3"/>
  <c r="I6356" i="3"/>
  <c r="I6355" i="3"/>
  <c r="I6354" i="3"/>
  <c r="I6353" i="3"/>
  <c r="I6352" i="3"/>
  <c r="I6351" i="3"/>
  <c r="I6350" i="3"/>
  <c r="I6349" i="3"/>
  <c r="I6348" i="3"/>
  <c r="I6347" i="3"/>
  <c r="I6346" i="3"/>
  <c r="I6345" i="3"/>
  <c r="I6344" i="3"/>
  <c r="I6343" i="3"/>
  <c r="I6342" i="3"/>
  <c r="I6341" i="3"/>
  <c r="I6340" i="3"/>
  <c r="I6339" i="3"/>
  <c r="I6338" i="3"/>
  <c r="I6337" i="3"/>
  <c r="I6336" i="3"/>
  <c r="I6335" i="3"/>
  <c r="I6334" i="3"/>
  <c r="I6333" i="3"/>
  <c r="I6332" i="3"/>
  <c r="I6331" i="3"/>
  <c r="I6330" i="3"/>
  <c r="I6329" i="3"/>
  <c r="I6328" i="3"/>
  <c r="I6327" i="3"/>
  <c r="I6326" i="3"/>
  <c r="I6325" i="3"/>
  <c r="I6324" i="3"/>
  <c r="I6323" i="3"/>
  <c r="I6322" i="3"/>
  <c r="I6321" i="3"/>
  <c r="I6320" i="3"/>
  <c r="I6319" i="3"/>
  <c r="I6318" i="3"/>
  <c r="I6317" i="3"/>
  <c r="I6316" i="3"/>
  <c r="I6315" i="3"/>
  <c r="I6314" i="3"/>
  <c r="I6313" i="3"/>
  <c r="I6312" i="3"/>
  <c r="I6311" i="3"/>
  <c r="I6310" i="3"/>
  <c r="I6309" i="3"/>
  <c r="I6308" i="3"/>
  <c r="I6307" i="3"/>
  <c r="I6306" i="3"/>
  <c r="I6305" i="3"/>
  <c r="I6304" i="3"/>
  <c r="I6303" i="3"/>
  <c r="I6302" i="3"/>
  <c r="I6301" i="3"/>
  <c r="I6300" i="3"/>
  <c r="I6299" i="3"/>
  <c r="I6298" i="3"/>
  <c r="I6297" i="3"/>
  <c r="I6296" i="3"/>
  <c r="I6295" i="3"/>
  <c r="I6294" i="3"/>
  <c r="I6293" i="3"/>
  <c r="I6292" i="3"/>
  <c r="I6291" i="3"/>
  <c r="I6290" i="3"/>
  <c r="I6289" i="3"/>
  <c r="I6288" i="3"/>
  <c r="I6287" i="3"/>
  <c r="I6286" i="3"/>
  <c r="I6285" i="3"/>
  <c r="I6284" i="3"/>
  <c r="I6283" i="3"/>
  <c r="I6282" i="3"/>
  <c r="I6281" i="3"/>
  <c r="I6280" i="3"/>
  <c r="I6279" i="3"/>
  <c r="I6278" i="3"/>
  <c r="I6277" i="3"/>
  <c r="I6276" i="3"/>
  <c r="I6275" i="3"/>
  <c r="I6274" i="3"/>
  <c r="I6273" i="3"/>
  <c r="I6272" i="3"/>
  <c r="I6271" i="3"/>
  <c r="I6270" i="3"/>
  <c r="I6269" i="3"/>
  <c r="I6268" i="3"/>
  <c r="I6267" i="3"/>
  <c r="I6266" i="3"/>
  <c r="I6265" i="3"/>
  <c r="I6264" i="3"/>
  <c r="I6263" i="3"/>
  <c r="I6262" i="3"/>
  <c r="I6261" i="3"/>
  <c r="I6260" i="3"/>
  <c r="I6259" i="3"/>
  <c r="I6258" i="3"/>
  <c r="I6257" i="3"/>
  <c r="I6256" i="3"/>
  <c r="I6255" i="3"/>
  <c r="I6254" i="3"/>
  <c r="I6253" i="3"/>
  <c r="I6252" i="3"/>
  <c r="I6251" i="3"/>
  <c r="I6250" i="3"/>
  <c r="I6249" i="3"/>
  <c r="I6248" i="3"/>
  <c r="I6247" i="3"/>
  <c r="I6246" i="3"/>
  <c r="I6245" i="3"/>
  <c r="I6244" i="3"/>
  <c r="I6243" i="3"/>
  <c r="I6242" i="3"/>
  <c r="I6241" i="3"/>
  <c r="I6240" i="3"/>
  <c r="I6239" i="3"/>
  <c r="I6238" i="3"/>
  <c r="I6237" i="3"/>
  <c r="I6236" i="3"/>
  <c r="I6235" i="3"/>
  <c r="I6234" i="3"/>
  <c r="I6233" i="3"/>
  <c r="I6232" i="3"/>
  <c r="I6231" i="3"/>
  <c r="I6230" i="3"/>
  <c r="I6229" i="3"/>
  <c r="I6228" i="3"/>
  <c r="I6227" i="3"/>
  <c r="I6226" i="3"/>
  <c r="I6225" i="3"/>
  <c r="I6224" i="3"/>
  <c r="I6223" i="3"/>
  <c r="I6222" i="3"/>
  <c r="I6221" i="3"/>
  <c r="I6220" i="3"/>
  <c r="I6219" i="3"/>
  <c r="I6218" i="3"/>
  <c r="I6217" i="3"/>
  <c r="I6216" i="3"/>
  <c r="I6215" i="3"/>
  <c r="I6214" i="3"/>
  <c r="I6213" i="3"/>
  <c r="I6212" i="3"/>
  <c r="I6211" i="3"/>
  <c r="I6210" i="3"/>
  <c r="I6209" i="3"/>
  <c r="I6208" i="3"/>
  <c r="I6207" i="3"/>
  <c r="I6206" i="3"/>
  <c r="I6205" i="3"/>
  <c r="I6204" i="3"/>
  <c r="I6203" i="3"/>
  <c r="I6202" i="3"/>
  <c r="I6201" i="3"/>
  <c r="I6200" i="3"/>
  <c r="I6199" i="3"/>
  <c r="I6198" i="3"/>
  <c r="I6197" i="3"/>
  <c r="I6196" i="3"/>
  <c r="I6195" i="3"/>
  <c r="I6194" i="3"/>
  <c r="I6193" i="3"/>
  <c r="I6192" i="3"/>
  <c r="I6191" i="3"/>
  <c r="I6190" i="3"/>
  <c r="I6189" i="3"/>
  <c r="I6188" i="3"/>
  <c r="I6187" i="3"/>
  <c r="I6186" i="3"/>
  <c r="I6185" i="3"/>
  <c r="I6184" i="3"/>
  <c r="I6183" i="3"/>
  <c r="I6182" i="3"/>
  <c r="I6181" i="3"/>
  <c r="I6180" i="3"/>
  <c r="I6179" i="3"/>
  <c r="I6178" i="3"/>
  <c r="I6177" i="3"/>
  <c r="I6176" i="3"/>
  <c r="I6175" i="3"/>
  <c r="I6174" i="3"/>
  <c r="I6173" i="3"/>
  <c r="I6172" i="3"/>
  <c r="I6171" i="3"/>
  <c r="I6170" i="3"/>
  <c r="I6169" i="3"/>
  <c r="I6168" i="3"/>
  <c r="I6167" i="3"/>
  <c r="I6166" i="3"/>
  <c r="I6165" i="3"/>
  <c r="I6164" i="3"/>
  <c r="I6163" i="3"/>
  <c r="I6162" i="3"/>
  <c r="I6161" i="3"/>
  <c r="I6160" i="3"/>
  <c r="I6159" i="3"/>
  <c r="I6158" i="3"/>
  <c r="I6157" i="3"/>
  <c r="I6156" i="3"/>
  <c r="I6155" i="3"/>
  <c r="I6154" i="3"/>
  <c r="I6153" i="3"/>
  <c r="I6152" i="3"/>
  <c r="I6151" i="3"/>
  <c r="I6150" i="3"/>
  <c r="I6149" i="3"/>
  <c r="I6148" i="3"/>
  <c r="I6147" i="3"/>
  <c r="I6146" i="3"/>
  <c r="I6145" i="3"/>
  <c r="I6144" i="3"/>
  <c r="I6143" i="3"/>
  <c r="I6142" i="3"/>
  <c r="I6141" i="3"/>
  <c r="I6140" i="3"/>
  <c r="I6139" i="3"/>
  <c r="I6138" i="3"/>
  <c r="I6137" i="3"/>
  <c r="I6136" i="3"/>
  <c r="I6135" i="3"/>
  <c r="I6134" i="3"/>
  <c r="I6133" i="3"/>
  <c r="I6132" i="3"/>
  <c r="I6131" i="3"/>
  <c r="I6130" i="3"/>
  <c r="I6129" i="3"/>
  <c r="I6128" i="3"/>
  <c r="I6127" i="3"/>
  <c r="I6126" i="3"/>
  <c r="I6125" i="3"/>
  <c r="I6124" i="3"/>
  <c r="I6123" i="3"/>
  <c r="I6122" i="3"/>
  <c r="I6121" i="3"/>
  <c r="I6120" i="3"/>
  <c r="I6119" i="3"/>
  <c r="I6118" i="3"/>
  <c r="I6117" i="3"/>
  <c r="I6116" i="3"/>
  <c r="I6115" i="3"/>
  <c r="I6114" i="3"/>
  <c r="I6113" i="3"/>
  <c r="I6112" i="3"/>
  <c r="I6111" i="3"/>
  <c r="I6110" i="3"/>
  <c r="I6109" i="3"/>
  <c r="I6108" i="3"/>
  <c r="I6107" i="3"/>
  <c r="I6106" i="3"/>
  <c r="I6105" i="3"/>
  <c r="I6104" i="3"/>
  <c r="I6103" i="3"/>
  <c r="I6102" i="3"/>
  <c r="I6101" i="3"/>
  <c r="I6100" i="3"/>
  <c r="I6099" i="3"/>
  <c r="I6098" i="3"/>
  <c r="I6097" i="3"/>
  <c r="I6096" i="3"/>
  <c r="I6095" i="3"/>
  <c r="I6094" i="3"/>
  <c r="I6093" i="3"/>
  <c r="I6092" i="3"/>
  <c r="I6091" i="3"/>
  <c r="I6090" i="3"/>
  <c r="I6089" i="3"/>
  <c r="I6088" i="3"/>
  <c r="I6087" i="3"/>
  <c r="I6086" i="3"/>
  <c r="I6085" i="3"/>
  <c r="I6084" i="3"/>
  <c r="I6083" i="3"/>
  <c r="I6082" i="3"/>
  <c r="I6081" i="3"/>
  <c r="I6080" i="3"/>
  <c r="I6079" i="3"/>
  <c r="I6078" i="3"/>
  <c r="I6077" i="3"/>
  <c r="I6076" i="3"/>
  <c r="I6075" i="3"/>
  <c r="I6074" i="3"/>
  <c r="I6073" i="3"/>
  <c r="I6072" i="3"/>
  <c r="I6071" i="3"/>
  <c r="I6070" i="3"/>
  <c r="I6069" i="3"/>
  <c r="I6068" i="3"/>
  <c r="I6067" i="3"/>
  <c r="I6066" i="3"/>
  <c r="I6065" i="3"/>
  <c r="I6064" i="3"/>
  <c r="I6063" i="3"/>
  <c r="I6062" i="3"/>
  <c r="I6061" i="3"/>
  <c r="I6060" i="3"/>
  <c r="I6059" i="3"/>
  <c r="I6058" i="3"/>
  <c r="I6057" i="3"/>
  <c r="I6056" i="3"/>
  <c r="I6055" i="3"/>
  <c r="I6054" i="3"/>
  <c r="I6053" i="3"/>
  <c r="I6052" i="3"/>
  <c r="I6051" i="3"/>
  <c r="I6050" i="3"/>
  <c r="I6049" i="3"/>
  <c r="I6048" i="3"/>
  <c r="I6047" i="3"/>
  <c r="I6046" i="3"/>
  <c r="I6045" i="3"/>
  <c r="I6044" i="3"/>
  <c r="I6043" i="3"/>
  <c r="I6042" i="3"/>
  <c r="I6041" i="3"/>
  <c r="I6040" i="3"/>
  <c r="I6039" i="3"/>
  <c r="I6038" i="3"/>
  <c r="I6037" i="3"/>
  <c r="I6036" i="3"/>
  <c r="I6035" i="3"/>
  <c r="I6034" i="3"/>
  <c r="I6033" i="3"/>
  <c r="I6032" i="3"/>
  <c r="I6031" i="3"/>
  <c r="I6030" i="3"/>
  <c r="I6029" i="3"/>
  <c r="I6028" i="3"/>
  <c r="I6027" i="3"/>
  <c r="I6026" i="3"/>
  <c r="I6025" i="3"/>
  <c r="I6024" i="3"/>
  <c r="I6023" i="3"/>
  <c r="I6022" i="3"/>
  <c r="I6021" i="3"/>
  <c r="I6020" i="3"/>
  <c r="I6019" i="3"/>
  <c r="I6018" i="3"/>
  <c r="I6017" i="3"/>
  <c r="I6016" i="3"/>
  <c r="I6015" i="3"/>
  <c r="I6014" i="3"/>
  <c r="I6013" i="3"/>
  <c r="I6012" i="3"/>
  <c r="I6011" i="3"/>
  <c r="I6010" i="3"/>
  <c r="I6009" i="3"/>
  <c r="I6008" i="3"/>
  <c r="I6007" i="3"/>
  <c r="I6006" i="3"/>
  <c r="I6005" i="3"/>
  <c r="I6004" i="3"/>
  <c r="I6003" i="3"/>
  <c r="I6002" i="3"/>
  <c r="I6001" i="3"/>
  <c r="I6000" i="3"/>
  <c r="I5999" i="3"/>
  <c r="I5998" i="3"/>
  <c r="I5997" i="3"/>
  <c r="I5996" i="3"/>
  <c r="I5995" i="3"/>
  <c r="I5994" i="3"/>
  <c r="I5993" i="3"/>
  <c r="I5992" i="3"/>
  <c r="I5991" i="3"/>
  <c r="I5990" i="3"/>
  <c r="I5989" i="3"/>
  <c r="I5988" i="3"/>
  <c r="I5987" i="3"/>
  <c r="I5986" i="3"/>
  <c r="I5985" i="3"/>
  <c r="I5984" i="3"/>
  <c r="I5983" i="3"/>
  <c r="I5982" i="3"/>
  <c r="I5981" i="3"/>
  <c r="I5980" i="3"/>
  <c r="I5979" i="3"/>
  <c r="I5978" i="3"/>
  <c r="I5977" i="3"/>
  <c r="I5976" i="3"/>
  <c r="I5975" i="3"/>
  <c r="I5974" i="3"/>
  <c r="I5973" i="3"/>
  <c r="I5972" i="3"/>
  <c r="I5971" i="3"/>
  <c r="I5970" i="3"/>
  <c r="I5969" i="3"/>
  <c r="I5968" i="3"/>
  <c r="I5967" i="3"/>
  <c r="I5966" i="3"/>
  <c r="I5965" i="3"/>
  <c r="I5964" i="3"/>
  <c r="I5963" i="3"/>
  <c r="I5962" i="3"/>
  <c r="I5961" i="3"/>
  <c r="I5960" i="3"/>
  <c r="I5959" i="3"/>
  <c r="I5958" i="3"/>
  <c r="I5957" i="3"/>
  <c r="I5956" i="3"/>
  <c r="I5955" i="3"/>
  <c r="I5954" i="3"/>
  <c r="I5953" i="3"/>
  <c r="I5952" i="3"/>
  <c r="I5951" i="3"/>
  <c r="I5950" i="3"/>
  <c r="I5949" i="3"/>
  <c r="I5948" i="3"/>
  <c r="I5947" i="3"/>
  <c r="I5946" i="3"/>
  <c r="I5945" i="3"/>
  <c r="I5944" i="3"/>
  <c r="I5943" i="3"/>
  <c r="I5942" i="3"/>
  <c r="I5941" i="3"/>
  <c r="I5940" i="3"/>
  <c r="I5939" i="3"/>
  <c r="I5938" i="3"/>
  <c r="I5937" i="3"/>
  <c r="I5936" i="3"/>
  <c r="I5935" i="3"/>
  <c r="I5934" i="3"/>
  <c r="I5933" i="3"/>
  <c r="I5932" i="3"/>
  <c r="I5931" i="3"/>
  <c r="I5930" i="3"/>
  <c r="I5929" i="3"/>
  <c r="I5928" i="3"/>
  <c r="I5927" i="3"/>
  <c r="I5926" i="3"/>
  <c r="I5925" i="3"/>
  <c r="I5924" i="3"/>
  <c r="I5923" i="3"/>
  <c r="I5922" i="3"/>
  <c r="I5921" i="3"/>
  <c r="I5920" i="3"/>
  <c r="I5919" i="3"/>
  <c r="I5918" i="3"/>
  <c r="I5917" i="3"/>
  <c r="I5916" i="3"/>
  <c r="I5915" i="3"/>
  <c r="I5914" i="3"/>
  <c r="I5913" i="3"/>
  <c r="I5912" i="3"/>
  <c r="I5911" i="3"/>
  <c r="I5910" i="3"/>
  <c r="I5909" i="3"/>
  <c r="I5908" i="3"/>
  <c r="I5907" i="3"/>
  <c r="I5906" i="3"/>
  <c r="I5905" i="3"/>
  <c r="I5904" i="3"/>
  <c r="I5903" i="3"/>
  <c r="I5902" i="3"/>
  <c r="I5901" i="3"/>
  <c r="I5900" i="3"/>
  <c r="I5899" i="3"/>
  <c r="I5898" i="3"/>
  <c r="I5897" i="3"/>
  <c r="I5896" i="3"/>
  <c r="I5895" i="3"/>
  <c r="I5894" i="3"/>
  <c r="I5893" i="3"/>
  <c r="I5892" i="3"/>
  <c r="I5891" i="3"/>
  <c r="I5890" i="3"/>
  <c r="I5889" i="3"/>
  <c r="I5888" i="3"/>
  <c r="I5887" i="3"/>
  <c r="I5886" i="3"/>
  <c r="I5885" i="3"/>
  <c r="I5884" i="3"/>
  <c r="I5883" i="3"/>
  <c r="I5882" i="3"/>
  <c r="I5881" i="3"/>
  <c r="I5880" i="3"/>
  <c r="I5879" i="3"/>
  <c r="I5878" i="3"/>
  <c r="I5877" i="3"/>
  <c r="I5876" i="3"/>
  <c r="I5875" i="3"/>
  <c r="I5874" i="3"/>
  <c r="I5873" i="3"/>
  <c r="I5872" i="3"/>
  <c r="I5871" i="3"/>
  <c r="I5870" i="3"/>
  <c r="I5869" i="3"/>
  <c r="I5868" i="3"/>
  <c r="I5867" i="3"/>
  <c r="I5866" i="3"/>
  <c r="I5865" i="3"/>
  <c r="I5864" i="3"/>
  <c r="I5863" i="3"/>
  <c r="I5862" i="3"/>
  <c r="I5861" i="3"/>
  <c r="I5860" i="3"/>
  <c r="I5859" i="3"/>
  <c r="I5858" i="3"/>
  <c r="I5857" i="3"/>
  <c r="I5856" i="3"/>
  <c r="I5855" i="3"/>
  <c r="I5854" i="3"/>
  <c r="I5853" i="3"/>
  <c r="I5852" i="3"/>
  <c r="I5851" i="3"/>
  <c r="I5850" i="3"/>
  <c r="I5849" i="3"/>
  <c r="I5848" i="3"/>
  <c r="I5847" i="3"/>
  <c r="I5846" i="3"/>
  <c r="I5845" i="3"/>
  <c r="I5844" i="3"/>
  <c r="I5843" i="3"/>
  <c r="I5842" i="3"/>
  <c r="I5841" i="3"/>
  <c r="I5840" i="3"/>
  <c r="I5839" i="3"/>
  <c r="I5838" i="3"/>
  <c r="I5837" i="3"/>
  <c r="I5836" i="3"/>
  <c r="I5835" i="3"/>
  <c r="I5834" i="3"/>
  <c r="I5833" i="3"/>
  <c r="I5832" i="3"/>
  <c r="I5831" i="3"/>
  <c r="I5830" i="3"/>
  <c r="I5829" i="3"/>
  <c r="I5828" i="3"/>
  <c r="I5827" i="3"/>
  <c r="I5826" i="3"/>
  <c r="I5825" i="3"/>
  <c r="I5824" i="3"/>
  <c r="I5823" i="3"/>
  <c r="I5822" i="3"/>
  <c r="I5821" i="3"/>
  <c r="I5820" i="3"/>
  <c r="I5819" i="3"/>
  <c r="I5818" i="3"/>
  <c r="I5817" i="3"/>
  <c r="I5816" i="3"/>
  <c r="I5815" i="3"/>
  <c r="I5814" i="3"/>
  <c r="I5813" i="3"/>
  <c r="I5812" i="3"/>
  <c r="I5811" i="3"/>
  <c r="I5810" i="3"/>
  <c r="I5809" i="3"/>
  <c r="I5808" i="3"/>
  <c r="I5807" i="3"/>
  <c r="I5806" i="3"/>
  <c r="I5805" i="3"/>
  <c r="I5804" i="3"/>
  <c r="I5803" i="3"/>
  <c r="I5802" i="3"/>
  <c r="I5801" i="3"/>
  <c r="I5800" i="3"/>
  <c r="I5799" i="3"/>
  <c r="I5798" i="3"/>
  <c r="I5797" i="3"/>
  <c r="I5796" i="3"/>
  <c r="I5795" i="3"/>
  <c r="I5794" i="3"/>
  <c r="I5793" i="3"/>
  <c r="I5792" i="3"/>
  <c r="I5791" i="3"/>
  <c r="I5790" i="3"/>
  <c r="I5789" i="3"/>
  <c r="I5788" i="3"/>
  <c r="I5787" i="3"/>
  <c r="I5786" i="3"/>
  <c r="I5785" i="3"/>
  <c r="I5784" i="3"/>
  <c r="I5783" i="3"/>
  <c r="I5782" i="3"/>
  <c r="I5781" i="3"/>
  <c r="I5780" i="3"/>
  <c r="I5779" i="3"/>
  <c r="I5778" i="3"/>
  <c r="I5777" i="3"/>
  <c r="I5776" i="3"/>
  <c r="I5775" i="3"/>
  <c r="I5774" i="3"/>
  <c r="I5773" i="3"/>
  <c r="I5772" i="3"/>
  <c r="I5771" i="3"/>
  <c r="I5770" i="3"/>
  <c r="I5769" i="3"/>
  <c r="I5768" i="3"/>
  <c r="I5767" i="3"/>
  <c r="I5766" i="3"/>
  <c r="I5765" i="3"/>
  <c r="I5764" i="3"/>
  <c r="I5763" i="3"/>
  <c r="I5762" i="3"/>
  <c r="I5761" i="3"/>
  <c r="I5760" i="3"/>
  <c r="I5759" i="3"/>
  <c r="I5758" i="3"/>
  <c r="I5757" i="3"/>
  <c r="I5756" i="3"/>
  <c r="I5755" i="3"/>
  <c r="I5754" i="3"/>
  <c r="I5753" i="3"/>
  <c r="I5752" i="3"/>
  <c r="I5751" i="3"/>
  <c r="I5750" i="3"/>
  <c r="I5749" i="3"/>
  <c r="I5748" i="3"/>
  <c r="I5747" i="3"/>
  <c r="I5746" i="3"/>
  <c r="I5745" i="3"/>
  <c r="I5744" i="3"/>
  <c r="I5743" i="3"/>
  <c r="I5742" i="3"/>
  <c r="I5741" i="3"/>
  <c r="I5740" i="3"/>
  <c r="I5739" i="3"/>
  <c r="I5738" i="3"/>
  <c r="I5737" i="3"/>
  <c r="I5736" i="3"/>
  <c r="I5735" i="3"/>
  <c r="I5734" i="3"/>
  <c r="I5733" i="3"/>
  <c r="I5732" i="3"/>
  <c r="I5731" i="3"/>
  <c r="I5730" i="3"/>
  <c r="I5729" i="3"/>
  <c r="I5728" i="3"/>
  <c r="I5727" i="3"/>
  <c r="I5726" i="3"/>
  <c r="I5725" i="3"/>
  <c r="I5724" i="3"/>
  <c r="I5723" i="3"/>
  <c r="I5722" i="3"/>
  <c r="I5721" i="3"/>
  <c r="I5720" i="3"/>
  <c r="I5719" i="3"/>
  <c r="I5718" i="3"/>
  <c r="I5717" i="3"/>
  <c r="I5716" i="3"/>
  <c r="I5715" i="3"/>
  <c r="I5714" i="3"/>
  <c r="I5713" i="3"/>
  <c r="I5712" i="3"/>
  <c r="I5711" i="3"/>
  <c r="I5710" i="3"/>
  <c r="I5709" i="3"/>
  <c r="I5708" i="3"/>
  <c r="I5707" i="3"/>
  <c r="I5706" i="3"/>
  <c r="I5705" i="3"/>
  <c r="I5704" i="3"/>
  <c r="I5703" i="3"/>
  <c r="I5702" i="3"/>
  <c r="I5701" i="3"/>
  <c r="I5700" i="3"/>
  <c r="I5699" i="3"/>
  <c r="I5698" i="3"/>
  <c r="I5697" i="3"/>
  <c r="I5696" i="3"/>
  <c r="I5695" i="3"/>
  <c r="I5694" i="3"/>
  <c r="I5693" i="3"/>
  <c r="I5692" i="3"/>
  <c r="I5691" i="3"/>
  <c r="I5690" i="3"/>
  <c r="I5689" i="3"/>
  <c r="I5688" i="3"/>
  <c r="I5687" i="3"/>
  <c r="I5686" i="3"/>
  <c r="I5685" i="3"/>
  <c r="I5684" i="3"/>
  <c r="I5683" i="3"/>
  <c r="I5682" i="3"/>
  <c r="I5681" i="3"/>
  <c r="I5680" i="3"/>
  <c r="I5679" i="3"/>
  <c r="I5678" i="3"/>
  <c r="I5677" i="3"/>
  <c r="I5676" i="3"/>
  <c r="I5675" i="3"/>
  <c r="I5674" i="3"/>
  <c r="I5673" i="3"/>
  <c r="I5672" i="3"/>
  <c r="I5671" i="3"/>
  <c r="I5670" i="3"/>
  <c r="I5669" i="3"/>
  <c r="I5668" i="3"/>
  <c r="I5667" i="3"/>
  <c r="I5666" i="3"/>
  <c r="I5665" i="3"/>
  <c r="I5664" i="3"/>
  <c r="I5663" i="3"/>
  <c r="I5662" i="3"/>
  <c r="I5661" i="3"/>
  <c r="I5660" i="3"/>
  <c r="I5659" i="3"/>
  <c r="I5658" i="3"/>
  <c r="I5657" i="3"/>
  <c r="I5656" i="3"/>
  <c r="I5655" i="3"/>
  <c r="I5654" i="3"/>
  <c r="I5653" i="3"/>
  <c r="I5652" i="3"/>
  <c r="I5651" i="3"/>
  <c r="I5650" i="3"/>
  <c r="I5649" i="3"/>
  <c r="I5648" i="3"/>
  <c r="I5647" i="3"/>
  <c r="I5646" i="3"/>
  <c r="I5645" i="3"/>
  <c r="I5644" i="3"/>
  <c r="I5643" i="3"/>
  <c r="I5642" i="3"/>
  <c r="I5641" i="3"/>
  <c r="I5640" i="3"/>
  <c r="I5639" i="3"/>
  <c r="I5638" i="3"/>
  <c r="I5637" i="3"/>
  <c r="I5636" i="3"/>
  <c r="I5635" i="3"/>
  <c r="I5634" i="3"/>
  <c r="I5633" i="3"/>
  <c r="I5632" i="3"/>
  <c r="I5631" i="3"/>
  <c r="I5630" i="3"/>
  <c r="I5629" i="3"/>
  <c r="I5628" i="3"/>
  <c r="I5627" i="3"/>
  <c r="I5626" i="3"/>
  <c r="I5625" i="3"/>
  <c r="I5624" i="3"/>
  <c r="I5623" i="3"/>
  <c r="I5622" i="3"/>
  <c r="I5621" i="3"/>
  <c r="I5620" i="3"/>
  <c r="I5619" i="3"/>
  <c r="I5618" i="3"/>
  <c r="I5617" i="3"/>
  <c r="I5616" i="3"/>
  <c r="I5615" i="3"/>
  <c r="I5614" i="3"/>
  <c r="I5613" i="3"/>
  <c r="I5612" i="3"/>
  <c r="I5611" i="3"/>
  <c r="I5610" i="3"/>
  <c r="I5609" i="3"/>
  <c r="I5608" i="3"/>
  <c r="I5607" i="3"/>
  <c r="I5606" i="3"/>
  <c r="I5605" i="3"/>
  <c r="I5604" i="3"/>
  <c r="I5603" i="3"/>
  <c r="I5602" i="3"/>
  <c r="I5601" i="3"/>
  <c r="I5600" i="3"/>
  <c r="I5599" i="3"/>
  <c r="I5598" i="3"/>
  <c r="I5597" i="3"/>
  <c r="I5596" i="3"/>
  <c r="I5595" i="3"/>
  <c r="I5594" i="3"/>
  <c r="I5593" i="3"/>
  <c r="I5592" i="3"/>
  <c r="I5591" i="3"/>
  <c r="I5590" i="3"/>
  <c r="I5589" i="3"/>
  <c r="I5588" i="3"/>
  <c r="I5587" i="3"/>
  <c r="I5586" i="3"/>
  <c r="I5585" i="3"/>
  <c r="I5584" i="3"/>
  <c r="I5583" i="3"/>
  <c r="I5582" i="3"/>
  <c r="I5581" i="3"/>
  <c r="I5580" i="3"/>
  <c r="I5579" i="3"/>
  <c r="I5578" i="3"/>
  <c r="I5577" i="3"/>
  <c r="I5576" i="3"/>
  <c r="I5575" i="3"/>
  <c r="I5574" i="3"/>
  <c r="I5573" i="3"/>
  <c r="I5572" i="3"/>
  <c r="I5571" i="3"/>
  <c r="I5570" i="3"/>
  <c r="I5569" i="3"/>
  <c r="I5568" i="3"/>
  <c r="I5567" i="3"/>
  <c r="I5566" i="3"/>
  <c r="I5565" i="3"/>
  <c r="I5564" i="3"/>
  <c r="I5563" i="3"/>
  <c r="I5562" i="3"/>
  <c r="I5561" i="3"/>
  <c r="I5560" i="3"/>
  <c r="I5559" i="3"/>
  <c r="I5558" i="3"/>
  <c r="I5557" i="3"/>
  <c r="I5556" i="3"/>
  <c r="I5555" i="3"/>
  <c r="I5554" i="3"/>
  <c r="I5553" i="3"/>
  <c r="I5552" i="3"/>
  <c r="I5551" i="3"/>
  <c r="I5550" i="3"/>
  <c r="I5549" i="3"/>
  <c r="I5548" i="3"/>
  <c r="I5547" i="3"/>
  <c r="I5546" i="3"/>
  <c r="I5545" i="3"/>
  <c r="I5544" i="3"/>
  <c r="I5543" i="3"/>
  <c r="I5542" i="3"/>
  <c r="I5541" i="3"/>
  <c r="I5540" i="3"/>
  <c r="I5539" i="3"/>
  <c r="I5538" i="3"/>
  <c r="I5537" i="3"/>
  <c r="I5536" i="3"/>
  <c r="I5535" i="3"/>
  <c r="I5534" i="3"/>
  <c r="I5533" i="3"/>
  <c r="I5532" i="3"/>
  <c r="I5531" i="3"/>
  <c r="I5530" i="3"/>
  <c r="I5529" i="3"/>
  <c r="I5528" i="3"/>
  <c r="I5527" i="3"/>
  <c r="I5526" i="3"/>
  <c r="I5525" i="3"/>
  <c r="I5524" i="3"/>
  <c r="I5523" i="3"/>
  <c r="I5522" i="3"/>
  <c r="I5521" i="3"/>
  <c r="I5520" i="3"/>
  <c r="I5519" i="3"/>
  <c r="I5518" i="3"/>
  <c r="I5517" i="3"/>
  <c r="I5516" i="3"/>
  <c r="I5515" i="3"/>
  <c r="I5514" i="3"/>
  <c r="I5513" i="3"/>
  <c r="I5512" i="3"/>
  <c r="I5511" i="3"/>
  <c r="I5510" i="3"/>
  <c r="I5509" i="3"/>
  <c r="I5508" i="3"/>
  <c r="I5507" i="3"/>
  <c r="I5506" i="3"/>
  <c r="I5505" i="3"/>
  <c r="I5504" i="3"/>
  <c r="I5503" i="3"/>
  <c r="I5502" i="3"/>
  <c r="I5501" i="3"/>
  <c r="I5500" i="3"/>
  <c r="I5499" i="3"/>
  <c r="I5498" i="3"/>
  <c r="I5497" i="3"/>
  <c r="I5496" i="3"/>
  <c r="I5495" i="3"/>
  <c r="I5494" i="3"/>
  <c r="I5493" i="3"/>
  <c r="I5492" i="3"/>
  <c r="I5491" i="3"/>
  <c r="I5490" i="3"/>
  <c r="I5489" i="3"/>
  <c r="I5488" i="3"/>
  <c r="I5487" i="3"/>
  <c r="I5486" i="3"/>
  <c r="I5485" i="3"/>
  <c r="I5484" i="3"/>
  <c r="I5483" i="3"/>
  <c r="I5482" i="3"/>
  <c r="I5481" i="3"/>
  <c r="I5480" i="3"/>
  <c r="I5479" i="3"/>
  <c r="I5478" i="3"/>
  <c r="I5477" i="3"/>
  <c r="I5476" i="3"/>
  <c r="I5475" i="3"/>
  <c r="I5474" i="3"/>
  <c r="I5473" i="3"/>
  <c r="I5472" i="3"/>
  <c r="I5471" i="3"/>
  <c r="I5470" i="3"/>
  <c r="I5469" i="3"/>
  <c r="I5468" i="3"/>
  <c r="I5467" i="3"/>
  <c r="I5466" i="3"/>
  <c r="I5465" i="3"/>
  <c r="I5464" i="3"/>
  <c r="I5463" i="3"/>
  <c r="I5462" i="3"/>
  <c r="I5461" i="3"/>
  <c r="I5460" i="3"/>
  <c r="I5459" i="3"/>
  <c r="I5458" i="3"/>
  <c r="I5457" i="3"/>
  <c r="I5456" i="3"/>
  <c r="I5455" i="3"/>
  <c r="I5454" i="3"/>
  <c r="I5453" i="3"/>
  <c r="I5452" i="3"/>
  <c r="I5451" i="3"/>
  <c r="I5450" i="3"/>
  <c r="I5449" i="3"/>
  <c r="I5448" i="3"/>
  <c r="I5447" i="3"/>
  <c r="I5446" i="3"/>
  <c r="I5445" i="3"/>
  <c r="I5444" i="3"/>
  <c r="I5443" i="3"/>
  <c r="I5442" i="3"/>
  <c r="I5441" i="3"/>
  <c r="I5440" i="3"/>
  <c r="I5439" i="3"/>
  <c r="I5438" i="3"/>
  <c r="I5437" i="3"/>
  <c r="I5436" i="3"/>
  <c r="I5435" i="3"/>
  <c r="I5434" i="3"/>
  <c r="I5433" i="3"/>
  <c r="I5432" i="3"/>
  <c r="I5431" i="3"/>
  <c r="I5430" i="3"/>
  <c r="I5429" i="3"/>
  <c r="I5428" i="3"/>
  <c r="I5427" i="3"/>
  <c r="I5426" i="3"/>
  <c r="I5425" i="3"/>
  <c r="I5424" i="3"/>
  <c r="I5423" i="3"/>
  <c r="I5422" i="3"/>
  <c r="I5421" i="3"/>
  <c r="I5420" i="3"/>
  <c r="I5419" i="3"/>
  <c r="I5418" i="3"/>
  <c r="I5417" i="3"/>
  <c r="I5416" i="3"/>
  <c r="I5415" i="3"/>
  <c r="I5414" i="3"/>
  <c r="I5413" i="3"/>
  <c r="I5412" i="3"/>
  <c r="I5411" i="3"/>
  <c r="I5410" i="3"/>
  <c r="I5409" i="3"/>
  <c r="I5408" i="3"/>
  <c r="I5407" i="3"/>
  <c r="I5406" i="3"/>
  <c r="I5405" i="3"/>
  <c r="I5404" i="3"/>
  <c r="I5403" i="3"/>
  <c r="I5402" i="3"/>
  <c r="I5401" i="3"/>
  <c r="I5400" i="3"/>
  <c r="I5399" i="3"/>
  <c r="I5398" i="3"/>
  <c r="I5397" i="3"/>
  <c r="I5396" i="3"/>
  <c r="I5395" i="3"/>
  <c r="I5394" i="3"/>
  <c r="I5393" i="3"/>
  <c r="I5392" i="3"/>
  <c r="I5391" i="3"/>
  <c r="I5390" i="3"/>
  <c r="I5389" i="3"/>
  <c r="I5388" i="3"/>
  <c r="I5387" i="3"/>
  <c r="I5386" i="3"/>
  <c r="I5385" i="3"/>
  <c r="I5384" i="3"/>
  <c r="I5383" i="3"/>
  <c r="I5382" i="3"/>
  <c r="I5381" i="3"/>
  <c r="I5380" i="3"/>
  <c r="I5379" i="3"/>
  <c r="I5378" i="3"/>
  <c r="I5377" i="3"/>
  <c r="I5376" i="3"/>
  <c r="I5375" i="3"/>
  <c r="I5374" i="3"/>
  <c r="I5373" i="3"/>
  <c r="I5372" i="3"/>
  <c r="I5371" i="3"/>
  <c r="I5370" i="3"/>
  <c r="I5369" i="3"/>
  <c r="I5368" i="3"/>
  <c r="I5367" i="3"/>
  <c r="I5366" i="3"/>
  <c r="I5365" i="3"/>
  <c r="I5364" i="3"/>
  <c r="I5363" i="3"/>
  <c r="I5362" i="3"/>
  <c r="I5361" i="3"/>
  <c r="I5360" i="3"/>
  <c r="I5359" i="3"/>
  <c r="I5358" i="3"/>
  <c r="I5357" i="3"/>
  <c r="I5356" i="3"/>
  <c r="I5355" i="3"/>
  <c r="I5354" i="3"/>
  <c r="I5353" i="3"/>
  <c r="I5352" i="3"/>
  <c r="I5351" i="3"/>
  <c r="I5350" i="3"/>
  <c r="I5349" i="3"/>
  <c r="I5348" i="3"/>
  <c r="I5347" i="3"/>
  <c r="I5346" i="3"/>
  <c r="I5345" i="3"/>
  <c r="I5344" i="3"/>
  <c r="I5343" i="3"/>
  <c r="I5342" i="3"/>
  <c r="I5341" i="3"/>
  <c r="I5340" i="3"/>
  <c r="I5339" i="3"/>
  <c r="I5338" i="3"/>
  <c r="I5337" i="3"/>
  <c r="I5336" i="3"/>
  <c r="I5335" i="3"/>
  <c r="I5334" i="3"/>
  <c r="I5333" i="3"/>
  <c r="I5332" i="3"/>
  <c r="I5331" i="3"/>
  <c r="I5330" i="3"/>
  <c r="I5329" i="3"/>
  <c r="I5328" i="3"/>
  <c r="I5327" i="3"/>
  <c r="I5326" i="3"/>
  <c r="I5325" i="3"/>
  <c r="I5324" i="3"/>
  <c r="I5323" i="3"/>
  <c r="I5322" i="3"/>
  <c r="I5321" i="3"/>
  <c r="I5320" i="3"/>
  <c r="I5319" i="3"/>
  <c r="I5318" i="3"/>
  <c r="I5317" i="3"/>
  <c r="I5316" i="3"/>
  <c r="I5315" i="3"/>
  <c r="I5314" i="3"/>
  <c r="I5313" i="3"/>
  <c r="I5312" i="3"/>
  <c r="I5311" i="3"/>
  <c r="I5310" i="3"/>
  <c r="I5309" i="3"/>
  <c r="I5308" i="3"/>
  <c r="I5307" i="3"/>
  <c r="I5306" i="3"/>
  <c r="I5305" i="3"/>
  <c r="I5304" i="3"/>
  <c r="I5303" i="3"/>
  <c r="I5302" i="3"/>
  <c r="I5301" i="3"/>
  <c r="I5300" i="3"/>
  <c r="I5299" i="3"/>
  <c r="I5298" i="3"/>
  <c r="I5297" i="3"/>
  <c r="I5296" i="3"/>
  <c r="I5295" i="3"/>
  <c r="I5294" i="3"/>
  <c r="I5293" i="3"/>
  <c r="I5292" i="3"/>
  <c r="I5291" i="3"/>
  <c r="I5290" i="3"/>
  <c r="I5289" i="3"/>
  <c r="I5288" i="3"/>
  <c r="I5287" i="3"/>
  <c r="I5286" i="3"/>
  <c r="I5285" i="3"/>
  <c r="I5284" i="3"/>
  <c r="I5283" i="3"/>
  <c r="I5282" i="3"/>
  <c r="I5281" i="3"/>
  <c r="I5280" i="3"/>
  <c r="I5279" i="3"/>
  <c r="I5278" i="3"/>
  <c r="I5277" i="3"/>
  <c r="I5276" i="3"/>
  <c r="I5275" i="3"/>
  <c r="I5274" i="3"/>
  <c r="I5273" i="3"/>
  <c r="I5272" i="3"/>
  <c r="I5271" i="3"/>
  <c r="I5270" i="3"/>
  <c r="I5269" i="3"/>
  <c r="I5268" i="3"/>
  <c r="I5267" i="3"/>
  <c r="I5266" i="3"/>
  <c r="I5265" i="3"/>
  <c r="I5264" i="3"/>
  <c r="I5263" i="3"/>
  <c r="I5262" i="3"/>
  <c r="I5261" i="3"/>
  <c r="I5260" i="3"/>
  <c r="I5259" i="3"/>
  <c r="I5258" i="3"/>
  <c r="I5257" i="3"/>
  <c r="I5256" i="3"/>
  <c r="I5255" i="3"/>
  <c r="I5254" i="3"/>
  <c r="I5253" i="3"/>
  <c r="I5252" i="3"/>
  <c r="I5251" i="3"/>
  <c r="I5250" i="3"/>
  <c r="I5249" i="3"/>
  <c r="I5248" i="3"/>
  <c r="I5247" i="3"/>
  <c r="I5246" i="3"/>
  <c r="I5245" i="3"/>
  <c r="I5244" i="3"/>
  <c r="I5243" i="3"/>
  <c r="I5242" i="3"/>
  <c r="I5241" i="3"/>
  <c r="I5240" i="3"/>
  <c r="I5239" i="3"/>
  <c r="I5238" i="3"/>
  <c r="I5237" i="3"/>
  <c r="I5236" i="3"/>
  <c r="I5235" i="3"/>
  <c r="I5234" i="3"/>
  <c r="I5233" i="3"/>
  <c r="I5232" i="3"/>
  <c r="I5231" i="3"/>
  <c r="I5230" i="3"/>
  <c r="I5229" i="3"/>
  <c r="I5228" i="3"/>
  <c r="I5227" i="3"/>
  <c r="I5226" i="3"/>
  <c r="I5225" i="3"/>
  <c r="I5224" i="3"/>
  <c r="I5223" i="3"/>
  <c r="I5222" i="3"/>
  <c r="I5221" i="3"/>
  <c r="I5220" i="3"/>
  <c r="I5219" i="3"/>
  <c r="I5218" i="3"/>
  <c r="I5217" i="3"/>
  <c r="I5216" i="3"/>
  <c r="I5215" i="3"/>
  <c r="I5214" i="3"/>
  <c r="I5213" i="3"/>
  <c r="I5212" i="3"/>
  <c r="I5211" i="3"/>
  <c r="I5210" i="3"/>
  <c r="I5209" i="3"/>
  <c r="I5208" i="3"/>
  <c r="I5207" i="3"/>
  <c r="I5206" i="3"/>
  <c r="I5205" i="3"/>
  <c r="I5204" i="3"/>
  <c r="I5203" i="3"/>
  <c r="I5202" i="3"/>
  <c r="I5201" i="3"/>
  <c r="I5200" i="3"/>
  <c r="I5199" i="3"/>
  <c r="I5198" i="3"/>
  <c r="I5197" i="3"/>
  <c r="I5196" i="3"/>
  <c r="I5195" i="3"/>
  <c r="I5194" i="3"/>
  <c r="I5193" i="3"/>
  <c r="I5192" i="3"/>
  <c r="I5191" i="3"/>
  <c r="I5190" i="3"/>
  <c r="I5189" i="3"/>
  <c r="I5188" i="3"/>
  <c r="I5187" i="3"/>
  <c r="I5186" i="3"/>
  <c r="I5185" i="3"/>
  <c r="I5184" i="3"/>
  <c r="I5183" i="3"/>
  <c r="I5182" i="3"/>
  <c r="I5181" i="3"/>
  <c r="I5180" i="3"/>
  <c r="I5179" i="3"/>
  <c r="I5178" i="3"/>
  <c r="I5177" i="3"/>
  <c r="I5176" i="3"/>
  <c r="I5175" i="3"/>
  <c r="I5174" i="3"/>
  <c r="I5173" i="3"/>
  <c r="I5172" i="3"/>
  <c r="I5171" i="3"/>
  <c r="I5170" i="3"/>
  <c r="I5169" i="3"/>
  <c r="I5168" i="3"/>
  <c r="I5167" i="3"/>
  <c r="I5166" i="3"/>
  <c r="I5165" i="3"/>
  <c r="I5164" i="3"/>
  <c r="I5163" i="3"/>
  <c r="I5162" i="3"/>
  <c r="I5161" i="3"/>
  <c r="I5160" i="3"/>
  <c r="I5159" i="3"/>
  <c r="I5158" i="3"/>
  <c r="I5157" i="3"/>
  <c r="I5156" i="3"/>
  <c r="I5155" i="3"/>
  <c r="I5154" i="3"/>
  <c r="I5153" i="3"/>
  <c r="I5152" i="3"/>
  <c r="I5151" i="3"/>
  <c r="I5150" i="3"/>
  <c r="I5149" i="3"/>
  <c r="I5148" i="3"/>
  <c r="I5147" i="3"/>
  <c r="I5146" i="3"/>
  <c r="I5145" i="3"/>
  <c r="I5144" i="3"/>
  <c r="I5143" i="3"/>
  <c r="I5142" i="3"/>
  <c r="I5141" i="3"/>
  <c r="I5140" i="3"/>
  <c r="I5139" i="3"/>
  <c r="I5138" i="3"/>
  <c r="I5137" i="3"/>
  <c r="I5136" i="3"/>
  <c r="I5135" i="3"/>
  <c r="I5134" i="3"/>
  <c r="I5133" i="3"/>
  <c r="I5132" i="3"/>
  <c r="I5131" i="3"/>
  <c r="I5130" i="3"/>
  <c r="I5129" i="3"/>
  <c r="I5128" i="3"/>
  <c r="I5127" i="3"/>
  <c r="I5126" i="3"/>
  <c r="I5125" i="3"/>
  <c r="I5124" i="3"/>
  <c r="I5123" i="3"/>
  <c r="I5122" i="3"/>
  <c r="I5121" i="3"/>
  <c r="I5120" i="3"/>
  <c r="I5119" i="3"/>
  <c r="I5118" i="3"/>
  <c r="I5117" i="3"/>
  <c r="I5116" i="3"/>
  <c r="I5115" i="3"/>
  <c r="I5114" i="3"/>
  <c r="I5113" i="3"/>
  <c r="I5112" i="3"/>
  <c r="I5111" i="3"/>
  <c r="I5110" i="3"/>
  <c r="I5109" i="3"/>
  <c r="I5108" i="3"/>
  <c r="I5107" i="3"/>
  <c r="I5106" i="3"/>
  <c r="I5105" i="3"/>
  <c r="I5104" i="3"/>
  <c r="I5103" i="3"/>
  <c r="I5102" i="3"/>
  <c r="I5101" i="3"/>
  <c r="I5100" i="3"/>
  <c r="I5099" i="3"/>
  <c r="I5098" i="3"/>
  <c r="I5097" i="3"/>
  <c r="I5096" i="3"/>
  <c r="I5095" i="3"/>
  <c r="I5094" i="3"/>
  <c r="I5093" i="3"/>
  <c r="I5092" i="3"/>
  <c r="I5091" i="3"/>
  <c r="I5090" i="3"/>
  <c r="I5089" i="3"/>
  <c r="I5088" i="3"/>
  <c r="I5087" i="3"/>
  <c r="I5086" i="3"/>
  <c r="I5085" i="3"/>
  <c r="I5084" i="3"/>
  <c r="I5083" i="3"/>
  <c r="I5082" i="3"/>
  <c r="I5081" i="3"/>
  <c r="I5080" i="3"/>
  <c r="I5079" i="3"/>
  <c r="I5078" i="3"/>
  <c r="I5077" i="3"/>
  <c r="I5076" i="3"/>
  <c r="I5075" i="3"/>
  <c r="I5074" i="3"/>
  <c r="I5073" i="3"/>
  <c r="I5072" i="3"/>
  <c r="I5071" i="3"/>
  <c r="I5070" i="3"/>
  <c r="I5069" i="3"/>
  <c r="I5068" i="3"/>
  <c r="I5067" i="3"/>
  <c r="I5066" i="3"/>
  <c r="I5065" i="3"/>
  <c r="I5064" i="3"/>
  <c r="I5063" i="3"/>
  <c r="I5062" i="3"/>
  <c r="I5061" i="3"/>
  <c r="I5060" i="3"/>
  <c r="I5059" i="3"/>
  <c r="I5058" i="3"/>
  <c r="I5057" i="3"/>
  <c r="I5056" i="3"/>
  <c r="I5055" i="3"/>
  <c r="I5054" i="3"/>
  <c r="I5053" i="3"/>
  <c r="I5052" i="3"/>
  <c r="I5051" i="3"/>
  <c r="I5050" i="3"/>
  <c r="I5049" i="3"/>
  <c r="I5048" i="3"/>
  <c r="I5047" i="3"/>
  <c r="I5046" i="3"/>
  <c r="I5045" i="3"/>
  <c r="I5044" i="3"/>
  <c r="I5043" i="3"/>
  <c r="I5042" i="3"/>
  <c r="I5041" i="3"/>
  <c r="I5040" i="3"/>
  <c r="I5039" i="3"/>
  <c r="I5038" i="3"/>
  <c r="I5037" i="3"/>
  <c r="I5036" i="3"/>
  <c r="I5035" i="3"/>
  <c r="I5034" i="3"/>
  <c r="I5033" i="3"/>
  <c r="I5032" i="3"/>
  <c r="I5031" i="3"/>
  <c r="I5030" i="3"/>
  <c r="I5029" i="3"/>
  <c r="I5028" i="3"/>
  <c r="I5027" i="3"/>
  <c r="I5026" i="3"/>
  <c r="I5025" i="3"/>
  <c r="I5024" i="3"/>
  <c r="I5023" i="3"/>
  <c r="I5022" i="3"/>
  <c r="I5021" i="3"/>
  <c r="I5020" i="3"/>
  <c r="I5019" i="3"/>
  <c r="I5018" i="3"/>
  <c r="I5017" i="3"/>
  <c r="I5016" i="3"/>
  <c r="I5015" i="3"/>
  <c r="I5014" i="3"/>
  <c r="I5013" i="3"/>
  <c r="I5012" i="3"/>
  <c r="I5011" i="3"/>
  <c r="I5010" i="3"/>
  <c r="I5009" i="3"/>
  <c r="I5008" i="3"/>
  <c r="I5007" i="3"/>
  <c r="I5006" i="3"/>
  <c r="I5005" i="3"/>
  <c r="I5004" i="3"/>
  <c r="I5003" i="3"/>
  <c r="I5002" i="3"/>
  <c r="I5001" i="3"/>
  <c r="I5000" i="3"/>
  <c r="I4999" i="3"/>
  <c r="I4998" i="3"/>
  <c r="I4997" i="3"/>
  <c r="I4996" i="3"/>
  <c r="I4995" i="3"/>
  <c r="I4994" i="3"/>
  <c r="I4993" i="3"/>
  <c r="I4992" i="3"/>
  <c r="I4991" i="3"/>
  <c r="I4990" i="3"/>
  <c r="I4989" i="3"/>
  <c r="I4988" i="3"/>
  <c r="I4987" i="3"/>
  <c r="I4986" i="3"/>
  <c r="I4985" i="3"/>
  <c r="I4984" i="3"/>
  <c r="I4983" i="3"/>
  <c r="I4982" i="3"/>
  <c r="I4981" i="3"/>
  <c r="I4980" i="3"/>
  <c r="I4979" i="3"/>
  <c r="I4978" i="3"/>
  <c r="I4977" i="3"/>
  <c r="I4976" i="3"/>
  <c r="I4975" i="3"/>
  <c r="I4974" i="3"/>
  <c r="I4973" i="3"/>
  <c r="I4972" i="3"/>
  <c r="I4971" i="3"/>
  <c r="I4970" i="3"/>
  <c r="I4969" i="3"/>
  <c r="I4968" i="3"/>
  <c r="I4967" i="3"/>
  <c r="I4966" i="3"/>
  <c r="I4965" i="3"/>
  <c r="I4964" i="3"/>
  <c r="I4963" i="3"/>
  <c r="I4962" i="3"/>
  <c r="I4961" i="3"/>
  <c r="I4960" i="3"/>
  <c r="I4959" i="3"/>
  <c r="I4958" i="3"/>
  <c r="I4957" i="3"/>
  <c r="I4956" i="3"/>
  <c r="I4955" i="3"/>
  <c r="I4954" i="3"/>
  <c r="I4953" i="3"/>
  <c r="I4952" i="3"/>
  <c r="I4951" i="3"/>
  <c r="I4950" i="3"/>
  <c r="I4949" i="3"/>
  <c r="I4948" i="3"/>
  <c r="I4947" i="3"/>
  <c r="I4946" i="3"/>
  <c r="I4945" i="3"/>
  <c r="I4944" i="3"/>
  <c r="I4943" i="3"/>
  <c r="I4942" i="3"/>
  <c r="I4941" i="3"/>
  <c r="I4940" i="3"/>
  <c r="I4939" i="3"/>
  <c r="I4938" i="3"/>
  <c r="I4937" i="3"/>
  <c r="I4936" i="3"/>
  <c r="I4935" i="3"/>
  <c r="I4934" i="3"/>
  <c r="I4933" i="3"/>
  <c r="I4932" i="3"/>
  <c r="I4931" i="3"/>
  <c r="I4930" i="3"/>
  <c r="I4929" i="3"/>
  <c r="I4928" i="3"/>
  <c r="I4927" i="3"/>
  <c r="I4926" i="3"/>
  <c r="I4925" i="3"/>
  <c r="I4924" i="3"/>
  <c r="I4923" i="3"/>
  <c r="I4922" i="3"/>
  <c r="I4921" i="3"/>
  <c r="I4920" i="3"/>
  <c r="I4919" i="3"/>
  <c r="I4918" i="3"/>
  <c r="I4917" i="3"/>
  <c r="I4916" i="3"/>
  <c r="I4915" i="3"/>
  <c r="I4914" i="3"/>
  <c r="I4913" i="3"/>
  <c r="I4912" i="3"/>
  <c r="I4911" i="3"/>
  <c r="I4910" i="3"/>
  <c r="I4909" i="3"/>
  <c r="I4908" i="3"/>
  <c r="I4907" i="3"/>
  <c r="I4906" i="3"/>
  <c r="I4905" i="3"/>
  <c r="I4904" i="3"/>
  <c r="I4903" i="3"/>
  <c r="I4902" i="3"/>
  <c r="I4901" i="3"/>
  <c r="I4900" i="3"/>
  <c r="I4899" i="3"/>
  <c r="I4898" i="3"/>
  <c r="I4897" i="3"/>
  <c r="I4896" i="3"/>
  <c r="I4895" i="3"/>
  <c r="I4894" i="3"/>
  <c r="I4893" i="3"/>
  <c r="I4892" i="3"/>
  <c r="I4891" i="3"/>
  <c r="I4890" i="3"/>
  <c r="I4889" i="3"/>
  <c r="I4888" i="3"/>
  <c r="I4887" i="3"/>
  <c r="I4886" i="3"/>
  <c r="I4885" i="3"/>
  <c r="I4884" i="3"/>
  <c r="I4883" i="3"/>
  <c r="I4882" i="3"/>
  <c r="I4881" i="3"/>
  <c r="I4880" i="3"/>
  <c r="I4879" i="3"/>
  <c r="I4878" i="3"/>
  <c r="I4877" i="3"/>
  <c r="I4876" i="3"/>
  <c r="I4875" i="3"/>
  <c r="I4874" i="3"/>
  <c r="I4873" i="3"/>
  <c r="I4872" i="3"/>
  <c r="I4871" i="3"/>
  <c r="I4870" i="3"/>
  <c r="I4869" i="3"/>
  <c r="I4868" i="3"/>
  <c r="I4867" i="3"/>
  <c r="I4866" i="3"/>
  <c r="I4865" i="3"/>
  <c r="I4864" i="3"/>
  <c r="I4863" i="3"/>
  <c r="I4862" i="3"/>
  <c r="I4861" i="3"/>
  <c r="I4860" i="3"/>
  <c r="I4859" i="3"/>
  <c r="I4858" i="3"/>
  <c r="I4857" i="3"/>
  <c r="I4856" i="3"/>
  <c r="I4855" i="3"/>
  <c r="I4854" i="3"/>
  <c r="I4853" i="3"/>
  <c r="I4852" i="3"/>
  <c r="I4851" i="3"/>
  <c r="I4850" i="3"/>
  <c r="I4849" i="3"/>
  <c r="I4848" i="3"/>
  <c r="I4847" i="3"/>
  <c r="I4846" i="3"/>
  <c r="I4845" i="3"/>
  <c r="I4844" i="3"/>
  <c r="I4843" i="3"/>
  <c r="I4842" i="3"/>
  <c r="I4841" i="3"/>
  <c r="I4840" i="3"/>
  <c r="I4839" i="3"/>
  <c r="I4838" i="3"/>
  <c r="I4837" i="3"/>
  <c r="I4836" i="3"/>
  <c r="I4835" i="3"/>
  <c r="I4834" i="3"/>
  <c r="I4833" i="3"/>
  <c r="I4832" i="3"/>
  <c r="I4831" i="3"/>
  <c r="I4830" i="3"/>
  <c r="I4829" i="3"/>
  <c r="I4828" i="3"/>
  <c r="I4827" i="3"/>
  <c r="I4826" i="3"/>
  <c r="I4825" i="3"/>
  <c r="I4824" i="3"/>
  <c r="I4823" i="3"/>
  <c r="I4822" i="3"/>
  <c r="I4821" i="3"/>
  <c r="I4820" i="3"/>
  <c r="I4819" i="3"/>
  <c r="I4818" i="3"/>
  <c r="I4817" i="3"/>
  <c r="I4816" i="3"/>
  <c r="I4815" i="3"/>
  <c r="I4814" i="3"/>
  <c r="I4813" i="3"/>
  <c r="I4812" i="3"/>
  <c r="I4811" i="3"/>
  <c r="I4810" i="3"/>
  <c r="I4809" i="3"/>
  <c r="I4808" i="3"/>
  <c r="I4807" i="3"/>
  <c r="I4806" i="3"/>
  <c r="I4805" i="3"/>
  <c r="I4804" i="3"/>
  <c r="I4803" i="3"/>
  <c r="I4802" i="3"/>
  <c r="I4801" i="3"/>
  <c r="I4800" i="3"/>
  <c r="I4799" i="3"/>
  <c r="I4798" i="3"/>
  <c r="I4797" i="3"/>
  <c r="I4796" i="3"/>
  <c r="I4795" i="3"/>
  <c r="I4794" i="3"/>
  <c r="I4793" i="3"/>
  <c r="I4792" i="3"/>
  <c r="I4791" i="3"/>
  <c r="I4790" i="3"/>
  <c r="I4789" i="3"/>
  <c r="I4788" i="3"/>
  <c r="I4787" i="3"/>
  <c r="I4786" i="3"/>
  <c r="I4785" i="3"/>
  <c r="I4784" i="3"/>
  <c r="I4783" i="3"/>
  <c r="I4782" i="3"/>
  <c r="I4781" i="3"/>
  <c r="I4780" i="3"/>
  <c r="I4779" i="3"/>
  <c r="I4778" i="3"/>
  <c r="I4777" i="3"/>
  <c r="I4776" i="3"/>
  <c r="I4775" i="3"/>
  <c r="I4774" i="3"/>
  <c r="I4773" i="3"/>
  <c r="I4772" i="3"/>
  <c r="I4771" i="3"/>
  <c r="I4770" i="3"/>
  <c r="I4769" i="3"/>
  <c r="I4768" i="3"/>
  <c r="I4767" i="3"/>
  <c r="I4766" i="3"/>
  <c r="I4765" i="3"/>
  <c r="I4764" i="3"/>
  <c r="I4763" i="3"/>
  <c r="I4762" i="3"/>
  <c r="I4761" i="3"/>
  <c r="I4760" i="3"/>
  <c r="I4759" i="3"/>
  <c r="I4758" i="3"/>
  <c r="I4757" i="3"/>
  <c r="I4756" i="3"/>
  <c r="I4755" i="3"/>
  <c r="I4754" i="3"/>
  <c r="I4753" i="3"/>
  <c r="I4752" i="3"/>
  <c r="I4751" i="3"/>
  <c r="I4750" i="3"/>
  <c r="I4749" i="3"/>
  <c r="I4748" i="3"/>
  <c r="I4747" i="3"/>
  <c r="I4746" i="3"/>
  <c r="I4745" i="3"/>
  <c r="I4744" i="3"/>
  <c r="I4743" i="3"/>
  <c r="I4742" i="3"/>
  <c r="I4741" i="3"/>
  <c r="I4740" i="3"/>
  <c r="I4739" i="3"/>
  <c r="I4738" i="3"/>
  <c r="I4737" i="3"/>
  <c r="I4736" i="3"/>
  <c r="I4735" i="3"/>
  <c r="I4734" i="3"/>
  <c r="I4733" i="3"/>
  <c r="I4732" i="3"/>
  <c r="I4731" i="3"/>
  <c r="I4730" i="3"/>
  <c r="I4729" i="3"/>
  <c r="I4728" i="3"/>
  <c r="I4727" i="3"/>
  <c r="I4726" i="3"/>
  <c r="I4725" i="3"/>
  <c r="I4724" i="3"/>
  <c r="I4723" i="3"/>
  <c r="I4722" i="3"/>
  <c r="I4721" i="3"/>
  <c r="I4720" i="3"/>
  <c r="I4719" i="3"/>
  <c r="I4718" i="3"/>
  <c r="I4717" i="3"/>
  <c r="I4716" i="3"/>
  <c r="I4715" i="3"/>
  <c r="I4714" i="3"/>
  <c r="I4713" i="3"/>
  <c r="I4712" i="3"/>
  <c r="I4711" i="3"/>
  <c r="I4710" i="3"/>
  <c r="I4709" i="3"/>
  <c r="I4708" i="3"/>
  <c r="I4707" i="3"/>
  <c r="I4706" i="3"/>
  <c r="I4705" i="3"/>
  <c r="I4704" i="3"/>
  <c r="I4703" i="3"/>
  <c r="I4702" i="3"/>
  <c r="I4701" i="3"/>
  <c r="I4700" i="3"/>
  <c r="I4699" i="3"/>
  <c r="I4698" i="3"/>
  <c r="I4697" i="3"/>
  <c r="I4696" i="3"/>
  <c r="I4695" i="3"/>
  <c r="I4694" i="3"/>
  <c r="I4693" i="3"/>
  <c r="I4692" i="3"/>
  <c r="I4691" i="3"/>
  <c r="I4690" i="3"/>
  <c r="I4689" i="3"/>
  <c r="I4688" i="3"/>
  <c r="I4687" i="3"/>
  <c r="I4686" i="3"/>
  <c r="I4685" i="3"/>
  <c r="I4684" i="3"/>
  <c r="I4683" i="3"/>
  <c r="I4682" i="3"/>
  <c r="I4681" i="3"/>
  <c r="I4680" i="3"/>
  <c r="I4679" i="3"/>
  <c r="I4678" i="3"/>
  <c r="I4677" i="3"/>
  <c r="I4676" i="3"/>
  <c r="I4675" i="3"/>
  <c r="I4674" i="3"/>
  <c r="I4673" i="3"/>
  <c r="I4672" i="3"/>
  <c r="I4671" i="3"/>
  <c r="I4670" i="3"/>
  <c r="I4669" i="3"/>
  <c r="I4668" i="3"/>
  <c r="I4667" i="3"/>
  <c r="I4666" i="3"/>
  <c r="I4665" i="3"/>
  <c r="I4664" i="3"/>
  <c r="I4663" i="3"/>
  <c r="I4662" i="3"/>
  <c r="I4661" i="3"/>
  <c r="I4660" i="3"/>
  <c r="I4659" i="3"/>
  <c r="I4658" i="3"/>
  <c r="I4657" i="3"/>
  <c r="I4656" i="3"/>
  <c r="I4655" i="3"/>
  <c r="I4654" i="3"/>
  <c r="I4653" i="3"/>
  <c r="I4652" i="3"/>
  <c r="I4651" i="3"/>
  <c r="I4650" i="3"/>
  <c r="I4649" i="3"/>
  <c r="I4648" i="3"/>
  <c r="I4647" i="3"/>
  <c r="I4646" i="3"/>
  <c r="I4645" i="3"/>
  <c r="I4644" i="3"/>
  <c r="I4643" i="3"/>
  <c r="I4642" i="3"/>
  <c r="I4641" i="3"/>
  <c r="I4640" i="3"/>
  <c r="I4639" i="3"/>
  <c r="I4638" i="3"/>
  <c r="I4637" i="3"/>
  <c r="I4636" i="3"/>
  <c r="I4635" i="3"/>
  <c r="I4634" i="3"/>
  <c r="I4633" i="3"/>
  <c r="I4632" i="3"/>
  <c r="I4631" i="3"/>
  <c r="I4630" i="3"/>
  <c r="I4629" i="3"/>
  <c r="I4628" i="3"/>
  <c r="I4627" i="3"/>
  <c r="I4626" i="3"/>
  <c r="I4625" i="3"/>
  <c r="I4624" i="3"/>
  <c r="I4623" i="3"/>
  <c r="I4622" i="3"/>
  <c r="I4621" i="3"/>
  <c r="I4620" i="3"/>
  <c r="I4619" i="3"/>
  <c r="I4618" i="3"/>
  <c r="I4617" i="3"/>
  <c r="I4616" i="3"/>
  <c r="I4615" i="3"/>
  <c r="I4614" i="3"/>
  <c r="I4613" i="3"/>
  <c r="I4612" i="3"/>
  <c r="I4611" i="3"/>
  <c r="I4610" i="3"/>
  <c r="I4609" i="3"/>
  <c r="I4608" i="3"/>
  <c r="I4607" i="3"/>
  <c r="I4606" i="3"/>
  <c r="I4605" i="3"/>
  <c r="I4604" i="3"/>
  <c r="I4603" i="3"/>
  <c r="I4602" i="3"/>
  <c r="I4601" i="3"/>
  <c r="I4600" i="3"/>
  <c r="I4599" i="3"/>
  <c r="I4598" i="3"/>
  <c r="I4597" i="3"/>
  <c r="I4596" i="3"/>
  <c r="I4595" i="3"/>
  <c r="I4594" i="3"/>
  <c r="I4593" i="3"/>
  <c r="I4592" i="3"/>
  <c r="I4591" i="3"/>
  <c r="I4590" i="3"/>
  <c r="I4589" i="3"/>
  <c r="I4588" i="3"/>
  <c r="I4587" i="3"/>
  <c r="I4586" i="3"/>
  <c r="I4585" i="3"/>
  <c r="I4584" i="3"/>
  <c r="I4583" i="3"/>
  <c r="I4582" i="3"/>
  <c r="I4581" i="3"/>
  <c r="I4580" i="3"/>
  <c r="I4579" i="3"/>
  <c r="I4578" i="3"/>
  <c r="I4577" i="3"/>
  <c r="I4576" i="3"/>
  <c r="I4575" i="3"/>
  <c r="I4574" i="3"/>
  <c r="I4573" i="3"/>
  <c r="I4572" i="3"/>
  <c r="I4571" i="3"/>
  <c r="I4570" i="3"/>
  <c r="I4569" i="3"/>
  <c r="I4568" i="3"/>
  <c r="I4567" i="3"/>
  <c r="I4566" i="3"/>
  <c r="I4565" i="3"/>
  <c r="I4564" i="3"/>
  <c r="I4563" i="3"/>
  <c r="I4562" i="3"/>
  <c r="I4561" i="3"/>
  <c r="I4560" i="3"/>
  <c r="I4559" i="3"/>
  <c r="I4558" i="3"/>
  <c r="I4557" i="3"/>
  <c r="I4556" i="3"/>
  <c r="I4555" i="3"/>
  <c r="I4554" i="3"/>
  <c r="I4553" i="3"/>
  <c r="I4552" i="3"/>
  <c r="I4551" i="3"/>
  <c r="I4550" i="3"/>
  <c r="I4549" i="3"/>
  <c r="I4548" i="3"/>
  <c r="I4547" i="3"/>
  <c r="I4546" i="3"/>
  <c r="I4545" i="3"/>
  <c r="I4544" i="3"/>
  <c r="I4543" i="3"/>
  <c r="I4542" i="3"/>
  <c r="I4541" i="3"/>
  <c r="I4540" i="3"/>
  <c r="I4539" i="3"/>
  <c r="I4538" i="3"/>
  <c r="I4537" i="3"/>
  <c r="I4536" i="3"/>
  <c r="I4535" i="3"/>
  <c r="I4534" i="3"/>
  <c r="I4533" i="3"/>
  <c r="I4532" i="3"/>
  <c r="I4531" i="3"/>
  <c r="I4530" i="3"/>
  <c r="I4529" i="3"/>
  <c r="I4528" i="3"/>
  <c r="I4527" i="3"/>
  <c r="I4526" i="3"/>
  <c r="I4525" i="3"/>
  <c r="I4524" i="3"/>
  <c r="I4523" i="3"/>
  <c r="I4522" i="3"/>
  <c r="I4521" i="3"/>
  <c r="I4520" i="3"/>
  <c r="I4519" i="3"/>
  <c r="I4518" i="3"/>
  <c r="I4517" i="3"/>
  <c r="I4516" i="3"/>
  <c r="I4515" i="3"/>
  <c r="I4514" i="3"/>
  <c r="I4513" i="3"/>
  <c r="I4512" i="3"/>
  <c r="I4511" i="3"/>
  <c r="I4510" i="3"/>
  <c r="I4509" i="3"/>
  <c r="I4508" i="3"/>
  <c r="I4507" i="3"/>
  <c r="I4506" i="3"/>
  <c r="I4505" i="3"/>
  <c r="I4504" i="3"/>
  <c r="I4503" i="3"/>
  <c r="I4502" i="3"/>
  <c r="I4501" i="3"/>
  <c r="I4500" i="3"/>
  <c r="I4499" i="3"/>
  <c r="I4498" i="3"/>
  <c r="I4497" i="3"/>
  <c r="I4496" i="3"/>
  <c r="I4495" i="3"/>
  <c r="I4494" i="3"/>
  <c r="I4493" i="3"/>
  <c r="I4492" i="3"/>
  <c r="I4491" i="3"/>
  <c r="I4490" i="3"/>
  <c r="I4489" i="3"/>
  <c r="I4488" i="3"/>
  <c r="I4487" i="3"/>
  <c r="I4486" i="3"/>
  <c r="I4485" i="3"/>
  <c r="I4484" i="3"/>
  <c r="I4483" i="3"/>
  <c r="I4482" i="3"/>
  <c r="I4481" i="3"/>
  <c r="I4480" i="3"/>
  <c r="I4479" i="3"/>
  <c r="I4478" i="3"/>
  <c r="I4477" i="3"/>
  <c r="I4476" i="3"/>
  <c r="I4475" i="3"/>
  <c r="I4474" i="3"/>
  <c r="I4473" i="3"/>
  <c r="I4472" i="3"/>
  <c r="I4471" i="3"/>
  <c r="I4470" i="3"/>
  <c r="I4469" i="3"/>
  <c r="I4468" i="3"/>
  <c r="I4467" i="3"/>
  <c r="I4466" i="3"/>
  <c r="I4465" i="3"/>
  <c r="I4464" i="3"/>
  <c r="I4463" i="3"/>
  <c r="I4462" i="3"/>
  <c r="I4461" i="3"/>
  <c r="I4460" i="3"/>
  <c r="I4459" i="3"/>
  <c r="I4458" i="3"/>
  <c r="I4457" i="3"/>
  <c r="I4456" i="3"/>
  <c r="I4455" i="3"/>
  <c r="I4454" i="3"/>
  <c r="I4453" i="3"/>
  <c r="I4452" i="3"/>
  <c r="I4451" i="3"/>
  <c r="I4450" i="3"/>
  <c r="I4449" i="3"/>
  <c r="I4448" i="3"/>
  <c r="I4447" i="3"/>
  <c r="I4446" i="3"/>
  <c r="I4445" i="3"/>
  <c r="I4444" i="3"/>
  <c r="I4443" i="3"/>
  <c r="I4442" i="3"/>
  <c r="I4441" i="3"/>
  <c r="I4440" i="3"/>
  <c r="I4439" i="3"/>
  <c r="I4438" i="3"/>
  <c r="I4437" i="3"/>
  <c r="I4436" i="3"/>
  <c r="I4435" i="3"/>
  <c r="I4434" i="3"/>
  <c r="I4433" i="3"/>
  <c r="I4432" i="3"/>
  <c r="I4431" i="3"/>
  <c r="I4430" i="3"/>
  <c r="I4429" i="3"/>
  <c r="I4428" i="3"/>
  <c r="I4427" i="3"/>
  <c r="I4426" i="3"/>
  <c r="I4425" i="3"/>
  <c r="I4424" i="3"/>
  <c r="I4423" i="3"/>
  <c r="I4422" i="3"/>
  <c r="I4421" i="3"/>
  <c r="I4420" i="3"/>
  <c r="I4419" i="3"/>
  <c r="I4418" i="3"/>
  <c r="I4417" i="3"/>
  <c r="I4416" i="3"/>
  <c r="I4415" i="3"/>
  <c r="I4414" i="3"/>
  <c r="I4413" i="3"/>
  <c r="I4412" i="3"/>
  <c r="I4411" i="3"/>
  <c r="I4410" i="3"/>
  <c r="I4409" i="3"/>
  <c r="I4408" i="3"/>
  <c r="I4407" i="3"/>
  <c r="I4406" i="3"/>
  <c r="I4405" i="3"/>
  <c r="I4404" i="3"/>
  <c r="I4403" i="3"/>
  <c r="I4402" i="3"/>
  <c r="I4401" i="3"/>
  <c r="I4400" i="3"/>
  <c r="I4399" i="3"/>
  <c r="I4398" i="3"/>
  <c r="I4397" i="3"/>
  <c r="I4396" i="3"/>
  <c r="I4395" i="3"/>
  <c r="I4394" i="3"/>
  <c r="I4393" i="3"/>
  <c r="I4392" i="3"/>
  <c r="I4391" i="3"/>
  <c r="I4390" i="3"/>
  <c r="I4389" i="3"/>
  <c r="I4388" i="3"/>
  <c r="I4387" i="3"/>
  <c r="I4386" i="3"/>
  <c r="I4385" i="3"/>
  <c r="I4384" i="3"/>
  <c r="I4383" i="3"/>
  <c r="I4382" i="3"/>
  <c r="I4381" i="3"/>
  <c r="I4380" i="3"/>
  <c r="I4379" i="3"/>
  <c r="I4378" i="3"/>
  <c r="I4377" i="3"/>
  <c r="I4376" i="3"/>
  <c r="I4375" i="3"/>
  <c r="I4374" i="3"/>
  <c r="I4373" i="3"/>
  <c r="I4372" i="3"/>
  <c r="I4371" i="3"/>
  <c r="I4370" i="3"/>
  <c r="I4369" i="3"/>
  <c r="I4368" i="3"/>
  <c r="I4367" i="3"/>
  <c r="I4366" i="3"/>
  <c r="I4365" i="3"/>
  <c r="I4364" i="3"/>
  <c r="I4363" i="3"/>
  <c r="I4362" i="3"/>
  <c r="I4361" i="3"/>
  <c r="I4360" i="3"/>
  <c r="I4359" i="3"/>
  <c r="I4358" i="3"/>
  <c r="I4357" i="3"/>
  <c r="I4356" i="3"/>
  <c r="I4355" i="3"/>
  <c r="I4354" i="3"/>
  <c r="I4353" i="3"/>
  <c r="I4352" i="3"/>
  <c r="I4351" i="3"/>
  <c r="I4350" i="3"/>
  <c r="I4349" i="3"/>
  <c r="I4348" i="3"/>
  <c r="I4347" i="3"/>
  <c r="I4346" i="3"/>
  <c r="I4345" i="3"/>
  <c r="I4344" i="3"/>
  <c r="I4343" i="3"/>
  <c r="I4342" i="3"/>
  <c r="I4341" i="3"/>
  <c r="I4340" i="3"/>
  <c r="I4339" i="3"/>
  <c r="I4338" i="3"/>
  <c r="I4337" i="3"/>
  <c r="I4336" i="3"/>
  <c r="I4335" i="3"/>
  <c r="I4334" i="3"/>
  <c r="I4333" i="3"/>
  <c r="I4332" i="3"/>
  <c r="I4331" i="3"/>
  <c r="I4330" i="3"/>
  <c r="I4329" i="3"/>
  <c r="I4328" i="3"/>
  <c r="I4327" i="3"/>
  <c r="I4326" i="3"/>
  <c r="I4325" i="3"/>
  <c r="I4324" i="3"/>
  <c r="I4323" i="3"/>
  <c r="I4322" i="3"/>
  <c r="I4321" i="3"/>
  <c r="I4320" i="3"/>
  <c r="I4319" i="3"/>
  <c r="I4318" i="3"/>
  <c r="I4317" i="3"/>
  <c r="I4316" i="3"/>
  <c r="I4315" i="3"/>
  <c r="I4314" i="3"/>
  <c r="I4313" i="3"/>
  <c r="I4312" i="3"/>
  <c r="I4311" i="3"/>
  <c r="I4310" i="3"/>
  <c r="I4309" i="3"/>
  <c r="I4308" i="3"/>
  <c r="I4307" i="3"/>
  <c r="I4306" i="3"/>
  <c r="I4305" i="3"/>
  <c r="I4304" i="3"/>
  <c r="I4303" i="3"/>
  <c r="I4302" i="3"/>
  <c r="I4301" i="3"/>
  <c r="I4300" i="3"/>
  <c r="I4299" i="3"/>
  <c r="I4298" i="3"/>
  <c r="I4297" i="3"/>
  <c r="I4296" i="3"/>
  <c r="I4295" i="3"/>
  <c r="I4294" i="3"/>
  <c r="I4293" i="3"/>
  <c r="I4292" i="3"/>
  <c r="I4291" i="3"/>
  <c r="I4290" i="3"/>
  <c r="I4289" i="3"/>
  <c r="I4288" i="3"/>
  <c r="I4287" i="3"/>
  <c r="I4286" i="3"/>
  <c r="I4285" i="3"/>
  <c r="I4284" i="3"/>
  <c r="I4283" i="3"/>
  <c r="I4282" i="3"/>
  <c r="I4281" i="3"/>
  <c r="I4280" i="3"/>
  <c r="I4279" i="3"/>
  <c r="I4278" i="3"/>
  <c r="I4277" i="3"/>
  <c r="I4276" i="3"/>
  <c r="I4275" i="3"/>
  <c r="I4274" i="3"/>
  <c r="I4273" i="3"/>
  <c r="I4272" i="3"/>
  <c r="I4271" i="3"/>
  <c r="I4270" i="3"/>
  <c r="I4269" i="3"/>
  <c r="I4268" i="3"/>
  <c r="I4267" i="3"/>
  <c r="I4266" i="3"/>
  <c r="I4265" i="3"/>
  <c r="I4264" i="3"/>
  <c r="I4263" i="3"/>
  <c r="I4262" i="3"/>
  <c r="I4261" i="3"/>
  <c r="I4260" i="3"/>
  <c r="I4259" i="3"/>
  <c r="I4258" i="3"/>
  <c r="I4257" i="3"/>
  <c r="I4256" i="3"/>
  <c r="I4255" i="3"/>
  <c r="I4254" i="3"/>
  <c r="I4253" i="3"/>
  <c r="I4252" i="3"/>
  <c r="I4251" i="3"/>
  <c r="I4250" i="3"/>
  <c r="I4249" i="3"/>
  <c r="I4248" i="3"/>
  <c r="I4247" i="3"/>
  <c r="I4246" i="3"/>
  <c r="I4245" i="3"/>
  <c r="I4244" i="3"/>
  <c r="I4243" i="3"/>
  <c r="I4242" i="3"/>
  <c r="I4241" i="3"/>
  <c r="I4240" i="3"/>
  <c r="I4239" i="3"/>
  <c r="I4238" i="3"/>
  <c r="I4237" i="3"/>
  <c r="I4236" i="3"/>
  <c r="I4235" i="3"/>
  <c r="I4234" i="3"/>
  <c r="I4233" i="3"/>
  <c r="I4232" i="3"/>
  <c r="I4231" i="3"/>
  <c r="I4230" i="3"/>
  <c r="I4229" i="3"/>
  <c r="I4228" i="3"/>
  <c r="I4227" i="3"/>
  <c r="I4226" i="3"/>
  <c r="I4225" i="3"/>
  <c r="I4224" i="3"/>
  <c r="I4223" i="3"/>
  <c r="I4222" i="3"/>
  <c r="I4221" i="3"/>
  <c r="I4220" i="3"/>
  <c r="I4219" i="3"/>
  <c r="I4218" i="3"/>
  <c r="I4217" i="3"/>
  <c r="I4216" i="3"/>
  <c r="I4215" i="3"/>
  <c r="I4214" i="3"/>
  <c r="I4213" i="3"/>
  <c r="I4212" i="3"/>
  <c r="I4211" i="3"/>
  <c r="I4210" i="3"/>
  <c r="I4209" i="3"/>
  <c r="I4208" i="3"/>
  <c r="I4207" i="3"/>
  <c r="I4206" i="3"/>
  <c r="I4205" i="3"/>
  <c r="I4204" i="3"/>
  <c r="I4203" i="3"/>
  <c r="I4202" i="3"/>
  <c r="I4201" i="3"/>
  <c r="I4200" i="3"/>
  <c r="I4199" i="3"/>
  <c r="I4198" i="3"/>
  <c r="I4197" i="3"/>
  <c r="I4196" i="3"/>
  <c r="I4195" i="3"/>
  <c r="I4194" i="3"/>
  <c r="I4193" i="3"/>
  <c r="I4192" i="3"/>
  <c r="I4191" i="3"/>
  <c r="I4190" i="3"/>
  <c r="I4189" i="3"/>
  <c r="I4188" i="3"/>
  <c r="I4187" i="3"/>
  <c r="I4186" i="3"/>
  <c r="I4185" i="3"/>
  <c r="I4184" i="3"/>
  <c r="I4183" i="3"/>
  <c r="I4182" i="3"/>
  <c r="I4181" i="3"/>
  <c r="I4180" i="3"/>
  <c r="I4179" i="3"/>
  <c r="I4178" i="3"/>
  <c r="I4177" i="3"/>
  <c r="I4176" i="3"/>
  <c r="I4175" i="3"/>
  <c r="I4174" i="3"/>
  <c r="I4173" i="3"/>
  <c r="I4172" i="3"/>
  <c r="I4171" i="3"/>
  <c r="I4170" i="3"/>
  <c r="I4169" i="3"/>
  <c r="I4168" i="3"/>
  <c r="I4167" i="3"/>
  <c r="I4166" i="3"/>
  <c r="I4165" i="3"/>
  <c r="I4164" i="3"/>
  <c r="I4163" i="3"/>
  <c r="I4162" i="3"/>
  <c r="I4161" i="3"/>
  <c r="I4160" i="3"/>
  <c r="I4159" i="3"/>
  <c r="I4158" i="3"/>
  <c r="I4157" i="3"/>
  <c r="I4156" i="3"/>
  <c r="I4155" i="3"/>
  <c r="I4154" i="3"/>
  <c r="I4153" i="3"/>
  <c r="I4152" i="3"/>
  <c r="I4151" i="3"/>
  <c r="I4150" i="3"/>
  <c r="I4149" i="3"/>
  <c r="I4148" i="3"/>
  <c r="I4147" i="3"/>
  <c r="I4146" i="3"/>
  <c r="I4145" i="3"/>
  <c r="I4144" i="3"/>
  <c r="I4143" i="3"/>
  <c r="I4142" i="3"/>
  <c r="I4141" i="3"/>
  <c r="I4140" i="3"/>
  <c r="I4139" i="3"/>
  <c r="I4138" i="3"/>
  <c r="I4137" i="3"/>
  <c r="I4136" i="3"/>
  <c r="I4135" i="3"/>
  <c r="I4134" i="3"/>
  <c r="I4133" i="3"/>
  <c r="I4132" i="3"/>
  <c r="I4131" i="3"/>
  <c r="I4130" i="3"/>
  <c r="I4129" i="3"/>
  <c r="I4128" i="3"/>
  <c r="I4127" i="3"/>
  <c r="I4126" i="3"/>
  <c r="I4125" i="3"/>
  <c r="I4124" i="3"/>
  <c r="I4123" i="3"/>
  <c r="I4122" i="3"/>
  <c r="I4121" i="3"/>
  <c r="I4120" i="3"/>
  <c r="I4119" i="3"/>
  <c r="I4118" i="3"/>
  <c r="I4117" i="3"/>
  <c r="I4116" i="3"/>
  <c r="I4115" i="3"/>
  <c r="I4114" i="3"/>
  <c r="I4113" i="3"/>
  <c r="I4112" i="3"/>
  <c r="I4111" i="3"/>
  <c r="I4110" i="3"/>
  <c r="I4109" i="3"/>
  <c r="I4108" i="3"/>
  <c r="I4107" i="3"/>
  <c r="I4106" i="3"/>
  <c r="I4105" i="3"/>
  <c r="I4104" i="3"/>
  <c r="I4103" i="3"/>
  <c r="I4102" i="3"/>
  <c r="I4101" i="3"/>
  <c r="I4100" i="3"/>
  <c r="I4099" i="3"/>
  <c r="I4098" i="3"/>
  <c r="I4097" i="3"/>
  <c r="I4096" i="3"/>
  <c r="I4095" i="3"/>
  <c r="I4094" i="3"/>
  <c r="I4093" i="3"/>
  <c r="I4092" i="3"/>
  <c r="I4091" i="3"/>
  <c r="I4090" i="3"/>
  <c r="I4089" i="3"/>
  <c r="I4088" i="3"/>
  <c r="I4087" i="3"/>
  <c r="I4086" i="3"/>
  <c r="I4085" i="3"/>
  <c r="I4084" i="3"/>
  <c r="I4083" i="3"/>
  <c r="I4082" i="3"/>
  <c r="I4081" i="3"/>
  <c r="I4080" i="3"/>
  <c r="I4079" i="3"/>
  <c r="I4078" i="3"/>
  <c r="I4077" i="3"/>
  <c r="I4076" i="3"/>
  <c r="I4075" i="3"/>
  <c r="I4074" i="3"/>
  <c r="I4073" i="3"/>
  <c r="I4072" i="3"/>
  <c r="I4071" i="3"/>
  <c r="I4070" i="3"/>
  <c r="I4069" i="3"/>
  <c r="I4068" i="3"/>
  <c r="I4067" i="3"/>
  <c r="I4066" i="3"/>
  <c r="I4065" i="3"/>
  <c r="I4064" i="3"/>
  <c r="I4063" i="3"/>
  <c r="I4062" i="3"/>
  <c r="I4061" i="3"/>
  <c r="I4060" i="3"/>
  <c r="I4059" i="3"/>
  <c r="I4058" i="3"/>
  <c r="I4057" i="3"/>
  <c r="I4056" i="3"/>
  <c r="I4055" i="3"/>
  <c r="I4054" i="3"/>
  <c r="I4053" i="3"/>
  <c r="I4052" i="3"/>
  <c r="I4051" i="3"/>
  <c r="I4050" i="3"/>
  <c r="I4049" i="3"/>
  <c r="I4048" i="3"/>
  <c r="I4047" i="3"/>
  <c r="I4046" i="3"/>
  <c r="I4045" i="3"/>
  <c r="I4044" i="3"/>
  <c r="I4043" i="3"/>
  <c r="I4042" i="3"/>
  <c r="I4041" i="3"/>
  <c r="I4040" i="3"/>
  <c r="I4039" i="3"/>
  <c r="I4038" i="3"/>
  <c r="I4037" i="3"/>
  <c r="I4036" i="3"/>
  <c r="I4035" i="3"/>
  <c r="I4034" i="3"/>
  <c r="I4033" i="3"/>
  <c r="I4032" i="3"/>
  <c r="I4031" i="3"/>
  <c r="I4030" i="3"/>
  <c r="I4029" i="3"/>
  <c r="I4028" i="3"/>
  <c r="I4027" i="3"/>
  <c r="I4026" i="3"/>
  <c r="I4025" i="3"/>
  <c r="I4024" i="3"/>
  <c r="I4023" i="3"/>
  <c r="I4022" i="3"/>
  <c r="I4021" i="3"/>
  <c r="I4020" i="3"/>
  <c r="I4019" i="3"/>
  <c r="I4018" i="3"/>
  <c r="I4017" i="3"/>
  <c r="I4016" i="3"/>
  <c r="I4015" i="3"/>
  <c r="I4014" i="3"/>
  <c r="I4013" i="3"/>
  <c r="I4012" i="3"/>
  <c r="I4011" i="3"/>
  <c r="I4010" i="3"/>
  <c r="I4009" i="3"/>
  <c r="I4008" i="3"/>
  <c r="I4007" i="3"/>
  <c r="I4006" i="3"/>
  <c r="I4005" i="3"/>
  <c r="I4004" i="3"/>
  <c r="I4003" i="3"/>
  <c r="I4002" i="3"/>
  <c r="I4001" i="3"/>
  <c r="I4000" i="3"/>
  <c r="I3999" i="3"/>
  <c r="I3998" i="3"/>
  <c r="I3997" i="3"/>
  <c r="I3996" i="3"/>
  <c r="I3995" i="3"/>
  <c r="I3994" i="3"/>
  <c r="I3993" i="3"/>
  <c r="I3992" i="3"/>
  <c r="I3991" i="3"/>
  <c r="I3990" i="3"/>
  <c r="I3989" i="3"/>
  <c r="I3988" i="3"/>
  <c r="I3987" i="3"/>
  <c r="I3986" i="3"/>
  <c r="I3985" i="3"/>
  <c r="I3984" i="3"/>
  <c r="I3983" i="3"/>
  <c r="I3982" i="3"/>
  <c r="I3981" i="3"/>
  <c r="I3980" i="3"/>
  <c r="I3979" i="3"/>
  <c r="I3978" i="3"/>
  <c r="I3977" i="3"/>
  <c r="I3976" i="3"/>
  <c r="I3975" i="3"/>
  <c r="I3974" i="3"/>
  <c r="I3973" i="3"/>
  <c r="I3972" i="3"/>
  <c r="I3971" i="3"/>
  <c r="I3970" i="3"/>
  <c r="I3969" i="3"/>
  <c r="I3968" i="3"/>
  <c r="I3967" i="3"/>
  <c r="I3966" i="3"/>
  <c r="I3965" i="3"/>
  <c r="I3964" i="3"/>
  <c r="I3963" i="3"/>
  <c r="I3962" i="3"/>
  <c r="I3961" i="3"/>
  <c r="I3960" i="3"/>
  <c r="I3959" i="3"/>
  <c r="I3958" i="3"/>
  <c r="I3957" i="3"/>
  <c r="I3956" i="3"/>
  <c r="I3955" i="3"/>
  <c r="I3954" i="3"/>
  <c r="I3953" i="3"/>
  <c r="I3952" i="3"/>
  <c r="I3951" i="3"/>
  <c r="I3950" i="3"/>
  <c r="I3949" i="3"/>
  <c r="I3948" i="3"/>
  <c r="I3947" i="3"/>
  <c r="I3946" i="3"/>
  <c r="I3945" i="3"/>
  <c r="I3944" i="3"/>
  <c r="I3943" i="3"/>
  <c r="I3942" i="3"/>
  <c r="I3941" i="3"/>
  <c r="I3940" i="3"/>
  <c r="I3939" i="3"/>
  <c r="I3938" i="3"/>
  <c r="I3937" i="3"/>
  <c r="I3936" i="3"/>
  <c r="I3935" i="3"/>
  <c r="I3934" i="3"/>
  <c r="I3933" i="3"/>
  <c r="I3932" i="3"/>
  <c r="I3931" i="3"/>
  <c r="I3930" i="3"/>
  <c r="I3929" i="3"/>
  <c r="I3928" i="3"/>
  <c r="I3927" i="3"/>
  <c r="I3926" i="3"/>
  <c r="I3925" i="3"/>
  <c r="I3924" i="3"/>
  <c r="I3923" i="3"/>
  <c r="I3922" i="3"/>
  <c r="I3921" i="3"/>
  <c r="I3920" i="3"/>
  <c r="I3919" i="3"/>
  <c r="I3918" i="3"/>
  <c r="I3917" i="3"/>
  <c r="I3916" i="3"/>
  <c r="I3915" i="3"/>
  <c r="I3914" i="3"/>
  <c r="I3913" i="3"/>
  <c r="I3912" i="3"/>
  <c r="I3911" i="3"/>
  <c r="I3910" i="3"/>
  <c r="I3909" i="3"/>
  <c r="I3908" i="3"/>
  <c r="I3907" i="3"/>
  <c r="I3906" i="3"/>
  <c r="I3905" i="3"/>
  <c r="I3904" i="3"/>
  <c r="I3903" i="3"/>
  <c r="I3902" i="3"/>
  <c r="I3901" i="3"/>
  <c r="I3900" i="3"/>
  <c r="I3899" i="3"/>
  <c r="I3898" i="3"/>
  <c r="I3897" i="3"/>
  <c r="I3896" i="3"/>
  <c r="I3895" i="3"/>
  <c r="I3894" i="3"/>
  <c r="I3893" i="3"/>
  <c r="I3892" i="3"/>
  <c r="I3891" i="3"/>
  <c r="I3890" i="3"/>
  <c r="I3889" i="3"/>
  <c r="I3888" i="3"/>
  <c r="I3887" i="3"/>
  <c r="I3886" i="3"/>
  <c r="I3885" i="3"/>
  <c r="I3884" i="3"/>
  <c r="I3883" i="3"/>
  <c r="I3882" i="3"/>
  <c r="I3881" i="3"/>
  <c r="I3880" i="3"/>
  <c r="I3879" i="3"/>
  <c r="I3878" i="3"/>
  <c r="I3877" i="3"/>
  <c r="I3876" i="3"/>
  <c r="I3875" i="3"/>
  <c r="I3874" i="3"/>
  <c r="I3873" i="3"/>
  <c r="I3872" i="3"/>
  <c r="I3871" i="3"/>
  <c r="I3870" i="3"/>
  <c r="I3869" i="3"/>
  <c r="I3868" i="3"/>
  <c r="I3867" i="3"/>
  <c r="I3866" i="3"/>
  <c r="I3865" i="3"/>
  <c r="I3864" i="3"/>
  <c r="I3863" i="3"/>
  <c r="I3862" i="3"/>
  <c r="I3861" i="3"/>
  <c r="I3860" i="3"/>
  <c r="I3859" i="3"/>
  <c r="I3858" i="3"/>
  <c r="I3857" i="3"/>
  <c r="I3856" i="3"/>
  <c r="I3855" i="3"/>
  <c r="I3854" i="3"/>
  <c r="I3853" i="3"/>
  <c r="I3852" i="3"/>
  <c r="I3851" i="3"/>
  <c r="I3850" i="3"/>
  <c r="I3849" i="3"/>
  <c r="I3848" i="3"/>
  <c r="I3847" i="3"/>
  <c r="I3846" i="3"/>
  <c r="I3845" i="3"/>
  <c r="I3844" i="3"/>
  <c r="I3843" i="3"/>
  <c r="I3842" i="3"/>
  <c r="I3841" i="3"/>
  <c r="I3840" i="3"/>
  <c r="I3839" i="3"/>
  <c r="I3838" i="3"/>
  <c r="I3837" i="3"/>
  <c r="I3836" i="3"/>
  <c r="I3835" i="3"/>
  <c r="I3834" i="3"/>
  <c r="I3833" i="3"/>
  <c r="I3832" i="3"/>
  <c r="I3831" i="3"/>
  <c r="I3830" i="3"/>
  <c r="I3829" i="3"/>
  <c r="I3828" i="3"/>
  <c r="I3827" i="3"/>
  <c r="I3826" i="3"/>
  <c r="I3825" i="3"/>
  <c r="I3824" i="3"/>
  <c r="I3823" i="3"/>
  <c r="I3822" i="3"/>
  <c r="I3821" i="3"/>
  <c r="I3820" i="3"/>
  <c r="I3819" i="3"/>
  <c r="I3818" i="3"/>
  <c r="I3817" i="3"/>
  <c r="I3816" i="3"/>
  <c r="I3815" i="3"/>
  <c r="I3814" i="3"/>
  <c r="I3813" i="3"/>
  <c r="I3812" i="3"/>
  <c r="I3811" i="3"/>
  <c r="I3810" i="3"/>
  <c r="I3809" i="3"/>
  <c r="I3808" i="3"/>
  <c r="I3807" i="3"/>
  <c r="I3806" i="3"/>
  <c r="I3805" i="3"/>
  <c r="I3804" i="3"/>
  <c r="I3803" i="3"/>
  <c r="I3802" i="3"/>
  <c r="I3801" i="3"/>
  <c r="I3800" i="3"/>
  <c r="I3799" i="3"/>
  <c r="I3798" i="3"/>
  <c r="I3797" i="3"/>
  <c r="I3796" i="3"/>
  <c r="I3795" i="3"/>
  <c r="I3794" i="3"/>
  <c r="I3793" i="3"/>
  <c r="I3792" i="3"/>
  <c r="I3791" i="3"/>
  <c r="I3790" i="3"/>
  <c r="I3789" i="3"/>
  <c r="I3788" i="3"/>
  <c r="I3787" i="3"/>
  <c r="I3786" i="3"/>
  <c r="I3785" i="3"/>
  <c r="I3784" i="3"/>
  <c r="I3783" i="3"/>
  <c r="I3782" i="3"/>
  <c r="I3781" i="3"/>
  <c r="I3780" i="3"/>
  <c r="I3779" i="3"/>
  <c r="I3778" i="3"/>
  <c r="I3777" i="3"/>
  <c r="I3776" i="3"/>
  <c r="I3775" i="3"/>
  <c r="I3774" i="3"/>
  <c r="I3773" i="3"/>
  <c r="I3772" i="3"/>
  <c r="I3771" i="3"/>
  <c r="I3770" i="3"/>
  <c r="I3769" i="3"/>
  <c r="I3768" i="3"/>
  <c r="I3767" i="3"/>
  <c r="I3766" i="3"/>
  <c r="I3765" i="3"/>
  <c r="I3764" i="3"/>
  <c r="I3763" i="3"/>
  <c r="I3762" i="3"/>
  <c r="I3761" i="3"/>
  <c r="I3760" i="3"/>
  <c r="I3759" i="3"/>
  <c r="I3758" i="3"/>
  <c r="I3757" i="3"/>
  <c r="I3756" i="3"/>
  <c r="I3755" i="3"/>
  <c r="I3754" i="3"/>
  <c r="I3753" i="3"/>
  <c r="I3752" i="3"/>
  <c r="I3751" i="3"/>
  <c r="I3750" i="3"/>
  <c r="I3749" i="3"/>
  <c r="I3748" i="3"/>
  <c r="I3747" i="3"/>
  <c r="I3746" i="3"/>
  <c r="I3745" i="3"/>
  <c r="I3744" i="3"/>
  <c r="I3743" i="3"/>
  <c r="I3742" i="3"/>
  <c r="I3741" i="3"/>
  <c r="I3740" i="3"/>
  <c r="I3739" i="3"/>
  <c r="I3738" i="3"/>
  <c r="I3737" i="3"/>
  <c r="I3736" i="3"/>
  <c r="I3735" i="3"/>
  <c r="I3734" i="3"/>
  <c r="I3733" i="3"/>
  <c r="I3732" i="3"/>
  <c r="I3731" i="3"/>
  <c r="I3730" i="3"/>
  <c r="I3729" i="3"/>
  <c r="I3728" i="3"/>
  <c r="I3727" i="3"/>
  <c r="I3726" i="3"/>
  <c r="I3725" i="3"/>
  <c r="I3724" i="3"/>
  <c r="I3723" i="3"/>
  <c r="I3722" i="3"/>
  <c r="I3721" i="3"/>
  <c r="I3720" i="3"/>
  <c r="I3719" i="3"/>
  <c r="I3718" i="3"/>
  <c r="I3717" i="3"/>
  <c r="I3716" i="3"/>
  <c r="I3715" i="3"/>
  <c r="I3714" i="3"/>
  <c r="I3713" i="3"/>
  <c r="I3712" i="3"/>
  <c r="I3711" i="3"/>
  <c r="I3710" i="3"/>
  <c r="I3709" i="3"/>
  <c r="I3708" i="3"/>
  <c r="I3707" i="3"/>
  <c r="I3706" i="3"/>
  <c r="I3705" i="3"/>
  <c r="I3704" i="3"/>
  <c r="I3703" i="3"/>
  <c r="I3702" i="3"/>
  <c r="I3701" i="3"/>
  <c r="I3700" i="3"/>
  <c r="I3699" i="3"/>
  <c r="I3698" i="3"/>
  <c r="I3697" i="3"/>
  <c r="I3696" i="3"/>
  <c r="I3695" i="3"/>
  <c r="I3694" i="3"/>
  <c r="I3693" i="3"/>
  <c r="I3692" i="3"/>
  <c r="I3691" i="3"/>
  <c r="I3690" i="3"/>
  <c r="I3689" i="3"/>
  <c r="I3688" i="3"/>
  <c r="I3687" i="3"/>
  <c r="I3686" i="3"/>
  <c r="I3685" i="3"/>
  <c r="I3684" i="3"/>
  <c r="I3683" i="3"/>
  <c r="I3682" i="3"/>
  <c r="I3681" i="3"/>
  <c r="I3680" i="3"/>
  <c r="I3679" i="3"/>
  <c r="I3678" i="3"/>
  <c r="I3677" i="3"/>
  <c r="I3676" i="3"/>
  <c r="I3675" i="3"/>
  <c r="I3674" i="3"/>
  <c r="I3673" i="3"/>
  <c r="I3672" i="3"/>
  <c r="I3671" i="3"/>
  <c r="I3670" i="3"/>
  <c r="I3669" i="3"/>
  <c r="I3668" i="3"/>
  <c r="I3667" i="3"/>
  <c r="I3666" i="3"/>
  <c r="I3665" i="3"/>
  <c r="I3664" i="3"/>
  <c r="I3663" i="3"/>
  <c r="I3662" i="3"/>
  <c r="I3661" i="3"/>
  <c r="I3660" i="3"/>
  <c r="I3659" i="3"/>
  <c r="I3658" i="3"/>
  <c r="I3657" i="3"/>
  <c r="I3656" i="3"/>
  <c r="I3655" i="3"/>
  <c r="I3654" i="3"/>
  <c r="I3653" i="3"/>
  <c r="I3652" i="3"/>
  <c r="I3651" i="3"/>
  <c r="I3650" i="3"/>
  <c r="I3649" i="3"/>
  <c r="I3648" i="3"/>
  <c r="I3647" i="3"/>
  <c r="I3646" i="3"/>
  <c r="I3645" i="3"/>
  <c r="I3644" i="3"/>
  <c r="I3643" i="3"/>
  <c r="I3642" i="3"/>
  <c r="I3641" i="3"/>
  <c r="I3640" i="3"/>
  <c r="I3639" i="3"/>
  <c r="I3638" i="3"/>
  <c r="I3637" i="3"/>
  <c r="I3636" i="3"/>
  <c r="I3635" i="3"/>
  <c r="I3634" i="3"/>
  <c r="I3633" i="3"/>
  <c r="I3632" i="3"/>
  <c r="I3631" i="3"/>
  <c r="I3630" i="3"/>
  <c r="I3629" i="3"/>
  <c r="I3628" i="3"/>
  <c r="I3627" i="3"/>
  <c r="I3626" i="3"/>
  <c r="I3625" i="3"/>
  <c r="I3624" i="3"/>
  <c r="I3623" i="3"/>
  <c r="I3622" i="3"/>
  <c r="I3621" i="3"/>
  <c r="I3620" i="3"/>
  <c r="I3619" i="3"/>
  <c r="I3618" i="3"/>
  <c r="I3617" i="3"/>
  <c r="I3616" i="3"/>
  <c r="I3615" i="3"/>
  <c r="I3614" i="3"/>
  <c r="I3613" i="3"/>
  <c r="I3612" i="3"/>
  <c r="I3611" i="3"/>
  <c r="I3610" i="3"/>
  <c r="I3609" i="3"/>
  <c r="I3608" i="3"/>
  <c r="I3607" i="3"/>
  <c r="I3606" i="3"/>
  <c r="I3605" i="3"/>
  <c r="I3604" i="3"/>
  <c r="I3603" i="3"/>
  <c r="I3602" i="3"/>
  <c r="I3601" i="3"/>
  <c r="I3600" i="3"/>
  <c r="I3599" i="3"/>
  <c r="I3598" i="3"/>
  <c r="I3597" i="3"/>
  <c r="I3596" i="3"/>
  <c r="I3595" i="3"/>
  <c r="I3594" i="3"/>
  <c r="I3593" i="3"/>
  <c r="I3592" i="3"/>
  <c r="I3591" i="3"/>
  <c r="I3590" i="3"/>
  <c r="I3589" i="3"/>
  <c r="I3588" i="3"/>
  <c r="I3587" i="3"/>
  <c r="I3586" i="3"/>
  <c r="I3585" i="3"/>
  <c r="I3584" i="3"/>
  <c r="I3583" i="3"/>
  <c r="I3582" i="3"/>
  <c r="I3581" i="3"/>
  <c r="I3580" i="3"/>
  <c r="I3579" i="3"/>
  <c r="I3578" i="3"/>
  <c r="I3577" i="3"/>
  <c r="I3576" i="3"/>
  <c r="I3575" i="3"/>
  <c r="I3574" i="3"/>
  <c r="I3573" i="3"/>
  <c r="I3572" i="3"/>
  <c r="I3571" i="3"/>
  <c r="I3570" i="3"/>
  <c r="I3569" i="3"/>
  <c r="I3568" i="3"/>
  <c r="I3567" i="3"/>
  <c r="I3566" i="3"/>
  <c r="I3565" i="3"/>
  <c r="I3564" i="3"/>
  <c r="I3563" i="3"/>
  <c r="I3562" i="3"/>
  <c r="I3561" i="3"/>
  <c r="I3560" i="3"/>
  <c r="I3559" i="3"/>
  <c r="I3558" i="3"/>
  <c r="I3557" i="3"/>
  <c r="I3556" i="3"/>
  <c r="I3555" i="3"/>
  <c r="I3554" i="3"/>
  <c r="I3553" i="3"/>
  <c r="I3552" i="3"/>
  <c r="I3551" i="3"/>
  <c r="I3550" i="3"/>
  <c r="I3549" i="3"/>
  <c r="I3548" i="3"/>
  <c r="I3547" i="3"/>
  <c r="I3546" i="3"/>
  <c r="I3545" i="3"/>
  <c r="I3544" i="3"/>
  <c r="I3543" i="3"/>
  <c r="I3542" i="3"/>
  <c r="I3541" i="3"/>
  <c r="I3540" i="3"/>
  <c r="I3539" i="3"/>
  <c r="I3538" i="3"/>
  <c r="I3537" i="3"/>
  <c r="I3536" i="3"/>
  <c r="I3535" i="3"/>
  <c r="I3534" i="3"/>
  <c r="I3533" i="3"/>
  <c r="I3532" i="3"/>
  <c r="I3531" i="3"/>
  <c r="I3530" i="3"/>
  <c r="I3529" i="3"/>
  <c r="I3528" i="3"/>
  <c r="I3527" i="3"/>
  <c r="I3526" i="3"/>
  <c r="I3525" i="3"/>
  <c r="I3524" i="3"/>
  <c r="I3523" i="3"/>
  <c r="I3522" i="3"/>
  <c r="I3521" i="3"/>
  <c r="I3520" i="3"/>
  <c r="I3519" i="3"/>
  <c r="I3518" i="3"/>
  <c r="I3517" i="3"/>
  <c r="I3516" i="3"/>
  <c r="I3515" i="3"/>
  <c r="I3514" i="3"/>
  <c r="I3513" i="3"/>
  <c r="I3512" i="3"/>
  <c r="I3511" i="3"/>
  <c r="I3510" i="3"/>
  <c r="I3509" i="3"/>
  <c r="I3508" i="3"/>
  <c r="I3507" i="3"/>
  <c r="I3506" i="3"/>
  <c r="I3505" i="3"/>
  <c r="I3504" i="3"/>
  <c r="I3503" i="3"/>
  <c r="I3502" i="3"/>
  <c r="I3501" i="3"/>
  <c r="I3500" i="3"/>
  <c r="I3499" i="3"/>
  <c r="I3498" i="3"/>
  <c r="I3497" i="3"/>
  <c r="I3496" i="3"/>
  <c r="I3495" i="3"/>
  <c r="I3494" i="3"/>
  <c r="I3493" i="3"/>
  <c r="I3492" i="3"/>
  <c r="I3491" i="3"/>
  <c r="I3490" i="3"/>
  <c r="I3489" i="3"/>
  <c r="I3488" i="3"/>
  <c r="I3487" i="3"/>
  <c r="I3486" i="3"/>
  <c r="I3485" i="3"/>
  <c r="I3484" i="3"/>
  <c r="I3483" i="3"/>
  <c r="I3482" i="3"/>
  <c r="I3481" i="3"/>
  <c r="I3480" i="3"/>
  <c r="I3479" i="3"/>
  <c r="I3478" i="3"/>
  <c r="I3477" i="3"/>
  <c r="I3476" i="3"/>
  <c r="I3475" i="3"/>
  <c r="I3474" i="3"/>
  <c r="I3473" i="3"/>
  <c r="I3472" i="3"/>
  <c r="I3471" i="3"/>
  <c r="I3470" i="3"/>
  <c r="I3469" i="3"/>
  <c r="I3468" i="3"/>
  <c r="I3467" i="3"/>
  <c r="I3466" i="3"/>
  <c r="I3465" i="3"/>
  <c r="I3464" i="3"/>
  <c r="I3463" i="3"/>
  <c r="I3462" i="3"/>
  <c r="I3461" i="3"/>
  <c r="I3460" i="3"/>
  <c r="I3459" i="3"/>
  <c r="I3458" i="3"/>
  <c r="I3457" i="3"/>
  <c r="I3456" i="3"/>
  <c r="I3455" i="3"/>
  <c r="I3454" i="3"/>
  <c r="I3453" i="3"/>
  <c r="I3452" i="3"/>
  <c r="I3451" i="3"/>
  <c r="I3450" i="3"/>
  <c r="I3449" i="3"/>
  <c r="I3448" i="3"/>
  <c r="I3447" i="3"/>
  <c r="I3446" i="3"/>
  <c r="I3445" i="3"/>
  <c r="I3444" i="3"/>
  <c r="I3443" i="3"/>
  <c r="I3442" i="3"/>
  <c r="I3441" i="3"/>
  <c r="I3440" i="3"/>
  <c r="I3439" i="3"/>
  <c r="I3438" i="3"/>
  <c r="I3437" i="3"/>
  <c r="I3436" i="3"/>
  <c r="I3435" i="3"/>
  <c r="I3434" i="3"/>
  <c r="I3433" i="3"/>
  <c r="I3432" i="3"/>
  <c r="I3431" i="3"/>
  <c r="I3430" i="3"/>
  <c r="I3429" i="3"/>
  <c r="I3428" i="3"/>
  <c r="I3427" i="3"/>
  <c r="I3426" i="3"/>
  <c r="I3425" i="3"/>
  <c r="I3424" i="3"/>
  <c r="I3423" i="3"/>
  <c r="I3422" i="3"/>
  <c r="I3421" i="3"/>
  <c r="I3420" i="3"/>
  <c r="I3419" i="3"/>
  <c r="I3418" i="3"/>
  <c r="I3417" i="3"/>
  <c r="I3416" i="3"/>
  <c r="I3415" i="3"/>
  <c r="I3414" i="3"/>
  <c r="I3413" i="3"/>
  <c r="I3412" i="3"/>
  <c r="I3411" i="3"/>
  <c r="I3410" i="3"/>
  <c r="I3409" i="3"/>
  <c r="I3408" i="3"/>
  <c r="I3407" i="3"/>
  <c r="I3406" i="3"/>
  <c r="I3405" i="3"/>
  <c r="I3404" i="3"/>
  <c r="I3403" i="3"/>
  <c r="I3402" i="3"/>
  <c r="I3401" i="3"/>
  <c r="I3400" i="3"/>
  <c r="I3399" i="3"/>
  <c r="I3398" i="3"/>
  <c r="I3397" i="3"/>
  <c r="I3396" i="3"/>
  <c r="I3395" i="3"/>
  <c r="I3394" i="3"/>
  <c r="I3393" i="3"/>
  <c r="I3392" i="3"/>
  <c r="I3391" i="3"/>
  <c r="I3390" i="3"/>
  <c r="I3389" i="3"/>
  <c r="I3388" i="3"/>
  <c r="I3387" i="3"/>
  <c r="I3386" i="3"/>
  <c r="I3385" i="3"/>
  <c r="I3384" i="3"/>
  <c r="I3383" i="3"/>
  <c r="I3382" i="3"/>
  <c r="I3381" i="3"/>
  <c r="I3380" i="3"/>
  <c r="I3379" i="3"/>
  <c r="I3378" i="3"/>
  <c r="I3377" i="3"/>
  <c r="I3376" i="3"/>
  <c r="I3375" i="3"/>
  <c r="I3374" i="3"/>
  <c r="I3373" i="3"/>
  <c r="I3372" i="3"/>
  <c r="I3371" i="3"/>
  <c r="I3370" i="3"/>
  <c r="I3369" i="3"/>
  <c r="I3368" i="3"/>
  <c r="I3367" i="3"/>
  <c r="I3366" i="3"/>
  <c r="I3365" i="3"/>
  <c r="I3364" i="3"/>
  <c r="I3363" i="3"/>
  <c r="I3362" i="3"/>
  <c r="I3361" i="3"/>
  <c r="I3360" i="3"/>
  <c r="I3359" i="3"/>
  <c r="I3358" i="3"/>
  <c r="I3357" i="3"/>
  <c r="I3356" i="3"/>
  <c r="I3355" i="3"/>
  <c r="I3354" i="3"/>
  <c r="I3353" i="3"/>
  <c r="I3352" i="3"/>
  <c r="I3351" i="3"/>
  <c r="I3350" i="3"/>
  <c r="I3349" i="3"/>
  <c r="I3348" i="3"/>
  <c r="I3347" i="3"/>
  <c r="I3346" i="3"/>
  <c r="I3345" i="3"/>
  <c r="I3344" i="3"/>
  <c r="I3343" i="3"/>
  <c r="I3342" i="3"/>
  <c r="I3341" i="3"/>
  <c r="I3340" i="3"/>
  <c r="I3339" i="3"/>
  <c r="I3338" i="3"/>
  <c r="I3337" i="3"/>
  <c r="I3336" i="3"/>
  <c r="I3335" i="3"/>
  <c r="I3334" i="3"/>
  <c r="I3333" i="3"/>
  <c r="I3332" i="3"/>
  <c r="I3331" i="3"/>
  <c r="I3330" i="3"/>
  <c r="I3329" i="3"/>
  <c r="I3328" i="3"/>
  <c r="I3327" i="3"/>
  <c r="I3326" i="3"/>
  <c r="I3325" i="3"/>
  <c r="I3324" i="3"/>
  <c r="I3323" i="3"/>
  <c r="I3322" i="3"/>
  <c r="I3321" i="3"/>
  <c r="I3320" i="3"/>
  <c r="I3319" i="3"/>
  <c r="I3318" i="3"/>
  <c r="I3317" i="3"/>
  <c r="I3316" i="3"/>
  <c r="I3315" i="3"/>
  <c r="I3314" i="3"/>
  <c r="I3313" i="3"/>
  <c r="I3312" i="3"/>
  <c r="I3311" i="3"/>
  <c r="I3310" i="3"/>
  <c r="I3309" i="3"/>
  <c r="I3308" i="3"/>
  <c r="I3307" i="3"/>
  <c r="I3306" i="3"/>
  <c r="I3305" i="3"/>
  <c r="I3304" i="3"/>
  <c r="I3303" i="3"/>
  <c r="I3302" i="3"/>
  <c r="I3301" i="3"/>
  <c r="I3300" i="3"/>
  <c r="I3299" i="3"/>
  <c r="I3298" i="3"/>
  <c r="I3297" i="3"/>
  <c r="I3296" i="3"/>
  <c r="I3295" i="3"/>
  <c r="I3294" i="3"/>
  <c r="I3293" i="3"/>
  <c r="I3292" i="3"/>
  <c r="I3291" i="3"/>
  <c r="I3290" i="3"/>
  <c r="I3289" i="3"/>
  <c r="I3288" i="3"/>
  <c r="I3287" i="3"/>
  <c r="I3286" i="3"/>
  <c r="I3285" i="3"/>
  <c r="I3284" i="3"/>
  <c r="I3283" i="3"/>
  <c r="I3282" i="3"/>
  <c r="I3281" i="3"/>
  <c r="I3280" i="3"/>
  <c r="I3279" i="3"/>
  <c r="I3278" i="3"/>
  <c r="I3277" i="3"/>
  <c r="I3276" i="3"/>
  <c r="I3275" i="3"/>
  <c r="I3274" i="3"/>
  <c r="I3273" i="3"/>
  <c r="I3272" i="3"/>
  <c r="I3271" i="3"/>
  <c r="I3270" i="3"/>
  <c r="I3269" i="3"/>
  <c r="I3268" i="3"/>
  <c r="I3267" i="3"/>
  <c r="I3266" i="3"/>
  <c r="I3265" i="3"/>
  <c r="I3264" i="3"/>
  <c r="I3263" i="3"/>
  <c r="I3262" i="3"/>
  <c r="I3261" i="3"/>
  <c r="I3260" i="3"/>
  <c r="I3259" i="3"/>
  <c r="I3258" i="3"/>
  <c r="I3257" i="3"/>
  <c r="I3256" i="3"/>
  <c r="I3255" i="3"/>
  <c r="I3254" i="3"/>
  <c r="I3253" i="3"/>
  <c r="I3252" i="3"/>
  <c r="I3251" i="3"/>
  <c r="I3250" i="3"/>
  <c r="I3249" i="3"/>
  <c r="I3248" i="3"/>
  <c r="I3247" i="3"/>
  <c r="I3246" i="3"/>
  <c r="I3245" i="3"/>
  <c r="I3244" i="3"/>
  <c r="I3243" i="3"/>
  <c r="I3242" i="3"/>
  <c r="I3241" i="3"/>
  <c r="I3240" i="3"/>
  <c r="I3239" i="3"/>
  <c r="I3238" i="3"/>
  <c r="I3237" i="3"/>
  <c r="I3236" i="3"/>
  <c r="I3235" i="3"/>
  <c r="I3234" i="3"/>
  <c r="I3233" i="3"/>
  <c r="I3232" i="3"/>
  <c r="I3231" i="3"/>
  <c r="I3230" i="3"/>
  <c r="I3229" i="3"/>
  <c r="I3228" i="3"/>
  <c r="I3227" i="3"/>
  <c r="I3226" i="3"/>
  <c r="I3225" i="3"/>
  <c r="I3224" i="3"/>
  <c r="I3223" i="3"/>
  <c r="I3222" i="3"/>
  <c r="I3221" i="3"/>
  <c r="I3220" i="3"/>
  <c r="I3219" i="3"/>
  <c r="I3218" i="3"/>
  <c r="I3217" i="3"/>
  <c r="I3216" i="3"/>
  <c r="I3215" i="3"/>
  <c r="I3214" i="3"/>
  <c r="I3213" i="3"/>
  <c r="I3212" i="3"/>
  <c r="I3211" i="3"/>
  <c r="I3210" i="3"/>
  <c r="I3209" i="3"/>
  <c r="I3208" i="3"/>
  <c r="I3207" i="3"/>
  <c r="I3206" i="3"/>
  <c r="I3205" i="3"/>
  <c r="I3204" i="3"/>
  <c r="I3203" i="3"/>
  <c r="I3202" i="3"/>
  <c r="I3201" i="3"/>
  <c r="I3200" i="3"/>
  <c r="I3199" i="3"/>
  <c r="I3198" i="3"/>
  <c r="I3197" i="3"/>
  <c r="I3196" i="3"/>
  <c r="I3195" i="3"/>
  <c r="I3194" i="3"/>
  <c r="I3193" i="3"/>
  <c r="I3192" i="3"/>
  <c r="I3191" i="3"/>
  <c r="I3190" i="3"/>
  <c r="I3189" i="3"/>
  <c r="I3188" i="3"/>
  <c r="I3187" i="3"/>
  <c r="I3186" i="3"/>
  <c r="I3185" i="3"/>
  <c r="I3184" i="3"/>
  <c r="I3183" i="3"/>
  <c r="I3182" i="3"/>
  <c r="I3181" i="3"/>
  <c r="I3180" i="3"/>
  <c r="I3179" i="3"/>
  <c r="I3178" i="3"/>
  <c r="I3177" i="3"/>
  <c r="I3176" i="3"/>
  <c r="I3175" i="3"/>
  <c r="I3174" i="3"/>
  <c r="I3173" i="3"/>
  <c r="I3172" i="3"/>
  <c r="I3171" i="3"/>
  <c r="I3170" i="3"/>
  <c r="I3169" i="3"/>
  <c r="I3168" i="3"/>
  <c r="I3167" i="3"/>
  <c r="I3166" i="3"/>
  <c r="I3165" i="3"/>
  <c r="I3164" i="3"/>
  <c r="I3163" i="3"/>
  <c r="I3162" i="3"/>
  <c r="I3161" i="3"/>
  <c r="I3160" i="3"/>
  <c r="I3159" i="3"/>
  <c r="I3158" i="3"/>
  <c r="I3157" i="3"/>
  <c r="I3156" i="3"/>
  <c r="I3155" i="3"/>
  <c r="I3154" i="3"/>
  <c r="I3153" i="3"/>
  <c r="I3152" i="3"/>
  <c r="I3151" i="3"/>
  <c r="I3150" i="3"/>
  <c r="I3149" i="3"/>
  <c r="I3148" i="3"/>
  <c r="I3147" i="3"/>
  <c r="I3146" i="3"/>
  <c r="I3145" i="3"/>
  <c r="I3144" i="3"/>
  <c r="I3143" i="3"/>
  <c r="I3142" i="3"/>
  <c r="I3141" i="3"/>
  <c r="I3140" i="3"/>
  <c r="I3139" i="3"/>
  <c r="I3138" i="3"/>
  <c r="I3137" i="3"/>
  <c r="I3136" i="3"/>
  <c r="I3135" i="3"/>
  <c r="I3134" i="3"/>
  <c r="I3133" i="3"/>
  <c r="I3132" i="3"/>
  <c r="I3131" i="3"/>
  <c r="I3130" i="3"/>
  <c r="I3129" i="3"/>
  <c r="I3128" i="3"/>
  <c r="I3127" i="3"/>
  <c r="I3126" i="3"/>
  <c r="I3125" i="3"/>
  <c r="I3124" i="3"/>
  <c r="I3123" i="3"/>
  <c r="I3122" i="3"/>
  <c r="I3121" i="3"/>
  <c r="I3120" i="3"/>
  <c r="I3119" i="3"/>
  <c r="I3118" i="3"/>
  <c r="I3117" i="3"/>
  <c r="I3116" i="3"/>
  <c r="I3115" i="3"/>
  <c r="I3114" i="3"/>
  <c r="I3113" i="3"/>
  <c r="I3112" i="3"/>
  <c r="I3111" i="3"/>
  <c r="I3110" i="3"/>
  <c r="I3109" i="3"/>
  <c r="I3108" i="3"/>
  <c r="I3107" i="3"/>
  <c r="I3106" i="3"/>
  <c r="I3105" i="3"/>
  <c r="I3104" i="3"/>
  <c r="I3103" i="3"/>
  <c r="I3102" i="3"/>
  <c r="I3101" i="3"/>
  <c r="I3100" i="3"/>
  <c r="I3099" i="3"/>
  <c r="I3098" i="3"/>
  <c r="I3097" i="3"/>
  <c r="I3096" i="3"/>
  <c r="I3095" i="3"/>
  <c r="I3094" i="3"/>
  <c r="I3093" i="3"/>
  <c r="I3092" i="3"/>
  <c r="I3091" i="3"/>
  <c r="I3090" i="3"/>
  <c r="I3089" i="3"/>
  <c r="I3088" i="3"/>
  <c r="I3087" i="3"/>
  <c r="I3086" i="3"/>
  <c r="I3085" i="3"/>
  <c r="I3084" i="3"/>
  <c r="I3083" i="3"/>
  <c r="I3082" i="3"/>
  <c r="I3081" i="3"/>
  <c r="I3080" i="3"/>
  <c r="I3079" i="3"/>
  <c r="I3078" i="3"/>
  <c r="I3077" i="3"/>
  <c r="I3076" i="3"/>
  <c r="I3075" i="3"/>
  <c r="I3074" i="3"/>
  <c r="I3073" i="3"/>
  <c r="I3072" i="3"/>
  <c r="I3071" i="3"/>
  <c r="I3070" i="3"/>
  <c r="I3069" i="3"/>
  <c r="I3068" i="3"/>
  <c r="I3067" i="3"/>
  <c r="I3066" i="3"/>
  <c r="I3065" i="3"/>
  <c r="I3064" i="3"/>
  <c r="I3063" i="3"/>
  <c r="I3062" i="3"/>
  <c r="I3061" i="3"/>
  <c r="I3060" i="3"/>
  <c r="I3059" i="3"/>
  <c r="I3058" i="3"/>
  <c r="I3057" i="3"/>
  <c r="I3056" i="3"/>
  <c r="I3055" i="3"/>
  <c r="I3054" i="3"/>
  <c r="I3053" i="3"/>
  <c r="I3052" i="3"/>
  <c r="I3051" i="3"/>
  <c r="I3050" i="3"/>
  <c r="I3049" i="3"/>
  <c r="I3048" i="3"/>
  <c r="I3047" i="3"/>
  <c r="I3046" i="3"/>
  <c r="I3045" i="3"/>
  <c r="I3044" i="3"/>
  <c r="I3043" i="3"/>
  <c r="I3042" i="3"/>
  <c r="I3041" i="3"/>
  <c r="I3040" i="3"/>
  <c r="I3039" i="3"/>
  <c r="I3038" i="3"/>
  <c r="I3037" i="3"/>
  <c r="I3036" i="3"/>
  <c r="I3035" i="3"/>
  <c r="I3034" i="3"/>
  <c r="I3033" i="3"/>
  <c r="I3032" i="3"/>
  <c r="I3031" i="3"/>
  <c r="I3030" i="3"/>
  <c r="I3029" i="3"/>
  <c r="I3028" i="3"/>
  <c r="I3027" i="3"/>
  <c r="I3026" i="3"/>
  <c r="I3025" i="3"/>
  <c r="I3024" i="3"/>
  <c r="I3023" i="3"/>
  <c r="I3022" i="3"/>
  <c r="I3021" i="3"/>
  <c r="I3020" i="3"/>
  <c r="I3019" i="3"/>
  <c r="I3018" i="3"/>
  <c r="I3017" i="3"/>
  <c r="I3016" i="3"/>
  <c r="I3015" i="3"/>
  <c r="I3014" i="3"/>
  <c r="I3013" i="3"/>
  <c r="I3012" i="3"/>
  <c r="I3011" i="3"/>
  <c r="I3010" i="3"/>
  <c r="I3009" i="3"/>
  <c r="I3008" i="3"/>
  <c r="I3007" i="3"/>
  <c r="I3006" i="3"/>
  <c r="I3005" i="3"/>
  <c r="I3004" i="3"/>
  <c r="I3003" i="3"/>
  <c r="I3002" i="3"/>
  <c r="I3001" i="3"/>
  <c r="I3000" i="3"/>
  <c r="I2999" i="3"/>
  <c r="I2998" i="3"/>
  <c r="I2997" i="3"/>
  <c r="I2996" i="3"/>
  <c r="I2995" i="3"/>
  <c r="I2994" i="3"/>
  <c r="I2993" i="3"/>
  <c r="I2992" i="3"/>
  <c r="I2991" i="3"/>
  <c r="I2990" i="3"/>
  <c r="I2989" i="3"/>
  <c r="I2988" i="3"/>
  <c r="I2987" i="3"/>
  <c r="I2986" i="3"/>
  <c r="I2985" i="3"/>
  <c r="I2984" i="3"/>
  <c r="I2983" i="3"/>
  <c r="I2982" i="3"/>
  <c r="I2981" i="3"/>
  <c r="I2980" i="3"/>
  <c r="I2979" i="3"/>
  <c r="I2978" i="3"/>
  <c r="I2977" i="3"/>
  <c r="I2976" i="3"/>
  <c r="I2975" i="3"/>
  <c r="I2974" i="3"/>
  <c r="I2973" i="3"/>
  <c r="I2972" i="3"/>
  <c r="I2971" i="3"/>
  <c r="I2970" i="3"/>
  <c r="I2969" i="3"/>
  <c r="I2968" i="3"/>
  <c r="I2967" i="3"/>
  <c r="I2966" i="3"/>
  <c r="I2965" i="3"/>
  <c r="I2964" i="3"/>
  <c r="I2963" i="3"/>
  <c r="I2962" i="3"/>
  <c r="I2961" i="3"/>
  <c r="I2960" i="3"/>
  <c r="I2959" i="3"/>
  <c r="I2958" i="3"/>
  <c r="I2957" i="3"/>
  <c r="I2956" i="3"/>
  <c r="I2955" i="3"/>
  <c r="I2954" i="3"/>
  <c r="I2953" i="3"/>
  <c r="I2952" i="3"/>
  <c r="I2951" i="3"/>
  <c r="I2950" i="3"/>
  <c r="I2949" i="3"/>
  <c r="I2948" i="3"/>
  <c r="I2947" i="3"/>
  <c r="I2946" i="3"/>
  <c r="I2945" i="3"/>
  <c r="I2944" i="3"/>
  <c r="I2943" i="3"/>
  <c r="I2942" i="3"/>
  <c r="I2941" i="3"/>
  <c r="I2940" i="3"/>
  <c r="I2939" i="3"/>
  <c r="I2938" i="3"/>
  <c r="I2937" i="3"/>
  <c r="I2936" i="3"/>
  <c r="I2935" i="3"/>
  <c r="I2934" i="3"/>
  <c r="I2933" i="3"/>
  <c r="I2932" i="3"/>
  <c r="I2931" i="3"/>
  <c r="I2930" i="3"/>
  <c r="I2929" i="3"/>
  <c r="I2928" i="3"/>
  <c r="I2927" i="3"/>
  <c r="I2926" i="3"/>
  <c r="I2925" i="3"/>
  <c r="I2924" i="3"/>
  <c r="I2923" i="3"/>
  <c r="I2922" i="3"/>
  <c r="I2921" i="3"/>
  <c r="I2920" i="3"/>
  <c r="I2919" i="3"/>
  <c r="I2918" i="3"/>
  <c r="I2917" i="3"/>
  <c r="I2916" i="3"/>
  <c r="I2915" i="3"/>
  <c r="I2914" i="3"/>
  <c r="I2913" i="3"/>
  <c r="I2912" i="3"/>
  <c r="I2911" i="3"/>
  <c r="I2910" i="3"/>
  <c r="I2909" i="3"/>
  <c r="I2908" i="3"/>
  <c r="I2907" i="3"/>
  <c r="I2906" i="3"/>
  <c r="I2905" i="3"/>
  <c r="I2904" i="3"/>
  <c r="I2903" i="3"/>
  <c r="I2902" i="3"/>
  <c r="I2901" i="3"/>
  <c r="I2900" i="3"/>
  <c r="I2899" i="3"/>
  <c r="I2898" i="3"/>
  <c r="I2897" i="3"/>
  <c r="I2896" i="3"/>
  <c r="I2895" i="3"/>
  <c r="I2894" i="3"/>
  <c r="I2893" i="3"/>
  <c r="I2892" i="3"/>
  <c r="I2891" i="3"/>
  <c r="I2890" i="3"/>
  <c r="I2889" i="3"/>
  <c r="I2888" i="3"/>
  <c r="I2887" i="3"/>
  <c r="I2886" i="3"/>
  <c r="I2885" i="3"/>
  <c r="I2884" i="3"/>
  <c r="I2883" i="3"/>
  <c r="I2882" i="3"/>
  <c r="I2881" i="3"/>
  <c r="I2880" i="3"/>
  <c r="I2879" i="3"/>
  <c r="I2878" i="3"/>
  <c r="I2877" i="3"/>
  <c r="I2876" i="3"/>
  <c r="I2875" i="3"/>
  <c r="I2874" i="3"/>
  <c r="I2873" i="3"/>
  <c r="I2872" i="3"/>
  <c r="I2871" i="3"/>
  <c r="I2870" i="3"/>
  <c r="I2869" i="3"/>
  <c r="I2868" i="3"/>
  <c r="I2867" i="3"/>
  <c r="I2866" i="3"/>
  <c r="I2865" i="3"/>
  <c r="I2864" i="3"/>
  <c r="I2863" i="3"/>
  <c r="I2862" i="3"/>
  <c r="I2861" i="3"/>
  <c r="I2860" i="3"/>
  <c r="I2859" i="3"/>
  <c r="I2858" i="3"/>
  <c r="I2857" i="3"/>
  <c r="I2856" i="3"/>
  <c r="I2855" i="3"/>
  <c r="I2854" i="3"/>
  <c r="I2853" i="3"/>
  <c r="I2852" i="3"/>
  <c r="I2851" i="3"/>
  <c r="I2850" i="3"/>
  <c r="I2849" i="3"/>
  <c r="I2848" i="3"/>
  <c r="I2847" i="3"/>
  <c r="I2846" i="3"/>
  <c r="I2845" i="3"/>
  <c r="I2844" i="3"/>
  <c r="I2843" i="3"/>
  <c r="I2842" i="3"/>
  <c r="I2841" i="3"/>
  <c r="I2840" i="3"/>
  <c r="I2839" i="3"/>
  <c r="I2838" i="3"/>
  <c r="I2837" i="3"/>
  <c r="I2836" i="3"/>
  <c r="I2835" i="3"/>
  <c r="I2834" i="3"/>
  <c r="I2833" i="3"/>
  <c r="I2832" i="3"/>
  <c r="I2831" i="3"/>
  <c r="I2830" i="3"/>
  <c r="I2829" i="3"/>
  <c r="I2828" i="3"/>
  <c r="I2827" i="3"/>
  <c r="I2826" i="3"/>
  <c r="I2825" i="3"/>
  <c r="I2824" i="3"/>
  <c r="I2823" i="3"/>
  <c r="I2822" i="3"/>
  <c r="I2821" i="3"/>
  <c r="I2820" i="3"/>
  <c r="I2819" i="3"/>
  <c r="I2818" i="3"/>
  <c r="I2817" i="3"/>
  <c r="I2816" i="3"/>
  <c r="I2815" i="3"/>
  <c r="I2814" i="3"/>
  <c r="I2813" i="3"/>
  <c r="I2812" i="3"/>
  <c r="I2811" i="3"/>
  <c r="I2810" i="3"/>
  <c r="I2809" i="3"/>
  <c r="I2808" i="3"/>
  <c r="I2807" i="3"/>
  <c r="I2806" i="3"/>
  <c r="I2805" i="3"/>
  <c r="I2804" i="3"/>
  <c r="I2803" i="3"/>
  <c r="I2802" i="3"/>
  <c r="I2801" i="3"/>
  <c r="I2800" i="3"/>
  <c r="I2799" i="3"/>
  <c r="I2798" i="3"/>
  <c r="I2797" i="3"/>
  <c r="I2796" i="3"/>
  <c r="I2795" i="3"/>
  <c r="I2794" i="3"/>
  <c r="I2793" i="3"/>
  <c r="I2792" i="3"/>
  <c r="I2791" i="3"/>
  <c r="I2790" i="3"/>
  <c r="I2789" i="3"/>
  <c r="I2788" i="3"/>
  <c r="I2787" i="3"/>
  <c r="I2786" i="3"/>
  <c r="I2785" i="3"/>
  <c r="I2784" i="3"/>
  <c r="I2783" i="3"/>
  <c r="I2782" i="3"/>
  <c r="I2781" i="3"/>
  <c r="I2780" i="3"/>
  <c r="I2779" i="3"/>
  <c r="I2778" i="3"/>
  <c r="I2777" i="3"/>
  <c r="I2776" i="3"/>
  <c r="I2775" i="3"/>
  <c r="I2774" i="3"/>
  <c r="I2773" i="3"/>
  <c r="I2772" i="3"/>
  <c r="I2771" i="3"/>
  <c r="I2770" i="3"/>
  <c r="I2769" i="3"/>
  <c r="I2768" i="3"/>
  <c r="I2767" i="3"/>
  <c r="I2766" i="3"/>
  <c r="I2765" i="3"/>
  <c r="I2764" i="3"/>
  <c r="I2763" i="3"/>
  <c r="I2762" i="3"/>
  <c r="I2761" i="3"/>
  <c r="I2760" i="3"/>
  <c r="I2759" i="3"/>
  <c r="I2758" i="3"/>
  <c r="I2757" i="3"/>
  <c r="I2756" i="3"/>
  <c r="I2755" i="3"/>
  <c r="I2754" i="3"/>
  <c r="I2753" i="3"/>
  <c r="I2752" i="3"/>
  <c r="I2751" i="3"/>
  <c r="I2750" i="3"/>
  <c r="I2749" i="3"/>
  <c r="I2748" i="3"/>
  <c r="I2747" i="3"/>
  <c r="I2746" i="3"/>
  <c r="I2745" i="3"/>
  <c r="I2744" i="3"/>
  <c r="I2743" i="3"/>
  <c r="I2742" i="3"/>
  <c r="I2741" i="3"/>
  <c r="I2740" i="3"/>
  <c r="I2739" i="3"/>
  <c r="I2738" i="3"/>
  <c r="I2737" i="3"/>
  <c r="I2736" i="3"/>
  <c r="I2735" i="3"/>
  <c r="I2734" i="3"/>
  <c r="I2733" i="3"/>
  <c r="I2732" i="3"/>
  <c r="I2731" i="3"/>
  <c r="I2730" i="3"/>
  <c r="I2729" i="3"/>
  <c r="I2728" i="3"/>
  <c r="I2727" i="3"/>
  <c r="I2726" i="3"/>
  <c r="I2725" i="3"/>
  <c r="I2724" i="3"/>
  <c r="I2723" i="3"/>
  <c r="I2722" i="3"/>
  <c r="I2721" i="3"/>
  <c r="I2720" i="3"/>
  <c r="I2719" i="3"/>
  <c r="I2718" i="3"/>
  <c r="I2717" i="3"/>
  <c r="I2716" i="3"/>
  <c r="I2715" i="3"/>
  <c r="I2714" i="3"/>
  <c r="I2713" i="3"/>
  <c r="I2712" i="3"/>
  <c r="I2711" i="3"/>
  <c r="I2710" i="3"/>
  <c r="I2709" i="3"/>
  <c r="I2708" i="3"/>
  <c r="I2707" i="3"/>
  <c r="I2706" i="3"/>
  <c r="I2705" i="3"/>
  <c r="I2704" i="3"/>
  <c r="I2703" i="3"/>
  <c r="I2702" i="3"/>
  <c r="I2701" i="3"/>
  <c r="I2700" i="3"/>
  <c r="I2699" i="3"/>
  <c r="I2698" i="3"/>
  <c r="I2697" i="3"/>
  <c r="I2696" i="3"/>
  <c r="I2695" i="3"/>
  <c r="I2694" i="3"/>
  <c r="I2693" i="3"/>
  <c r="I2692" i="3"/>
  <c r="I2691" i="3"/>
  <c r="I2690" i="3"/>
  <c r="I2689" i="3"/>
  <c r="I2688" i="3"/>
  <c r="I2687" i="3"/>
  <c r="I2686" i="3"/>
  <c r="I2685" i="3"/>
  <c r="I2684" i="3"/>
  <c r="I2683" i="3"/>
  <c r="I2682" i="3"/>
  <c r="I2681" i="3"/>
  <c r="I2680" i="3"/>
  <c r="I2679" i="3"/>
  <c r="I2678" i="3"/>
  <c r="I2677" i="3"/>
  <c r="I2676" i="3"/>
  <c r="I2675" i="3"/>
  <c r="I2674" i="3"/>
  <c r="I2673" i="3"/>
  <c r="I2672" i="3"/>
  <c r="I2671" i="3"/>
  <c r="I2670" i="3"/>
  <c r="I2669" i="3"/>
  <c r="I2668" i="3"/>
  <c r="I2667" i="3"/>
  <c r="I2666" i="3"/>
  <c r="I2665" i="3"/>
  <c r="I2664" i="3"/>
  <c r="I2663" i="3"/>
  <c r="I2662" i="3"/>
  <c r="I2661" i="3"/>
  <c r="I2660" i="3"/>
  <c r="I2659" i="3"/>
  <c r="I2658" i="3"/>
  <c r="I2657" i="3"/>
  <c r="I2656" i="3"/>
  <c r="I2655" i="3"/>
  <c r="I2654" i="3"/>
  <c r="I2653" i="3"/>
  <c r="I2652" i="3"/>
  <c r="I2651" i="3"/>
  <c r="I2650" i="3"/>
  <c r="I2649" i="3"/>
  <c r="I2648" i="3"/>
  <c r="I2647" i="3"/>
  <c r="I2646" i="3"/>
  <c r="I2645" i="3"/>
  <c r="I2644" i="3"/>
  <c r="I2643" i="3"/>
  <c r="I2642" i="3"/>
  <c r="I2641" i="3"/>
  <c r="I2640" i="3"/>
  <c r="I2639" i="3"/>
  <c r="I2638" i="3"/>
  <c r="I2637" i="3"/>
  <c r="I2636" i="3"/>
  <c r="I2635" i="3"/>
  <c r="I2634" i="3"/>
  <c r="I2633" i="3"/>
  <c r="I2632" i="3"/>
  <c r="I2631" i="3"/>
  <c r="I2630" i="3"/>
  <c r="I2629" i="3"/>
  <c r="I2628" i="3"/>
  <c r="I2627" i="3"/>
  <c r="I2626" i="3"/>
  <c r="I2625" i="3"/>
  <c r="I2624" i="3"/>
  <c r="I2623" i="3"/>
  <c r="I2622" i="3"/>
  <c r="I2621" i="3"/>
  <c r="I2620" i="3"/>
  <c r="I2619" i="3"/>
  <c r="I2618" i="3"/>
  <c r="I2617" i="3"/>
  <c r="I2616" i="3"/>
  <c r="I2615" i="3"/>
  <c r="I2614" i="3"/>
  <c r="I2613" i="3"/>
  <c r="I2612" i="3"/>
  <c r="I2611" i="3"/>
  <c r="I2610" i="3"/>
  <c r="I2609" i="3"/>
  <c r="I2608" i="3"/>
  <c r="I2607" i="3"/>
  <c r="I2606" i="3"/>
  <c r="I2605" i="3"/>
  <c r="I2604" i="3"/>
  <c r="I2603" i="3"/>
  <c r="I2602" i="3"/>
  <c r="I2601" i="3"/>
  <c r="I2600" i="3"/>
  <c r="I2599" i="3"/>
  <c r="I2598" i="3"/>
  <c r="I2597" i="3"/>
  <c r="I2596" i="3"/>
  <c r="I2595" i="3"/>
  <c r="I2594" i="3"/>
  <c r="I2593" i="3"/>
  <c r="I2592" i="3"/>
  <c r="I2591" i="3"/>
  <c r="I2590" i="3"/>
  <c r="I2589" i="3"/>
  <c r="I2588" i="3"/>
  <c r="I2587" i="3"/>
  <c r="I2586" i="3"/>
  <c r="I2585" i="3"/>
  <c r="I2584" i="3"/>
  <c r="I2583" i="3"/>
  <c r="I2582" i="3"/>
  <c r="I2581" i="3"/>
  <c r="I2580" i="3"/>
  <c r="I2579" i="3"/>
  <c r="I2578" i="3"/>
  <c r="I2577" i="3"/>
  <c r="I2576" i="3"/>
  <c r="I2575" i="3"/>
  <c r="I2574" i="3"/>
  <c r="I2573" i="3"/>
  <c r="I2572" i="3"/>
  <c r="I2571" i="3"/>
  <c r="I2570" i="3"/>
  <c r="I2569" i="3"/>
  <c r="I2568" i="3"/>
  <c r="I2567" i="3"/>
  <c r="I2566" i="3"/>
  <c r="I2565" i="3"/>
  <c r="I2564" i="3"/>
  <c r="I2563" i="3"/>
  <c r="I2562" i="3"/>
  <c r="I2561" i="3"/>
  <c r="I2560" i="3"/>
  <c r="I2559" i="3"/>
  <c r="I2558" i="3"/>
  <c r="I2557" i="3"/>
  <c r="I2556" i="3"/>
  <c r="I2555" i="3"/>
  <c r="I2554" i="3"/>
  <c r="I2553" i="3"/>
  <c r="I2552" i="3"/>
  <c r="I2551" i="3"/>
  <c r="I2550" i="3"/>
  <c r="I2549" i="3"/>
  <c r="I2548" i="3"/>
  <c r="I2547" i="3"/>
  <c r="I2546" i="3"/>
  <c r="I2545" i="3"/>
  <c r="I2544" i="3"/>
  <c r="I2543" i="3"/>
  <c r="I2542" i="3"/>
  <c r="I2541" i="3"/>
  <c r="I2540" i="3"/>
  <c r="I2539" i="3"/>
  <c r="I2538" i="3"/>
  <c r="I2537" i="3"/>
  <c r="I2536" i="3"/>
  <c r="I2535" i="3"/>
  <c r="I2534" i="3"/>
  <c r="I2533" i="3"/>
  <c r="I2532" i="3"/>
  <c r="I2531" i="3"/>
  <c r="I2530" i="3"/>
  <c r="I2529" i="3"/>
  <c r="I2528" i="3"/>
  <c r="I2527" i="3"/>
  <c r="I2526" i="3"/>
  <c r="I2525" i="3"/>
  <c r="I2524" i="3"/>
  <c r="I2523" i="3"/>
  <c r="I2522" i="3"/>
  <c r="I2521" i="3"/>
  <c r="I2520" i="3"/>
  <c r="I2519" i="3"/>
  <c r="I2518" i="3"/>
  <c r="I2517" i="3"/>
  <c r="I2516" i="3"/>
  <c r="I2515" i="3"/>
  <c r="I2514" i="3"/>
  <c r="I2513" i="3"/>
  <c r="I2512" i="3"/>
  <c r="I2511" i="3"/>
  <c r="I2510" i="3"/>
  <c r="I2509" i="3"/>
  <c r="I2508" i="3"/>
  <c r="I2507" i="3"/>
  <c r="I2506" i="3"/>
  <c r="I2505" i="3"/>
  <c r="I2504" i="3"/>
  <c r="I2503" i="3"/>
  <c r="I2502" i="3"/>
  <c r="I2501" i="3"/>
  <c r="I2500" i="3"/>
  <c r="I2499" i="3"/>
  <c r="I2498" i="3"/>
  <c r="I2497" i="3"/>
  <c r="I2496" i="3"/>
  <c r="I2495" i="3"/>
  <c r="I2494" i="3"/>
  <c r="I2493" i="3"/>
  <c r="I2492" i="3"/>
  <c r="I2491" i="3"/>
  <c r="I2490" i="3"/>
  <c r="I2489" i="3"/>
  <c r="I2488" i="3"/>
  <c r="I2487" i="3"/>
  <c r="I2486" i="3"/>
  <c r="I2485" i="3"/>
  <c r="I2484" i="3"/>
  <c r="I2483" i="3"/>
  <c r="I2482" i="3"/>
  <c r="I2481" i="3"/>
  <c r="I2480" i="3"/>
  <c r="I2479" i="3"/>
  <c r="I2478" i="3"/>
  <c r="I2477" i="3"/>
  <c r="I2476" i="3"/>
  <c r="I2475" i="3"/>
  <c r="I2474" i="3"/>
  <c r="I2473" i="3"/>
  <c r="I2472" i="3"/>
  <c r="I2471" i="3"/>
  <c r="I2470" i="3"/>
  <c r="I2469" i="3"/>
  <c r="I2468" i="3"/>
  <c r="I2467" i="3"/>
  <c r="I2466" i="3"/>
  <c r="I2465" i="3"/>
  <c r="I2464" i="3"/>
  <c r="I2463" i="3"/>
  <c r="I2462" i="3"/>
  <c r="I2461" i="3"/>
  <c r="I2460" i="3"/>
  <c r="I2459" i="3"/>
  <c r="I2458" i="3"/>
  <c r="I2457" i="3"/>
  <c r="I2456" i="3"/>
  <c r="I2455" i="3"/>
  <c r="I2454" i="3"/>
  <c r="I2453" i="3"/>
  <c r="I2452" i="3"/>
  <c r="I2451" i="3"/>
  <c r="I2450" i="3"/>
  <c r="I2449" i="3"/>
  <c r="I2448" i="3"/>
  <c r="I2447" i="3"/>
  <c r="I2446" i="3"/>
  <c r="I2445" i="3"/>
  <c r="I2444" i="3"/>
  <c r="I2443" i="3"/>
  <c r="I2442" i="3"/>
  <c r="I2441" i="3"/>
  <c r="I2440" i="3"/>
  <c r="I2439" i="3"/>
  <c r="I2438" i="3"/>
  <c r="I2437" i="3"/>
  <c r="I2436" i="3"/>
  <c r="I2435" i="3"/>
  <c r="I2434" i="3"/>
  <c r="I2433" i="3"/>
  <c r="I2432" i="3"/>
  <c r="I2431" i="3"/>
  <c r="I2430" i="3"/>
  <c r="I2429" i="3"/>
  <c r="I2428" i="3"/>
  <c r="I2427" i="3"/>
  <c r="I2426" i="3"/>
  <c r="I2425" i="3"/>
  <c r="I2424" i="3"/>
  <c r="I2423" i="3"/>
  <c r="I2422" i="3"/>
  <c r="I2421" i="3"/>
  <c r="I2420" i="3"/>
  <c r="I2419" i="3"/>
  <c r="I2418" i="3"/>
  <c r="I2417" i="3"/>
  <c r="I2416" i="3"/>
  <c r="I2415" i="3"/>
  <c r="I2414" i="3"/>
  <c r="I2413" i="3"/>
  <c r="I2412" i="3"/>
  <c r="I2411" i="3"/>
  <c r="I2410" i="3"/>
  <c r="I2409" i="3"/>
  <c r="I2408" i="3"/>
  <c r="I2407" i="3"/>
  <c r="I2406" i="3"/>
  <c r="I2405" i="3"/>
  <c r="I2404" i="3"/>
  <c r="I2403" i="3"/>
  <c r="I2402" i="3"/>
  <c r="I2401" i="3"/>
  <c r="I2400" i="3"/>
  <c r="I2399" i="3"/>
  <c r="I2398" i="3"/>
  <c r="I2397" i="3"/>
  <c r="I2396" i="3"/>
  <c r="I2395" i="3"/>
  <c r="I2394" i="3"/>
  <c r="I2393" i="3"/>
  <c r="I2392" i="3"/>
  <c r="I2391" i="3"/>
  <c r="I2390" i="3"/>
  <c r="I2389" i="3"/>
  <c r="I2388" i="3"/>
  <c r="I2387" i="3"/>
  <c r="I2386" i="3"/>
  <c r="I2385" i="3"/>
  <c r="I2384" i="3"/>
  <c r="I2383" i="3"/>
  <c r="I2382" i="3"/>
  <c r="I2381" i="3"/>
  <c r="I2380" i="3"/>
  <c r="I2379" i="3"/>
  <c r="I2378" i="3"/>
  <c r="I2377" i="3"/>
  <c r="I2376" i="3"/>
  <c r="I2375" i="3"/>
  <c r="I2374" i="3"/>
  <c r="I2373" i="3"/>
  <c r="I2372" i="3"/>
  <c r="I2371" i="3"/>
  <c r="I2370" i="3"/>
  <c r="I2369" i="3"/>
  <c r="I2368" i="3"/>
  <c r="I2367" i="3"/>
  <c r="I2366" i="3"/>
  <c r="I2365" i="3"/>
  <c r="I2364" i="3"/>
  <c r="I2363" i="3"/>
  <c r="I2362" i="3"/>
  <c r="I2361" i="3"/>
  <c r="I2360" i="3"/>
  <c r="I2359" i="3"/>
  <c r="I2358" i="3"/>
  <c r="I2357" i="3"/>
  <c r="I2356" i="3"/>
  <c r="I2355" i="3"/>
  <c r="I2354" i="3"/>
  <c r="I2353" i="3"/>
  <c r="I2352" i="3"/>
  <c r="I2351" i="3"/>
  <c r="I2350" i="3"/>
  <c r="I2349" i="3"/>
  <c r="I2348" i="3"/>
  <c r="I2347" i="3"/>
  <c r="I2346" i="3"/>
  <c r="I2345" i="3"/>
  <c r="I2344" i="3"/>
  <c r="I2343" i="3"/>
  <c r="I2342" i="3"/>
  <c r="I2341" i="3"/>
  <c r="I2340" i="3"/>
  <c r="I2339" i="3"/>
  <c r="I2338" i="3"/>
  <c r="I2337" i="3"/>
  <c r="I2336" i="3"/>
  <c r="I2335" i="3"/>
  <c r="I2334" i="3"/>
  <c r="I2333" i="3"/>
  <c r="I2332" i="3"/>
  <c r="I2331" i="3"/>
  <c r="I2330" i="3"/>
  <c r="I2329" i="3"/>
  <c r="I2328" i="3"/>
  <c r="I2327" i="3"/>
  <c r="I2326" i="3"/>
  <c r="I2325" i="3"/>
  <c r="I2324" i="3"/>
  <c r="I2323" i="3"/>
  <c r="I2322" i="3"/>
  <c r="I2321" i="3"/>
  <c r="I2320" i="3"/>
  <c r="I2319" i="3"/>
  <c r="I2318" i="3"/>
  <c r="I2317" i="3"/>
  <c r="I2316" i="3"/>
  <c r="I2315" i="3"/>
  <c r="I2314" i="3"/>
  <c r="I2313" i="3"/>
  <c r="I2312" i="3"/>
  <c r="I2311" i="3"/>
  <c r="I2310" i="3"/>
  <c r="I2309" i="3"/>
  <c r="I2308" i="3"/>
  <c r="I2307" i="3"/>
  <c r="I2306" i="3"/>
  <c r="I2305" i="3"/>
  <c r="I2304" i="3"/>
  <c r="I2303" i="3"/>
  <c r="I2302" i="3"/>
  <c r="I2301" i="3"/>
  <c r="I2300" i="3"/>
  <c r="I2299" i="3"/>
  <c r="I2298" i="3"/>
  <c r="I2297" i="3"/>
  <c r="I2296" i="3"/>
  <c r="I2295" i="3"/>
  <c r="I2294" i="3"/>
  <c r="I2293" i="3"/>
  <c r="I2292" i="3"/>
  <c r="I2291" i="3"/>
  <c r="I2290" i="3"/>
  <c r="I2289" i="3"/>
  <c r="I2288" i="3"/>
  <c r="I2287" i="3"/>
  <c r="I2286" i="3"/>
  <c r="I2285" i="3"/>
  <c r="I2284" i="3"/>
  <c r="I2283" i="3"/>
  <c r="I2282" i="3"/>
  <c r="I2281" i="3"/>
  <c r="I2280" i="3"/>
  <c r="I2279" i="3"/>
  <c r="I2278" i="3"/>
  <c r="I2277" i="3"/>
  <c r="I2276" i="3"/>
  <c r="I2275" i="3"/>
  <c r="I2274" i="3"/>
  <c r="I2273" i="3"/>
  <c r="I2272" i="3"/>
  <c r="I2271" i="3"/>
  <c r="I2270" i="3"/>
  <c r="I2269" i="3"/>
  <c r="I2268" i="3"/>
  <c r="I2267" i="3"/>
  <c r="I2266" i="3"/>
  <c r="I2265" i="3"/>
  <c r="I2264" i="3"/>
  <c r="I2263" i="3"/>
  <c r="I2262" i="3"/>
  <c r="I2261" i="3"/>
  <c r="I2260" i="3"/>
  <c r="I2259" i="3"/>
  <c r="I2258" i="3"/>
  <c r="I2257" i="3"/>
  <c r="I2256" i="3"/>
  <c r="I2255" i="3"/>
  <c r="I2254" i="3"/>
  <c r="I2253" i="3"/>
  <c r="I2252" i="3"/>
  <c r="I2251" i="3"/>
  <c r="I2250" i="3"/>
  <c r="I2249" i="3"/>
  <c r="I2248" i="3"/>
  <c r="I2247" i="3"/>
  <c r="I2246" i="3"/>
  <c r="I2245" i="3"/>
  <c r="I2244" i="3"/>
  <c r="I2243" i="3"/>
  <c r="I2242" i="3"/>
  <c r="I2241" i="3"/>
  <c r="I2240" i="3"/>
  <c r="I2239" i="3"/>
  <c r="I2238" i="3"/>
  <c r="I2237" i="3"/>
  <c r="I2236" i="3"/>
  <c r="I2235" i="3"/>
  <c r="I2234" i="3"/>
  <c r="I2233" i="3"/>
  <c r="I2232" i="3"/>
  <c r="I2231" i="3"/>
  <c r="I2230" i="3"/>
  <c r="I2229" i="3"/>
  <c r="I2228" i="3"/>
  <c r="I2227" i="3"/>
  <c r="I2226" i="3"/>
  <c r="I2225" i="3"/>
  <c r="I2224" i="3"/>
  <c r="I2223" i="3"/>
  <c r="I2222" i="3"/>
  <c r="I2221" i="3"/>
  <c r="I2220" i="3"/>
  <c r="I2219" i="3"/>
  <c r="I2218" i="3"/>
  <c r="I2217" i="3"/>
  <c r="I2216" i="3"/>
  <c r="I2215" i="3"/>
  <c r="I2214" i="3"/>
  <c r="I2213" i="3"/>
  <c r="I2212" i="3"/>
  <c r="I2211" i="3"/>
  <c r="I2210" i="3"/>
  <c r="I2209" i="3"/>
  <c r="I2208" i="3"/>
  <c r="I2207" i="3"/>
  <c r="I2206" i="3"/>
  <c r="I2205" i="3"/>
  <c r="I2204" i="3"/>
  <c r="I2203" i="3"/>
  <c r="I2202" i="3"/>
  <c r="I2201" i="3"/>
  <c r="I2200" i="3"/>
  <c r="I2199" i="3"/>
  <c r="I2198" i="3"/>
  <c r="I2197" i="3"/>
  <c r="I2196" i="3"/>
  <c r="I2195" i="3"/>
  <c r="I2194" i="3"/>
  <c r="I2193" i="3"/>
  <c r="I2192" i="3"/>
  <c r="I2191" i="3"/>
  <c r="I2190" i="3"/>
  <c r="I2189" i="3"/>
  <c r="I2188" i="3"/>
  <c r="I2187" i="3"/>
  <c r="I2186" i="3"/>
  <c r="I2185" i="3"/>
  <c r="I2184" i="3"/>
  <c r="I2183" i="3"/>
  <c r="I2182" i="3"/>
  <c r="I2181" i="3"/>
  <c r="I2180" i="3"/>
  <c r="I2179" i="3"/>
  <c r="I2178" i="3"/>
  <c r="I2177" i="3"/>
  <c r="I2176" i="3"/>
  <c r="I2175" i="3"/>
  <c r="I2174" i="3"/>
  <c r="I2173" i="3"/>
  <c r="I2172" i="3"/>
  <c r="I2171" i="3"/>
  <c r="I2170" i="3"/>
  <c r="I2169" i="3"/>
  <c r="I2168" i="3"/>
  <c r="I2167" i="3"/>
  <c r="I2166" i="3"/>
  <c r="I2165" i="3"/>
  <c r="I2164" i="3"/>
  <c r="I2163" i="3"/>
  <c r="I2162" i="3"/>
  <c r="I2161" i="3"/>
  <c r="I2160" i="3"/>
  <c r="I2159" i="3"/>
  <c r="I2158" i="3"/>
  <c r="I2157" i="3"/>
  <c r="I2156" i="3"/>
  <c r="I2155" i="3"/>
  <c r="I2154" i="3"/>
  <c r="I2153" i="3"/>
  <c r="I2152" i="3"/>
  <c r="I2151" i="3"/>
  <c r="I2150" i="3"/>
  <c r="I2149" i="3"/>
  <c r="I2148" i="3"/>
  <c r="I2147" i="3"/>
  <c r="I2146" i="3"/>
  <c r="I2145" i="3"/>
  <c r="I2144" i="3"/>
  <c r="I2143" i="3"/>
  <c r="I2142" i="3"/>
  <c r="I2141" i="3"/>
  <c r="I2140" i="3"/>
  <c r="I2139" i="3"/>
  <c r="I2138" i="3"/>
  <c r="I2137" i="3"/>
  <c r="I2136" i="3"/>
  <c r="I2135" i="3"/>
  <c r="I2134" i="3"/>
  <c r="I2133" i="3"/>
  <c r="I2132" i="3"/>
  <c r="I2131" i="3"/>
  <c r="I2130" i="3"/>
  <c r="I2129" i="3"/>
  <c r="I2128" i="3"/>
  <c r="I2127" i="3"/>
  <c r="I2126" i="3"/>
  <c r="I2125" i="3"/>
  <c r="I2124" i="3"/>
  <c r="I2123" i="3"/>
  <c r="I2122" i="3"/>
  <c r="I2121" i="3"/>
  <c r="I2120" i="3"/>
  <c r="I2119" i="3"/>
  <c r="I2118" i="3"/>
  <c r="I2117" i="3"/>
  <c r="I2116" i="3"/>
  <c r="I2115" i="3"/>
  <c r="I2114" i="3"/>
  <c r="I2113" i="3"/>
  <c r="I2112" i="3"/>
  <c r="I2111" i="3"/>
  <c r="I2110" i="3"/>
  <c r="I2109" i="3"/>
  <c r="I2108" i="3"/>
  <c r="I2107" i="3"/>
  <c r="I2106" i="3"/>
  <c r="I2105" i="3"/>
  <c r="I2104" i="3"/>
  <c r="I2103" i="3"/>
  <c r="I2102" i="3"/>
  <c r="I2101" i="3"/>
  <c r="I2100" i="3"/>
  <c r="I2099" i="3"/>
  <c r="I2098" i="3"/>
  <c r="I2097" i="3"/>
  <c r="I2096" i="3"/>
  <c r="I2095" i="3"/>
  <c r="I2094" i="3"/>
  <c r="I2093" i="3"/>
  <c r="I2092" i="3"/>
  <c r="I2091" i="3"/>
  <c r="I2090" i="3"/>
  <c r="I2089" i="3"/>
  <c r="I2088" i="3"/>
  <c r="I2087" i="3"/>
  <c r="I2086" i="3"/>
  <c r="I2085" i="3"/>
  <c r="I2084" i="3"/>
  <c r="I2083" i="3"/>
  <c r="I2082" i="3"/>
  <c r="I2081" i="3"/>
  <c r="I2080" i="3"/>
  <c r="I2079" i="3"/>
  <c r="I2078" i="3"/>
  <c r="I2077" i="3"/>
  <c r="I2076" i="3"/>
  <c r="I2075" i="3"/>
  <c r="I2074" i="3"/>
  <c r="I2073" i="3"/>
  <c r="I2072" i="3"/>
  <c r="I2071" i="3"/>
  <c r="I2070" i="3"/>
  <c r="I2069" i="3"/>
  <c r="I2068" i="3"/>
  <c r="I2067" i="3"/>
  <c r="I2066" i="3"/>
  <c r="I2065" i="3"/>
  <c r="I2064" i="3"/>
  <c r="I2063" i="3"/>
  <c r="I2062" i="3"/>
  <c r="I2061" i="3"/>
  <c r="I2060" i="3"/>
  <c r="I2059" i="3"/>
  <c r="I2058" i="3"/>
  <c r="I2057" i="3"/>
  <c r="I2056" i="3"/>
  <c r="I2055" i="3"/>
  <c r="I2054" i="3"/>
  <c r="I2053" i="3"/>
  <c r="I2052" i="3"/>
  <c r="I2051" i="3"/>
  <c r="I2050" i="3"/>
  <c r="I2049" i="3"/>
  <c r="I2048" i="3"/>
  <c r="I2047" i="3"/>
  <c r="I2046" i="3"/>
  <c r="I2045" i="3"/>
  <c r="I2044" i="3"/>
  <c r="I2043" i="3"/>
  <c r="I2042" i="3"/>
  <c r="I2041" i="3"/>
  <c r="I2040" i="3"/>
  <c r="I2039" i="3"/>
  <c r="I2038" i="3"/>
  <c r="I2037" i="3"/>
  <c r="I2036" i="3"/>
  <c r="I2035" i="3"/>
  <c r="I2034" i="3"/>
  <c r="I2033" i="3"/>
  <c r="I2032" i="3"/>
  <c r="I2031" i="3"/>
  <c r="I2030" i="3"/>
  <c r="I2029" i="3"/>
  <c r="I2028" i="3"/>
  <c r="I2027" i="3"/>
  <c r="I2026" i="3"/>
  <c r="I2025" i="3"/>
  <c r="I2024" i="3"/>
  <c r="I2023" i="3"/>
  <c r="I2022" i="3"/>
  <c r="I2021" i="3"/>
  <c r="I2020" i="3"/>
  <c r="I2019" i="3"/>
  <c r="I2018" i="3"/>
  <c r="I2017" i="3"/>
  <c r="I2016" i="3"/>
  <c r="I2015" i="3"/>
  <c r="I2014" i="3"/>
  <c r="I2013" i="3"/>
  <c r="I2012" i="3"/>
  <c r="I2011" i="3"/>
  <c r="I2010" i="3"/>
  <c r="I2009" i="3"/>
  <c r="I2008" i="3"/>
  <c r="I2007" i="3"/>
  <c r="I2006" i="3"/>
  <c r="I2005" i="3"/>
  <c r="I2004" i="3"/>
  <c r="I2003" i="3"/>
  <c r="I2002" i="3"/>
  <c r="I2001" i="3"/>
  <c r="I2000" i="3"/>
  <c r="I1999" i="3"/>
  <c r="I1998" i="3"/>
  <c r="I1997" i="3"/>
  <c r="I1996" i="3"/>
  <c r="I1995" i="3"/>
  <c r="I1994" i="3"/>
  <c r="I1993" i="3"/>
  <c r="I1992" i="3"/>
  <c r="I1991" i="3"/>
  <c r="I1990" i="3"/>
  <c r="I1989" i="3"/>
  <c r="I1988" i="3"/>
  <c r="I1987" i="3"/>
  <c r="I1986" i="3"/>
  <c r="I1985" i="3"/>
  <c r="I1984" i="3"/>
  <c r="I1983" i="3"/>
  <c r="I1982" i="3"/>
  <c r="I1981" i="3"/>
  <c r="I1980" i="3"/>
  <c r="I1979" i="3"/>
  <c r="I1978" i="3"/>
  <c r="I1977" i="3"/>
  <c r="I1976" i="3"/>
  <c r="I1975" i="3"/>
  <c r="I1974" i="3"/>
  <c r="I1973" i="3"/>
  <c r="I1972" i="3"/>
  <c r="I1971" i="3"/>
  <c r="I1970" i="3"/>
  <c r="I1969" i="3"/>
  <c r="I1968" i="3"/>
  <c r="I1967" i="3"/>
  <c r="I1966" i="3"/>
  <c r="I1965" i="3"/>
  <c r="I1964" i="3"/>
  <c r="I1963" i="3"/>
  <c r="I1962" i="3"/>
  <c r="I1961" i="3"/>
  <c r="I1960" i="3"/>
  <c r="I1959" i="3"/>
  <c r="I1958" i="3"/>
  <c r="I1957" i="3"/>
  <c r="I1956" i="3"/>
  <c r="I1955" i="3"/>
  <c r="I1954" i="3"/>
  <c r="I1953" i="3"/>
  <c r="I1952" i="3"/>
  <c r="I1951" i="3"/>
  <c r="I1950" i="3"/>
  <c r="I1949" i="3"/>
  <c r="I1948" i="3"/>
  <c r="I1947" i="3"/>
  <c r="I1946" i="3"/>
  <c r="I1945" i="3"/>
  <c r="I1944" i="3"/>
  <c r="I1943" i="3"/>
  <c r="I1942" i="3"/>
  <c r="I1941" i="3"/>
  <c r="I1940" i="3"/>
  <c r="I1939" i="3"/>
  <c r="I1938" i="3"/>
  <c r="I1937" i="3"/>
  <c r="I1936" i="3"/>
  <c r="I1935" i="3"/>
  <c r="I1934" i="3"/>
  <c r="I1933" i="3"/>
  <c r="I1932" i="3"/>
  <c r="I1931" i="3"/>
  <c r="I1930" i="3"/>
  <c r="I1929" i="3"/>
  <c r="I1928" i="3"/>
  <c r="I1927" i="3"/>
  <c r="I1926" i="3"/>
  <c r="I1925" i="3"/>
  <c r="I1924" i="3"/>
  <c r="I1923" i="3"/>
  <c r="I1922" i="3"/>
  <c r="I1921" i="3"/>
  <c r="I1920" i="3"/>
  <c r="I1919" i="3"/>
  <c r="I1918" i="3"/>
  <c r="I1917" i="3"/>
  <c r="I1916" i="3"/>
  <c r="I1915" i="3"/>
  <c r="I1914" i="3"/>
  <c r="I1913" i="3"/>
  <c r="I1912" i="3"/>
  <c r="I1911" i="3"/>
  <c r="I1910" i="3"/>
  <c r="I1909" i="3"/>
  <c r="I1908" i="3"/>
  <c r="I1907" i="3"/>
  <c r="I1906" i="3"/>
  <c r="I1905" i="3"/>
  <c r="I1904" i="3"/>
  <c r="I1903" i="3"/>
  <c r="I1902" i="3"/>
  <c r="I1901" i="3"/>
  <c r="I1900" i="3"/>
  <c r="I1899" i="3"/>
  <c r="I1898" i="3"/>
  <c r="I1897" i="3"/>
  <c r="I1896" i="3"/>
  <c r="I1895" i="3"/>
  <c r="I1894" i="3"/>
  <c r="I1893" i="3"/>
  <c r="I1892" i="3"/>
  <c r="I1891" i="3"/>
  <c r="I1890" i="3"/>
  <c r="I1889" i="3"/>
  <c r="I1888" i="3"/>
  <c r="I1887" i="3"/>
  <c r="I1886" i="3"/>
  <c r="I1885" i="3"/>
  <c r="I1884" i="3"/>
  <c r="I1883" i="3"/>
  <c r="I1882" i="3"/>
  <c r="I1881" i="3"/>
  <c r="I1880" i="3"/>
  <c r="I1879" i="3"/>
  <c r="I1878" i="3"/>
  <c r="I1877" i="3"/>
  <c r="I1876" i="3"/>
  <c r="I1875" i="3"/>
  <c r="I1874" i="3"/>
  <c r="I1873" i="3"/>
  <c r="I1872" i="3"/>
  <c r="I1871" i="3"/>
  <c r="I1870" i="3"/>
  <c r="I1869" i="3"/>
  <c r="I1868" i="3"/>
  <c r="I1867" i="3"/>
  <c r="I1866" i="3"/>
  <c r="I1865" i="3"/>
  <c r="I1864" i="3"/>
  <c r="I1863" i="3"/>
  <c r="I1862" i="3"/>
  <c r="I1861" i="3"/>
  <c r="I1860" i="3"/>
  <c r="I1859" i="3"/>
  <c r="I1858" i="3"/>
  <c r="I1857" i="3"/>
  <c r="I1856" i="3"/>
  <c r="I1855" i="3"/>
  <c r="I1854" i="3"/>
  <c r="I1853" i="3"/>
  <c r="I1852" i="3"/>
  <c r="I1851" i="3"/>
  <c r="I1850" i="3"/>
  <c r="I1849" i="3"/>
  <c r="I1848" i="3"/>
  <c r="I1847" i="3"/>
  <c r="I1846" i="3"/>
  <c r="I1845" i="3"/>
  <c r="I1844" i="3"/>
  <c r="I1843" i="3"/>
  <c r="I1842" i="3"/>
  <c r="I1841" i="3"/>
  <c r="I1840" i="3"/>
  <c r="I1839" i="3"/>
  <c r="I1838" i="3"/>
  <c r="I1837" i="3"/>
  <c r="I1836" i="3"/>
  <c r="I1835" i="3"/>
  <c r="I1834" i="3"/>
  <c r="I1833" i="3"/>
  <c r="I1832" i="3"/>
  <c r="I1831" i="3"/>
  <c r="I1830" i="3"/>
  <c r="I1829" i="3"/>
  <c r="I1828" i="3"/>
  <c r="I1827" i="3"/>
  <c r="I1826" i="3"/>
  <c r="I1825" i="3"/>
  <c r="I1824" i="3"/>
  <c r="I1823" i="3"/>
  <c r="I1822" i="3"/>
  <c r="I1821" i="3"/>
  <c r="I1820" i="3"/>
  <c r="I1819" i="3"/>
  <c r="I1818" i="3"/>
  <c r="I1817" i="3"/>
  <c r="I1816" i="3"/>
  <c r="I1815" i="3"/>
  <c r="I1814" i="3"/>
  <c r="I1813" i="3"/>
  <c r="I1812" i="3"/>
  <c r="I1811" i="3"/>
  <c r="I1810" i="3"/>
  <c r="I1809" i="3"/>
  <c r="I1808" i="3"/>
  <c r="I1807" i="3"/>
  <c r="I1806" i="3"/>
  <c r="I1805" i="3"/>
  <c r="I1804" i="3"/>
  <c r="I1803" i="3"/>
  <c r="I1802" i="3"/>
  <c r="I1801" i="3"/>
  <c r="I1800" i="3"/>
  <c r="I1799" i="3"/>
  <c r="I1798" i="3"/>
  <c r="I1797" i="3"/>
  <c r="I1796" i="3"/>
  <c r="I1795" i="3"/>
  <c r="I1794" i="3"/>
  <c r="I1793" i="3"/>
  <c r="I1792" i="3"/>
  <c r="I1791" i="3"/>
  <c r="I1790" i="3"/>
  <c r="I1789" i="3"/>
  <c r="I1788" i="3"/>
  <c r="I1787" i="3"/>
  <c r="I1786" i="3"/>
  <c r="I1785" i="3"/>
  <c r="I1784" i="3"/>
  <c r="I1783" i="3"/>
  <c r="I1782" i="3"/>
  <c r="I1781" i="3"/>
  <c r="I1780" i="3"/>
  <c r="I1779" i="3"/>
  <c r="I1778" i="3"/>
  <c r="I1777" i="3"/>
  <c r="I1776" i="3"/>
  <c r="I1775" i="3"/>
  <c r="I1774" i="3"/>
  <c r="I1773" i="3"/>
  <c r="I1772" i="3"/>
  <c r="I1771" i="3"/>
  <c r="I1770" i="3"/>
  <c r="I1769" i="3"/>
  <c r="I1768" i="3"/>
  <c r="I1767" i="3"/>
  <c r="I1766" i="3"/>
  <c r="I1765" i="3"/>
  <c r="I1764" i="3"/>
  <c r="I1763" i="3"/>
  <c r="I1762" i="3"/>
  <c r="I1761" i="3"/>
  <c r="I1760" i="3"/>
  <c r="I1759" i="3"/>
  <c r="I1758" i="3"/>
  <c r="I1757" i="3"/>
  <c r="I1756" i="3"/>
  <c r="I1755" i="3"/>
  <c r="I1754" i="3"/>
  <c r="I1753" i="3"/>
  <c r="I1752" i="3"/>
  <c r="I1751" i="3"/>
  <c r="I1750" i="3"/>
  <c r="I1749" i="3"/>
  <c r="I1748" i="3"/>
  <c r="I1747" i="3"/>
  <c r="I1746" i="3"/>
  <c r="I1745" i="3"/>
  <c r="I1744" i="3"/>
  <c r="I1743" i="3"/>
  <c r="I1742" i="3"/>
  <c r="I1741" i="3"/>
  <c r="I1740" i="3"/>
  <c r="I1739" i="3"/>
  <c r="I1738" i="3"/>
  <c r="I1737" i="3"/>
  <c r="I1736" i="3"/>
  <c r="I1735" i="3"/>
  <c r="I1734" i="3"/>
  <c r="I1733" i="3"/>
  <c r="I1732" i="3"/>
  <c r="I1731" i="3"/>
  <c r="I1730" i="3"/>
  <c r="I1729" i="3"/>
  <c r="I1728" i="3"/>
  <c r="I1727" i="3"/>
  <c r="I1726" i="3"/>
  <c r="I1725" i="3"/>
  <c r="I1724" i="3"/>
  <c r="I1723" i="3"/>
  <c r="I1722" i="3"/>
  <c r="I1721" i="3"/>
  <c r="I1720" i="3"/>
  <c r="I1719" i="3"/>
  <c r="I1718" i="3"/>
  <c r="I1717" i="3"/>
  <c r="I1716" i="3"/>
  <c r="I1715" i="3"/>
  <c r="I1714" i="3"/>
  <c r="I1713" i="3"/>
  <c r="I1712" i="3"/>
  <c r="I1711" i="3"/>
  <c r="I1710" i="3"/>
  <c r="I1709" i="3"/>
  <c r="I1708" i="3"/>
  <c r="I1707" i="3"/>
  <c r="I1706" i="3"/>
  <c r="I1705" i="3"/>
  <c r="I1704" i="3"/>
  <c r="I1703" i="3"/>
  <c r="I1702" i="3"/>
  <c r="I1701" i="3"/>
  <c r="I1700" i="3"/>
  <c r="I1699" i="3"/>
  <c r="I1698" i="3"/>
  <c r="I1697" i="3"/>
  <c r="I1696" i="3"/>
  <c r="I1695" i="3"/>
  <c r="I1694" i="3"/>
  <c r="I1693" i="3"/>
  <c r="I1692" i="3"/>
  <c r="I1691" i="3"/>
  <c r="I1690" i="3"/>
  <c r="I1689" i="3"/>
  <c r="I1688" i="3"/>
  <c r="I1687" i="3"/>
  <c r="I1686" i="3"/>
  <c r="I1685" i="3"/>
  <c r="I1684" i="3"/>
  <c r="I1683" i="3"/>
  <c r="I1682" i="3"/>
  <c r="I1681" i="3"/>
  <c r="I1680" i="3"/>
  <c r="I1679" i="3"/>
  <c r="I1678" i="3"/>
  <c r="I1677" i="3"/>
  <c r="I1676" i="3"/>
  <c r="I1675" i="3"/>
  <c r="I1674" i="3"/>
  <c r="I1673" i="3"/>
  <c r="I1672" i="3"/>
  <c r="I1671" i="3"/>
  <c r="I1670" i="3"/>
  <c r="I1669" i="3"/>
  <c r="I1668" i="3"/>
  <c r="I1667" i="3"/>
  <c r="I1666" i="3"/>
  <c r="I1665" i="3"/>
  <c r="I1664" i="3"/>
  <c r="I1663" i="3"/>
  <c r="I1662" i="3"/>
  <c r="I1661" i="3"/>
  <c r="I1660" i="3"/>
  <c r="I1659" i="3"/>
  <c r="I1658" i="3"/>
  <c r="I1657" i="3"/>
  <c r="I1656" i="3"/>
  <c r="I1655" i="3"/>
  <c r="I1654" i="3"/>
  <c r="I1653" i="3"/>
  <c r="I1652" i="3"/>
  <c r="I1651" i="3"/>
  <c r="I1650" i="3"/>
  <c r="I1649" i="3"/>
  <c r="I1648" i="3"/>
  <c r="I1647" i="3"/>
  <c r="I1646" i="3"/>
  <c r="I1645" i="3"/>
  <c r="I1644" i="3"/>
  <c r="I1643" i="3"/>
  <c r="I1642" i="3"/>
  <c r="I1641" i="3"/>
  <c r="I1640" i="3"/>
  <c r="I1639" i="3"/>
  <c r="I1638" i="3"/>
  <c r="I1637" i="3"/>
  <c r="I1636" i="3"/>
  <c r="I1635" i="3"/>
  <c r="I1634" i="3"/>
  <c r="I1633" i="3"/>
  <c r="I1632" i="3"/>
  <c r="I1631" i="3"/>
  <c r="I1630" i="3"/>
  <c r="I1629" i="3"/>
  <c r="I1628" i="3"/>
  <c r="I1627" i="3"/>
  <c r="I1626" i="3"/>
  <c r="I1625" i="3"/>
  <c r="I1624" i="3"/>
  <c r="I1623" i="3"/>
  <c r="I1622" i="3"/>
  <c r="I1621" i="3"/>
  <c r="I1620" i="3"/>
  <c r="I1619" i="3"/>
  <c r="I1618" i="3"/>
  <c r="I1617" i="3"/>
  <c r="I1616" i="3"/>
  <c r="I1615" i="3"/>
  <c r="I1614" i="3"/>
  <c r="I1613" i="3"/>
  <c r="I1612" i="3"/>
  <c r="I1611" i="3"/>
  <c r="I1610" i="3"/>
  <c r="I1609" i="3"/>
  <c r="I1608" i="3"/>
  <c r="I1607" i="3"/>
  <c r="I1606" i="3"/>
  <c r="I1605" i="3"/>
  <c r="I1604" i="3"/>
  <c r="I1603" i="3"/>
  <c r="I1602" i="3"/>
  <c r="I1601" i="3"/>
  <c r="I1600" i="3"/>
  <c r="I1599" i="3"/>
  <c r="I1598" i="3"/>
  <c r="I1597" i="3"/>
  <c r="I1596" i="3"/>
  <c r="I1595" i="3"/>
  <c r="I1594" i="3"/>
  <c r="I1593" i="3"/>
  <c r="I1592" i="3"/>
  <c r="I1591" i="3"/>
  <c r="I1590" i="3"/>
  <c r="I1589" i="3"/>
  <c r="I1588" i="3"/>
  <c r="I1587" i="3"/>
  <c r="I1586" i="3"/>
  <c r="I1585" i="3"/>
  <c r="I1584" i="3"/>
  <c r="I1583" i="3"/>
  <c r="I1582" i="3"/>
  <c r="I1581" i="3"/>
  <c r="I1580" i="3"/>
  <c r="I1579" i="3"/>
  <c r="I1578" i="3"/>
  <c r="I1577" i="3"/>
  <c r="I1576" i="3"/>
  <c r="I1575" i="3"/>
  <c r="I1574" i="3"/>
  <c r="I1573" i="3"/>
  <c r="I1572" i="3"/>
  <c r="I1571" i="3"/>
  <c r="I1570" i="3"/>
  <c r="I1569" i="3"/>
  <c r="I1568" i="3"/>
  <c r="I1567" i="3"/>
  <c r="I1566" i="3"/>
  <c r="I1565" i="3"/>
  <c r="I1564" i="3"/>
  <c r="I1563" i="3"/>
  <c r="I1562" i="3"/>
  <c r="I1561" i="3"/>
  <c r="I1560" i="3"/>
  <c r="I1559" i="3"/>
  <c r="I1558" i="3"/>
  <c r="I1557" i="3"/>
  <c r="I1556" i="3"/>
  <c r="I1555" i="3"/>
  <c r="I1554" i="3"/>
  <c r="I1553" i="3"/>
  <c r="I1552" i="3"/>
  <c r="I1551" i="3"/>
  <c r="I1550" i="3"/>
  <c r="I1549" i="3"/>
  <c r="I1548" i="3"/>
  <c r="I1547" i="3"/>
  <c r="I1546" i="3"/>
  <c r="I1545" i="3"/>
  <c r="I1544" i="3"/>
  <c r="I1543" i="3"/>
  <c r="I1542" i="3"/>
  <c r="I1541" i="3"/>
  <c r="I1540" i="3"/>
  <c r="I1539" i="3"/>
  <c r="I1538" i="3"/>
  <c r="I1537" i="3"/>
  <c r="I1536" i="3"/>
  <c r="I1535" i="3"/>
  <c r="I1534" i="3"/>
  <c r="I1533" i="3"/>
  <c r="I1532" i="3"/>
  <c r="I1531" i="3"/>
  <c r="I1530" i="3"/>
  <c r="I1529" i="3"/>
  <c r="I1528" i="3"/>
  <c r="I1527" i="3"/>
  <c r="I1526" i="3"/>
  <c r="I1525" i="3"/>
  <c r="I1524" i="3"/>
  <c r="I1523" i="3"/>
  <c r="I1522" i="3"/>
  <c r="I1521" i="3"/>
  <c r="I1520" i="3"/>
  <c r="I1519" i="3"/>
  <c r="I1518" i="3"/>
  <c r="I1517" i="3"/>
  <c r="I1516" i="3"/>
  <c r="I1515" i="3"/>
  <c r="I1514" i="3"/>
  <c r="I1513" i="3"/>
  <c r="I1512" i="3"/>
  <c r="I1511" i="3"/>
  <c r="I1510" i="3"/>
  <c r="I1509" i="3"/>
  <c r="I1508" i="3"/>
  <c r="I1507" i="3"/>
  <c r="I1506" i="3"/>
  <c r="I1505" i="3"/>
  <c r="I1504" i="3"/>
  <c r="I1503" i="3"/>
  <c r="I1502" i="3"/>
  <c r="I1501" i="3"/>
  <c r="I1500" i="3"/>
  <c r="I1499" i="3"/>
  <c r="I1498" i="3"/>
  <c r="I1497" i="3"/>
  <c r="I1496" i="3"/>
  <c r="I1495" i="3"/>
  <c r="I1494" i="3"/>
  <c r="I1493" i="3"/>
  <c r="I1492" i="3"/>
  <c r="I1491" i="3"/>
  <c r="I1490" i="3"/>
  <c r="I1489" i="3"/>
  <c r="I1488" i="3"/>
  <c r="I1487" i="3"/>
  <c r="I1486" i="3"/>
  <c r="I1485" i="3"/>
  <c r="I1484" i="3"/>
  <c r="I1483" i="3"/>
  <c r="I1482" i="3"/>
  <c r="I1481" i="3"/>
  <c r="I1480" i="3"/>
  <c r="I1479" i="3"/>
  <c r="I1478" i="3"/>
  <c r="I1477" i="3"/>
  <c r="I1476" i="3"/>
  <c r="I1475" i="3"/>
  <c r="I1474" i="3"/>
  <c r="I1473" i="3"/>
  <c r="I1472" i="3"/>
  <c r="I1471" i="3"/>
  <c r="I1470" i="3"/>
  <c r="I1469" i="3"/>
  <c r="I1468" i="3"/>
  <c r="I1467" i="3"/>
  <c r="I1466" i="3"/>
  <c r="I1465" i="3"/>
  <c r="I1464" i="3"/>
  <c r="I1463" i="3"/>
  <c r="I1462" i="3"/>
  <c r="I1461" i="3"/>
  <c r="I1460" i="3"/>
  <c r="I1459" i="3"/>
  <c r="I1458" i="3"/>
  <c r="I1457" i="3"/>
  <c r="I1456" i="3"/>
  <c r="I1455" i="3"/>
  <c r="I1454" i="3"/>
  <c r="I1453" i="3"/>
  <c r="I1452" i="3"/>
  <c r="I1451" i="3"/>
  <c r="I1450" i="3"/>
  <c r="I1449" i="3"/>
  <c r="I1448" i="3"/>
  <c r="I1447" i="3"/>
  <c r="I1446" i="3"/>
  <c r="I1445" i="3"/>
  <c r="I1444" i="3"/>
  <c r="I1443" i="3"/>
  <c r="I1442" i="3"/>
  <c r="I1441" i="3"/>
  <c r="I1440" i="3"/>
  <c r="I1439" i="3"/>
  <c r="I1438" i="3"/>
  <c r="I1437" i="3"/>
  <c r="I1436" i="3"/>
  <c r="I1435" i="3"/>
  <c r="I1434" i="3"/>
  <c r="I1433" i="3"/>
  <c r="I1432" i="3"/>
  <c r="I1431" i="3"/>
  <c r="I1430" i="3"/>
  <c r="I1429" i="3"/>
  <c r="I1428" i="3"/>
  <c r="I1427" i="3"/>
  <c r="I1426" i="3"/>
  <c r="I1425" i="3"/>
  <c r="I1424" i="3"/>
  <c r="I1423" i="3"/>
  <c r="I1422" i="3"/>
  <c r="I1421" i="3"/>
  <c r="I1420" i="3"/>
  <c r="I1419" i="3"/>
  <c r="I1418" i="3"/>
  <c r="I1417" i="3"/>
  <c r="I1416" i="3"/>
  <c r="I1415" i="3"/>
  <c r="I1414" i="3"/>
  <c r="I1413" i="3"/>
  <c r="I1412" i="3"/>
  <c r="I1411" i="3"/>
  <c r="I1410" i="3"/>
  <c r="I1409" i="3"/>
  <c r="I1408" i="3"/>
  <c r="I1407" i="3"/>
  <c r="I1406" i="3"/>
  <c r="I1405" i="3"/>
  <c r="I1404" i="3"/>
  <c r="I1403" i="3"/>
  <c r="I1402" i="3"/>
  <c r="I1401" i="3"/>
  <c r="I1400" i="3"/>
  <c r="I1399" i="3"/>
  <c r="I1398" i="3"/>
  <c r="I1397" i="3"/>
  <c r="I1396" i="3"/>
  <c r="I1395" i="3"/>
  <c r="I1394" i="3"/>
  <c r="I1393" i="3"/>
  <c r="I1392" i="3"/>
  <c r="I1391" i="3"/>
  <c r="I1390" i="3"/>
  <c r="I1389" i="3"/>
  <c r="I1388" i="3"/>
  <c r="I1387" i="3"/>
  <c r="I1386" i="3"/>
  <c r="I1385" i="3"/>
  <c r="I1384" i="3"/>
  <c r="I1383" i="3"/>
  <c r="I1382" i="3"/>
  <c r="I1381" i="3"/>
  <c r="I1380" i="3"/>
  <c r="I1379" i="3"/>
  <c r="I1378" i="3"/>
  <c r="I1377" i="3"/>
  <c r="I1376" i="3"/>
  <c r="I1375" i="3"/>
  <c r="I1374" i="3"/>
  <c r="I1373" i="3"/>
  <c r="I1372" i="3"/>
  <c r="I1371" i="3"/>
  <c r="I1370" i="3"/>
  <c r="I1369" i="3"/>
  <c r="I1368" i="3"/>
  <c r="I1367" i="3"/>
  <c r="I1366" i="3"/>
  <c r="I1365" i="3"/>
  <c r="I1364" i="3"/>
  <c r="I1363" i="3"/>
  <c r="I1362" i="3"/>
  <c r="I1361" i="3"/>
  <c r="I1360" i="3"/>
  <c r="I1359" i="3"/>
  <c r="I1358" i="3"/>
  <c r="I1357" i="3"/>
  <c r="I1356" i="3"/>
  <c r="I1355" i="3"/>
  <c r="I1354" i="3"/>
  <c r="I1353" i="3"/>
  <c r="I1352" i="3"/>
  <c r="I1351" i="3"/>
  <c r="I1350" i="3"/>
  <c r="I1349" i="3"/>
  <c r="I1348" i="3"/>
  <c r="I1347" i="3"/>
  <c r="I1346" i="3"/>
  <c r="I1345" i="3"/>
  <c r="I1344" i="3"/>
  <c r="I1343" i="3"/>
  <c r="I1342" i="3"/>
  <c r="I1341" i="3"/>
  <c r="I1340" i="3"/>
  <c r="I1339" i="3"/>
  <c r="I1338" i="3"/>
  <c r="I1337" i="3"/>
  <c r="I1336" i="3"/>
  <c r="I1335" i="3"/>
  <c r="I1334" i="3"/>
  <c r="I1333" i="3"/>
  <c r="I1332" i="3"/>
  <c r="I1331" i="3"/>
  <c r="I1330" i="3"/>
  <c r="I1329" i="3"/>
  <c r="I1328" i="3"/>
  <c r="I1327" i="3"/>
  <c r="I1326" i="3"/>
  <c r="I1325" i="3"/>
  <c r="I1324" i="3"/>
  <c r="I1323" i="3"/>
  <c r="I1322" i="3"/>
  <c r="I1321" i="3"/>
  <c r="I1320" i="3"/>
  <c r="I1319" i="3"/>
  <c r="I1318" i="3"/>
  <c r="I1317" i="3"/>
  <c r="I1316" i="3"/>
  <c r="I1315" i="3"/>
  <c r="I1314" i="3"/>
  <c r="I1313" i="3"/>
  <c r="I1312" i="3"/>
  <c r="I1311" i="3"/>
  <c r="I1310" i="3"/>
  <c r="I1309" i="3"/>
  <c r="I1308" i="3"/>
  <c r="I1307" i="3"/>
  <c r="I1306" i="3"/>
  <c r="I1305" i="3"/>
  <c r="I1304" i="3"/>
  <c r="I1303" i="3"/>
  <c r="I1302" i="3"/>
  <c r="I1301" i="3"/>
  <c r="I1300" i="3"/>
  <c r="I1299" i="3"/>
  <c r="I1298" i="3"/>
  <c r="I1297" i="3"/>
  <c r="I1296" i="3"/>
  <c r="I1295" i="3"/>
  <c r="I1294" i="3"/>
  <c r="I1293" i="3"/>
  <c r="I1292" i="3"/>
  <c r="I1291" i="3"/>
  <c r="I1290" i="3"/>
  <c r="I1289" i="3"/>
  <c r="I1288" i="3"/>
  <c r="I1287" i="3"/>
  <c r="I1286" i="3"/>
  <c r="I1285" i="3"/>
  <c r="I1284" i="3"/>
  <c r="I1283" i="3"/>
  <c r="I1282" i="3"/>
  <c r="I1281" i="3"/>
  <c r="I1280" i="3"/>
  <c r="I1279" i="3"/>
  <c r="I1278" i="3"/>
  <c r="I1277" i="3"/>
  <c r="I1276" i="3"/>
  <c r="I1275" i="3"/>
  <c r="I1274" i="3"/>
  <c r="I1273" i="3"/>
  <c r="I1272" i="3"/>
  <c r="I1271" i="3"/>
  <c r="I1270" i="3"/>
  <c r="I1269" i="3"/>
  <c r="I1268" i="3"/>
  <c r="I1267" i="3"/>
  <c r="I1266" i="3"/>
  <c r="I1265" i="3"/>
  <c r="I1264" i="3"/>
  <c r="I1263" i="3"/>
  <c r="I1262" i="3"/>
  <c r="I1261" i="3"/>
  <c r="I1260" i="3"/>
  <c r="I1259" i="3"/>
  <c r="I1258" i="3"/>
  <c r="I1257" i="3"/>
  <c r="I1256" i="3"/>
  <c r="I1255" i="3"/>
  <c r="I1254" i="3"/>
  <c r="I1253" i="3"/>
  <c r="I1252" i="3"/>
  <c r="I1251" i="3"/>
  <c r="I1250" i="3"/>
  <c r="I1249" i="3"/>
  <c r="I1248" i="3"/>
  <c r="I1247" i="3"/>
  <c r="I1246" i="3"/>
  <c r="I1245" i="3"/>
  <c r="I1244" i="3"/>
  <c r="I1243" i="3"/>
  <c r="I1242" i="3"/>
  <c r="I1241" i="3"/>
  <c r="I1240" i="3"/>
  <c r="I1239" i="3"/>
  <c r="I1238" i="3"/>
  <c r="I1237" i="3"/>
  <c r="I1236" i="3"/>
  <c r="I1235" i="3"/>
  <c r="I1234" i="3"/>
  <c r="I1233" i="3"/>
  <c r="I1232" i="3"/>
  <c r="I1231" i="3"/>
  <c r="I1230" i="3"/>
  <c r="I1229" i="3"/>
  <c r="I1228" i="3"/>
  <c r="I1227" i="3"/>
  <c r="I1226" i="3"/>
  <c r="I1225" i="3"/>
  <c r="I1224" i="3"/>
  <c r="I1223" i="3"/>
  <c r="I1222" i="3"/>
  <c r="I1221" i="3"/>
  <c r="I1220" i="3"/>
  <c r="I1219" i="3"/>
  <c r="I1218" i="3"/>
  <c r="I1217" i="3"/>
  <c r="I1216" i="3"/>
  <c r="I1215" i="3"/>
  <c r="I1214" i="3"/>
  <c r="I1213" i="3"/>
  <c r="I1212" i="3"/>
  <c r="I1211" i="3"/>
  <c r="I1210" i="3"/>
  <c r="I1209" i="3"/>
  <c r="I1208" i="3"/>
  <c r="I1207" i="3"/>
  <c r="I1206" i="3"/>
  <c r="I1205" i="3"/>
  <c r="I1204" i="3"/>
  <c r="I1203" i="3"/>
  <c r="I1202" i="3"/>
  <c r="I1201" i="3"/>
  <c r="I1200" i="3"/>
  <c r="I1199" i="3"/>
  <c r="I1198" i="3"/>
  <c r="I1197" i="3"/>
  <c r="I1196" i="3"/>
  <c r="I1195" i="3"/>
  <c r="I1194" i="3"/>
  <c r="I1193" i="3"/>
  <c r="I1192" i="3"/>
  <c r="I1191" i="3"/>
  <c r="I1190" i="3"/>
  <c r="I1189" i="3"/>
  <c r="I1188" i="3"/>
  <c r="I1187" i="3"/>
  <c r="I1186" i="3"/>
  <c r="I1185" i="3"/>
  <c r="I1184" i="3"/>
  <c r="I1183" i="3"/>
  <c r="I1182" i="3"/>
  <c r="I1181" i="3"/>
  <c r="I1180" i="3"/>
  <c r="I1179" i="3"/>
  <c r="I1178" i="3"/>
  <c r="I1177" i="3"/>
  <c r="I1176" i="3"/>
  <c r="I1175" i="3"/>
  <c r="I1174" i="3"/>
  <c r="I1173" i="3"/>
  <c r="I1172" i="3"/>
  <c r="I1171" i="3"/>
  <c r="I1170" i="3"/>
  <c r="I1169" i="3"/>
  <c r="I1168" i="3"/>
  <c r="I1167" i="3"/>
  <c r="I1166" i="3"/>
  <c r="I1165" i="3"/>
  <c r="I1164" i="3"/>
  <c r="I1163" i="3"/>
  <c r="I1162" i="3"/>
  <c r="I1161" i="3"/>
  <c r="I1160" i="3"/>
  <c r="I1159" i="3"/>
  <c r="I1158" i="3"/>
  <c r="I1157" i="3"/>
  <c r="I1156" i="3"/>
  <c r="I1155" i="3"/>
  <c r="I1154" i="3"/>
  <c r="I1153" i="3"/>
  <c r="I1152" i="3"/>
  <c r="I1151" i="3"/>
  <c r="I1150" i="3"/>
  <c r="I1149" i="3"/>
  <c r="I1148" i="3"/>
  <c r="I1147" i="3"/>
  <c r="I1146" i="3"/>
  <c r="I1145" i="3"/>
  <c r="I1144" i="3"/>
  <c r="I1143" i="3"/>
  <c r="I1142" i="3"/>
  <c r="I1141" i="3"/>
  <c r="I1140" i="3"/>
  <c r="I1139" i="3"/>
  <c r="I1138" i="3"/>
  <c r="I1137" i="3"/>
  <c r="I1136" i="3"/>
  <c r="I1135" i="3"/>
  <c r="I1134" i="3"/>
  <c r="I1133" i="3"/>
  <c r="I1132" i="3"/>
  <c r="I1131" i="3"/>
  <c r="I1130" i="3"/>
  <c r="I1129" i="3"/>
  <c r="I1128" i="3"/>
  <c r="I1127" i="3"/>
  <c r="I1126" i="3"/>
  <c r="I1125" i="3"/>
  <c r="I1124" i="3"/>
  <c r="I1123" i="3"/>
  <c r="I1122" i="3"/>
  <c r="I1121" i="3"/>
  <c r="I1120" i="3"/>
  <c r="I1119" i="3"/>
  <c r="I1118" i="3"/>
  <c r="I1117" i="3"/>
  <c r="I1116" i="3"/>
  <c r="I1115" i="3"/>
  <c r="I1114" i="3"/>
  <c r="I1113" i="3"/>
  <c r="I1112" i="3"/>
  <c r="I1111" i="3"/>
  <c r="I1110" i="3"/>
  <c r="I1109" i="3"/>
  <c r="I1108" i="3"/>
  <c r="I1107" i="3"/>
  <c r="I1106" i="3"/>
  <c r="I1105" i="3"/>
  <c r="I1104" i="3"/>
  <c r="I1103" i="3"/>
  <c r="I1102" i="3"/>
  <c r="I1101" i="3"/>
  <c r="I1100" i="3"/>
  <c r="I1099" i="3"/>
  <c r="I1098" i="3"/>
  <c r="I1097" i="3"/>
  <c r="I1096" i="3"/>
  <c r="I1095" i="3"/>
  <c r="I1094" i="3"/>
  <c r="I1093" i="3"/>
  <c r="I1092" i="3"/>
  <c r="I1091" i="3"/>
  <c r="I1090" i="3"/>
  <c r="I1089" i="3"/>
  <c r="I1088" i="3"/>
  <c r="I1087" i="3"/>
  <c r="I1086" i="3"/>
  <c r="I1085" i="3"/>
  <c r="I1084" i="3"/>
  <c r="I1083" i="3"/>
  <c r="I1082" i="3"/>
  <c r="I1081" i="3"/>
  <c r="I1080" i="3"/>
  <c r="I1079" i="3"/>
  <c r="I1078" i="3"/>
  <c r="I1077" i="3"/>
  <c r="I1076" i="3"/>
  <c r="I1075" i="3"/>
  <c r="I1074" i="3"/>
  <c r="I1073" i="3"/>
  <c r="I1072" i="3"/>
  <c r="I1071" i="3"/>
  <c r="I1070" i="3"/>
  <c r="I1069" i="3"/>
  <c r="I1068" i="3"/>
  <c r="I1067" i="3"/>
  <c r="I1066" i="3"/>
  <c r="I1065" i="3"/>
  <c r="I1064" i="3"/>
  <c r="I1063" i="3"/>
  <c r="I1062" i="3"/>
  <c r="I1061" i="3"/>
  <c r="I1060" i="3"/>
  <c r="I1059" i="3"/>
  <c r="I1058" i="3"/>
  <c r="I1057" i="3"/>
  <c r="I1056" i="3"/>
  <c r="I1055" i="3"/>
  <c r="I1054" i="3"/>
  <c r="I1053" i="3"/>
  <c r="I1052" i="3"/>
  <c r="I1051" i="3"/>
  <c r="I1050" i="3"/>
  <c r="I1049" i="3"/>
  <c r="I1048" i="3"/>
  <c r="I1047" i="3"/>
  <c r="I1046" i="3"/>
  <c r="I1045" i="3"/>
  <c r="I1044" i="3"/>
  <c r="I1043" i="3"/>
  <c r="I1042" i="3"/>
  <c r="I1041" i="3"/>
  <c r="I1040" i="3"/>
  <c r="I1039" i="3"/>
  <c r="I1038" i="3"/>
  <c r="I1037" i="3"/>
  <c r="I1036" i="3"/>
  <c r="I1035" i="3"/>
  <c r="I1034" i="3"/>
  <c r="I1033" i="3"/>
  <c r="I1032" i="3"/>
  <c r="I1031" i="3"/>
  <c r="I1030" i="3"/>
  <c r="I1029" i="3"/>
  <c r="I1028" i="3"/>
  <c r="I1027" i="3"/>
  <c r="I1026" i="3"/>
  <c r="I1025" i="3"/>
  <c r="I1024" i="3"/>
  <c r="I1023" i="3"/>
  <c r="I1022" i="3"/>
  <c r="I1021" i="3"/>
  <c r="I1020" i="3"/>
  <c r="I1019" i="3"/>
  <c r="I1018" i="3"/>
  <c r="I1017" i="3"/>
  <c r="I1016" i="3"/>
  <c r="I1015" i="3"/>
  <c r="I1014" i="3"/>
  <c r="I1013" i="3"/>
  <c r="I1012" i="3"/>
  <c r="I1011" i="3"/>
  <c r="I1010" i="3"/>
  <c r="I1009" i="3"/>
  <c r="I1008" i="3"/>
  <c r="I1007" i="3"/>
  <c r="I1006" i="3"/>
  <c r="I1005" i="3"/>
  <c r="I1004" i="3"/>
  <c r="I1003" i="3"/>
  <c r="I1002" i="3"/>
  <c r="I1001" i="3"/>
  <c r="I1000" i="3"/>
  <c r="I999" i="3"/>
  <c r="I998" i="3"/>
  <c r="I997" i="3"/>
  <c r="I996" i="3"/>
  <c r="I995" i="3"/>
  <c r="I994" i="3"/>
  <c r="I993" i="3"/>
  <c r="I992" i="3"/>
  <c r="I991" i="3"/>
  <c r="I990" i="3"/>
  <c r="I989" i="3"/>
  <c r="I988" i="3"/>
  <c r="I987" i="3"/>
  <c r="I986" i="3"/>
  <c r="I985" i="3"/>
  <c r="I984" i="3"/>
  <c r="I983" i="3"/>
  <c r="I982" i="3"/>
  <c r="I981" i="3"/>
  <c r="I980" i="3"/>
  <c r="I979" i="3"/>
  <c r="I978" i="3"/>
  <c r="I977" i="3"/>
  <c r="I976" i="3"/>
  <c r="I975" i="3"/>
  <c r="I974" i="3"/>
  <c r="I973" i="3"/>
  <c r="I972" i="3"/>
  <c r="I971" i="3"/>
  <c r="I970" i="3"/>
  <c r="I969" i="3"/>
  <c r="I968" i="3"/>
  <c r="I967" i="3"/>
  <c r="I966" i="3"/>
  <c r="I965" i="3"/>
  <c r="I964" i="3"/>
  <c r="I963" i="3"/>
  <c r="I962" i="3"/>
  <c r="I961" i="3"/>
  <c r="I960" i="3"/>
  <c r="I959" i="3"/>
  <c r="I958" i="3"/>
  <c r="I957" i="3"/>
  <c r="I956" i="3"/>
  <c r="I955" i="3"/>
  <c r="I954" i="3"/>
  <c r="I953" i="3"/>
  <c r="I952" i="3"/>
  <c r="I951" i="3"/>
  <c r="I950" i="3"/>
  <c r="I949" i="3"/>
  <c r="I948" i="3"/>
  <c r="I947" i="3"/>
  <c r="I946" i="3"/>
  <c r="I945" i="3"/>
  <c r="I944" i="3"/>
  <c r="I943" i="3"/>
  <c r="I942" i="3"/>
  <c r="I941" i="3"/>
  <c r="I940" i="3"/>
  <c r="I939" i="3"/>
  <c r="I938" i="3"/>
  <c r="I937" i="3"/>
  <c r="I936" i="3"/>
  <c r="I935" i="3"/>
  <c r="I934" i="3"/>
  <c r="I933" i="3"/>
  <c r="I932" i="3"/>
  <c r="I931" i="3"/>
  <c r="I930" i="3"/>
  <c r="I929" i="3"/>
  <c r="I928" i="3"/>
  <c r="I927" i="3"/>
  <c r="I926" i="3"/>
  <c r="I925" i="3"/>
  <c r="I924" i="3"/>
  <c r="I923" i="3"/>
  <c r="I922" i="3"/>
  <c r="I921" i="3"/>
  <c r="I920" i="3"/>
  <c r="I919" i="3"/>
  <c r="I918" i="3"/>
  <c r="I917" i="3"/>
  <c r="I916" i="3"/>
  <c r="I915" i="3"/>
  <c r="I914" i="3"/>
  <c r="I913" i="3"/>
  <c r="I912" i="3"/>
  <c r="I911" i="3"/>
  <c r="I910" i="3"/>
  <c r="I909" i="3"/>
  <c r="I908" i="3"/>
  <c r="I907" i="3"/>
  <c r="I906" i="3"/>
  <c r="I905" i="3"/>
  <c r="I904" i="3"/>
  <c r="I903" i="3"/>
  <c r="I902" i="3"/>
  <c r="I901" i="3"/>
  <c r="I900" i="3"/>
  <c r="I899" i="3"/>
  <c r="I898" i="3"/>
  <c r="I897" i="3"/>
  <c r="I896" i="3"/>
  <c r="I895" i="3"/>
  <c r="I894" i="3"/>
  <c r="I893" i="3"/>
  <c r="I892" i="3"/>
  <c r="I891" i="3"/>
  <c r="I890" i="3"/>
  <c r="I889" i="3"/>
  <c r="I888" i="3"/>
  <c r="I887" i="3"/>
  <c r="I886" i="3"/>
  <c r="I885" i="3"/>
  <c r="I884" i="3"/>
  <c r="I883" i="3"/>
  <c r="I882" i="3"/>
  <c r="I881" i="3"/>
  <c r="I880" i="3"/>
  <c r="I879" i="3"/>
  <c r="I878" i="3"/>
  <c r="I877" i="3"/>
  <c r="I876" i="3"/>
  <c r="I875" i="3"/>
  <c r="I874" i="3"/>
  <c r="I873" i="3"/>
  <c r="I872" i="3"/>
  <c r="I871" i="3"/>
  <c r="I870" i="3"/>
  <c r="I869" i="3"/>
  <c r="I868" i="3"/>
  <c r="I867" i="3"/>
  <c r="I866" i="3"/>
  <c r="I865" i="3"/>
  <c r="I864" i="3"/>
  <c r="I863" i="3"/>
  <c r="I862" i="3"/>
  <c r="I861" i="3"/>
  <c r="I860" i="3"/>
  <c r="I859" i="3"/>
  <c r="I858" i="3"/>
  <c r="I857" i="3"/>
  <c r="I856" i="3"/>
  <c r="I855" i="3"/>
  <c r="I854" i="3"/>
  <c r="I853" i="3"/>
  <c r="I852" i="3"/>
  <c r="I851" i="3"/>
  <c r="I850" i="3"/>
  <c r="I849" i="3"/>
  <c r="I848" i="3"/>
  <c r="I847" i="3"/>
  <c r="I846" i="3"/>
  <c r="I845" i="3"/>
  <c r="I844" i="3"/>
  <c r="I843" i="3"/>
  <c r="I842" i="3"/>
  <c r="I841" i="3"/>
  <c r="I840" i="3"/>
  <c r="I839" i="3"/>
  <c r="I838" i="3"/>
  <c r="I837" i="3"/>
  <c r="I836" i="3"/>
  <c r="I835" i="3"/>
  <c r="I834" i="3"/>
  <c r="I833" i="3"/>
  <c r="I832" i="3"/>
  <c r="I831" i="3"/>
  <c r="I830" i="3"/>
  <c r="I829" i="3"/>
  <c r="I828" i="3"/>
  <c r="I827" i="3"/>
  <c r="I826" i="3"/>
  <c r="I825" i="3"/>
  <c r="I824" i="3"/>
  <c r="I823" i="3"/>
  <c r="I822" i="3"/>
  <c r="I821" i="3"/>
  <c r="I820" i="3"/>
  <c r="I819" i="3"/>
  <c r="I818" i="3"/>
  <c r="I817" i="3"/>
  <c r="I816" i="3"/>
  <c r="I815" i="3"/>
  <c r="I814" i="3"/>
  <c r="I813" i="3"/>
  <c r="I812" i="3"/>
  <c r="I811" i="3"/>
  <c r="I810" i="3"/>
  <c r="I809" i="3"/>
  <c r="I808" i="3"/>
  <c r="I807" i="3"/>
  <c r="I806" i="3"/>
  <c r="I805" i="3"/>
  <c r="I804" i="3"/>
  <c r="I803" i="3"/>
  <c r="I802" i="3"/>
  <c r="I801" i="3"/>
  <c r="I800" i="3"/>
  <c r="I799" i="3"/>
  <c r="I798" i="3"/>
  <c r="I797" i="3"/>
  <c r="I796" i="3"/>
  <c r="I795" i="3"/>
  <c r="I794" i="3"/>
  <c r="I793" i="3"/>
  <c r="I792" i="3"/>
  <c r="I791" i="3"/>
  <c r="I790" i="3"/>
  <c r="I789" i="3"/>
  <c r="I788" i="3"/>
  <c r="I787" i="3"/>
  <c r="I786" i="3"/>
  <c r="I785" i="3"/>
  <c r="I784" i="3"/>
  <c r="I783" i="3"/>
  <c r="I782" i="3"/>
  <c r="I781" i="3"/>
  <c r="I780" i="3"/>
  <c r="I779" i="3"/>
  <c r="I778" i="3"/>
  <c r="I777" i="3"/>
  <c r="I776" i="3"/>
  <c r="I775" i="3"/>
  <c r="I774" i="3"/>
  <c r="I773" i="3"/>
  <c r="I772" i="3"/>
  <c r="I771" i="3"/>
  <c r="I770" i="3"/>
  <c r="I769" i="3"/>
  <c r="I768" i="3"/>
  <c r="I767" i="3"/>
  <c r="I766" i="3"/>
  <c r="I765" i="3"/>
  <c r="I764" i="3"/>
  <c r="I763" i="3"/>
  <c r="I762" i="3"/>
  <c r="I761" i="3"/>
  <c r="I760" i="3"/>
  <c r="I759" i="3"/>
  <c r="I758" i="3"/>
  <c r="I757" i="3"/>
  <c r="I756" i="3"/>
  <c r="I755" i="3"/>
  <c r="I754" i="3"/>
  <c r="I753" i="3"/>
  <c r="I752" i="3"/>
  <c r="I751" i="3"/>
  <c r="I750" i="3"/>
  <c r="I749" i="3"/>
  <c r="I748" i="3"/>
  <c r="I747" i="3"/>
  <c r="I746" i="3"/>
  <c r="I745" i="3"/>
  <c r="I744" i="3"/>
  <c r="I743" i="3"/>
  <c r="I742" i="3"/>
  <c r="I741" i="3"/>
  <c r="I740" i="3"/>
  <c r="I739" i="3"/>
  <c r="I738" i="3"/>
  <c r="I737" i="3"/>
  <c r="I736" i="3"/>
  <c r="I735" i="3"/>
  <c r="I734" i="3"/>
  <c r="I733" i="3"/>
  <c r="I732" i="3"/>
  <c r="I731" i="3"/>
  <c r="I730" i="3"/>
  <c r="I729" i="3"/>
  <c r="I728" i="3"/>
  <c r="I727" i="3"/>
  <c r="I726" i="3"/>
  <c r="I725" i="3"/>
  <c r="I724" i="3"/>
  <c r="I723" i="3"/>
  <c r="I722" i="3"/>
  <c r="I721" i="3"/>
  <c r="I720" i="3"/>
  <c r="I719" i="3"/>
  <c r="I718" i="3"/>
  <c r="I717" i="3"/>
  <c r="I716" i="3"/>
  <c r="I715" i="3"/>
  <c r="I714" i="3"/>
  <c r="I713" i="3"/>
  <c r="I712" i="3"/>
  <c r="I711" i="3"/>
  <c r="I710" i="3"/>
  <c r="I709" i="3"/>
  <c r="I708" i="3"/>
  <c r="I707" i="3"/>
  <c r="I706" i="3"/>
  <c r="I705" i="3"/>
  <c r="I704" i="3"/>
  <c r="I703" i="3"/>
  <c r="I702" i="3"/>
  <c r="I701" i="3"/>
  <c r="I700" i="3"/>
  <c r="I699" i="3"/>
  <c r="I698" i="3"/>
  <c r="I697" i="3"/>
  <c r="I696" i="3"/>
  <c r="I695" i="3"/>
  <c r="I694" i="3"/>
  <c r="I693" i="3"/>
  <c r="I692" i="3"/>
  <c r="I691" i="3"/>
  <c r="I690" i="3"/>
  <c r="I689" i="3"/>
  <c r="I688" i="3"/>
  <c r="I687" i="3"/>
  <c r="I686" i="3"/>
  <c r="I685" i="3"/>
  <c r="I684" i="3"/>
  <c r="I683" i="3"/>
  <c r="I682" i="3"/>
  <c r="I681" i="3"/>
  <c r="I680" i="3"/>
  <c r="I679" i="3"/>
  <c r="I678" i="3"/>
  <c r="I677" i="3"/>
  <c r="I676" i="3"/>
  <c r="I675" i="3"/>
  <c r="I674" i="3"/>
  <c r="I673" i="3"/>
  <c r="I672" i="3"/>
  <c r="I671" i="3"/>
  <c r="I670" i="3"/>
  <c r="I669" i="3"/>
  <c r="I668" i="3"/>
  <c r="I667" i="3"/>
  <c r="I666" i="3"/>
  <c r="I665" i="3"/>
  <c r="I664" i="3"/>
  <c r="I663" i="3"/>
  <c r="I662" i="3"/>
  <c r="I661" i="3"/>
  <c r="I660" i="3"/>
  <c r="I659" i="3"/>
  <c r="I658" i="3"/>
  <c r="I657" i="3"/>
  <c r="I656" i="3"/>
  <c r="I655" i="3"/>
  <c r="I654" i="3"/>
  <c r="I653" i="3"/>
  <c r="I652" i="3"/>
  <c r="I651" i="3"/>
  <c r="I650" i="3"/>
  <c r="I649" i="3"/>
  <c r="I648" i="3"/>
  <c r="I647" i="3"/>
  <c r="I646" i="3"/>
  <c r="I645" i="3"/>
  <c r="I644" i="3"/>
  <c r="I643" i="3"/>
  <c r="I642" i="3"/>
  <c r="I641" i="3"/>
  <c r="I640" i="3"/>
  <c r="I639" i="3"/>
  <c r="I638" i="3"/>
  <c r="I637" i="3"/>
  <c r="I636" i="3"/>
  <c r="I635" i="3"/>
  <c r="I634" i="3"/>
  <c r="I633" i="3"/>
  <c r="I632" i="3"/>
  <c r="I631" i="3"/>
  <c r="I630" i="3"/>
  <c r="I629" i="3"/>
  <c r="I628" i="3"/>
  <c r="I627" i="3"/>
  <c r="I626" i="3"/>
  <c r="I625" i="3"/>
  <c r="I624" i="3"/>
  <c r="I623" i="3"/>
  <c r="I622" i="3"/>
  <c r="I621" i="3"/>
  <c r="I620" i="3"/>
  <c r="I619" i="3"/>
  <c r="I618" i="3"/>
  <c r="I617" i="3"/>
  <c r="I616" i="3"/>
  <c r="I615" i="3"/>
  <c r="I614" i="3"/>
  <c r="I613" i="3"/>
  <c r="I612" i="3"/>
  <c r="I611" i="3"/>
  <c r="I610" i="3"/>
  <c r="I609" i="3"/>
  <c r="I608" i="3"/>
  <c r="I607" i="3"/>
  <c r="I606" i="3"/>
  <c r="I605" i="3"/>
  <c r="I604" i="3"/>
  <c r="I603" i="3"/>
  <c r="I602" i="3"/>
  <c r="I601" i="3"/>
  <c r="I600" i="3"/>
  <c r="I599" i="3"/>
  <c r="I598" i="3"/>
  <c r="I597" i="3"/>
  <c r="I596" i="3"/>
  <c r="I595" i="3"/>
  <c r="I594" i="3"/>
  <c r="I593" i="3"/>
  <c r="I592" i="3"/>
  <c r="I591" i="3"/>
  <c r="I590" i="3"/>
  <c r="I589" i="3"/>
  <c r="I588" i="3"/>
  <c r="I587" i="3"/>
  <c r="I586" i="3"/>
  <c r="I585" i="3"/>
  <c r="I584" i="3"/>
  <c r="I583" i="3"/>
  <c r="I582" i="3"/>
  <c r="I581" i="3"/>
  <c r="I580" i="3"/>
  <c r="I579" i="3"/>
  <c r="I578" i="3"/>
  <c r="I577" i="3"/>
  <c r="I576" i="3"/>
  <c r="I575" i="3"/>
  <c r="I574" i="3"/>
  <c r="I573" i="3"/>
  <c r="I572" i="3"/>
  <c r="I571" i="3"/>
  <c r="I570" i="3"/>
  <c r="I569" i="3"/>
  <c r="I568" i="3"/>
  <c r="I567" i="3"/>
  <c r="I566" i="3"/>
  <c r="I565" i="3"/>
  <c r="I564" i="3"/>
  <c r="I563" i="3"/>
  <c r="I562" i="3"/>
  <c r="I561" i="3"/>
  <c r="I560" i="3"/>
  <c r="I559" i="3"/>
  <c r="I558" i="3"/>
  <c r="I557" i="3"/>
  <c r="I556" i="3"/>
  <c r="I555" i="3"/>
  <c r="I554" i="3"/>
  <c r="I553" i="3"/>
  <c r="I552" i="3"/>
  <c r="I551" i="3"/>
  <c r="I550" i="3"/>
  <c r="I549" i="3"/>
  <c r="I548" i="3"/>
  <c r="I547" i="3"/>
  <c r="I546" i="3"/>
  <c r="I545" i="3"/>
  <c r="I544" i="3"/>
  <c r="I543" i="3"/>
  <c r="I542" i="3"/>
  <c r="I541" i="3"/>
  <c r="I540" i="3"/>
  <c r="I539" i="3"/>
  <c r="I538" i="3"/>
  <c r="I537" i="3"/>
  <c r="I536" i="3"/>
  <c r="I535" i="3"/>
  <c r="I534" i="3"/>
  <c r="I533" i="3"/>
  <c r="I532" i="3"/>
  <c r="I531" i="3"/>
  <c r="I530" i="3"/>
  <c r="I529" i="3"/>
  <c r="I528" i="3"/>
  <c r="I527" i="3"/>
  <c r="I526" i="3"/>
  <c r="I525" i="3"/>
  <c r="I524" i="3"/>
  <c r="I523" i="3"/>
  <c r="I522" i="3"/>
  <c r="I521" i="3"/>
  <c r="I520" i="3"/>
  <c r="I519" i="3"/>
  <c r="I518" i="3"/>
  <c r="I517" i="3"/>
  <c r="I516" i="3"/>
  <c r="I515" i="3"/>
  <c r="I514" i="3"/>
  <c r="I513" i="3"/>
  <c r="I512" i="3"/>
  <c r="I511" i="3"/>
  <c r="I510" i="3"/>
  <c r="I509" i="3"/>
  <c r="I508" i="3"/>
  <c r="I507" i="3"/>
  <c r="I506" i="3"/>
  <c r="I505" i="3"/>
  <c r="I504" i="3"/>
  <c r="I503" i="3"/>
  <c r="I502" i="3"/>
  <c r="I501" i="3"/>
  <c r="I500" i="3"/>
  <c r="I499" i="3"/>
  <c r="I498" i="3"/>
  <c r="I497" i="3"/>
  <c r="I496" i="3"/>
  <c r="I495" i="3"/>
  <c r="I494" i="3"/>
  <c r="I493" i="3"/>
  <c r="I492" i="3"/>
  <c r="I491" i="3"/>
  <c r="I490" i="3"/>
  <c r="I489" i="3"/>
  <c r="I488" i="3"/>
  <c r="I487" i="3"/>
  <c r="I486" i="3"/>
  <c r="I485" i="3"/>
  <c r="I484" i="3"/>
  <c r="I483" i="3"/>
  <c r="I482" i="3"/>
  <c r="I481" i="3"/>
  <c r="I480" i="3"/>
  <c r="I479" i="3"/>
  <c r="I478" i="3"/>
  <c r="I477" i="3"/>
  <c r="I476" i="3"/>
  <c r="I475" i="3"/>
  <c r="I474" i="3"/>
  <c r="I473" i="3"/>
  <c r="I472" i="3"/>
  <c r="I471" i="3"/>
  <c r="I470" i="3"/>
  <c r="I469" i="3"/>
  <c r="I468" i="3"/>
  <c r="I467" i="3"/>
  <c r="I466" i="3"/>
  <c r="I465" i="3"/>
  <c r="I464" i="3"/>
  <c r="I463" i="3"/>
  <c r="I462" i="3"/>
  <c r="I461" i="3"/>
  <c r="I460" i="3"/>
  <c r="I459" i="3"/>
  <c r="I458" i="3"/>
  <c r="I457" i="3"/>
  <c r="I456" i="3"/>
  <c r="I455" i="3"/>
  <c r="I454" i="3"/>
  <c r="I453" i="3"/>
  <c r="I452" i="3"/>
  <c r="I451" i="3"/>
  <c r="I450" i="3"/>
  <c r="I449" i="3"/>
  <c r="I448" i="3"/>
  <c r="I447" i="3"/>
  <c r="I446" i="3"/>
  <c r="I445" i="3"/>
  <c r="I444" i="3"/>
  <c r="I443" i="3"/>
  <c r="I442" i="3"/>
  <c r="I441" i="3"/>
  <c r="I440" i="3"/>
  <c r="I439" i="3"/>
  <c r="I438" i="3"/>
  <c r="I437" i="3"/>
  <c r="I436" i="3"/>
  <c r="I435" i="3"/>
  <c r="I434" i="3"/>
  <c r="I433" i="3"/>
  <c r="I432" i="3"/>
  <c r="I431" i="3"/>
  <c r="I430" i="3"/>
  <c r="I429" i="3"/>
  <c r="I428" i="3"/>
  <c r="I427" i="3"/>
  <c r="I426" i="3"/>
  <c r="I425" i="3"/>
  <c r="I424" i="3"/>
  <c r="I423" i="3"/>
  <c r="I422" i="3"/>
  <c r="I421" i="3"/>
  <c r="I420" i="3"/>
  <c r="I419" i="3"/>
  <c r="I418" i="3"/>
  <c r="I417" i="3"/>
  <c r="I416" i="3"/>
  <c r="I415" i="3"/>
  <c r="I414" i="3"/>
  <c r="I413" i="3"/>
  <c r="I412" i="3"/>
  <c r="I411" i="3"/>
  <c r="I410" i="3"/>
  <c r="I409" i="3"/>
  <c r="I408" i="3"/>
  <c r="I407" i="3"/>
  <c r="I406" i="3"/>
  <c r="I405" i="3"/>
  <c r="I404" i="3"/>
  <c r="I403" i="3"/>
  <c r="I402" i="3"/>
  <c r="I401" i="3"/>
  <c r="I400" i="3"/>
  <c r="I399" i="3"/>
  <c r="I398" i="3"/>
  <c r="I397" i="3"/>
  <c r="I396" i="3"/>
  <c r="I395" i="3"/>
  <c r="I394" i="3"/>
  <c r="I393" i="3"/>
  <c r="I392" i="3"/>
  <c r="I391" i="3"/>
  <c r="I390" i="3"/>
  <c r="I389" i="3"/>
  <c r="I388" i="3"/>
  <c r="I387" i="3"/>
  <c r="I386" i="3"/>
  <c r="I385" i="3"/>
  <c r="I384" i="3"/>
  <c r="I383" i="3"/>
  <c r="I382" i="3"/>
  <c r="I381" i="3"/>
  <c r="I380" i="3"/>
  <c r="I379" i="3"/>
  <c r="I378" i="3"/>
  <c r="I377" i="3"/>
  <c r="I376" i="3"/>
  <c r="I375" i="3"/>
  <c r="I374" i="3"/>
  <c r="I373" i="3"/>
  <c r="I372" i="3"/>
  <c r="I371" i="3"/>
  <c r="I370" i="3"/>
  <c r="I369" i="3"/>
  <c r="I368" i="3"/>
  <c r="I367" i="3"/>
  <c r="I366" i="3"/>
  <c r="I365" i="3"/>
  <c r="I364" i="3"/>
  <c r="I363" i="3"/>
  <c r="I362" i="3"/>
  <c r="I361" i="3"/>
  <c r="I360" i="3"/>
  <c r="I359" i="3"/>
  <c r="I358" i="3"/>
  <c r="I357" i="3"/>
  <c r="I356" i="3"/>
  <c r="I355" i="3"/>
  <c r="I354" i="3"/>
  <c r="I353" i="3"/>
  <c r="I352" i="3"/>
  <c r="I351" i="3"/>
  <c r="I350" i="3"/>
  <c r="I349" i="3"/>
  <c r="I348" i="3"/>
  <c r="I347" i="3"/>
  <c r="I346" i="3"/>
  <c r="I345" i="3"/>
  <c r="I344" i="3"/>
  <c r="I343" i="3"/>
  <c r="I342" i="3"/>
  <c r="I341" i="3"/>
  <c r="I340" i="3"/>
  <c r="I339" i="3"/>
  <c r="I338" i="3"/>
  <c r="I337" i="3"/>
  <c r="I336" i="3"/>
  <c r="I335" i="3"/>
  <c r="I334" i="3"/>
  <c r="I333" i="3"/>
  <c r="I332" i="3"/>
  <c r="I331" i="3"/>
  <c r="I330" i="3"/>
  <c r="I329" i="3"/>
  <c r="I328" i="3"/>
  <c r="I327" i="3"/>
  <c r="I326" i="3"/>
  <c r="I325" i="3"/>
  <c r="I324" i="3"/>
  <c r="I323" i="3"/>
  <c r="I322" i="3"/>
  <c r="I321" i="3"/>
  <c r="I320" i="3"/>
  <c r="I319" i="3"/>
  <c r="I318" i="3"/>
  <c r="I317" i="3"/>
  <c r="I316" i="3"/>
  <c r="I315" i="3"/>
  <c r="I314" i="3"/>
  <c r="I313" i="3"/>
  <c r="I312" i="3"/>
  <c r="I311" i="3"/>
  <c r="I310" i="3"/>
  <c r="I309" i="3"/>
  <c r="I308" i="3"/>
  <c r="I307" i="3"/>
  <c r="I306" i="3"/>
  <c r="I305" i="3"/>
  <c r="I304" i="3"/>
  <c r="I303" i="3"/>
  <c r="I302" i="3"/>
  <c r="I301" i="3"/>
  <c r="I300" i="3"/>
  <c r="I299" i="3"/>
  <c r="I298" i="3"/>
  <c r="I297" i="3"/>
  <c r="I296" i="3"/>
  <c r="I295" i="3"/>
  <c r="I294" i="3"/>
  <c r="I293" i="3"/>
  <c r="I292" i="3"/>
  <c r="I291" i="3"/>
  <c r="I290" i="3"/>
  <c r="I289" i="3"/>
  <c r="I288" i="3"/>
  <c r="I287" i="3"/>
  <c r="I286" i="3"/>
  <c r="I285" i="3"/>
  <c r="I284" i="3"/>
  <c r="I283" i="3"/>
  <c r="I282" i="3"/>
  <c r="I281" i="3"/>
  <c r="I280" i="3"/>
  <c r="I279" i="3"/>
  <c r="I278" i="3"/>
  <c r="I277" i="3"/>
  <c r="I276" i="3"/>
  <c r="I275" i="3"/>
  <c r="I274" i="3"/>
  <c r="I273" i="3"/>
  <c r="I272" i="3"/>
  <c r="I271" i="3"/>
  <c r="I270" i="3"/>
  <c r="I269" i="3"/>
  <c r="I268" i="3"/>
  <c r="I267" i="3"/>
  <c r="I266" i="3"/>
  <c r="I265" i="3"/>
  <c r="I264" i="3"/>
  <c r="I263" i="3"/>
  <c r="I262" i="3"/>
  <c r="I261" i="3"/>
  <c r="I260" i="3"/>
  <c r="I259" i="3"/>
  <c r="I258" i="3"/>
  <c r="I257" i="3"/>
  <c r="I256" i="3"/>
  <c r="I255" i="3"/>
  <c r="I254" i="3"/>
  <c r="I253" i="3"/>
  <c r="I252" i="3"/>
  <c r="I251" i="3"/>
  <c r="I250" i="3"/>
  <c r="I249" i="3"/>
  <c r="I248" i="3"/>
  <c r="I247" i="3"/>
  <c r="I246" i="3"/>
  <c r="I245" i="3"/>
  <c r="I244" i="3"/>
  <c r="I243" i="3"/>
  <c r="I242" i="3"/>
  <c r="I241" i="3"/>
  <c r="I240" i="3"/>
  <c r="I239" i="3"/>
  <c r="I238" i="3"/>
  <c r="I237" i="3"/>
  <c r="I236" i="3"/>
  <c r="I235" i="3"/>
  <c r="I234" i="3"/>
  <c r="I233" i="3"/>
  <c r="I232" i="3"/>
  <c r="I231" i="3"/>
  <c r="I230" i="3"/>
  <c r="I229" i="3"/>
  <c r="I228" i="3"/>
  <c r="I227" i="3"/>
  <c r="I226" i="3"/>
  <c r="I225" i="3"/>
  <c r="I224" i="3"/>
  <c r="I223" i="3"/>
  <c r="I222" i="3"/>
  <c r="I221" i="3"/>
  <c r="I220" i="3"/>
  <c r="I219" i="3"/>
  <c r="I218" i="3"/>
  <c r="I217" i="3"/>
  <c r="I216" i="3"/>
  <c r="I215" i="3"/>
  <c r="I214" i="3"/>
  <c r="I213" i="3"/>
  <c r="I212" i="3"/>
  <c r="I211" i="3"/>
  <c r="I210" i="3"/>
  <c r="I209" i="3"/>
  <c r="I208" i="3"/>
  <c r="I207" i="3"/>
  <c r="I206" i="3"/>
  <c r="I205" i="3"/>
  <c r="I204" i="3"/>
  <c r="I203" i="3"/>
  <c r="I202" i="3"/>
  <c r="I201" i="3"/>
  <c r="I200" i="3"/>
  <c r="I199" i="3"/>
  <c r="I198" i="3"/>
  <c r="I197" i="3"/>
  <c r="I196" i="3"/>
  <c r="I195" i="3"/>
  <c r="I194" i="3"/>
  <c r="I193" i="3"/>
  <c r="I192" i="3"/>
  <c r="I191" i="3"/>
  <c r="I190" i="3"/>
  <c r="I189" i="3"/>
  <c r="I188" i="3"/>
  <c r="I187" i="3"/>
  <c r="I186" i="3"/>
  <c r="I185" i="3"/>
  <c r="I184" i="3"/>
  <c r="I183" i="3"/>
  <c r="I182" i="3"/>
  <c r="I181" i="3"/>
  <c r="I180" i="3"/>
  <c r="I179" i="3"/>
  <c r="I178" i="3"/>
  <c r="I177" i="3"/>
  <c r="I176" i="3"/>
  <c r="I175" i="3"/>
  <c r="I174" i="3"/>
  <c r="I173" i="3"/>
  <c r="I172" i="3"/>
  <c r="I171" i="3"/>
  <c r="I170" i="3"/>
  <c r="I169" i="3"/>
  <c r="I168" i="3"/>
  <c r="I167" i="3"/>
  <c r="I166" i="3"/>
  <c r="I165" i="3"/>
  <c r="I164" i="3"/>
  <c r="I163" i="3"/>
  <c r="I162" i="3"/>
  <c r="I161" i="3"/>
  <c r="I160" i="3"/>
  <c r="I159" i="3"/>
  <c r="I158" i="3"/>
  <c r="I157" i="3"/>
  <c r="I156" i="3"/>
  <c r="I155" i="3"/>
  <c r="I154" i="3"/>
  <c r="I153" i="3"/>
  <c r="I152" i="3"/>
  <c r="I151" i="3"/>
  <c r="I150" i="3"/>
  <c r="I149" i="3"/>
  <c r="I148" i="3"/>
  <c r="I147" i="3"/>
  <c r="I146" i="3"/>
  <c r="I145" i="3"/>
  <c r="I144" i="3"/>
  <c r="I143" i="3"/>
  <c r="I142" i="3"/>
  <c r="I141" i="3"/>
  <c r="I140" i="3"/>
  <c r="I139" i="3"/>
  <c r="I138" i="3"/>
  <c r="I137" i="3"/>
  <c r="I136" i="3"/>
  <c r="I135" i="3"/>
  <c r="I134" i="3"/>
  <c r="I133" i="3"/>
  <c r="I132" i="3"/>
  <c r="I131" i="3"/>
  <c r="I130" i="3"/>
  <c r="I129" i="3"/>
  <c r="I128" i="3"/>
  <c r="I127" i="3"/>
  <c r="I126" i="3"/>
  <c r="I125" i="3"/>
  <c r="I124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I2" i="3"/>
  <c r="K10002" i="3"/>
  <c r="K10001" i="3"/>
  <c r="K10000" i="3"/>
  <c r="K9999" i="3"/>
  <c r="K9998" i="3"/>
  <c r="K9997" i="3"/>
  <c r="K9996" i="3"/>
  <c r="K9995" i="3"/>
  <c r="K9994" i="3"/>
  <c r="K9993" i="3"/>
  <c r="K9992" i="3"/>
  <c r="K9991" i="3"/>
  <c r="K9990" i="3"/>
  <c r="K9989" i="3"/>
  <c r="K9988" i="3"/>
  <c r="K9987" i="3"/>
  <c r="K9986" i="3"/>
  <c r="K9985" i="3"/>
  <c r="K9984" i="3"/>
  <c r="K9983" i="3"/>
  <c r="K9982" i="3"/>
  <c r="K9981" i="3"/>
  <c r="K9980" i="3"/>
  <c r="K9979" i="3"/>
  <c r="K9978" i="3"/>
  <c r="K9977" i="3"/>
  <c r="K9976" i="3"/>
  <c r="K9975" i="3"/>
  <c r="K9974" i="3"/>
  <c r="K9973" i="3"/>
  <c r="K9972" i="3"/>
  <c r="K9971" i="3"/>
  <c r="K9970" i="3"/>
  <c r="K9969" i="3"/>
  <c r="K9968" i="3"/>
  <c r="K9967" i="3"/>
  <c r="K9966" i="3"/>
  <c r="K9965" i="3"/>
  <c r="K9964" i="3"/>
  <c r="K9963" i="3"/>
  <c r="K9962" i="3"/>
  <c r="K9961" i="3"/>
  <c r="K9960" i="3"/>
  <c r="K9959" i="3"/>
  <c r="K9958" i="3"/>
  <c r="K9957" i="3"/>
  <c r="K9956" i="3"/>
  <c r="K9955" i="3"/>
  <c r="K9954" i="3"/>
  <c r="K9953" i="3"/>
  <c r="K9952" i="3"/>
  <c r="K9951" i="3"/>
  <c r="K9950" i="3"/>
  <c r="K9949" i="3"/>
  <c r="K9948" i="3"/>
  <c r="K9947" i="3"/>
  <c r="K9946" i="3"/>
  <c r="K9945" i="3"/>
  <c r="K9944" i="3"/>
  <c r="K9943" i="3"/>
  <c r="K9942" i="3"/>
  <c r="K9941" i="3"/>
  <c r="K9940" i="3"/>
  <c r="K9939" i="3"/>
  <c r="K9938" i="3"/>
  <c r="K9937" i="3"/>
  <c r="K9936" i="3"/>
  <c r="K9935" i="3"/>
  <c r="K9934" i="3"/>
  <c r="K9933" i="3"/>
  <c r="K9932" i="3"/>
  <c r="K9931" i="3"/>
  <c r="K9930" i="3"/>
  <c r="K9929" i="3"/>
  <c r="K9928" i="3"/>
  <c r="K9927" i="3"/>
  <c r="K9926" i="3"/>
  <c r="K9925" i="3"/>
  <c r="K9924" i="3"/>
  <c r="K9923" i="3"/>
  <c r="K9922" i="3"/>
  <c r="K9921" i="3"/>
  <c r="K9920" i="3"/>
  <c r="K9919" i="3"/>
  <c r="K9918" i="3"/>
  <c r="K9917" i="3"/>
  <c r="K9916" i="3"/>
  <c r="K9915" i="3"/>
  <c r="K9914" i="3"/>
  <c r="K9913" i="3"/>
  <c r="K9912" i="3"/>
  <c r="K9911" i="3"/>
  <c r="K9910" i="3"/>
  <c r="K9909" i="3"/>
  <c r="K9908" i="3"/>
  <c r="K9907" i="3"/>
  <c r="K9906" i="3"/>
  <c r="K9905" i="3"/>
  <c r="K9904" i="3"/>
  <c r="K9903" i="3"/>
  <c r="K9902" i="3"/>
  <c r="K9901" i="3"/>
  <c r="K9900" i="3"/>
  <c r="K9899" i="3"/>
  <c r="K9898" i="3"/>
  <c r="K9897" i="3"/>
  <c r="K9896" i="3"/>
  <c r="K9895" i="3"/>
  <c r="K9894" i="3"/>
  <c r="K9893" i="3"/>
  <c r="K9892" i="3"/>
  <c r="K9891" i="3"/>
  <c r="K9890" i="3"/>
  <c r="K9889" i="3"/>
  <c r="K9888" i="3"/>
  <c r="K9887" i="3"/>
  <c r="K9886" i="3"/>
  <c r="K9885" i="3"/>
  <c r="K9884" i="3"/>
  <c r="K9883" i="3"/>
  <c r="K9882" i="3"/>
  <c r="K9881" i="3"/>
  <c r="K9880" i="3"/>
  <c r="K9879" i="3"/>
  <c r="K9878" i="3"/>
  <c r="K9877" i="3"/>
  <c r="K9876" i="3"/>
  <c r="K9875" i="3"/>
  <c r="K9874" i="3"/>
  <c r="K9873" i="3"/>
  <c r="K9872" i="3"/>
  <c r="K9871" i="3"/>
  <c r="K9870" i="3"/>
  <c r="K9869" i="3"/>
  <c r="K9868" i="3"/>
  <c r="K9867" i="3"/>
  <c r="K9866" i="3"/>
  <c r="K9865" i="3"/>
  <c r="K9864" i="3"/>
  <c r="K9863" i="3"/>
  <c r="K9862" i="3"/>
  <c r="K9861" i="3"/>
  <c r="K9860" i="3"/>
  <c r="K9859" i="3"/>
  <c r="K9858" i="3"/>
  <c r="K9857" i="3"/>
  <c r="K9856" i="3"/>
  <c r="K9855" i="3"/>
  <c r="K9854" i="3"/>
  <c r="K9853" i="3"/>
  <c r="K9852" i="3"/>
  <c r="K9851" i="3"/>
  <c r="K9850" i="3"/>
  <c r="K9849" i="3"/>
  <c r="K9848" i="3"/>
  <c r="K9847" i="3"/>
  <c r="K9846" i="3"/>
  <c r="K9845" i="3"/>
  <c r="K9844" i="3"/>
  <c r="K9843" i="3"/>
  <c r="K9842" i="3"/>
  <c r="K9841" i="3"/>
  <c r="K9840" i="3"/>
  <c r="K9839" i="3"/>
  <c r="K9838" i="3"/>
  <c r="K9837" i="3"/>
  <c r="K9836" i="3"/>
  <c r="K9835" i="3"/>
  <c r="K9834" i="3"/>
  <c r="K9833" i="3"/>
  <c r="K9832" i="3"/>
  <c r="K9831" i="3"/>
  <c r="K9830" i="3"/>
  <c r="K9829" i="3"/>
  <c r="K9828" i="3"/>
  <c r="K9827" i="3"/>
  <c r="K9826" i="3"/>
  <c r="K9825" i="3"/>
  <c r="K9824" i="3"/>
  <c r="K9823" i="3"/>
  <c r="K9822" i="3"/>
  <c r="K9821" i="3"/>
  <c r="K9820" i="3"/>
  <c r="K9819" i="3"/>
  <c r="K9818" i="3"/>
  <c r="K9817" i="3"/>
  <c r="K9816" i="3"/>
  <c r="K9815" i="3"/>
  <c r="K9814" i="3"/>
  <c r="K9813" i="3"/>
  <c r="K9812" i="3"/>
  <c r="K9811" i="3"/>
  <c r="K9810" i="3"/>
  <c r="K9809" i="3"/>
  <c r="K9808" i="3"/>
  <c r="K9807" i="3"/>
  <c r="K9806" i="3"/>
  <c r="K9805" i="3"/>
  <c r="K9804" i="3"/>
  <c r="K9803" i="3"/>
  <c r="K9802" i="3"/>
  <c r="K9801" i="3"/>
  <c r="K9800" i="3"/>
  <c r="K9799" i="3"/>
  <c r="K9798" i="3"/>
  <c r="K9797" i="3"/>
  <c r="K9796" i="3"/>
  <c r="K9795" i="3"/>
  <c r="K9794" i="3"/>
  <c r="K9793" i="3"/>
  <c r="K9792" i="3"/>
  <c r="K9791" i="3"/>
  <c r="K9790" i="3"/>
  <c r="K9789" i="3"/>
  <c r="K9788" i="3"/>
  <c r="K9787" i="3"/>
  <c r="K9786" i="3"/>
  <c r="K9785" i="3"/>
  <c r="K9784" i="3"/>
  <c r="K9783" i="3"/>
  <c r="K9782" i="3"/>
  <c r="K9781" i="3"/>
  <c r="K9780" i="3"/>
  <c r="K9779" i="3"/>
  <c r="K9778" i="3"/>
  <c r="K9777" i="3"/>
  <c r="K9776" i="3"/>
  <c r="K9775" i="3"/>
  <c r="K9774" i="3"/>
  <c r="K9773" i="3"/>
  <c r="K9772" i="3"/>
  <c r="K9771" i="3"/>
  <c r="K9770" i="3"/>
  <c r="K9769" i="3"/>
  <c r="K9768" i="3"/>
  <c r="K9767" i="3"/>
  <c r="K9766" i="3"/>
  <c r="K9765" i="3"/>
  <c r="K9764" i="3"/>
  <c r="K9763" i="3"/>
  <c r="K9762" i="3"/>
  <c r="K9761" i="3"/>
  <c r="K9760" i="3"/>
  <c r="K9759" i="3"/>
  <c r="K9758" i="3"/>
  <c r="K9757" i="3"/>
  <c r="K9756" i="3"/>
  <c r="K9755" i="3"/>
  <c r="K9754" i="3"/>
  <c r="K9753" i="3"/>
  <c r="K9752" i="3"/>
  <c r="K9751" i="3"/>
  <c r="K9750" i="3"/>
  <c r="K9749" i="3"/>
  <c r="K9748" i="3"/>
  <c r="K9747" i="3"/>
  <c r="K9746" i="3"/>
  <c r="K9745" i="3"/>
  <c r="K9744" i="3"/>
  <c r="K9743" i="3"/>
  <c r="K9742" i="3"/>
  <c r="K9741" i="3"/>
  <c r="K9740" i="3"/>
  <c r="K9739" i="3"/>
  <c r="K9738" i="3"/>
  <c r="K9737" i="3"/>
  <c r="K9736" i="3"/>
  <c r="K9735" i="3"/>
  <c r="K9734" i="3"/>
  <c r="K9733" i="3"/>
  <c r="K9732" i="3"/>
  <c r="K9731" i="3"/>
  <c r="K9730" i="3"/>
  <c r="K9729" i="3"/>
  <c r="K9728" i="3"/>
  <c r="K9727" i="3"/>
  <c r="K9726" i="3"/>
  <c r="K9725" i="3"/>
  <c r="K9724" i="3"/>
  <c r="K9723" i="3"/>
  <c r="K9722" i="3"/>
  <c r="K9721" i="3"/>
  <c r="K9720" i="3"/>
  <c r="K9719" i="3"/>
  <c r="K9718" i="3"/>
  <c r="K9717" i="3"/>
  <c r="K9716" i="3"/>
  <c r="K9715" i="3"/>
  <c r="K9714" i="3"/>
  <c r="K9713" i="3"/>
  <c r="K9712" i="3"/>
  <c r="K9711" i="3"/>
  <c r="K9710" i="3"/>
  <c r="K9709" i="3"/>
  <c r="K9708" i="3"/>
  <c r="K9707" i="3"/>
  <c r="K9706" i="3"/>
  <c r="K9705" i="3"/>
  <c r="K9704" i="3"/>
  <c r="K9703" i="3"/>
  <c r="K9702" i="3"/>
  <c r="K9701" i="3"/>
  <c r="K9700" i="3"/>
  <c r="K9699" i="3"/>
  <c r="K9698" i="3"/>
  <c r="K9697" i="3"/>
  <c r="K9696" i="3"/>
  <c r="K9695" i="3"/>
  <c r="K9694" i="3"/>
  <c r="K9693" i="3"/>
  <c r="K9692" i="3"/>
  <c r="K9691" i="3"/>
  <c r="K9690" i="3"/>
  <c r="K9689" i="3"/>
  <c r="K9688" i="3"/>
  <c r="K9687" i="3"/>
  <c r="K9686" i="3"/>
  <c r="K9685" i="3"/>
  <c r="K9684" i="3"/>
  <c r="K9683" i="3"/>
  <c r="K9682" i="3"/>
  <c r="K9681" i="3"/>
  <c r="K9680" i="3"/>
  <c r="K9679" i="3"/>
  <c r="K9678" i="3"/>
  <c r="K9677" i="3"/>
  <c r="K9676" i="3"/>
  <c r="K9675" i="3"/>
  <c r="K9674" i="3"/>
  <c r="K9673" i="3"/>
  <c r="K9672" i="3"/>
  <c r="K9671" i="3"/>
  <c r="K9670" i="3"/>
  <c r="K9669" i="3"/>
  <c r="K9668" i="3"/>
  <c r="K9667" i="3"/>
  <c r="K9666" i="3"/>
  <c r="K9665" i="3"/>
  <c r="K9664" i="3"/>
  <c r="K9663" i="3"/>
  <c r="K9662" i="3"/>
  <c r="K9661" i="3"/>
  <c r="K9660" i="3"/>
  <c r="K9659" i="3"/>
  <c r="K9658" i="3"/>
  <c r="K9657" i="3"/>
  <c r="K9656" i="3"/>
  <c r="K9655" i="3"/>
  <c r="K9654" i="3"/>
  <c r="K9653" i="3"/>
  <c r="K9652" i="3"/>
  <c r="K9651" i="3"/>
  <c r="K9650" i="3"/>
  <c r="K9649" i="3"/>
  <c r="K9648" i="3"/>
  <c r="K9647" i="3"/>
  <c r="K9646" i="3"/>
  <c r="K9645" i="3"/>
  <c r="K9644" i="3"/>
  <c r="K9643" i="3"/>
  <c r="K9642" i="3"/>
  <c r="K9641" i="3"/>
  <c r="K9640" i="3"/>
  <c r="K9639" i="3"/>
  <c r="K9638" i="3"/>
  <c r="K9637" i="3"/>
  <c r="K9636" i="3"/>
  <c r="K9635" i="3"/>
  <c r="K9634" i="3"/>
  <c r="K9633" i="3"/>
  <c r="K9632" i="3"/>
  <c r="K9631" i="3"/>
  <c r="K9630" i="3"/>
  <c r="K9629" i="3"/>
  <c r="K9628" i="3"/>
  <c r="K9627" i="3"/>
  <c r="K9626" i="3"/>
  <c r="K9625" i="3"/>
  <c r="K9624" i="3"/>
  <c r="K9623" i="3"/>
  <c r="K9622" i="3"/>
  <c r="K9621" i="3"/>
  <c r="K9620" i="3"/>
  <c r="K9619" i="3"/>
  <c r="K9618" i="3"/>
  <c r="K9617" i="3"/>
  <c r="K9616" i="3"/>
  <c r="K9615" i="3"/>
  <c r="K9614" i="3"/>
  <c r="K9613" i="3"/>
  <c r="K9612" i="3"/>
  <c r="K9611" i="3"/>
  <c r="K9610" i="3"/>
  <c r="K9609" i="3"/>
  <c r="K9608" i="3"/>
  <c r="K9607" i="3"/>
  <c r="K9606" i="3"/>
  <c r="K9605" i="3"/>
  <c r="K9604" i="3"/>
  <c r="K9603" i="3"/>
  <c r="K9602" i="3"/>
  <c r="K9601" i="3"/>
  <c r="K9600" i="3"/>
  <c r="K9599" i="3"/>
  <c r="K9598" i="3"/>
  <c r="K9597" i="3"/>
  <c r="K9596" i="3"/>
  <c r="K9595" i="3"/>
  <c r="K9594" i="3"/>
  <c r="K9593" i="3"/>
  <c r="K9592" i="3"/>
  <c r="K9591" i="3"/>
  <c r="K9590" i="3"/>
  <c r="K9589" i="3"/>
  <c r="K9588" i="3"/>
  <c r="K9587" i="3"/>
  <c r="K9586" i="3"/>
  <c r="K9585" i="3"/>
  <c r="K9584" i="3"/>
  <c r="K9583" i="3"/>
  <c r="K9582" i="3"/>
  <c r="K9581" i="3"/>
  <c r="K9580" i="3"/>
  <c r="K9579" i="3"/>
  <c r="K9578" i="3"/>
  <c r="K9577" i="3"/>
  <c r="K9576" i="3"/>
  <c r="K9575" i="3"/>
  <c r="K9574" i="3"/>
  <c r="K9573" i="3"/>
  <c r="K9572" i="3"/>
  <c r="K9571" i="3"/>
  <c r="K9570" i="3"/>
  <c r="K9569" i="3"/>
  <c r="K9568" i="3"/>
  <c r="K9567" i="3"/>
  <c r="K9566" i="3"/>
  <c r="K9565" i="3"/>
  <c r="K9564" i="3"/>
  <c r="K9563" i="3"/>
  <c r="K9562" i="3"/>
  <c r="K9561" i="3"/>
  <c r="K9560" i="3"/>
  <c r="K9559" i="3"/>
  <c r="K9558" i="3"/>
  <c r="K9557" i="3"/>
  <c r="K9556" i="3"/>
  <c r="K9555" i="3"/>
  <c r="K9554" i="3"/>
  <c r="K9553" i="3"/>
  <c r="K9552" i="3"/>
  <c r="K9551" i="3"/>
  <c r="K9550" i="3"/>
  <c r="K9549" i="3"/>
  <c r="K9548" i="3"/>
  <c r="K9547" i="3"/>
  <c r="K9546" i="3"/>
  <c r="K9545" i="3"/>
  <c r="K9544" i="3"/>
  <c r="K9543" i="3"/>
  <c r="K9542" i="3"/>
  <c r="K9541" i="3"/>
  <c r="K9540" i="3"/>
  <c r="K9539" i="3"/>
  <c r="K9538" i="3"/>
  <c r="K9537" i="3"/>
  <c r="K9536" i="3"/>
  <c r="K9535" i="3"/>
  <c r="K9534" i="3"/>
  <c r="K9533" i="3"/>
  <c r="K9532" i="3"/>
  <c r="K9531" i="3"/>
  <c r="K9530" i="3"/>
  <c r="K9529" i="3"/>
  <c r="K9528" i="3"/>
  <c r="K9527" i="3"/>
  <c r="K9526" i="3"/>
  <c r="K9525" i="3"/>
  <c r="K9524" i="3"/>
  <c r="K9523" i="3"/>
  <c r="K9522" i="3"/>
  <c r="K9521" i="3"/>
  <c r="K9520" i="3"/>
  <c r="K9519" i="3"/>
  <c r="K9518" i="3"/>
  <c r="K9517" i="3"/>
  <c r="K9516" i="3"/>
  <c r="K9515" i="3"/>
  <c r="K9514" i="3"/>
  <c r="K9513" i="3"/>
  <c r="K9512" i="3"/>
  <c r="K9511" i="3"/>
  <c r="K9510" i="3"/>
  <c r="K9509" i="3"/>
  <c r="K9508" i="3"/>
  <c r="K9507" i="3"/>
  <c r="K9506" i="3"/>
  <c r="K9505" i="3"/>
  <c r="K9504" i="3"/>
  <c r="K9503" i="3"/>
  <c r="K9502" i="3"/>
  <c r="K9501" i="3"/>
  <c r="K9500" i="3"/>
  <c r="K9499" i="3"/>
  <c r="K9498" i="3"/>
  <c r="K9497" i="3"/>
  <c r="K9496" i="3"/>
  <c r="K9495" i="3"/>
  <c r="K9494" i="3"/>
  <c r="K9493" i="3"/>
  <c r="K9492" i="3"/>
  <c r="K9491" i="3"/>
  <c r="K9490" i="3"/>
  <c r="K9489" i="3"/>
  <c r="K9488" i="3"/>
  <c r="K9487" i="3"/>
  <c r="K9486" i="3"/>
  <c r="K9485" i="3"/>
  <c r="K9484" i="3"/>
  <c r="K9483" i="3"/>
  <c r="K9482" i="3"/>
  <c r="K9481" i="3"/>
  <c r="K9480" i="3"/>
  <c r="K9479" i="3"/>
  <c r="K9478" i="3"/>
  <c r="K9477" i="3"/>
  <c r="K9476" i="3"/>
  <c r="K9475" i="3"/>
  <c r="K9474" i="3"/>
  <c r="K9473" i="3"/>
  <c r="K9472" i="3"/>
  <c r="K9471" i="3"/>
  <c r="K9470" i="3"/>
  <c r="K9469" i="3"/>
  <c r="K9468" i="3"/>
  <c r="K9467" i="3"/>
  <c r="K9466" i="3"/>
  <c r="K9465" i="3"/>
  <c r="K9464" i="3"/>
  <c r="K9463" i="3"/>
  <c r="K9462" i="3"/>
  <c r="K9461" i="3"/>
  <c r="K9460" i="3"/>
  <c r="K9459" i="3"/>
  <c r="K9458" i="3"/>
  <c r="K9457" i="3"/>
  <c r="K9456" i="3"/>
  <c r="K9455" i="3"/>
  <c r="K9454" i="3"/>
  <c r="K9453" i="3"/>
  <c r="K9452" i="3"/>
  <c r="K9451" i="3"/>
  <c r="K9450" i="3"/>
  <c r="K9449" i="3"/>
  <c r="K9448" i="3"/>
  <c r="K9447" i="3"/>
  <c r="K9446" i="3"/>
  <c r="K9445" i="3"/>
  <c r="K9444" i="3"/>
  <c r="K9443" i="3"/>
  <c r="K9442" i="3"/>
  <c r="K9441" i="3"/>
  <c r="K9440" i="3"/>
  <c r="K9439" i="3"/>
  <c r="K9438" i="3"/>
  <c r="K9437" i="3"/>
  <c r="K9436" i="3"/>
  <c r="K9435" i="3"/>
  <c r="K9434" i="3"/>
  <c r="K9433" i="3"/>
  <c r="K9432" i="3"/>
  <c r="K9431" i="3"/>
  <c r="K9430" i="3"/>
  <c r="K9429" i="3"/>
  <c r="K9428" i="3"/>
  <c r="K9427" i="3"/>
  <c r="K9426" i="3"/>
  <c r="K9425" i="3"/>
  <c r="K9424" i="3"/>
  <c r="K9423" i="3"/>
  <c r="K9422" i="3"/>
  <c r="K9421" i="3"/>
  <c r="K9420" i="3"/>
  <c r="K9419" i="3"/>
  <c r="K9418" i="3"/>
  <c r="K9417" i="3"/>
  <c r="K9416" i="3"/>
  <c r="K9415" i="3"/>
  <c r="K9414" i="3"/>
  <c r="K9413" i="3"/>
  <c r="K9412" i="3"/>
  <c r="K9411" i="3"/>
  <c r="K9410" i="3"/>
  <c r="K9409" i="3"/>
  <c r="K9408" i="3"/>
  <c r="K9407" i="3"/>
  <c r="K9406" i="3"/>
  <c r="K9405" i="3"/>
  <c r="K9404" i="3"/>
  <c r="K9403" i="3"/>
  <c r="K9402" i="3"/>
  <c r="K9401" i="3"/>
  <c r="K9400" i="3"/>
  <c r="K9399" i="3"/>
  <c r="K9398" i="3"/>
  <c r="K9397" i="3"/>
  <c r="K9396" i="3"/>
  <c r="K9395" i="3"/>
  <c r="K9394" i="3"/>
  <c r="K9393" i="3"/>
  <c r="K9392" i="3"/>
  <c r="K9391" i="3"/>
  <c r="K9390" i="3"/>
  <c r="K9389" i="3"/>
  <c r="K9388" i="3"/>
  <c r="K9387" i="3"/>
  <c r="K9386" i="3"/>
  <c r="K9385" i="3"/>
  <c r="K9384" i="3"/>
  <c r="K9383" i="3"/>
  <c r="K9382" i="3"/>
  <c r="K9381" i="3"/>
  <c r="K9380" i="3"/>
  <c r="K9379" i="3"/>
  <c r="K9378" i="3"/>
  <c r="K9377" i="3"/>
  <c r="K9376" i="3"/>
  <c r="K9375" i="3"/>
  <c r="K9374" i="3"/>
  <c r="K9373" i="3"/>
  <c r="K9372" i="3"/>
  <c r="K9371" i="3"/>
  <c r="K9370" i="3"/>
  <c r="K9369" i="3"/>
  <c r="K9368" i="3"/>
  <c r="K9367" i="3"/>
  <c r="K9366" i="3"/>
  <c r="K9365" i="3"/>
  <c r="K9364" i="3"/>
  <c r="K9363" i="3"/>
  <c r="K9362" i="3"/>
  <c r="K9361" i="3"/>
  <c r="K9360" i="3"/>
  <c r="K9359" i="3"/>
  <c r="K9358" i="3"/>
  <c r="K9357" i="3"/>
  <c r="K9356" i="3"/>
  <c r="K9355" i="3"/>
  <c r="K9354" i="3"/>
  <c r="K9353" i="3"/>
  <c r="K9352" i="3"/>
  <c r="K9351" i="3"/>
  <c r="K9350" i="3"/>
  <c r="K9349" i="3"/>
  <c r="K9348" i="3"/>
  <c r="K9347" i="3"/>
  <c r="K9346" i="3"/>
  <c r="K9345" i="3"/>
  <c r="K9344" i="3"/>
  <c r="K9343" i="3"/>
  <c r="K9342" i="3"/>
  <c r="K9341" i="3"/>
  <c r="K9340" i="3"/>
  <c r="K9339" i="3"/>
  <c r="K9338" i="3"/>
  <c r="K9337" i="3"/>
  <c r="K9336" i="3"/>
  <c r="K9335" i="3"/>
  <c r="K9334" i="3"/>
  <c r="K9333" i="3"/>
  <c r="K9332" i="3"/>
  <c r="K9331" i="3"/>
  <c r="K9330" i="3"/>
  <c r="K9329" i="3"/>
  <c r="K9328" i="3"/>
  <c r="K9327" i="3"/>
  <c r="K9326" i="3"/>
  <c r="K9325" i="3"/>
  <c r="K9324" i="3"/>
  <c r="K9323" i="3"/>
  <c r="K9322" i="3"/>
  <c r="K9321" i="3"/>
  <c r="K9320" i="3"/>
  <c r="K9319" i="3"/>
  <c r="K9318" i="3"/>
  <c r="K9317" i="3"/>
  <c r="K9316" i="3"/>
  <c r="K9315" i="3"/>
  <c r="K9314" i="3"/>
  <c r="K9313" i="3"/>
  <c r="K9312" i="3"/>
  <c r="K9311" i="3"/>
  <c r="K9310" i="3"/>
  <c r="K9309" i="3"/>
  <c r="K9308" i="3"/>
  <c r="K9307" i="3"/>
  <c r="K9306" i="3"/>
  <c r="K9305" i="3"/>
  <c r="K9304" i="3"/>
  <c r="K9303" i="3"/>
  <c r="K9302" i="3"/>
  <c r="K9301" i="3"/>
  <c r="K9300" i="3"/>
  <c r="K9299" i="3"/>
  <c r="K9298" i="3"/>
  <c r="K9297" i="3"/>
  <c r="K9296" i="3"/>
  <c r="K9295" i="3"/>
  <c r="K9294" i="3"/>
  <c r="K9293" i="3"/>
  <c r="K9292" i="3"/>
  <c r="K9291" i="3"/>
  <c r="K9290" i="3"/>
  <c r="K9289" i="3"/>
  <c r="K9288" i="3"/>
  <c r="K9287" i="3"/>
  <c r="K9286" i="3"/>
  <c r="K9285" i="3"/>
  <c r="K9284" i="3"/>
  <c r="K9283" i="3"/>
  <c r="K9282" i="3"/>
  <c r="K9281" i="3"/>
  <c r="K9280" i="3"/>
  <c r="K9279" i="3"/>
  <c r="K9278" i="3"/>
  <c r="K9277" i="3"/>
  <c r="K9276" i="3"/>
  <c r="K9275" i="3"/>
  <c r="K9274" i="3"/>
  <c r="K9273" i="3"/>
  <c r="K9272" i="3"/>
  <c r="K9271" i="3"/>
  <c r="K9270" i="3"/>
  <c r="K9269" i="3"/>
  <c r="K9268" i="3"/>
  <c r="K9267" i="3"/>
  <c r="K9266" i="3"/>
  <c r="K9265" i="3"/>
  <c r="K9264" i="3"/>
  <c r="K9263" i="3"/>
  <c r="K9262" i="3"/>
  <c r="K9261" i="3"/>
  <c r="K9260" i="3"/>
  <c r="K9259" i="3"/>
  <c r="K9258" i="3"/>
  <c r="K9257" i="3"/>
  <c r="K9256" i="3"/>
  <c r="K9255" i="3"/>
  <c r="K9254" i="3"/>
  <c r="K9253" i="3"/>
  <c r="K9252" i="3"/>
  <c r="K9251" i="3"/>
  <c r="K9250" i="3"/>
  <c r="K9249" i="3"/>
  <c r="K9248" i="3"/>
  <c r="K9247" i="3"/>
  <c r="K9246" i="3"/>
  <c r="K9245" i="3"/>
  <c r="K9244" i="3"/>
  <c r="K9243" i="3"/>
  <c r="K9242" i="3"/>
  <c r="K9241" i="3"/>
  <c r="K9240" i="3"/>
  <c r="K9239" i="3"/>
  <c r="K9238" i="3"/>
  <c r="K9237" i="3"/>
  <c r="K9236" i="3"/>
  <c r="K9235" i="3"/>
  <c r="K9234" i="3"/>
  <c r="K9233" i="3"/>
  <c r="K9232" i="3"/>
  <c r="K9231" i="3"/>
  <c r="K9230" i="3"/>
  <c r="K9229" i="3"/>
  <c r="K9228" i="3"/>
  <c r="K9227" i="3"/>
  <c r="K9226" i="3"/>
  <c r="K9225" i="3"/>
  <c r="K9224" i="3"/>
  <c r="K9223" i="3"/>
  <c r="K9222" i="3"/>
  <c r="K9221" i="3"/>
  <c r="K9220" i="3"/>
  <c r="K9219" i="3"/>
  <c r="K9218" i="3"/>
  <c r="K9217" i="3"/>
  <c r="K9216" i="3"/>
  <c r="K9215" i="3"/>
  <c r="K9214" i="3"/>
  <c r="K9213" i="3"/>
  <c r="K9212" i="3"/>
  <c r="K9211" i="3"/>
  <c r="K9210" i="3"/>
  <c r="K9209" i="3"/>
  <c r="K9208" i="3"/>
  <c r="K9207" i="3"/>
  <c r="K9206" i="3"/>
  <c r="K9205" i="3"/>
  <c r="K9204" i="3"/>
  <c r="K9203" i="3"/>
  <c r="K9202" i="3"/>
  <c r="K9201" i="3"/>
  <c r="K9200" i="3"/>
  <c r="K9199" i="3"/>
  <c r="K9198" i="3"/>
  <c r="K9197" i="3"/>
  <c r="K9196" i="3"/>
  <c r="K9195" i="3"/>
  <c r="K9194" i="3"/>
  <c r="K9193" i="3"/>
  <c r="K9192" i="3"/>
  <c r="K9191" i="3"/>
  <c r="K9190" i="3"/>
  <c r="K9189" i="3"/>
  <c r="K9188" i="3"/>
  <c r="K9187" i="3"/>
  <c r="K9186" i="3"/>
  <c r="K9185" i="3"/>
  <c r="K9184" i="3"/>
  <c r="K9183" i="3"/>
  <c r="K9182" i="3"/>
  <c r="K9181" i="3"/>
  <c r="K9180" i="3"/>
  <c r="K9179" i="3"/>
  <c r="K9178" i="3"/>
  <c r="K9177" i="3"/>
  <c r="K9176" i="3"/>
  <c r="K9175" i="3"/>
  <c r="K9174" i="3"/>
  <c r="K9173" i="3"/>
  <c r="K9172" i="3"/>
  <c r="K9171" i="3"/>
  <c r="K9170" i="3"/>
  <c r="K9169" i="3"/>
  <c r="K9168" i="3"/>
  <c r="K9167" i="3"/>
  <c r="K9166" i="3"/>
  <c r="K9165" i="3"/>
  <c r="K9164" i="3"/>
  <c r="K9163" i="3"/>
  <c r="K9162" i="3"/>
  <c r="K9161" i="3"/>
  <c r="K9160" i="3"/>
  <c r="K9159" i="3"/>
  <c r="K9158" i="3"/>
  <c r="K9157" i="3"/>
  <c r="K9156" i="3"/>
  <c r="K9155" i="3"/>
  <c r="K9154" i="3"/>
  <c r="K9153" i="3"/>
  <c r="K9152" i="3"/>
  <c r="K9151" i="3"/>
  <c r="K9150" i="3"/>
  <c r="K9149" i="3"/>
  <c r="K9148" i="3"/>
  <c r="K9147" i="3"/>
  <c r="K9146" i="3"/>
  <c r="K9145" i="3"/>
  <c r="K9144" i="3"/>
  <c r="K9143" i="3"/>
  <c r="K9142" i="3"/>
  <c r="K9141" i="3"/>
  <c r="K9140" i="3"/>
  <c r="K9139" i="3"/>
  <c r="K9138" i="3"/>
  <c r="K9137" i="3"/>
  <c r="K9136" i="3"/>
  <c r="K9135" i="3"/>
  <c r="K9134" i="3"/>
  <c r="K9133" i="3"/>
  <c r="K9132" i="3"/>
  <c r="K9131" i="3"/>
  <c r="K9130" i="3"/>
  <c r="K9129" i="3"/>
  <c r="K9128" i="3"/>
  <c r="K9127" i="3"/>
  <c r="K9126" i="3"/>
  <c r="K9125" i="3"/>
  <c r="K9124" i="3"/>
  <c r="K9123" i="3"/>
  <c r="K9122" i="3"/>
  <c r="K9121" i="3"/>
  <c r="K9120" i="3"/>
  <c r="K9119" i="3"/>
  <c r="K9118" i="3"/>
  <c r="K9117" i="3"/>
  <c r="K9116" i="3"/>
  <c r="K9115" i="3"/>
  <c r="K9114" i="3"/>
  <c r="K9113" i="3"/>
  <c r="K9112" i="3"/>
  <c r="K9111" i="3"/>
  <c r="K9110" i="3"/>
  <c r="K9109" i="3"/>
  <c r="K9108" i="3"/>
  <c r="K9107" i="3"/>
  <c r="K9106" i="3"/>
  <c r="K9105" i="3"/>
  <c r="K9104" i="3"/>
  <c r="K9103" i="3"/>
  <c r="K9102" i="3"/>
  <c r="K9101" i="3"/>
  <c r="K9100" i="3"/>
  <c r="K9099" i="3"/>
  <c r="K9098" i="3"/>
  <c r="K9097" i="3"/>
  <c r="K9096" i="3"/>
  <c r="K9095" i="3"/>
  <c r="K9094" i="3"/>
  <c r="K9093" i="3"/>
  <c r="K9092" i="3"/>
  <c r="K9091" i="3"/>
  <c r="K9090" i="3"/>
  <c r="K9089" i="3"/>
  <c r="K9088" i="3"/>
  <c r="K9087" i="3"/>
  <c r="K9086" i="3"/>
  <c r="K9085" i="3"/>
  <c r="K9084" i="3"/>
  <c r="K9083" i="3"/>
  <c r="K9082" i="3"/>
  <c r="K9081" i="3"/>
  <c r="K9080" i="3"/>
  <c r="K9079" i="3"/>
  <c r="K9078" i="3"/>
  <c r="K9077" i="3"/>
  <c r="K9076" i="3"/>
  <c r="K9075" i="3"/>
  <c r="K9074" i="3"/>
  <c r="K9073" i="3"/>
  <c r="K9072" i="3"/>
  <c r="K9071" i="3"/>
  <c r="K9070" i="3"/>
  <c r="K9069" i="3"/>
  <c r="K9068" i="3"/>
  <c r="K9067" i="3"/>
  <c r="K9066" i="3"/>
  <c r="K9065" i="3"/>
  <c r="K9064" i="3"/>
  <c r="K9063" i="3"/>
  <c r="K9062" i="3"/>
  <c r="K9061" i="3"/>
  <c r="K9060" i="3"/>
  <c r="K9059" i="3"/>
  <c r="K9058" i="3"/>
  <c r="K9057" i="3"/>
  <c r="K9056" i="3"/>
  <c r="K9055" i="3"/>
  <c r="K9054" i="3"/>
  <c r="K9053" i="3"/>
  <c r="K9052" i="3"/>
  <c r="K9051" i="3"/>
  <c r="K9050" i="3"/>
  <c r="K9049" i="3"/>
  <c r="K9048" i="3"/>
  <c r="K9047" i="3"/>
  <c r="K9046" i="3"/>
  <c r="K9045" i="3"/>
  <c r="K9044" i="3"/>
  <c r="K9043" i="3"/>
  <c r="K9042" i="3"/>
  <c r="K9041" i="3"/>
  <c r="K9040" i="3"/>
  <c r="K9039" i="3"/>
  <c r="K9038" i="3"/>
  <c r="K9037" i="3"/>
  <c r="K9036" i="3"/>
  <c r="K9035" i="3"/>
  <c r="K9034" i="3"/>
  <c r="K9033" i="3"/>
  <c r="K9032" i="3"/>
  <c r="K9031" i="3"/>
  <c r="K9030" i="3"/>
  <c r="K9029" i="3"/>
  <c r="K9028" i="3"/>
  <c r="K9027" i="3"/>
  <c r="K9026" i="3"/>
  <c r="K9025" i="3"/>
  <c r="K9024" i="3"/>
  <c r="K9023" i="3"/>
  <c r="K9022" i="3"/>
  <c r="K9021" i="3"/>
  <c r="K9020" i="3"/>
  <c r="K9019" i="3"/>
  <c r="K9018" i="3"/>
  <c r="K9017" i="3"/>
  <c r="K9016" i="3"/>
  <c r="K9015" i="3"/>
  <c r="K9014" i="3"/>
  <c r="K9013" i="3"/>
  <c r="K9012" i="3"/>
  <c r="K9011" i="3"/>
  <c r="K9010" i="3"/>
  <c r="K9009" i="3"/>
  <c r="K9008" i="3"/>
  <c r="K9007" i="3"/>
  <c r="K9006" i="3"/>
  <c r="K9005" i="3"/>
  <c r="K9004" i="3"/>
  <c r="K9003" i="3"/>
  <c r="K9002" i="3"/>
  <c r="K9001" i="3"/>
  <c r="K9000" i="3"/>
  <c r="K8999" i="3"/>
  <c r="K8998" i="3"/>
  <c r="K8997" i="3"/>
  <c r="K8996" i="3"/>
  <c r="K8995" i="3"/>
  <c r="K8994" i="3"/>
  <c r="K8993" i="3"/>
  <c r="K8992" i="3"/>
  <c r="K8991" i="3"/>
  <c r="K8990" i="3"/>
  <c r="K8989" i="3"/>
  <c r="K8988" i="3"/>
  <c r="K8987" i="3"/>
  <c r="K8986" i="3"/>
  <c r="K8985" i="3"/>
  <c r="K8984" i="3"/>
  <c r="K8983" i="3"/>
  <c r="K8982" i="3"/>
  <c r="K8981" i="3"/>
  <c r="K8980" i="3"/>
  <c r="K8979" i="3"/>
  <c r="K8978" i="3"/>
  <c r="K8977" i="3"/>
  <c r="K8976" i="3"/>
  <c r="K8975" i="3"/>
  <c r="K8974" i="3"/>
  <c r="K8973" i="3"/>
  <c r="K8972" i="3"/>
  <c r="K8971" i="3"/>
  <c r="K8970" i="3"/>
  <c r="K8969" i="3"/>
  <c r="K8968" i="3"/>
  <c r="K8967" i="3"/>
  <c r="K8966" i="3"/>
  <c r="K8965" i="3"/>
  <c r="K8964" i="3"/>
  <c r="K8963" i="3"/>
  <c r="K8962" i="3"/>
  <c r="K8961" i="3"/>
  <c r="K8960" i="3"/>
  <c r="K8959" i="3"/>
  <c r="K8958" i="3"/>
  <c r="K8957" i="3"/>
  <c r="K8956" i="3"/>
  <c r="K8955" i="3"/>
  <c r="K8954" i="3"/>
  <c r="K8953" i="3"/>
  <c r="K8952" i="3"/>
  <c r="K8951" i="3"/>
  <c r="K8950" i="3"/>
  <c r="K8949" i="3"/>
  <c r="K8948" i="3"/>
  <c r="K8947" i="3"/>
  <c r="K8946" i="3"/>
  <c r="K8945" i="3"/>
  <c r="K8944" i="3"/>
  <c r="K8943" i="3"/>
  <c r="K8942" i="3"/>
  <c r="K8941" i="3"/>
  <c r="K8940" i="3"/>
  <c r="K8939" i="3"/>
  <c r="K8938" i="3"/>
  <c r="K8937" i="3"/>
  <c r="K8936" i="3"/>
  <c r="K8935" i="3"/>
  <c r="K8934" i="3"/>
  <c r="K8933" i="3"/>
  <c r="K8932" i="3"/>
  <c r="K8931" i="3"/>
  <c r="K8930" i="3"/>
  <c r="K8929" i="3"/>
  <c r="K8928" i="3"/>
  <c r="K8927" i="3"/>
  <c r="K8926" i="3"/>
  <c r="K8925" i="3"/>
  <c r="K8924" i="3"/>
  <c r="K8923" i="3"/>
  <c r="K8922" i="3"/>
  <c r="K8921" i="3"/>
  <c r="K8920" i="3"/>
  <c r="K8919" i="3"/>
  <c r="K8918" i="3"/>
  <c r="K8917" i="3"/>
  <c r="K8916" i="3"/>
  <c r="K8915" i="3"/>
  <c r="K8914" i="3"/>
  <c r="K8913" i="3"/>
  <c r="K8912" i="3"/>
  <c r="K8911" i="3"/>
  <c r="K8910" i="3"/>
  <c r="K8909" i="3"/>
  <c r="K8908" i="3"/>
  <c r="K8907" i="3"/>
  <c r="K8906" i="3"/>
  <c r="K8905" i="3"/>
  <c r="K8904" i="3"/>
  <c r="K8903" i="3"/>
  <c r="K8902" i="3"/>
  <c r="K8901" i="3"/>
  <c r="K8900" i="3"/>
  <c r="K8899" i="3"/>
  <c r="K8898" i="3"/>
  <c r="K8897" i="3"/>
  <c r="K8896" i="3"/>
  <c r="K8895" i="3"/>
  <c r="K8894" i="3"/>
  <c r="K8893" i="3"/>
  <c r="K8892" i="3"/>
  <c r="K8891" i="3"/>
  <c r="K8890" i="3"/>
  <c r="K8889" i="3"/>
  <c r="K8888" i="3"/>
  <c r="K8887" i="3"/>
  <c r="K8886" i="3"/>
  <c r="K8885" i="3"/>
  <c r="K8884" i="3"/>
  <c r="K8883" i="3"/>
  <c r="K8882" i="3"/>
  <c r="K8881" i="3"/>
  <c r="K8880" i="3"/>
  <c r="K8879" i="3"/>
  <c r="K8878" i="3"/>
  <c r="K8877" i="3"/>
  <c r="K8876" i="3"/>
  <c r="K8875" i="3"/>
  <c r="K8874" i="3"/>
  <c r="K8873" i="3"/>
  <c r="K8872" i="3"/>
  <c r="K8871" i="3"/>
  <c r="K8870" i="3"/>
  <c r="K8869" i="3"/>
  <c r="K8868" i="3"/>
  <c r="K8867" i="3"/>
  <c r="K8866" i="3"/>
  <c r="K8865" i="3"/>
  <c r="K8864" i="3"/>
  <c r="K8863" i="3"/>
  <c r="K8862" i="3"/>
  <c r="K8861" i="3"/>
  <c r="K8860" i="3"/>
  <c r="K8859" i="3"/>
  <c r="K8858" i="3"/>
  <c r="K8857" i="3"/>
  <c r="K8856" i="3"/>
  <c r="K8855" i="3"/>
  <c r="K8854" i="3"/>
  <c r="K8853" i="3"/>
  <c r="K8852" i="3"/>
  <c r="K8851" i="3"/>
  <c r="K8850" i="3"/>
  <c r="K8849" i="3"/>
  <c r="K8848" i="3"/>
  <c r="K8847" i="3"/>
  <c r="K8846" i="3"/>
  <c r="K8845" i="3"/>
  <c r="K8844" i="3"/>
  <c r="K8843" i="3"/>
  <c r="K8842" i="3"/>
  <c r="K8841" i="3"/>
  <c r="K8840" i="3"/>
  <c r="K8839" i="3"/>
  <c r="K8838" i="3"/>
  <c r="K8837" i="3"/>
  <c r="K8836" i="3"/>
  <c r="K8835" i="3"/>
  <c r="K8834" i="3"/>
  <c r="K8833" i="3"/>
  <c r="K8832" i="3"/>
  <c r="K8831" i="3"/>
  <c r="K8830" i="3"/>
  <c r="K8829" i="3"/>
  <c r="K8828" i="3"/>
  <c r="K8827" i="3"/>
  <c r="K8826" i="3"/>
  <c r="K8825" i="3"/>
  <c r="K8824" i="3"/>
  <c r="K8823" i="3"/>
  <c r="K8822" i="3"/>
  <c r="K8821" i="3"/>
  <c r="K8820" i="3"/>
  <c r="K8819" i="3"/>
  <c r="K8818" i="3"/>
  <c r="K8817" i="3"/>
  <c r="K8816" i="3"/>
  <c r="K8815" i="3"/>
  <c r="K8814" i="3"/>
  <c r="K8813" i="3"/>
  <c r="K8812" i="3"/>
  <c r="K8811" i="3"/>
  <c r="K8810" i="3"/>
  <c r="K8809" i="3"/>
  <c r="K8808" i="3"/>
  <c r="K8807" i="3"/>
  <c r="K8806" i="3"/>
  <c r="K8805" i="3"/>
  <c r="K8804" i="3"/>
  <c r="K8803" i="3"/>
  <c r="K8802" i="3"/>
  <c r="K8801" i="3"/>
  <c r="K8800" i="3"/>
  <c r="K8799" i="3"/>
  <c r="K8798" i="3"/>
  <c r="K8797" i="3"/>
  <c r="K8796" i="3"/>
  <c r="K8795" i="3"/>
  <c r="K8794" i="3"/>
  <c r="K8793" i="3"/>
  <c r="K8792" i="3"/>
  <c r="K8791" i="3"/>
  <c r="K8790" i="3"/>
  <c r="K8789" i="3"/>
  <c r="K8788" i="3"/>
  <c r="K8787" i="3"/>
  <c r="K8786" i="3"/>
  <c r="K8785" i="3"/>
  <c r="K8784" i="3"/>
  <c r="K8783" i="3"/>
  <c r="K8782" i="3"/>
  <c r="K8781" i="3"/>
  <c r="K8780" i="3"/>
  <c r="K8779" i="3"/>
  <c r="K8778" i="3"/>
  <c r="K8777" i="3"/>
  <c r="K8776" i="3"/>
  <c r="K8775" i="3"/>
  <c r="K8774" i="3"/>
  <c r="K8773" i="3"/>
  <c r="K8772" i="3"/>
  <c r="K8771" i="3"/>
  <c r="K8770" i="3"/>
  <c r="K8769" i="3"/>
  <c r="K8768" i="3"/>
  <c r="K8767" i="3"/>
  <c r="K8766" i="3"/>
  <c r="K8765" i="3"/>
  <c r="K8764" i="3"/>
  <c r="K8763" i="3"/>
  <c r="K8762" i="3"/>
  <c r="K8761" i="3"/>
  <c r="K8760" i="3"/>
  <c r="K8759" i="3"/>
  <c r="K8758" i="3"/>
  <c r="K8757" i="3"/>
  <c r="K8756" i="3"/>
  <c r="K8755" i="3"/>
  <c r="K8754" i="3"/>
  <c r="K8753" i="3"/>
  <c r="K8752" i="3"/>
  <c r="K8751" i="3"/>
  <c r="K8750" i="3"/>
  <c r="K8749" i="3"/>
  <c r="K8748" i="3"/>
  <c r="K8747" i="3"/>
  <c r="K8746" i="3"/>
  <c r="K8745" i="3"/>
  <c r="K8744" i="3"/>
  <c r="K8743" i="3"/>
  <c r="K8742" i="3"/>
  <c r="K8741" i="3"/>
  <c r="K8740" i="3"/>
  <c r="K8739" i="3"/>
  <c r="K8738" i="3"/>
  <c r="K8737" i="3"/>
  <c r="K8736" i="3"/>
  <c r="K8735" i="3"/>
  <c r="K8734" i="3"/>
  <c r="K8733" i="3"/>
  <c r="K8732" i="3"/>
  <c r="K8731" i="3"/>
  <c r="K8730" i="3"/>
  <c r="K8729" i="3"/>
  <c r="K8728" i="3"/>
  <c r="K8727" i="3"/>
  <c r="K8726" i="3"/>
  <c r="K8725" i="3"/>
  <c r="K8724" i="3"/>
  <c r="K8723" i="3"/>
  <c r="K8722" i="3"/>
  <c r="K8721" i="3"/>
  <c r="K8720" i="3"/>
  <c r="K8719" i="3"/>
  <c r="K8718" i="3"/>
  <c r="K8717" i="3"/>
  <c r="K8716" i="3"/>
  <c r="K8715" i="3"/>
  <c r="K8714" i="3"/>
  <c r="K8713" i="3"/>
  <c r="K8712" i="3"/>
  <c r="K8711" i="3"/>
  <c r="K8710" i="3"/>
  <c r="K8709" i="3"/>
  <c r="K8708" i="3"/>
  <c r="K8707" i="3"/>
  <c r="K8706" i="3"/>
  <c r="K8705" i="3"/>
  <c r="K8704" i="3"/>
  <c r="K8703" i="3"/>
  <c r="K8702" i="3"/>
  <c r="K8701" i="3"/>
  <c r="K8700" i="3"/>
  <c r="K8699" i="3"/>
  <c r="K8698" i="3"/>
  <c r="K8697" i="3"/>
  <c r="K8696" i="3"/>
  <c r="K8695" i="3"/>
  <c r="K8694" i="3"/>
  <c r="K8693" i="3"/>
  <c r="K8692" i="3"/>
  <c r="K8691" i="3"/>
  <c r="K8690" i="3"/>
  <c r="K8689" i="3"/>
  <c r="K8688" i="3"/>
  <c r="K8687" i="3"/>
  <c r="K8686" i="3"/>
  <c r="K8685" i="3"/>
  <c r="K8684" i="3"/>
  <c r="K8683" i="3"/>
  <c r="K8682" i="3"/>
  <c r="K8681" i="3"/>
  <c r="K8680" i="3"/>
  <c r="K8679" i="3"/>
  <c r="K8678" i="3"/>
  <c r="K8677" i="3"/>
  <c r="K8676" i="3"/>
  <c r="K8675" i="3"/>
  <c r="K8674" i="3"/>
  <c r="K8673" i="3"/>
  <c r="K8672" i="3"/>
  <c r="K8671" i="3"/>
  <c r="K8670" i="3"/>
  <c r="K8669" i="3"/>
  <c r="K8668" i="3"/>
  <c r="K8667" i="3"/>
  <c r="K8666" i="3"/>
  <c r="K8665" i="3"/>
  <c r="K8664" i="3"/>
  <c r="K8663" i="3"/>
  <c r="K8662" i="3"/>
  <c r="K8661" i="3"/>
  <c r="K8660" i="3"/>
  <c r="K8659" i="3"/>
  <c r="K8658" i="3"/>
  <c r="K8657" i="3"/>
  <c r="K8656" i="3"/>
  <c r="K8655" i="3"/>
  <c r="K8654" i="3"/>
  <c r="K8653" i="3"/>
  <c r="K8652" i="3"/>
  <c r="K8651" i="3"/>
  <c r="K8650" i="3"/>
  <c r="K8649" i="3"/>
  <c r="K8648" i="3"/>
  <c r="K8647" i="3"/>
  <c r="K8646" i="3"/>
  <c r="K8645" i="3"/>
  <c r="K8644" i="3"/>
  <c r="K8643" i="3"/>
  <c r="K8642" i="3"/>
  <c r="K8641" i="3"/>
  <c r="K8640" i="3"/>
  <c r="K8639" i="3"/>
  <c r="K8638" i="3"/>
  <c r="K8637" i="3"/>
  <c r="K8636" i="3"/>
  <c r="K8635" i="3"/>
  <c r="K8634" i="3"/>
  <c r="K8633" i="3"/>
  <c r="K8632" i="3"/>
  <c r="K8631" i="3"/>
  <c r="K8630" i="3"/>
  <c r="K8629" i="3"/>
  <c r="K8628" i="3"/>
  <c r="K8627" i="3"/>
  <c r="K8626" i="3"/>
  <c r="K8625" i="3"/>
  <c r="K8624" i="3"/>
  <c r="K8623" i="3"/>
  <c r="K8622" i="3"/>
  <c r="K8621" i="3"/>
  <c r="K8620" i="3"/>
  <c r="K8619" i="3"/>
  <c r="K8618" i="3"/>
  <c r="K8617" i="3"/>
  <c r="K8616" i="3"/>
  <c r="K8615" i="3"/>
  <c r="K8614" i="3"/>
  <c r="K8613" i="3"/>
  <c r="K8612" i="3"/>
  <c r="K8611" i="3"/>
  <c r="K8610" i="3"/>
  <c r="K8609" i="3"/>
  <c r="K8608" i="3"/>
  <c r="K8607" i="3"/>
  <c r="K8606" i="3"/>
  <c r="K8605" i="3"/>
  <c r="K8604" i="3"/>
  <c r="K8603" i="3"/>
  <c r="K8602" i="3"/>
  <c r="K8601" i="3"/>
  <c r="K8600" i="3"/>
  <c r="K8599" i="3"/>
  <c r="K8598" i="3"/>
  <c r="K8597" i="3"/>
  <c r="K8596" i="3"/>
  <c r="K8595" i="3"/>
  <c r="K8594" i="3"/>
  <c r="K8593" i="3"/>
  <c r="K8592" i="3"/>
  <c r="K8591" i="3"/>
  <c r="K8590" i="3"/>
  <c r="K8589" i="3"/>
  <c r="K8588" i="3"/>
  <c r="K8587" i="3"/>
  <c r="K8586" i="3"/>
  <c r="K8585" i="3"/>
  <c r="K8584" i="3"/>
  <c r="K8583" i="3"/>
  <c r="K8582" i="3"/>
  <c r="K8581" i="3"/>
  <c r="K8580" i="3"/>
  <c r="K8579" i="3"/>
  <c r="K8578" i="3"/>
  <c r="K8577" i="3"/>
  <c r="K8576" i="3"/>
  <c r="K8575" i="3"/>
  <c r="K8574" i="3"/>
  <c r="K8573" i="3"/>
  <c r="K8572" i="3"/>
  <c r="K8571" i="3"/>
  <c r="K8570" i="3"/>
  <c r="K8569" i="3"/>
  <c r="K8568" i="3"/>
  <c r="K8567" i="3"/>
  <c r="K8566" i="3"/>
  <c r="K8565" i="3"/>
  <c r="K8564" i="3"/>
  <c r="K8563" i="3"/>
  <c r="K8562" i="3"/>
  <c r="K8561" i="3"/>
  <c r="K8560" i="3"/>
  <c r="K8559" i="3"/>
  <c r="K8558" i="3"/>
  <c r="K8557" i="3"/>
  <c r="K8556" i="3"/>
  <c r="K8555" i="3"/>
  <c r="K8554" i="3"/>
  <c r="K8553" i="3"/>
  <c r="K8552" i="3"/>
  <c r="K8551" i="3"/>
  <c r="K8550" i="3"/>
  <c r="K8549" i="3"/>
  <c r="K8548" i="3"/>
  <c r="K8547" i="3"/>
  <c r="K8546" i="3"/>
  <c r="K8545" i="3"/>
  <c r="K8544" i="3"/>
  <c r="K8543" i="3"/>
  <c r="K8542" i="3"/>
  <c r="K8541" i="3"/>
  <c r="K8540" i="3"/>
  <c r="K8539" i="3"/>
  <c r="K8538" i="3"/>
  <c r="K8537" i="3"/>
  <c r="K8536" i="3"/>
  <c r="K8535" i="3"/>
  <c r="K8534" i="3"/>
  <c r="K8533" i="3"/>
  <c r="K8532" i="3"/>
  <c r="K8531" i="3"/>
  <c r="K8530" i="3"/>
  <c r="K8529" i="3"/>
  <c r="K8528" i="3"/>
  <c r="K8527" i="3"/>
  <c r="K8526" i="3"/>
  <c r="K8525" i="3"/>
  <c r="K8524" i="3"/>
  <c r="K8523" i="3"/>
  <c r="K8522" i="3"/>
  <c r="K8521" i="3"/>
  <c r="K8520" i="3"/>
  <c r="K8519" i="3"/>
  <c r="K8518" i="3"/>
  <c r="K8517" i="3"/>
  <c r="K8516" i="3"/>
  <c r="K8515" i="3"/>
  <c r="K8514" i="3"/>
  <c r="K8513" i="3"/>
  <c r="K8512" i="3"/>
  <c r="K8511" i="3"/>
  <c r="K8510" i="3"/>
  <c r="K8509" i="3"/>
  <c r="K8508" i="3"/>
  <c r="K8507" i="3"/>
  <c r="K8506" i="3"/>
  <c r="K8505" i="3"/>
  <c r="K8504" i="3"/>
  <c r="K8503" i="3"/>
  <c r="K8502" i="3"/>
  <c r="K8501" i="3"/>
  <c r="K8500" i="3"/>
  <c r="K8499" i="3"/>
  <c r="K8498" i="3"/>
  <c r="K8497" i="3"/>
  <c r="K8496" i="3"/>
  <c r="K8495" i="3"/>
  <c r="K8494" i="3"/>
  <c r="K8493" i="3"/>
  <c r="K8492" i="3"/>
  <c r="K8491" i="3"/>
  <c r="K8490" i="3"/>
  <c r="K8489" i="3"/>
  <c r="K8488" i="3"/>
  <c r="K8487" i="3"/>
  <c r="K8486" i="3"/>
  <c r="K8485" i="3"/>
  <c r="K8484" i="3"/>
  <c r="K8483" i="3"/>
  <c r="K8482" i="3"/>
  <c r="K8481" i="3"/>
  <c r="K8480" i="3"/>
  <c r="K8479" i="3"/>
  <c r="K8478" i="3"/>
  <c r="K8477" i="3"/>
  <c r="K8476" i="3"/>
  <c r="K8475" i="3"/>
  <c r="K8474" i="3"/>
  <c r="K8473" i="3"/>
  <c r="K8472" i="3"/>
  <c r="K8471" i="3"/>
  <c r="K8470" i="3"/>
  <c r="K8469" i="3"/>
  <c r="K8468" i="3"/>
  <c r="K8467" i="3"/>
  <c r="K8466" i="3"/>
  <c r="K8465" i="3"/>
  <c r="K8464" i="3"/>
  <c r="K8463" i="3"/>
  <c r="K8462" i="3"/>
  <c r="K8461" i="3"/>
  <c r="K8460" i="3"/>
  <c r="K8459" i="3"/>
  <c r="K8458" i="3"/>
  <c r="K8457" i="3"/>
  <c r="K8456" i="3"/>
  <c r="K8455" i="3"/>
  <c r="K8454" i="3"/>
  <c r="K8453" i="3"/>
  <c r="K8452" i="3"/>
  <c r="K8451" i="3"/>
  <c r="K8450" i="3"/>
  <c r="K8449" i="3"/>
  <c r="K8448" i="3"/>
  <c r="K8447" i="3"/>
  <c r="K8446" i="3"/>
  <c r="K8445" i="3"/>
  <c r="K8444" i="3"/>
  <c r="K8443" i="3"/>
  <c r="K8442" i="3"/>
  <c r="K8441" i="3"/>
  <c r="K8440" i="3"/>
  <c r="K8439" i="3"/>
  <c r="K8438" i="3"/>
  <c r="K8437" i="3"/>
  <c r="K8436" i="3"/>
  <c r="K8435" i="3"/>
  <c r="K8434" i="3"/>
  <c r="K8433" i="3"/>
  <c r="K8432" i="3"/>
  <c r="K8431" i="3"/>
  <c r="K8430" i="3"/>
  <c r="K8429" i="3"/>
  <c r="K8428" i="3"/>
  <c r="K8427" i="3"/>
  <c r="K8426" i="3"/>
  <c r="K8425" i="3"/>
  <c r="K8424" i="3"/>
  <c r="K8423" i="3"/>
  <c r="K8422" i="3"/>
  <c r="K8421" i="3"/>
  <c r="K8420" i="3"/>
  <c r="K8419" i="3"/>
  <c r="K8418" i="3"/>
  <c r="K8417" i="3"/>
  <c r="K8416" i="3"/>
  <c r="K8415" i="3"/>
  <c r="K8414" i="3"/>
  <c r="K8413" i="3"/>
  <c r="K8412" i="3"/>
  <c r="K8411" i="3"/>
  <c r="K8410" i="3"/>
  <c r="K8409" i="3"/>
  <c r="K8408" i="3"/>
  <c r="K8407" i="3"/>
  <c r="K8406" i="3"/>
  <c r="K8405" i="3"/>
  <c r="K8404" i="3"/>
  <c r="K8403" i="3"/>
  <c r="K8402" i="3"/>
  <c r="K8401" i="3"/>
  <c r="K8400" i="3"/>
  <c r="K8399" i="3"/>
  <c r="K8398" i="3"/>
  <c r="K8397" i="3"/>
  <c r="K8396" i="3"/>
  <c r="K8395" i="3"/>
  <c r="K8394" i="3"/>
  <c r="K8393" i="3"/>
  <c r="K8392" i="3"/>
  <c r="K8391" i="3"/>
  <c r="K8390" i="3"/>
  <c r="K8389" i="3"/>
  <c r="K8388" i="3"/>
  <c r="K8387" i="3"/>
  <c r="K8386" i="3"/>
  <c r="K8385" i="3"/>
  <c r="K8384" i="3"/>
  <c r="K8383" i="3"/>
  <c r="K8382" i="3"/>
  <c r="K8381" i="3"/>
  <c r="K8380" i="3"/>
  <c r="K8379" i="3"/>
  <c r="K8378" i="3"/>
  <c r="K8377" i="3"/>
  <c r="K8376" i="3"/>
  <c r="K8375" i="3"/>
  <c r="K8374" i="3"/>
  <c r="K8373" i="3"/>
  <c r="K8372" i="3"/>
  <c r="K8371" i="3"/>
  <c r="K8370" i="3"/>
  <c r="K8369" i="3"/>
  <c r="K8368" i="3"/>
  <c r="K8367" i="3"/>
  <c r="K8366" i="3"/>
  <c r="K8365" i="3"/>
  <c r="K8364" i="3"/>
  <c r="K8363" i="3"/>
  <c r="K8362" i="3"/>
  <c r="K8361" i="3"/>
  <c r="K8360" i="3"/>
  <c r="K8359" i="3"/>
  <c r="K8358" i="3"/>
  <c r="K8357" i="3"/>
  <c r="K8356" i="3"/>
  <c r="K8355" i="3"/>
  <c r="K8354" i="3"/>
  <c r="K8353" i="3"/>
  <c r="K8352" i="3"/>
  <c r="K8351" i="3"/>
  <c r="K8350" i="3"/>
  <c r="K8349" i="3"/>
  <c r="K8348" i="3"/>
  <c r="K8347" i="3"/>
  <c r="K8346" i="3"/>
  <c r="K8345" i="3"/>
  <c r="K8344" i="3"/>
  <c r="K8343" i="3"/>
  <c r="K8342" i="3"/>
  <c r="K8341" i="3"/>
  <c r="K8340" i="3"/>
  <c r="K8339" i="3"/>
  <c r="K8338" i="3"/>
  <c r="K8337" i="3"/>
  <c r="K8336" i="3"/>
  <c r="K8335" i="3"/>
  <c r="K8334" i="3"/>
  <c r="K8333" i="3"/>
  <c r="K8332" i="3"/>
  <c r="K8331" i="3"/>
  <c r="K8330" i="3"/>
  <c r="K8329" i="3"/>
  <c r="K8328" i="3"/>
  <c r="K8327" i="3"/>
  <c r="K8326" i="3"/>
  <c r="K8325" i="3"/>
  <c r="K8324" i="3"/>
  <c r="K8323" i="3"/>
  <c r="K8322" i="3"/>
  <c r="K8321" i="3"/>
  <c r="K8320" i="3"/>
  <c r="K8319" i="3"/>
  <c r="K8318" i="3"/>
  <c r="K8317" i="3"/>
  <c r="K8316" i="3"/>
  <c r="K8315" i="3"/>
  <c r="K8314" i="3"/>
  <c r="K8313" i="3"/>
  <c r="K8312" i="3"/>
  <c r="K8311" i="3"/>
  <c r="K8310" i="3"/>
  <c r="K8309" i="3"/>
  <c r="K8308" i="3"/>
  <c r="K8307" i="3"/>
  <c r="K8306" i="3"/>
  <c r="K8305" i="3"/>
  <c r="K8304" i="3"/>
  <c r="K8303" i="3"/>
  <c r="K8302" i="3"/>
  <c r="K8301" i="3"/>
  <c r="K8300" i="3"/>
  <c r="K8299" i="3"/>
  <c r="K8298" i="3"/>
  <c r="K8297" i="3"/>
  <c r="K8296" i="3"/>
  <c r="K8295" i="3"/>
  <c r="K8294" i="3"/>
  <c r="K8293" i="3"/>
  <c r="K8292" i="3"/>
  <c r="K8291" i="3"/>
  <c r="K8290" i="3"/>
  <c r="K8289" i="3"/>
  <c r="K8288" i="3"/>
  <c r="K8287" i="3"/>
  <c r="K8286" i="3"/>
  <c r="K8285" i="3"/>
  <c r="K8284" i="3"/>
  <c r="K8283" i="3"/>
  <c r="K8282" i="3"/>
  <c r="K8281" i="3"/>
  <c r="K8280" i="3"/>
  <c r="K8279" i="3"/>
  <c r="K8278" i="3"/>
  <c r="K8277" i="3"/>
  <c r="K8276" i="3"/>
  <c r="K8275" i="3"/>
  <c r="K8274" i="3"/>
  <c r="K8273" i="3"/>
  <c r="K8272" i="3"/>
  <c r="K8271" i="3"/>
  <c r="K8270" i="3"/>
  <c r="K8269" i="3"/>
  <c r="K8268" i="3"/>
  <c r="K8267" i="3"/>
  <c r="K8266" i="3"/>
  <c r="K8265" i="3"/>
  <c r="K8264" i="3"/>
  <c r="K8263" i="3"/>
  <c r="K8262" i="3"/>
  <c r="K8261" i="3"/>
  <c r="K8260" i="3"/>
  <c r="K8259" i="3"/>
  <c r="K8258" i="3"/>
  <c r="K8257" i="3"/>
  <c r="K8256" i="3"/>
  <c r="K8255" i="3"/>
  <c r="K8254" i="3"/>
  <c r="K8253" i="3"/>
  <c r="K8252" i="3"/>
  <c r="K8251" i="3"/>
  <c r="K8250" i="3"/>
  <c r="K8249" i="3"/>
  <c r="K8248" i="3"/>
  <c r="K8247" i="3"/>
  <c r="K8246" i="3"/>
  <c r="K8245" i="3"/>
  <c r="K8244" i="3"/>
  <c r="K8243" i="3"/>
  <c r="K8242" i="3"/>
  <c r="K8241" i="3"/>
  <c r="K8240" i="3"/>
  <c r="K8239" i="3"/>
  <c r="K8238" i="3"/>
  <c r="K8237" i="3"/>
  <c r="K8236" i="3"/>
  <c r="K8235" i="3"/>
  <c r="K8234" i="3"/>
  <c r="K8233" i="3"/>
  <c r="K8232" i="3"/>
  <c r="K8231" i="3"/>
  <c r="K8230" i="3"/>
  <c r="K8229" i="3"/>
  <c r="K8228" i="3"/>
  <c r="K8227" i="3"/>
  <c r="K8226" i="3"/>
  <c r="K8225" i="3"/>
  <c r="K8224" i="3"/>
  <c r="K8223" i="3"/>
  <c r="K8222" i="3"/>
  <c r="K8221" i="3"/>
  <c r="K8220" i="3"/>
  <c r="K8219" i="3"/>
  <c r="K8218" i="3"/>
  <c r="K8217" i="3"/>
  <c r="K8216" i="3"/>
  <c r="K8215" i="3"/>
  <c r="K8214" i="3"/>
  <c r="K8213" i="3"/>
  <c r="K8212" i="3"/>
  <c r="K8211" i="3"/>
  <c r="K8210" i="3"/>
  <c r="K8209" i="3"/>
  <c r="K8208" i="3"/>
  <c r="K8207" i="3"/>
  <c r="K8206" i="3"/>
  <c r="K8205" i="3"/>
  <c r="K8204" i="3"/>
  <c r="K8203" i="3"/>
  <c r="K8202" i="3"/>
  <c r="K8201" i="3"/>
  <c r="K8200" i="3"/>
  <c r="K8199" i="3"/>
  <c r="K8198" i="3"/>
  <c r="K8197" i="3"/>
  <c r="K8196" i="3"/>
  <c r="K8195" i="3"/>
  <c r="K8194" i="3"/>
  <c r="K8193" i="3"/>
  <c r="K8192" i="3"/>
  <c r="K8191" i="3"/>
  <c r="K8190" i="3"/>
  <c r="K8189" i="3"/>
  <c r="K8188" i="3"/>
  <c r="K8187" i="3"/>
  <c r="K8186" i="3"/>
  <c r="K8185" i="3"/>
  <c r="K8184" i="3"/>
  <c r="K8183" i="3"/>
  <c r="K8182" i="3"/>
  <c r="K8181" i="3"/>
  <c r="K8180" i="3"/>
  <c r="K8179" i="3"/>
  <c r="K8178" i="3"/>
  <c r="K8177" i="3"/>
  <c r="K8176" i="3"/>
  <c r="K8175" i="3"/>
  <c r="K8174" i="3"/>
  <c r="K8173" i="3"/>
  <c r="K8172" i="3"/>
  <c r="K8171" i="3"/>
  <c r="K8170" i="3"/>
  <c r="K8169" i="3"/>
  <c r="K8168" i="3"/>
  <c r="K8167" i="3"/>
  <c r="K8166" i="3"/>
  <c r="K8165" i="3"/>
  <c r="K8164" i="3"/>
  <c r="K8163" i="3"/>
  <c r="K8162" i="3"/>
  <c r="K8161" i="3"/>
  <c r="K8160" i="3"/>
  <c r="K8159" i="3"/>
  <c r="K8158" i="3"/>
  <c r="K8157" i="3"/>
  <c r="K8156" i="3"/>
  <c r="K8155" i="3"/>
  <c r="K8154" i="3"/>
  <c r="K8153" i="3"/>
  <c r="K8152" i="3"/>
  <c r="K8151" i="3"/>
  <c r="K8150" i="3"/>
  <c r="K8149" i="3"/>
  <c r="K8148" i="3"/>
  <c r="K8147" i="3"/>
  <c r="K8146" i="3"/>
  <c r="K8145" i="3"/>
  <c r="K8144" i="3"/>
  <c r="K8143" i="3"/>
  <c r="K8142" i="3"/>
  <c r="K8141" i="3"/>
  <c r="K8140" i="3"/>
  <c r="K8139" i="3"/>
  <c r="K8138" i="3"/>
  <c r="K8137" i="3"/>
  <c r="K8136" i="3"/>
  <c r="K8135" i="3"/>
  <c r="K8134" i="3"/>
  <c r="K8133" i="3"/>
  <c r="K8132" i="3"/>
  <c r="K8131" i="3"/>
  <c r="K8130" i="3"/>
  <c r="K8129" i="3"/>
  <c r="K8128" i="3"/>
  <c r="K8127" i="3"/>
  <c r="K8126" i="3"/>
  <c r="K8125" i="3"/>
  <c r="K8124" i="3"/>
  <c r="K8123" i="3"/>
  <c r="K8122" i="3"/>
  <c r="K8121" i="3"/>
  <c r="K8120" i="3"/>
  <c r="K8119" i="3"/>
  <c r="K8118" i="3"/>
  <c r="K8117" i="3"/>
  <c r="K8116" i="3"/>
  <c r="K8115" i="3"/>
  <c r="K8114" i="3"/>
  <c r="K8113" i="3"/>
  <c r="K8112" i="3"/>
  <c r="K8111" i="3"/>
  <c r="K8110" i="3"/>
  <c r="K8109" i="3"/>
  <c r="K8108" i="3"/>
  <c r="K8107" i="3"/>
  <c r="K8106" i="3"/>
  <c r="K8105" i="3"/>
  <c r="K8104" i="3"/>
  <c r="K8103" i="3"/>
  <c r="K8102" i="3"/>
  <c r="K8101" i="3"/>
  <c r="K8100" i="3"/>
  <c r="K8099" i="3"/>
  <c r="K8098" i="3"/>
  <c r="K8097" i="3"/>
  <c r="K8096" i="3"/>
  <c r="K8095" i="3"/>
  <c r="K8094" i="3"/>
  <c r="K8093" i="3"/>
  <c r="K8092" i="3"/>
  <c r="K8091" i="3"/>
  <c r="K8090" i="3"/>
  <c r="K8089" i="3"/>
  <c r="K8088" i="3"/>
  <c r="K8087" i="3"/>
  <c r="K8086" i="3"/>
  <c r="K8085" i="3"/>
  <c r="K8084" i="3"/>
  <c r="K8083" i="3"/>
  <c r="K8082" i="3"/>
  <c r="K8081" i="3"/>
  <c r="K8080" i="3"/>
  <c r="K8079" i="3"/>
  <c r="K8078" i="3"/>
  <c r="K8077" i="3"/>
  <c r="K8076" i="3"/>
  <c r="K8075" i="3"/>
  <c r="K8074" i="3"/>
  <c r="K8073" i="3"/>
  <c r="K8072" i="3"/>
  <c r="K8071" i="3"/>
  <c r="K8070" i="3"/>
  <c r="K8069" i="3"/>
  <c r="K8068" i="3"/>
  <c r="K8067" i="3"/>
  <c r="K8066" i="3"/>
  <c r="K8065" i="3"/>
  <c r="K8064" i="3"/>
  <c r="K8063" i="3"/>
  <c r="K8062" i="3"/>
  <c r="K8061" i="3"/>
  <c r="K8060" i="3"/>
  <c r="K8059" i="3"/>
  <c r="K8058" i="3"/>
  <c r="K8057" i="3"/>
  <c r="K8056" i="3"/>
  <c r="K8055" i="3"/>
  <c r="K8054" i="3"/>
  <c r="K8053" i="3"/>
  <c r="K8052" i="3"/>
  <c r="K8051" i="3"/>
  <c r="K8050" i="3"/>
  <c r="K8049" i="3"/>
  <c r="K8048" i="3"/>
  <c r="K8047" i="3"/>
  <c r="K8046" i="3"/>
  <c r="K8045" i="3"/>
  <c r="K8044" i="3"/>
  <c r="K8043" i="3"/>
  <c r="K8042" i="3"/>
  <c r="K8041" i="3"/>
  <c r="K8040" i="3"/>
  <c r="K8039" i="3"/>
  <c r="K8038" i="3"/>
  <c r="K8037" i="3"/>
  <c r="K8036" i="3"/>
  <c r="K8035" i="3"/>
  <c r="K8034" i="3"/>
  <c r="K8033" i="3"/>
  <c r="K8032" i="3"/>
  <c r="K8031" i="3"/>
  <c r="K8030" i="3"/>
  <c r="K8029" i="3"/>
  <c r="K8028" i="3"/>
  <c r="K8027" i="3"/>
  <c r="K8026" i="3"/>
  <c r="K8025" i="3"/>
  <c r="K8024" i="3"/>
  <c r="K8023" i="3"/>
  <c r="K8022" i="3"/>
  <c r="K8021" i="3"/>
  <c r="K8020" i="3"/>
  <c r="K8019" i="3"/>
  <c r="K8018" i="3"/>
  <c r="K8017" i="3"/>
  <c r="K8016" i="3"/>
  <c r="K8015" i="3"/>
  <c r="K8014" i="3"/>
  <c r="K8013" i="3"/>
  <c r="K8012" i="3"/>
  <c r="K8011" i="3"/>
  <c r="K8010" i="3"/>
  <c r="K8009" i="3"/>
  <c r="K8008" i="3"/>
  <c r="K8007" i="3"/>
  <c r="K8006" i="3"/>
  <c r="K8005" i="3"/>
  <c r="K8004" i="3"/>
  <c r="K8003" i="3"/>
  <c r="K8002" i="3"/>
  <c r="K8001" i="3"/>
  <c r="K8000" i="3"/>
  <c r="K7999" i="3"/>
  <c r="K7998" i="3"/>
  <c r="K7997" i="3"/>
  <c r="K7996" i="3"/>
  <c r="K7995" i="3"/>
  <c r="K7994" i="3"/>
  <c r="K7993" i="3"/>
  <c r="K7992" i="3"/>
  <c r="K7991" i="3"/>
  <c r="K7990" i="3"/>
  <c r="K7989" i="3"/>
  <c r="K7988" i="3"/>
  <c r="K7987" i="3"/>
  <c r="K7986" i="3"/>
  <c r="K7985" i="3"/>
  <c r="K7984" i="3"/>
  <c r="K7983" i="3"/>
  <c r="K7982" i="3"/>
  <c r="K7981" i="3"/>
  <c r="K7980" i="3"/>
  <c r="K7979" i="3"/>
  <c r="K7978" i="3"/>
  <c r="K7977" i="3"/>
  <c r="K7976" i="3"/>
  <c r="K7975" i="3"/>
  <c r="K7974" i="3"/>
  <c r="K7973" i="3"/>
  <c r="K7972" i="3"/>
  <c r="K7971" i="3"/>
  <c r="K7970" i="3"/>
  <c r="K7969" i="3"/>
  <c r="K7968" i="3"/>
  <c r="K7967" i="3"/>
  <c r="K7966" i="3"/>
  <c r="K7965" i="3"/>
  <c r="K7964" i="3"/>
  <c r="K7963" i="3"/>
  <c r="K7962" i="3"/>
  <c r="K7961" i="3"/>
  <c r="K7960" i="3"/>
  <c r="K7959" i="3"/>
  <c r="K7958" i="3"/>
  <c r="K7957" i="3"/>
  <c r="K7956" i="3"/>
  <c r="K7955" i="3"/>
  <c r="K7954" i="3"/>
  <c r="K7953" i="3"/>
  <c r="K7952" i="3"/>
  <c r="K7951" i="3"/>
  <c r="K7950" i="3"/>
  <c r="K7949" i="3"/>
  <c r="K7948" i="3"/>
  <c r="K7947" i="3"/>
  <c r="K7946" i="3"/>
  <c r="K7945" i="3"/>
  <c r="K7944" i="3"/>
  <c r="K7943" i="3"/>
  <c r="K7942" i="3"/>
  <c r="K7941" i="3"/>
  <c r="K7940" i="3"/>
  <c r="K7939" i="3"/>
  <c r="K7938" i="3"/>
  <c r="K7937" i="3"/>
  <c r="K7936" i="3"/>
  <c r="K7935" i="3"/>
  <c r="K7934" i="3"/>
  <c r="K7933" i="3"/>
  <c r="K7932" i="3"/>
  <c r="K7931" i="3"/>
  <c r="K7930" i="3"/>
  <c r="K7929" i="3"/>
  <c r="K7928" i="3"/>
  <c r="K7927" i="3"/>
  <c r="K7926" i="3"/>
  <c r="K7925" i="3"/>
  <c r="K7924" i="3"/>
  <c r="K7923" i="3"/>
  <c r="K7922" i="3"/>
  <c r="K7921" i="3"/>
  <c r="K7920" i="3"/>
  <c r="K7919" i="3"/>
  <c r="K7918" i="3"/>
  <c r="K7917" i="3"/>
  <c r="K7916" i="3"/>
  <c r="K7915" i="3"/>
  <c r="K7914" i="3"/>
  <c r="K7913" i="3"/>
  <c r="K7912" i="3"/>
  <c r="K7911" i="3"/>
  <c r="K7910" i="3"/>
  <c r="K7909" i="3"/>
  <c r="K7908" i="3"/>
  <c r="K7907" i="3"/>
  <c r="K7906" i="3"/>
  <c r="K7905" i="3"/>
  <c r="K7904" i="3"/>
  <c r="K7903" i="3"/>
  <c r="K7902" i="3"/>
  <c r="K7901" i="3"/>
  <c r="K7900" i="3"/>
  <c r="K7899" i="3"/>
  <c r="K7898" i="3"/>
  <c r="K7897" i="3"/>
  <c r="K7896" i="3"/>
  <c r="K7895" i="3"/>
  <c r="K7894" i="3"/>
  <c r="K7893" i="3"/>
  <c r="K7892" i="3"/>
  <c r="K7891" i="3"/>
  <c r="K7890" i="3"/>
  <c r="K7889" i="3"/>
  <c r="K7888" i="3"/>
  <c r="K7887" i="3"/>
  <c r="K7886" i="3"/>
  <c r="K7885" i="3"/>
  <c r="K7884" i="3"/>
  <c r="K7883" i="3"/>
  <c r="K7882" i="3"/>
  <c r="K7881" i="3"/>
  <c r="K7880" i="3"/>
  <c r="K7879" i="3"/>
  <c r="K7878" i="3"/>
  <c r="K7877" i="3"/>
  <c r="K7876" i="3"/>
  <c r="K7875" i="3"/>
  <c r="K7874" i="3"/>
  <c r="K7873" i="3"/>
  <c r="K7872" i="3"/>
  <c r="K7871" i="3"/>
  <c r="K7870" i="3"/>
  <c r="K7869" i="3"/>
  <c r="K7868" i="3"/>
  <c r="K7867" i="3"/>
  <c r="K7866" i="3"/>
  <c r="K7865" i="3"/>
  <c r="K7864" i="3"/>
  <c r="K7863" i="3"/>
  <c r="K7862" i="3"/>
  <c r="K7861" i="3"/>
  <c r="K7860" i="3"/>
  <c r="K7859" i="3"/>
  <c r="K7858" i="3"/>
  <c r="K7857" i="3"/>
  <c r="K7856" i="3"/>
  <c r="K7855" i="3"/>
  <c r="K7854" i="3"/>
  <c r="K7853" i="3"/>
  <c r="K7852" i="3"/>
  <c r="K7851" i="3"/>
  <c r="K7850" i="3"/>
  <c r="K7849" i="3"/>
  <c r="K7848" i="3"/>
  <c r="K7847" i="3"/>
  <c r="K7846" i="3"/>
  <c r="K7845" i="3"/>
  <c r="K7844" i="3"/>
  <c r="K7843" i="3"/>
  <c r="K7842" i="3"/>
  <c r="K7841" i="3"/>
  <c r="K7840" i="3"/>
  <c r="K7839" i="3"/>
  <c r="K7838" i="3"/>
  <c r="K7837" i="3"/>
  <c r="K7836" i="3"/>
  <c r="K7835" i="3"/>
  <c r="K7834" i="3"/>
  <c r="K7833" i="3"/>
  <c r="K7832" i="3"/>
  <c r="K7831" i="3"/>
  <c r="K7830" i="3"/>
  <c r="K7829" i="3"/>
  <c r="K7828" i="3"/>
  <c r="K7827" i="3"/>
  <c r="K7826" i="3"/>
  <c r="K7825" i="3"/>
  <c r="K7824" i="3"/>
  <c r="K7823" i="3"/>
  <c r="K7822" i="3"/>
  <c r="K7821" i="3"/>
  <c r="K7820" i="3"/>
  <c r="K7819" i="3"/>
  <c r="K7818" i="3"/>
  <c r="K7817" i="3"/>
  <c r="K7816" i="3"/>
  <c r="K7815" i="3"/>
  <c r="K7814" i="3"/>
  <c r="K7813" i="3"/>
  <c r="K7812" i="3"/>
  <c r="K7811" i="3"/>
  <c r="K7810" i="3"/>
  <c r="K7809" i="3"/>
  <c r="K7808" i="3"/>
  <c r="K7807" i="3"/>
  <c r="K7806" i="3"/>
  <c r="K7805" i="3"/>
  <c r="K7804" i="3"/>
  <c r="K7803" i="3"/>
  <c r="K7802" i="3"/>
  <c r="K7801" i="3"/>
  <c r="K7800" i="3"/>
  <c r="K7799" i="3"/>
  <c r="K7798" i="3"/>
  <c r="K7797" i="3"/>
  <c r="K7796" i="3"/>
  <c r="K7795" i="3"/>
  <c r="K7794" i="3"/>
  <c r="K7793" i="3"/>
  <c r="K7792" i="3"/>
  <c r="K7791" i="3"/>
  <c r="K7790" i="3"/>
  <c r="K7789" i="3"/>
  <c r="K7788" i="3"/>
  <c r="K7787" i="3"/>
  <c r="K7786" i="3"/>
  <c r="K7785" i="3"/>
  <c r="K7784" i="3"/>
  <c r="K7783" i="3"/>
  <c r="K7782" i="3"/>
  <c r="K7781" i="3"/>
  <c r="K7780" i="3"/>
  <c r="K7779" i="3"/>
  <c r="K7778" i="3"/>
  <c r="K7777" i="3"/>
  <c r="K7776" i="3"/>
  <c r="K7775" i="3"/>
  <c r="K7774" i="3"/>
  <c r="K7773" i="3"/>
  <c r="K7772" i="3"/>
  <c r="K7771" i="3"/>
  <c r="K7770" i="3"/>
  <c r="K7769" i="3"/>
  <c r="K7768" i="3"/>
  <c r="K7767" i="3"/>
  <c r="K7766" i="3"/>
  <c r="K7765" i="3"/>
  <c r="K7764" i="3"/>
  <c r="K7763" i="3"/>
  <c r="K7762" i="3"/>
  <c r="K7761" i="3"/>
  <c r="K7760" i="3"/>
  <c r="K7759" i="3"/>
  <c r="K7758" i="3"/>
  <c r="K7757" i="3"/>
  <c r="K7756" i="3"/>
  <c r="K7755" i="3"/>
  <c r="K7754" i="3"/>
  <c r="K7753" i="3"/>
  <c r="K7752" i="3"/>
  <c r="K7751" i="3"/>
  <c r="K7750" i="3"/>
  <c r="K7749" i="3"/>
  <c r="K7748" i="3"/>
  <c r="K7747" i="3"/>
  <c r="K7746" i="3"/>
  <c r="K7745" i="3"/>
  <c r="K7744" i="3"/>
  <c r="K7743" i="3"/>
  <c r="K7742" i="3"/>
  <c r="K7741" i="3"/>
  <c r="K7740" i="3"/>
  <c r="K7739" i="3"/>
  <c r="K7738" i="3"/>
  <c r="K7737" i="3"/>
  <c r="K7736" i="3"/>
  <c r="K7735" i="3"/>
  <c r="K7734" i="3"/>
  <c r="K7733" i="3"/>
  <c r="K7732" i="3"/>
  <c r="K7731" i="3"/>
  <c r="K7730" i="3"/>
  <c r="K7729" i="3"/>
  <c r="K7728" i="3"/>
  <c r="K7727" i="3"/>
  <c r="K7726" i="3"/>
  <c r="K7725" i="3"/>
  <c r="K7724" i="3"/>
  <c r="K7723" i="3"/>
  <c r="K7722" i="3"/>
  <c r="K7721" i="3"/>
  <c r="K7720" i="3"/>
  <c r="K7719" i="3"/>
  <c r="K7718" i="3"/>
  <c r="K7717" i="3"/>
  <c r="K7716" i="3"/>
  <c r="K7715" i="3"/>
  <c r="K7714" i="3"/>
  <c r="K7713" i="3"/>
  <c r="K7712" i="3"/>
  <c r="K7711" i="3"/>
  <c r="K7710" i="3"/>
  <c r="K7709" i="3"/>
  <c r="K7708" i="3"/>
  <c r="K7707" i="3"/>
  <c r="K7706" i="3"/>
  <c r="K7705" i="3"/>
  <c r="K7704" i="3"/>
  <c r="K7703" i="3"/>
  <c r="K7702" i="3"/>
  <c r="K7701" i="3"/>
  <c r="K7700" i="3"/>
  <c r="K7699" i="3"/>
  <c r="K7698" i="3"/>
  <c r="K7697" i="3"/>
  <c r="K7696" i="3"/>
  <c r="K7695" i="3"/>
  <c r="K7694" i="3"/>
  <c r="K7693" i="3"/>
  <c r="K7692" i="3"/>
  <c r="K7691" i="3"/>
  <c r="K7690" i="3"/>
  <c r="K7689" i="3"/>
  <c r="K7688" i="3"/>
  <c r="K7687" i="3"/>
  <c r="K7686" i="3"/>
  <c r="K7685" i="3"/>
  <c r="K7684" i="3"/>
  <c r="K7683" i="3"/>
  <c r="K7682" i="3"/>
  <c r="K7681" i="3"/>
  <c r="K7680" i="3"/>
  <c r="K7679" i="3"/>
  <c r="K7678" i="3"/>
  <c r="K7677" i="3"/>
  <c r="K7676" i="3"/>
  <c r="K7675" i="3"/>
  <c r="K7674" i="3"/>
  <c r="K7673" i="3"/>
  <c r="K7672" i="3"/>
  <c r="K7671" i="3"/>
  <c r="K7670" i="3"/>
  <c r="K7669" i="3"/>
  <c r="K7668" i="3"/>
  <c r="K7667" i="3"/>
  <c r="K7666" i="3"/>
  <c r="K7665" i="3"/>
  <c r="K7664" i="3"/>
  <c r="K7663" i="3"/>
  <c r="K7662" i="3"/>
  <c r="K7661" i="3"/>
  <c r="K7660" i="3"/>
  <c r="K7659" i="3"/>
  <c r="K7658" i="3"/>
  <c r="K7657" i="3"/>
  <c r="K7656" i="3"/>
  <c r="K7655" i="3"/>
  <c r="K7654" i="3"/>
  <c r="K7653" i="3"/>
  <c r="K7652" i="3"/>
  <c r="K7651" i="3"/>
  <c r="K7650" i="3"/>
  <c r="K7649" i="3"/>
  <c r="K7648" i="3"/>
  <c r="K7647" i="3"/>
  <c r="K7646" i="3"/>
  <c r="K7645" i="3"/>
  <c r="K7644" i="3"/>
  <c r="K7643" i="3"/>
  <c r="K7642" i="3"/>
  <c r="K7641" i="3"/>
  <c r="K7640" i="3"/>
  <c r="K7639" i="3"/>
  <c r="K7638" i="3"/>
  <c r="K7637" i="3"/>
  <c r="K7636" i="3"/>
  <c r="K7635" i="3"/>
  <c r="K7634" i="3"/>
  <c r="K7633" i="3"/>
  <c r="K7632" i="3"/>
  <c r="K7631" i="3"/>
  <c r="K7630" i="3"/>
  <c r="K7629" i="3"/>
  <c r="K7628" i="3"/>
  <c r="K7627" i="3"/>
  <c r="K7626" i="3"/>
  <c r="K7625" i="3"/>
  <c r="K7624" i="3"/>
  <c r="K7623" i="3"/>
  <c r="K7622" i="3"/>
  <c r="K7621" i="3"/>
  <c r="K7620" i="3"/>
  <c r="K7619" i="3"/>
  <c r="K7618" i="3"/>
  <c r="K7617" i="3"/>
  <c r="K7616" i="3"/>
  <c r="K7615" i="3"/>
  <c r="K7614" i="3"/>
  <c r="K7613" i="3"/>
  <c r="K7612" i="3"/>
  <c r="K7611" i="3"/>
  <c r="K7610" i="3"/>
  <c r="K7609" i="3"/>
  <c r="K7608" i="3"/>
  <c r="K7607" i="3"/>
  <c r="K7606" i="3"/>
  <c r="K7605" i="3"/>
  <c r="K7604" i="3"/>
  <c r="K7603" i="3"/>
  <c r="K7602" i="3"/>
  <c r="K7601" i="3"/>
  <c r="K7600" i="3"/>
  <c r="K7599" i="3"/>
  <c r="K7598" i="3"/>
  <c r="K7597" i="3"/>
  <c r="K7596" i="3"/>
  <c r="K7595" i="3"/>
  <c r="K7594" i="3"/>
  <c r="K7593" i="3"/>
  <c r="K7592" i="3"/>
  <c r="K7591" i="3"/>
  <c r="K7590" i="3"/>
  <c r="K7589" i="3"/>
  <c r="K7588" i="3"/>
  <c r="K7587" i="3"/>
  <c r="K7586" i="3"/>
  <c r="K7585" i="3"/>
  <c r="K7584" i="3"/>
  <c r="K7583" i="3"/>
  <c r="K7582" i="3"/>
  <c r="K7581" i="3"/>
  <c r="K7580" i="3"/>
  <c r="K7579" i="3"/>
  <c r="K7578" i="3"/>
  <c r="K7577" i="3"/>
  <c r="K7576" i="3"/>
  <c r="K7575" i="3"/>
  <c r="K7574" i="3"/>
  <c r="K7573" i="3"/>
  <c r="K7572" i="3"/>
  <c r="K7571" i="3"/>
  <c r="K7570" i="3"/>
  <c r="K7569" i="3"/>
  <c r="K7568" i="3"/>
  <c r="K7567" i="3"/>
  <c r="K7566" i="3"/>
  <c r="K7565" i="3"/>
  <c r="K7564" i="3"/>
  <c r="K7563" i="3"/>
  <c r="K7562" i="3"/>
  <c r="K7561" i="3"/>
  <c r="K7560" i="3"/>
  <c r="K7559" i="3"/>
  <c r="K7558" i="3"/>
  <c r="K7557" i="3"/>
  <c r="K7556" i="3"/>
  <c r="K7555" i="3"/>
  <c r="K7554" i="3"/>
  <c r="K7553" i="3"/>
  <c r="K7552" i="3"/>
  <c r="K7551" i="3"/>
  <c r="K7550" i="3"/>
  <c r="K7549" i="3"/>
  <c r="K7548" i="3"/>
  <c r="K7547" i="3"/>
  <c r="K7546" i="3"/>
  <c r="K7545" i="3"/>
  <c r="K7544" i="3"/>
  <c r="K7543" i="3"/>
  <c r="K7542" i="3"/>
  <c r="K7541" i="3"/>
  <c r="K7540" i="3"/>
  <c r="K7539" i="3"/>
  <c r="K7538" i="3"/>
  <c r="K7537" i="3"/>
  <c r="K7536" i="3"/>
  <c r="K7535" i="3"/>
  <c r="K7534" i="3"/>
  <c r="K7533" i="3"/>
  <c r="K7532" i="3"/>
  <c r="K7531" i="3"/>
  <c r="K7530" i="3"/>
  <c r="K7529" i="3"/>
  <c r="K7528" i="3"/>
  <c r="K7527" i="3"/>
  <c r="K7526" i="3"/>
  <c r="K7525" i="3"/>
  <c r="K7524" i="3"/>
  <c r="K7523" i="3"/>
  <c r="K7522" i="3"/>
  <c r="K7521" i="3"/>
  <c r="K7520" i="3"/>
  <c r="K7519" i="3"/>
  <c r="K7518" i="3"/>
  <c r="K7517" i="3"/>
  <c r="K7516" i="3"/>
  <c r="K7515" i="3"/>
  <c r="K7514" i="3"/>
  <c r="K7513" i="3"/>
  <c r="K7512" i="3"/>
  <c r="K7511" i="3"/>
  <c r="K7510" i="3"/>
  <c r="K7509" i="3"/>
  <c r="K7508" i="3"/>
  <c r="K7507" i="3"/>
  <c r="K7506" i="3"/>
  <c r="K7505" i="3"/>
  <c r="K7504" i="3"/>
  <c r="K7503" i="3"/>
  <c r="K7502" i="3"/>
  <c r="K7501" i="3"/>
  <c r="K7500" i="3"/>
  <c r="K7499" i="3"/>
  <c r="K7498" i="3"/>
  <c r="K7497" i="3"/>
  <c r="K7496" i="3"/>
  <c r="K7495" i="3"/>
  <c r="K7494" i="3"/>
  <c r="K7493" i="3"/>
  <c r="K7492" i="3"/>
  <c r="K7491" i="3"/>
  <c r="K7490" i="3"/>
  <c r="K7489" i="3"/>
  <c r="K7488" i="3"/>
  <c r="K7487" i="3"/>
  <c r="K7486" i="3"/>
  <c r="K7485" i="3"/>
  <c r="K7484" i="3"/>
  <c r="K7483" i="3"/>
  <c r="K7482" i="3"/>
  <c r="K7481" i="3"/>
  <c r="K7480" i="3"/>
  <c r="K7479" i="3"/>
  <c r="K7478" i="3"/>
  <c r="K7477" i="3"/>
  <c r="K7476" i="3"/>
  <c r="K7475" i="3"/>
  <c r="K7474" i="3"/>
  <c r="K7473" i="3"/>
  <c r="K7472" i="3"/>
  <c r="K7471" i="3"/>
  <c r="K7470" i="3"/>
  <c r="K7469" i="3"/>
  <c r="K7468" i="3"/>
  <c r="K7467" i="3"/>
  <c r="K7466" i="3"/>
  <c r="K7465" i="3"/>
  <c r="K7464" i="3"/>
  <c r="K7463" i="3"/>
  <c r="K7462" i="3"/>
  <c r="K7461" i="3"/>
  <c r="K7460" i="3"/>
  <c r="K7459" i="3"/>
  <c r="K7458" i="3"/>
  <c r="K7457" i="3"/>
  <c r="K7456" i="3"/>
  <c r="K7455" i="3"/>
  <c r="K7454" i="3"/>
  <c r="K7453" i="3"/>
  <c r="K7452" i="3"/>
  <c r="K7451" i="3"/>
  <c r="K7450" i="3"/>
  <c r="K7449" i="3"/>
  <c r="K7448" i="3"/>
  <c r="K7447" i="3"/>
  <c r="K7446" i="3"/>
  <c r="K7445" i="3"/>
  <c r="K7444" i="3"/>
  <c r="K7443" i="3"/>
  <c r="K7442" i="3"/>
  <c r="K7441" i="3"/>
  <c r="K7440" i="3"/>
  <c r="K7439" i="3"/>
  <c r="K7438" i="3"/>
  <c r="K7437" i="3"/>
  <c r="K7436" i="3"/>
  <c r="K7435" i="3"/>
  <c r="K7434" i="3"/>
  <c r="K7433" i="3"/>
  <c r="K7432" i="3"/>
  <c r="K7431" i="3"/>
  <c r="K7430" i="3"/>
  <c r="K7429" i="3"/>
  <c r="K7428" i="3"/>
  <c r="K7427" i="3"/>
  <c r="K7426" i="3"/>
  <c r="K7425" i="3"/>
  <c r="K7424" i="3"/>
  <c r="K7423" i="3"/>
  <c r="K7422" i="3"/>
  <c r="K7421" i="3"/>
  <c r="K7420" i="3"/>
  <c r="K7419" i="3"/>
  <c r="K7418" i="3"/>
  <c r="K7417" i="3"/>
  <c r="K7416" i="3"/>
  <c r="K7415" i="3"/>
  <c r="K7414" i="3"/>
  <c r="K7413" i="3"/>
  <c r="K7412" i="3"/>
  <c r="K7411" i="3"/>
  <c r="K7410" i="3"/>
  <c r="K7409" i="3"/>
  <c r="K7408" i="3"/>
  <c r="K7407" i="3"/>
  <c r="K7406" i="3"/>
  <c r="K7405" i="3"/>
  <c r="K7404" i="3"/>
  <c r="K7403" i="3"/>
  <c r="K7402" i="3"/>
  <c r="K7401" i="3"/>
  <c r="K7400" i="3"/>
  <c r="K7399" i="3"/>
  <c r="K7398" i="3"/>
  <c r="K7397" i="3"/>
  <c r="K7396" i="3"/>
  <c r="K7395" i="3"/>
  <c r="K7394" i="3"/>
  <c r="K7393" i="3"/>
  <c r="K7392" i="3"/>
  <c r="K7391" i="3"/>
  <c r="K7390" i="3"/>
  <c r="K7389" i="3"/>
  <c r="K7388" i="3"/>
  <c r="K7387" i="3"/>
  <c r="K7386" i="3"/>
  <c r="K7385" i="3"/>
  <c r="K7384" i="3"/>
  <c r="K7383" i="3"/>
  <c r="K7382" i="3"/>
  <c r="K7381" i="3"/>
  <c r="K7380" i="3"/>
  <c r="K7379" i="3"/>
  <c r="K7378" i="3"/>
  <c r="K7377" i="3"/>
  <c r="K7376" i="3"/>
  <c r="K7375" i="3"/>
  <c r="K7374" i="3"/>
  <c r="K7373" i="3"/>
  <c r="K7372" i="3"/>
  <c r="K7371" i="3"/>
  <c r="K7370" i="3"/>
  <c r="K7369" i="3"/>
  <c r="K7368" i="3"/>
  <c r="K7367" i="3"/>
  <c r="K7366" i="3"/>
  <c r="K7365" i="3"/>
  <c r="K7364" i="3"/>
  <c r="K7363" i="3"/>
  <c r="K7362" i="3"/>
  <c r="K7361" i="3"/>
  <c r="K7360" i="3"/>
  <c r="K7359" i="3"/>
  <c r="K7358" i="3"/>
  <c r="K7357" i="3"/>
  <c r="K7356" i="3"/>
  <c r="K7355" i="3"/>
  <c r="K7354" i="3"/>
  <c r="K7353" i="3"/>
  <c r="K7352" i="3"/>
  <c r="K7351" i="3"/>
  <c r="K7350" i="3"/>
  <c r="K7349" i="3"/>
  <c r="K7348" i="3"/>
  <c r="K7347" i="3"/>
  <c r="K7346" i="3"/>
  <c r="K7345" i="3"/>
  <c r="K7344" i="3"/>
  <c r="K7343" i="3"/>
  <c r="K7342" i="3"/>
  <c r="K7341" i="3"/>
  <c r="K7340" i="3"/>
  <c r="K7339" i="3"/>
  <c r="K7338" i="3"/>
  <c r="K7337" i="3"/>
  <c r="K7336" i="3"/>
  <c r="K7335" i="3"/>
  <c r="K7334" i="3"/>
  <c r="K7333" i="3"/>
  <c r="K7332" i="3"/>
  <c r="K7331" i="3"/>
  <c r="K7330" i="3"/>
  <c r="K7329" i="3"/>
  <c r="K7328" i="3"/>
  <c r="K7327" i="3"/>
  <c r="K7326" i="3"/>
  <c r="K7325" i="3"/>
  <c r="K7324" i="3"/>
  <c r="K7323" i="3"/>
  <c r="K7322" i="3"/>
  <c r="K7321" i="3"/>
  <c r="K7320" i="3"/>
  <c r="K7319" i="3"/>
  <c r="K7318" i="3"/>
  <c r="K7317" i="3"/>
  <c r="K7316" i="3"/>
  <c r="K7315" i="3"/>
  <c r="K7314" i="3"/>
  <c r="K7313" i="3"/>
  <c r="K7312" i="3"/>
  <c r="K7311" i="3"/>
  <c r="K7310" i="3"/>
  <c r="K7309" i="3"/>
  <c r="K7308" i="3"/>
  <c r="K7307" i="3"/>
  <c r="K7306" i="3"/>
  <c r="K7305" i="3"/>
  <c r="K7304" i="3"/>
  <c r="K7303" i="3"/>
  <c r="K7302" i="3"/>
  <c r="K7301" i="3"/>
  <c r="K7300" i="3"/>
  <c r="K7299" i="3"/>
  <c r="K7298" i="3"/>
  <c r="K7297" i="3"/>
  <c r="K7296" i="3"/>
  <c r="K7295" i="3"/>
  <c r="K7294" i="3"/>
  <c r="K7293" i="3"/>
  <c r="K7292" i="3"/>
  <c r="K7291" i="3"/>
  <c r="K7290" i="3"/>
  <c r="K7289" i="3"/>
  <c r="K7288" i="3"/>
  <c r="K7287" i="3"/>
  <c r="K7286" i="3"/>
  <c r="K7285" i="3"/>
  <c r="K7284" i="3"/>
  <c r="K7283" i="3"/>
  <c r="K7282" i="3"/>
  <c r="K7281" i="3"/>
  <c r="K7280" i="3"/>
  <c r="K7279" i="3"/>
  <c r="K7278" i="3"/>
  <c r="K7277" i="3"/>
  <c r="K7276" i="3"/>
  <c r="K7275" i="3"/>
  <c r="K7274" i="3"/>
  <c r="K7273" i="3"/>
  <c r="K7272" i="3"/>
  <c r="K7271" i="3"/>
  <c r="K7270" i="3"/>
  <c r="K7269" i="3"/>
  <c r="K7268" i="3"/>
  <c r="K7267" i="3"/>
  <c r="K7266" i="3"/>
  <c r="K7265" i="3"/>
  <c r="K7264" i="3"/>
  <c r="K7263" i="3"/>
  <c r="K7262" i="3"/>
  <c r="K7261" i="3"/>
  <c r="K7260" i="3"/>
  <c r="K7259" i="3"/>
  <c r="K7258" i="3"/>
  <c r="K7257" i="3"/>
  <c r="K7256" i="3"/>
  <c r="K7255" i="3"/>
  <c r="K7254" i="3"/>
  <c r="K7253" i="3"/>
  <c r="K7252" i="3"/>
  <c r="K7251" i="3"/>
  <c r="K7250" i="3"/>
  <c r="K7249" i="3"/>
  <c r="K7248" i="3"/>
  <c r="K7247" i="3"/>
  <c r="K7246" i="3"/>
  <c r="K7245" i="3"/>
  <c r="K7244" i="3"/>
  <c r="K7243" i="3"/>
  <c r="K7242" i="3"/>
  <c r="K7241" i="3"/>
  <c r="K7240" i="3"/>
  <c r="K7239" i="3"/>
  <c r="K7238" i="3"/>
  <c r="K7237" i="3"/>
  <c r="K7236" i="3"/>
  <c r="K7235" i="3"/>
  <c r="K7234" i="3"/>
  <c r="K7233" i="3"/>
  <c r="K7232" i="3"/>
  <c r="K7231" i="3"/>
  <c r="K7230" i="3"/>
  <c r="K7229" i="3"/>
  <c r="K7228" i="3"/>
  <c r="K7227" i="3"/>
  <c r="K7226" i="3"/>
  <c r="K7225" i="3"/>
  <c r="K7224" i="3"/>
  <c r="K7223" i="3"/>
  <c r="K7222" i="3"/>
  <c r="K7221" i="3"/>
  <c r="K7220" i="3"/>
  <c r="K7219" i="3"/>
  <c r="K7218" i="3"/>
  <c r="K7217" i="3"/>
  <c r="K7216" i="3"/>
  <c r="K7215" i="3"/>
  <c r="K7214" i="3"/>
  <c r="K7213" i="3"/>
  <c r="K7212" i="3"/>
  <c r="K7211" i="3"/>
  <c r="K7210" i="3"/>
  <c r="K7209" i="3"/>
  <c r="K7208" i="3"/>
  <c r="K7207" i="3"/>
  <c r="K7206" i="3"/>
  <c r="K7205" i="3"/>
  <c r="K7204" i="3"/>
  <c r="K7203" i="3"/>
  <c r="K7202" i="3"/>
  <c r="K7201" i="3"/>
  <c r="K7200" i="3"/>
  <c r="K7199" i="3"/>
  <c r="K7198" i="3"/>
  <c r="K7197" i="3"/>
  <c r="K7196" i="3"/>
  <c r="K7195" i="3"/>
  <c r="K7194" i="3"/>
  <c r="K7193" i="3"/>
  <c r="K7192" i="3"/>
  <c r="K7191" i="3"/>
  <c r="K7190" i="3"/>
  <c r="K7189" i="3"/>
  <c r="K7188" i="3"/>
  <c r="K7187" i="3"/>
  <c r="K7186" i="3"/>
  <c r="K7185" i="3"/>
  <c r="K7184" i="3"/>
  <c r="K7183" i="3"/>
  <c r="K7182" i="3"/>
  <c r="K7181" i="3"/>
  <c r="K7180" i="3"/>
  <c r="K7179" i="3"/>
  <c r="K7178" i="3"/>
  <c r="K7177" i="3"/>
  <c r="K7176" i="3"/>
  <c r="K7175" i="3"/>
  <c r="K7174" i="3"/>
  <c r="K7173" i="3"/>
  <c r="K7172" i="3"/>
  <c r="K7171" i="3"/>
  <c r="K7170" i="3"/>
  <c r="K7169" i="3"/>
  <c r="K7168" i="3"/>
  <c r="K7167" i="3"/>
  <c r="K7166" i="3"/>
  <c r="K7165" i="3"/>
  <c r="K7164" i="3"/>
  <c r="K7163" i="3"/>
  <c r="K7162" i="3"/>
  <c r="K7161" i="3"/>
  <c r="K7160" i="3"/>
  <c r="K7159" i="3"/>
  <c r="K7158" i="3"/>
  <c r="K7157" i="3"/>
  <c r="K7156" i="3"/>
  <c r="K7155" i="3"/>
  <c r="K7154" i="3"/>
  <c r="K7153" i="3"/>
  <c r="K7152" i="3"/>
  <c r="K7151" i="3"/>
  <c r="K7150" i="3"/>
  <c r="K7149" i="3"/>
  <c r="K7148" i="3"/>
  <c r="K7147" i="3"/>
  <c r="K7146" i="3"/>
  <c r="K7145" i="3"/>
  <c r="K7144" i="3"/>
  <c r="K7143" i="3"/>
  <c r="K7142" i="3"/>
  <c r="K7141" i="3"/>
  <c r="K7140" i="3"/>
  <c r="K7139" i="3"/>
  <c r="K7138" i="3"/>
  <c r="K7137" i="3"/>
  <c r="K7136" i="3"/>
  <c r="K7135" i="3"/>
  <c r="K7134" i="3"/>
  <c r="K7133" i="3"/>
  <c r="K7132" i="3"/>
  <c r="K7131" i="3"/>
  <c r="K7130" i="3"/>
  <c r="K7129" i="3"/>
  <c r="K7128" i="3"/>
  <c r="K7127" i="3"/>
  <c r="K7126" i="3"/>
  <c r="K7125" i="3"/>
  <c r="K7124" i="3"/>
  <c r="K7123" i="3"/>
  <c r="K7122" i="3"/>
  <c r="K7121" i="3"/>
  <c r="K7120" i="3"/>
  <c r="K7119" i="3"/>
  <c r="K7118" i="3"/>
  <c r="K7117" i="3"/>
  <c r="K7116" i="3"/>
  <c r="K7115" i="3"/>
  <c r="K7114" i="3"/>
  <c r="K7113" i="3"/>
  <c r="K7112" i="3"/>
  <c r="K7111" i="3"/>
  <c r="K7110" i="3"/>
  <c r="K7109" i="3"/>
  <c r="K7108" i="3"/>
  <c r="K7107" i="3"/>
  <c r="K7106" i="3"/>
  <c r="K7105" i="3"/>
  <c r="K7104" i="3"/>
  <c r="K7103" i="3"/>
  <c r="K7102" i="3"/>
  <c r="K7101" i="3"/>
  <c r="K7100" i="3"/>
  <c r="K7099" i="3"/>
  <c r="K7098" i="3"/>
  <c r="K7097" i="3"/>
  <c r="K7096" i="3"/>
  <c r="K7095" i="3"/>
  <c r="K7094" i="3"/>
  <c r="K7093" i="3"/>
  <c r="K7092" i="3"/>
  <c r="K7091" i="3"/>
  <c r="K7090" i="3"/>
  <c r="K7089" i="3"/>
  <c r="K7088" i="3"/>
  <c r="K7087" i="3"/>
  <c r="K7086" i="3"/>
  <c r="K7085" i="3"/>
  <c r="K7084" i="3"/>
  <c r="K7083" i="3"/>
  <c r="K7082" i="3"/>
  <c r="K7081" i="3"/>
  <c r="K7080" i="3"/>
  <c r="K7079" i="3"/>
  <c r="K7078" i="3"/>
  <c r="K7077" i="3"/>
  <c r="K7076" i="3"/>
  <c r="K7075" i="3"/>
  <c r="K7074" i="3"/>
  <c r="K7073" i="3"/>
  <c r="K7072" i="3"/>
  <c r="K7071" i="3"/>
  <c r="K7070" i="3"/>
  <c r="K7069" i="3"/>
  <c r="K7068" i="3"/>
  <c r="K7067" i="3"/>
  <c r="K7066" i="3"/>
  <c r="K7065" i="3"/>
  <c r="K7064" i="3"/>
  <c r="K7063" i="3"/>
  <c r="K7062" i="3"/>
  <c r="K7061" i="3"/>
  <c r="K7060" i="3"/>
  <c r="K7059" i="3"/>
  <c r="K7058" i="3"/>
  <c r="K7057" i="3"/>
  <c r="K7056" i="3"/>
  <c r="K7055" i="3"/>
  <c r="K7054" i="3"/>
  <c r="K7053" i="3"/>
  <c r="K7052" i="3"/>
  <c r="K7051" i="3"/>
  <c r="K7050" i="3"/>
  <c r="K7049" i="3"/>
  <c r="K7048" i="3"/>
  <c r="K7047" i="3"/>
  <c r="K7046" i="3"/>
  <c r="K7045" i="3"/>
  <c r="K7044" i="3"/>
  <c r="K7043" i="3"/>
  <c r="K7042" i="3"/>
  <c r="K7041" i="3"/>
  <c r="K7040" i="3"/>
  <c r="K7039" i="3"/>
  <c r="K7038" i="3"/>
  <c r="K7037" i="3"/>
  <c r="K7036" i="3"/>
  <c r="K7035" i="3"/>
  <c r="K7034" i="3"/>
  <c r="K7033" i="3"/>
  <c r="K7032" i="3"/>
  <c r="K7031" i="3"/>
  <c r="K7030" i="3"/>
  <c r="K7029" i="3"/>
  <c r="K7028" i="3"/>
  <c r="K7027" i="3"/>
  <c r="K7026" i="3"/>
  <c r="K7025" i="3"/>
  <c r="K7024" i="3"/>
  <c r="K7023" i="3"/>
  <c r="K7022" i="3"/>
  <c r="K7021" i="3"/>
  <c r="K7020" i="3"/>
  <c r="K7019" i="3"/>
  <c r="K7018" i="3"/>
  <c r="K7017" i="3"/>
  <c r="K7016" i="3"/>
  <c r="K7015" i="3"/>
  <c r="K7014" i="3"/>
  <c r="K7013" i="3"/>
  <c r="K7012" i="3"/>
  <c r="K7011" i="3"/>
  <c r="K7010" i="3"/>
  <c r="K7009" i="3"/>
  <c r="K7008" i="3"/>
  <c r="K7007" i="3"/>
  <c r="K7006" i="3"/>
  <c r="K7005" i="3"/>
  <c r="K7004" i="3"/>
  <c r="K7003" i="3"/>
  <c r="K7002" i="3"/>
  <c r="K7001" i="3"/>
  <c r="K7000" i="3"/>
  <c r="K6999" i="3"/>
  <c r="K6998" i="3"/>
  <c r="K6997" i="3"/>
  <c r="K6996" i="3"/>
  <c r="K6995" i="3"/>
  <c r="K6994" i="3"/>
  <c r="K6993" i="3"/>
  <c r="K6992" i="3"/>
  <c r="K6991" i="3"/>
  <c r="K6990" i="3"/>
  <c r="K6989" i="3"/>
  <c r="K6988" i="3"/>
  <c r="K6987" i="3"/>
  <c r="K6986" i="3"/>
  <c r="K6985" i="3"/>
  <c r="K6984" i="3"/>
  <c r="K6983" i="3"/>
  <c r="K6982" i="3"/>
  <c r="K6981" i="3"/>
  <c r="K6980" i="3"/>
  <c r="K6979" i="3"/>
  <c r="K6978" i="3"/>
  <c r="K6977" i="3"/>
  <c r="K6976" i="3"/>
  <c r="K6975" i="3"/>
  <c r="K6974" i="3"/>
  <c r="K6973" i="3"/>
  <c r="K6972" i="3"/>
  <c r="K6971" i="3"/>
  <c r="K6970" i="3"/>
  <c r="K6969" i="3"/>
  <c r="K6968" i="3"/>
  <c r="K6967" i="3"/>
  <c r="K6966" i="3"/>
  <c r="K6965" i="3"/>
  <c r="K6964" i="3"/>
  <c r="K6963" i="3"/>
  <c r="K6962" i="3"/>
  <c r="K6961" i="3"/>
  <c r="K6960" i="3"/>
  <c r="K6959" i="3"/>
  <c r="K6958" i="3"/>
  <c r="K6957" i="3"/>
  <c r="K6956" i="3"/>
  <c r="K6955" i="3"/>
  <c r="K6954" i="3"/>
  <c r="K6953" i="3"/>
  <c r="K6952" i="3"/>
  <c r="K6951" i="3"/>
  <c r="K6950" i="3"/>
  <c r="K6949" i="3"/>
  <c r="K6948" i="3"/>
  <c r="K6947" i="3"/>
  <c r="K6946" i="3"/>
  <c r="K6945" i="3"/>
  <c r="K6944" i="3"/>
  <c r="K6943" i="3"/>
  <c r="K6942" i="3"/>
  <c r="K6941" i="3"/>
  <c r="K6940" i="3"/>
  <c r="K6939" i="3"/>
  <c r="K6938" i="3"/>
  <c r="K6937" i="3"/>
  <c r="K6936" i="3"/>
  <c r="K6935" i="3"/>
  <c r="K6934" i="3"/>
  <c r="K6933" i="3"/>
  <c r="K6932" i="3"/>
  <c r="K6931" i="3"/>
  <c r="K6930" i="3"/>
  <c r="K6929" i="3"/>
  <c r="K6928" i="3"/>
  <c r="K6927" i="3"/>
  <c r="K6926" i="3"/>
  <c r="K6925" i="3"/>
  <c r="K6924" i="3"/>
  <c r="K6923" i="3"/>
  <c r="K6922" i="3"/>
  <c r="K6921" i="3"/>
  <c r="K6920" i="3"/>
  <c r="K6919" i="3"/>
  <c r="K6918" i="3"/>
  <c r="K6917" i="3"/>
  <c r="K6916" i="3"/>
  <c r="K6915" i="3"/>
  <c r="K6914" i="3"/>
  <c r="K6913" i="3"/>
  <c r="K6912" i="3"/>
  <c r="K6911" i="3"/>
  <c r="K6910" i="3"/>
  <c r="K6909" i="3"/>
  <c r="K6908" i="3"/>
  <c r="K6907" i="3"/>
  <c r="K6906" i="3"/>
  <c r="K6905" i="3"/>
  <c r="K6904" i="3"/>
  <c r="K6903" i="3"/>
  <c r="K6902" i="3"/>
  <c r="K6901" i="3"/>
  <c r="K6900" i="3"/>
  <c r="K6899" i="3"/>
  <c r="K6898" i="3"/>
  <c r="K6897" i="3"/>
  <c r="K6896" i="3"/>
  <c r="K6895" i="3"/>
  <c r="K6894" i="3"/>
  <c r="K6893" i="3"/>
  <c r="K6892" i="3"/>
  <c r="K6891" i="3"/>
  <c r="K6890" i="3"/>
  <c r="K6889" i="3"/>
  <c r="K6888" i="3"/>
  <c r="K6887" i="3"/>
  <c r="K6886" i="3"/>
  <c r="K6885" i="3"/>
  <c r="K6884" i="3"/>
  <c r="K6883" i="3"/>
  <c r="K6882" i="3"/>
  <c r="K6881" i="3"/>
  <c r="K6880" i="3"/>
  <c r="K6879" i="3"/>
  <c r="K6878" i="3"/>
  <c r="K6877" i="3"/>
  <c r="K6876" i="3"/>
  <c r="K6875" i="3"/>
  <c r="K6874" i="3"/>
  <c r="K6873" i="3"/>
  <c r="K6872" i="3"/>
  <c r="K6871" i="3"/>
  <c r="K6870" i="3"/>
  <c r="K6869" i="3"/>
  <c r="K6868" i="3"/>
  <c r="K6867" i="3"/>
  <c r="K6866" i="3"/>
  <c r="K6865" i="3"/>
  <c r="K6864" i="3"/>
  <c r="K6863" i="3"/>
  <c r="K6862" i="3"/>
  <c r="K6861" i="3"/>
  <c r="K6860" i="3"/>
  <c r="K6859" i="3"/>
  <c r="K6858" i="3"/>
  <c r="K6857" i="3"/>
  <c r="K6856" i="3"/>
  <c r="K6855" i="3"/>
  <c r="K6854" i="3"/>
  <c r="K6853" i="3"/>
  <c r="K6852" i="3"/>
  <c r="K6851" i="3"/>
  <c r="K6850" i="3"/>
  <c r="K6849" i="3"/>
  <c r="K6848" i="3"/>
  <c r="K6847" i="3"/>
  <c r="K6846" i="3"/>
  <c r="K6845" i="3"/>
  <c r="K6844" i="3"/>
  <c r="K6843" i="3"/>
  <c r="K6842" i="3"/>
  <c r="K6841" i="3"/>
  <c r="K6840" i="3"/>
  <c r="K6839" i="3"/>
  <c r="K6838" i="3"/>
  <c r="K6837" i="3"/>
  <c r="K6836" i="3"/>
  <c r="K6835" i="3"/>
  <c r="K6834" i="3"/>
  <c r="K6833" i="3"/>
  <c r="K6832" i="3"/>
  <c r="K6831" i="3"/>
  <c r="K6830" i="3"/>
  <c r="K6829" i="3"/>
  <c r="K6828" i="3"/>
  <c r="K6827" i="3"/>
  <c r="K6826" i="3"/>
  <c r="K6825" i="3"/>
  <c r="K6824" i="3"/>
  <c r="K6823" i="3"/>
  <c r="K6822" i="3"/>
  <c r="K6821" i="3"/>
  <c r="K6820" i="3"/>
  <c r="K6819" i="3"/>
  <c r="K6818" i="3"/>
  <c r="K6817" i="3"/>
  <c r="K6816" i="3"/>
  <c r="K6815" i="3"/>
  <c r="K6814" i="3"/>
  <c r="K6813" i="3"/>
  <c r="K6812" i="3"/>
  <c r="K6811" i="3"/>
  <c r="K6810" i="3"/>
  <c r="K6809" i="3"/>
  <c r="K6808" i="3"/>
  <c r="K6807" i="3"/>
  <c r="K6806" i="3"/>
  <c r="K6805" i="3"/>
  <c r="K6804" i="3"/>
  <c r="K6803" i="3"/>
  <c r="K6802" i="3"/>
  <c r="K6801" i="3"/>
  <c r="K6800" i="3"/>
  <c r="K6799" i="3"/>
  <c r="K6798" i="3"/>
  <c r="K6797" i="3"/>
  <c r="K6796" i="3"/>
  <c r="K6795" i="3"/>
  <c r="K6794" i="3"/>
  <c r="K6793" i="3"/>
  <c r="K6792" i="3"/>
  <c r="K6791" i="3"/>
  <c r="K6790" i="3"/>
  <c r="K6789" i="3"/>
  <c r="K6788" i="3"/>
  <c r="K6787" i="3"/>
  <c r="K6786" i="3"/>
  <c r="K6785" i="3"/>
  <c r="K6784" i="3"/>
  <c r="K6783" i="3"/>
  <c r="K6782" i="3"/>
  <c r="K6781" i="3"/>
  <c r="K6780" i="3"/>
  <c r="K6779" i="3"/>
  <c r="K6778" i="3"/>
  <c r="K6777" i="3"/>
  <c r="K6776" i="3"/>
  <c r="K6775" i="3"/>
  <c r="K6774" i="3"/>
  <c r="K6773" i="3"/>
  <c r="K6772" i="3"/>
  <c r="K6771" i="3"/>
  <c r="K6770" i="3"/>
  <c r="K6769" i="3"/>
  <c r="K6768" i="3"/>
  <c r="K6767" i="3"/>
  <c r="K6766" i="3"/>
  <c r="K6765" i="3"/>
  <c r="K6764" i="3"/>
  <c r="K6763" i="3"/>
  <c r="K6762" i="3"/>
  <c r="K6761" i="3"/>
  <c r="K6760" i="3"/>
  <c r="K6759" i="3"/>
  <c r="K6758" i="3"/>
  <c r="K6757" i="3"/>
  <c r="K6756" i="3"/>
  <c r="K6755" i="3"/>
  <c r="K6754" i="3"/>
  <c r="K6753" i="3"/>
  <c r="K6752" i="3"/>
  <c r="K6751" i="3"/>
  <c r="K6750" i="3"/>
  <c r="K6749" i="3"/>
  <c r="K6748" i="3"/>
  <c r="K6747" i="3"/>
  <c r="K6746" i="3"/>
  <c r="K6745" i="3"/>
  <c r="K6744" i="3"/>
  <c r="K6743" i="3"/>
  <c r="K6742" i="3"/>
  <c r="K6741" i="3"/>
  <c r="K6740" i="3"/>
  <c r="K6739" i="3"/>
  <c r="K6738" i="3"/>
  <c r="K6737" i="3"/>
  <c r="K6736" i="3"/>
  <c r="K6735" i="3"/>
  <c r="K6734" i="3"/>
  <c r="K6733" i="3"/>
  <c r="K6732" i="3"/>
  <c r="K6731" i="3"/>
  <c r="K6730" i="3"/>
  <c r="K6729" i="3"/>
  <c r="K6728" i="3"/>
  <c r="K6727" i="3"/>
  <c r="K6726" i="3"/>
  <c r="K6725" i="3"/>
  <c r="K6724" i="3"/>
  <c r="K6723" i="3"/>
  <c r="K6722" i="3"/>
  <c r="K6721" i="3"/>
  <c r="K6720" i="3"/>
  <c r="K6719" i="3"/>
  <c r="K6718" i="3"/>
  <c r="K6717" i="3"/>
  <c r="K6716" i="3"/>
  <c r="K6715" i="3"/>
  <c r="K6714" i="3"/>
  <c r="K6713" i="3"/>
  <c r="K6712" i="3"/>
  <c r="K6711" i="3"/>
  <c r="K6710" i="3"/>
  <c r="K6709" i="3"/>
  <c r="K6708" i="3"/>
  <c r="K6707" i="3"/>
  <c r="K6706" i="3"/>
  <c r="K6705" i="3"/>
  <c r="K6704" i="3"/>
  <c r="K6703" i="3"/>
  <c r="K6702" i="3"/>
  <c r="K6701" i="3"/>
  <c r="K6700" i="3"/>
  <c r="K6699" i="3"/>
  <c r="K6698" i="3"/>
  <c r="K6697" i="3"/>
  <c r="K6696" i="3"/>
  <c r="K6695" i="3"/>
  <c r="K6694" i="3"/>
  <c r="K6693" i="3"/>
  <c r="K6692" i="3"/>
  <c r="K6691" i="3"/>
  <c r="K6690" i="3"/>
  <c r="K6689" i="3"/>
  <c r="K6688" i="3"/>
  <c r="K6687" i="3"/>
  <c r="K6686" i="3"/>
  <c r="K6685" i="3"/>
  <c r="K6684" i="3"/>
  <c r="K6683" i="3"/>
  <c r="K6682" i="3"/>
  <c r="K6681" i="3"/>
  <c r="K6680" i="3"/>
  <c r="K6679" i="3"/>
  <c r="K6678" i="3"/>
  <c r="K6677" i="3"/>
  <c r="K6676" i="3"/>
  <c r="K6675" i="3"/>
  <c r="K6674" i="3"/>
  <c r="K6673" i="3"/>
  <c r="K6672" i="3"/>
  <c r="K6671" i="3"/>
  <c r="K6670" i="3"/>
  <c r="K6669" i="3"/>
  <c r="K6668" i="3"/>
  <c r="K6667" i="3"/>
  <c r="K6666" i="3"/>
  <c r="K6665" i="3"/>
  <c r="K6664" i="3"/>
  <c r="K6663" i="3"/>
  <c r="K6662" i="3"/>
  <c r="K6661" i="3"/>
  <c r="K6660" i="3"/>
  <c r="K6659" i="3"/>
  <c r="K6658" i="3"/>
  <c r="K6657" i="3"/>
  <c r="K6656" i="3"/>
  <c r="K6655" i="3"/>
  <c r="K6654" i="3"/>
  <c r="K6653" i="3"/>
  <c r="K6652" i="3"/>
  <c r="K6651" i="3"/>
  <c r="K6650" i="3"/>
  <c r="K6649" i="3"/>
  <c r="K6648" i="3"/>
  <c r="K6647" i="3"/>
  <c r="K6646" i="3"/>
  <c r="K6645" i="3"/>
  <c r="K6644" i="3"/>
  <c r="K6643" i="3"/>
  <c r="K6642" i="3"/>
  <c r="K6641" i="3"/>
  <c r="K6640" i="3"/>
  <c r="K6639" i="3"/>
  <c r="K6638" i="3"/>
  <c r="K6637" i="3"/>
  <c r="K6636" i="3"/>
  <c r="K6635" i="3"/>
  <c r="K6634" i="3"/>
  <c r="K6633" i="3"/>
  <c r="K6632" i="3"/>
  <c r="K6631" i="3"/>
  <c r="K6630" i="3"/>
  <c r="K6629" i="3"/>
  <c r="K6628" i="3"/>
  <c r="K6627" i="3"/>
  <c r="K6626" i="3"/>
  <c r="K6625" i="3"/>
  <c r="K6624" i="3"/>
  <c r="K6623" i="3"/>
  <c r="K6622" i="3"/>
  <c r="K6621" i="3"/>
  <c r="K6620" i="3"/>
  <c r="K6619" i="3"/>
  <c r="K6618" i="3"/>
  <c r="K6617" i="3"/>
  <c r="K6616" i="3"/>
  <c r="K6615" i="3"/>
  <c r="K6614" i="3"/>
  <c r="K6613" i="3"/>
  <c r="K6612" i="3"/>
  <c r="K6611" i="3"/>
  <c r="K6610" i="3"/>
  <c r="K6609" i="3"/>
  <c r="K6608" i="3"/>
  <c r="K6607" i="3"/>
  <c r="K6606" i="3"/>
  <c r="K6605" i="3"/>
  <c r="K6604" i="3"/>
  <c r="K6603" i="3"/>
  <c r="K6602" i="3"/>
  <c r="K6601" i="3"/>
  <c r="K6600" i="3"/>
  <c r="K6599" i="3"/>
  <c r="K6598" i="3"/>
  <c r="K6597" i="3"/>
  <c r="K6596" i="3"/>
  <c r="K6595" i="3"/>
  <c r="K6594" i="3"/>
  <c r="K6593" i="3"/>
  <c r="K6592" i="3"/>
  <c r="K6591" i="3"/>
  <c r="K6590" i="3"/>
  <c r="K6589" i="3"/>
  <c r="K6588" i="3"/>
  <c r="K6587" i="3"/>
  <c r="K6586" i="3"/>
  <c r="K6585" i="3"/>
  <c r="K6584" i="3"/>
  <c r="K6583" i="3"/>
  <c r="K6582" i="3"/>
  <c r="K6581" i="3"/>
  <c r="K6580" i="3"/>
  <c r="K6579" i="3"/>
  <c r="K6578" i="3"/>
  <c r="K6577" i="3"/>
  <c r="K6576" i="3"/>
  <c r="K6575" i="3"/>
  <c r="K6574" i="3"/>
  <c r="K6573" i="3"/>
  <c r="K6572" i="3"/>
  <c r="K6571" i="3"/>
  <c r="K6570" i="3"/>
  <c r="K6569" i="3"/>
  <c r="K6568" i="3"/>
  <c r="K6567" i="3"/>
  <c r="K6566" i="3"/>
  <c r="K6565" i="3"/>
  <c r="K6564" i="3"/>
  <c r="K6563" i="3"/>
  <c r="K6562" i="3"/>
  <c r="K6561" i="3"/>
  <c r="K6560" i="3"/>
  <c r="K6559" i="3"/>
  <c r="K6558" i="3"/>
  <c r="K6557" i="3"/>
  <c r="K6556" i="3"/>
  <c r="K6555" i="3"/>
  <c r="K6554" i="3"/>
  <c r="K6553" i="3"/>
  <c r="K6552" i="3"/>
  <c r="K6551" i="3"/>
  <c r="K6550" i="3"/>
  <c r="K6549" i="3"/>
  <c r="K6548" i="3"/>
  <c r="K6547" i="3"/>
  <c r="K6546" i="3"/>
  <c r="K6545" i="3"/>
  <c r="K6544" i="3"/>
  <c r="K6543" i="3"/>
  <c r="K6542" i="3"/>
  <c r="K6541" i="3"/>
  <c r="K6540" i="3"/>
  <c r="K6539" i="3"/>
  <c r="K6538" i="3"/>
  <c r="K6537" i="3"/>
  <c r="K6536" i="3"/>
  <c r="K6535" i="3"/>
  <c r="K6534" i="3"/>
  <c r="K6533" i="3"/>
  <c r="K6532" i="3"/>
  <c r="K6531" i="3"/>
  <c r="K6530" i="3"/>
  <c r="K6529" i="3"/>
  <c r="K6528" i="3"/>
  <c r="K6527" i="3"/>
  <c r="K6526" i="3"/>
  <c r="K6525" i="3"/>
  <c r="K6524" i="3"/>
  <c r="K6523" i="3"/>
  <c r="K6522" i="3"/>
  <c r="K6521" i="3"/>
  <c r="K6520" i="3"/>
  <c r="K6519" i="3"/>
  <c r="K6518" i="3"/>
  <c r="K6517" i="3"/>
  <c r="K6516" i="3"/>
  <c r="K6515" i="3"/>
  <c r="K6514" i="3"/>
  <c r="K6513" i="3"/>
  <c r="K6512" i="3"/>
  <c r="K6511" i="3"/>
  <c r="K6510" i="3"/>
  <c r="K6509" i="3"/>
  <c r="K6508" i="3"/>
  <c r="K6507" i="3"/>
  <c r="K6506" i="3"/>
  <c r="K6505" i="3"/>
  <c r="K6504" i="3"/>
  <c r="K6503" i="3"/>
  <c r="K6502" i="3"/>
  <c r="K6501" i="3"/>
  <c r="K6500" i="3"/>
  <c r="K6499" i="3"/>
  <c r="K6498" i="3"/>
  <c r="K6497" i="3"/>
  <c r="K6496" i="3"/>
  <c r="K6495" i="3"/>
  <c r="K6494" i="3"/>
  <c r="K6493" i="3"/>
  <c r="K6492" i="3"/>
  <c r="K6491" i="3"/>
  <c r="K6490" i="3"/>
  <c r="K6489" i="3"/>
  <c r="K6488" i="3"/>
  <c r="K6487" i="3"/>
  <c r="K6486" i="3"/>
  <c r="K6485" i="3"/>
  <c r="K6484" i="3"/>
  <c r="K6483" i="3"/>
  <c r="K6482" i="3"/>
  <c r="K6481" i="3"/>
  <c r="K6480" i="3"/>
  <c r="K6479" i="3"/>
  <c r="K6478" i="3"/>
  <c r="K6477" i="3"/>
  <c r="K6476" i="3"/>
  <c r="K6475" i="3"/>
  <c r="K6474" i="3"/>
  <c r="K6473" i="3"/>
  <c r="K6472" i="3"/>
  <c r="K6471" i="3"/>
  <c r="K6470" i="3"/>
  <c r="K6469" i="3"/>
  <c r="K6468" i="3"/>
  <c r="K6467" i="3"/>
  <c r="K6466" i="3"/>
  <c r="K6465" i="3"/>
  <c r="K6464" i="3"/>
  <c r="K6463" i="3"/>
  <c r="K6462" i="3"/>
  <c r="K6461" i="3"/>
  <c r="K6460" i="3"/>
  <c r="K6459" i="3"/>
  <c r="K6458" i="3"/>
  <c r="K6457" i="3"/>
  <c r="K6456" i="3"/>
  <c r="K6455" i="3"/>
  <c r="K6454" i="3"/>
  <c r="K6453" i="3"/>
  <c r="K6452" i="3"/>
  <c r="K6451" i="3"/>
  <c r="K6450" i="3"/>
  <c r="K6449" i="3"/>
  <c r="K6448" i="3"/>
  <c r="K6447" i="3"/>
  <c r="K6446" i="3"/>
  <c r="K6445" i="3"/>
  <c r="K6444" i="3"/>
  <c r="K6443" i="3"/>
  <c r="K6442" i="3"/>
  <c r="K6441" i="3"/>
  <c r="K6440" i="3"/>
  <c r="K6439" i="3"/>
  <c r="K6438" i="3"/>
  <c r="K6437" i="3"/>
  <c r="K6436" i="3"/>
  <c r="K6435" i="3"/>
  <c r="K6434" i="3"/>
  <c r="K6433" i="3"/>
  <c r="K6432" i="3"/>
  <c r="K6431" i="3"/>
  <c r="K6430" i="3"/>
  <c r="K6429" i="3"/>
  <c r="K6428" i="3"/>
  <c r="K6427" i="3"/>
  <c r="K6426" i="3"/>
  <c r="K6425" i="3"/>
  <c r="K6424" i="3"/>
  <c r="K6423" i="3"/>
  <c r="K6422" i="3"/>
  <c r="K6421" i="3"/>
  <c r="K6420" i="3"/>
  <c r="K6419" i="3"/>
  <c r="K6418" i="3"/>
  <c r="K6417" i="3"/>
  <c r="K6416" i="3"/>
  <c r="K6415" i="3"/>
  <c r="K6414" i="3"/>
  <c r="K6413" i="3"/>
  <c r="K6412" i="3"/>
  <c r="K6411" i="3"/>
  <c r="K6410" i="3"/>
  <c r="K6409" i="3"/>
  <c r="K6408" i="3"/>
  <c r="K6407" i="3"/>
  <c r="K6406" i="3"/>
  <c r="K6405" i="3"/>
  <c r="K6404" i="3"/>
  <c r="K6403" i="3"/>
  <c r="K6402" i="3"/>
  <c r="K6401" i="3"/>
  <c r="K6400" i="3"/>
  <c r="K6399" i="3"/>
  <c r="K6398" i="3"/>
  <c r="K6397" i="3"/>
  <c r="K6396" i="3"/>
  <c r="K6395" i="3"/>
  <c r="K6394" i="3"/>
  <c r="K6393" i="3"/>
  <c r="K6392" i="3"/>
  <c r="K6391" i="3"/>
  <c r="K6390" i="3"/>
  <c r="K6389" i="3"/>
  <c r="K6388" i="3"/>
  <c r="K6387" i="3"/>
  <c r="K6386" i="3"/>
  <c r="K6385" i="3"/>
  <c r="K6384" i="3"/>
  <c r="K6383" i="3"/>
  <c r="K6382" i="3"/>
  <c r="K6381" i="3"/>
  <c r="K6380" i="3"/>
  <c r="K6379" i="3"/>
  <c r="K6378" i="3"/>
  <c r="K6377" i="3"/>
  <c r="K6376" i="3"/>
  <c r="K6375" i="3"/>
  <c r="K6374" i="3"/>
  <c r="K6373" i="3"/>
  <c r="K6372" i="3"/>
  <c r="K6371" i="3"/>
  <c r="K6370" i="3"/>
  <c r="K6369" i="3"/>
  <c r="K6368" i="3"/>
  <c r="K6367" i="3"/>
  <c r="K6366" i="3"/>
  <c r="K6365" i="3"/>
  <c r="K6364" i="3"/>
  <c r="K6363" i="3"/>
  <c r="K6362" i="3"/>
  <c r="K6361" i="3"/>
  <c r="K6360" i="3"/>
  <c r="K6359" i="3"/>
  <c r="K6358" i="3"/>
  <c r="K6357" i="3"/>
  <c r="K6356" i="3"/>
  <c r="K6355" i="3"/>
  <c r="K6354" i="3"/>
  <c r="K6353" i="3"/>
  <c r="K6352" i="3"/>
  <c r="K6351" i="3"/>
  <c r="K6350" i="3"/>
  <c r="K6349" i="3"/>
  <c r="K6348" i="3"/>
  <c r="K6347" i="3"/>
  <c r="K6346" i="3"/>
  <c r="K6345" i="3"/>
  <c r="K6344" i="3"/>
  <c r="K6343" i="3"/>
  <c r="K6342" i="3"/>
  <c r="K6341" i="3"/>
  <c r="K6340" i="3"/>
  <c r="K6339" i="3"/>
  <c r="K6338" i="3"/>
  <c r="K6337" i="3"/>
  <c r="K6336" i="3"/>
  <c r="K6335" i="3"/>
  <c r="K6334" i="3"/>
  <c r="K6333" i="3"/>
  <c r="K6332" i="3"/>
  <c r="K6331" i="3"/>
  <c r="K6330" i="3"/>
  <c r="K6329" i="3"/>
  <c r="K6328" i="3"/>
  <c r="K6327" i="3"/>
  <c r="K6326" i="3"/>
  <c r="K6325" i="3"/>
  <c r="K6324" i="3"/>
  <c r="K6323" i="3"/>
  <c r="K6322" i="3"/>
  <c r="K6321" i="3"/>
  <c r="K6320" i="3"/>
  <c r="K6319" i="3"/>
  <c r="K6318" i="3"/>
  <c r="K6317" i="3"/>
  <c r="K6316" i="3"/>
  <c r="K6315" i="3"/>
  <c r="K6314" i="3"/>
  <c r="K6313" i="3"/>
  <c r="K6312" i="3"/>
  <c r="K6311" i="3"/>
  <c r="K6310" i="3"/>
  <c r="K6309" i="3"/>
  <c r="K6308" i="3"/>
  <c r="K6307" i="3"/>
  <c r="K6306" i="3"/>
  <c r="K6305" i="3"/>
  <c r="K6304" i="3"/>
  <c r="K6303" i="3"/>
  <c r="K6302" i="3"/>
  <c r="K6301" i="3"/>
  <c r="K6300" i="3"/>
  <c r="K6299" i="3"/>
  <c r="K6298" i="3"/>
  <c r="K6297" i="3"/>
  <c r="K6296" i="3"/>
  <c r="K6295" i="3"/>
  <c r="K6294" i="3"/>
  <c r="K6293" i="3"/>
  <c r="K6292" i="3"/>
  <c r="K6291" i="3"/>
  <c r="K6290" i="3"/>
  <c r="K6289" i="3"/>
  <c r="K6288" i="3"/>
  <c r="K6287" i="3"/>
  <c r="K6286" i="3"/>
  <c r="K6285" i="3"/>
  <c r="K6284" i="3"/>
  <c r="K6283" i="3"/>
  <c r="K6282" i="3"/>
  <c r="K6281" i="3"/>
  <c r="K6280" i="3"/>
  <c r="K6279" i="3"/>
  <c r="K6278" i="3"/>
  <c r="K6277" i="3"/>
  <c r="K6276" i="3"/>
  <c r="K6275" i="3"/>
  <c r="K6274" i="3"/>
  <c r="K6273" i="3"/>
  <c r="K6272" i="3"/>
  <c r="K6271" i="3"/>
  <c r="K6270" i="3"/>
  <c r="K6269" i="3"/>
  <c r="K6268" i="3"/>
  <c r="K6267" i="3"/>
  <c r="K6266" i="3"/>
  <c r="K6265" i="3"/>
  <c r="K6264" i="3"/>
  <c r="K6263" i="3"/>
  <c r="K6262" i="3"/>
  <c r="K6261" i="3"/>
  <c r="K6260" i="3"/>
  <c r="K6259" i="3"/>
  <c r="K6258" i="3"/>
  <c r="K6257" i="3"/>
  <c r="K6256" i="3"/>
  <c r="K6255" i="3"/>
  <c r="K6254" i="3"/>
  <c r="K6253" i="3"/>
  <c r="K6252" i="3"/>
  <c r="K6251" i="3"/>
  <c r="K6250" i="3"/>
  <c r="K6249" i="3"/>
  <c r="K6248" i="3"/>
  <c r="K6247" i="3"/>
  <c r="K6246" i="3"/>
  <c r="K6245" i="3"/>
  <c r="K6244" i="3"/>
  <c r="K6243" i="3"/>
  <c r="K6242" i="3"/>
  <c r="K6241" i="3"/>
  <c r="K6240" i="3"/>
  <c r="K6239" i="3"/>
  <c r="K6238" i="3"/>
  <c r="K6237" i="3"/>
  <c r="K6236" i="3"/>
  <c r="K6235" i="3"/>
  <c r="K6234" i="3"/>
  <c r="K6233" i="3"/>
  <c r="K6232" i="3"/>
  <c r="K6231" i="3"/>
  <c r="K6230" i="3"/>
  <c r="K6229" i="3"/>
  <c r="K6228" i="3"/>
  <c r="K6227" i="3"/>
  <c r="K6226" i="3"/>
  <c r="K6225" i="3"/>
  <c r="K6224" i="3"/>
  <c r="K6223" i="3"/>
  <c r="K6222" i="3"/>
  <c r="K6221" i="3"/>
  <c r="K6220" i="3"/>
  <c r="K6219" i="3"/>
  <c r="K6218" i="3"/>
  <c r="K6217" i="3"/>
  <c r="K6216" i="3"/>
  <c r="K6215" i="3"/>
  <c r="K6214" i="3"/>
  <c r="K6213" i="3"/>
  <c r="K6212" i="3"/>
  <c r="K6211" i="3"/>
  <c r="K6210" i="3"/>
  <c r="K6209" i="3"/>
  <c r="K6208" i="3"/>
  <c r="K6207" i="3"/>
  <c r="K6206" i="3"/>
  <c r="K6205" i="3"/>
  <c r="K6204" i="3"/>
  <c r="K6203" i="3"/>
  <c r="K6202" i="3"/>
  <c r="K6201" i="3"/>
  <c r="K6200" i="3"/>
  <c r="K6199" i="3"/>
  <c r="K6198" i="3"/>
  <c r="K6197" i="3"/>
  <c r="K6196" i="3"/>
  <c r="K6195" i="3"/>
  <c r="K6194" i="3"/>
  <c r="K6193" i="3"/>
  <c r="K6192" i="3"/>
  <c r="K6191" i="3"/>
  <c r="K6190" i="3"/>
  <c r="K6189" i="3"/>
  <c r="K6188" i="3"/>
  <c r="K6187" i="3"/>
  <c r="K6186" i="3"/>
  <c r="K6185" i="3"/>
  <c r="K6184" i="3"/>
  <c r="K6183" i="3"/>
  <c r="K6182" i="3"/>
  <c r="K6181" i="3"/>
  <c r="K6180" i="3"/>
  <c r="K6179" i="3"/>
  <c r="K6178" i="3"/>
  <c r="K6177" i="3"/>
  <c r="K6176" i="3"/>
  <c r="K6175" i="3"/>
  <c r="K6174" i="3"/>
  <c r="K6173" i="3"/>
  <c r="K6172" i="3"/>
  <c r="K6171" i="3"/>
  <c r="K6170" i="3"/>
  <c r="K6169" i="3"/>
  <c r="K6168" i="3"/>
  <c r="K6167" i="3"/>
  <c r="K6166" i="3"/>
  <c r="K6165" i="3"/>
  <c r="K6164" i="3"/>
  <c r="K6163" i="3"/>
  <c r="K6162" i="3"/>
  <c r="K6161" i="3"/>
  <c r="K6160" i="3"/>
  <c r="K6159" i="3"/>
  <c r="K6158" i="3"/>
  <c r="K6157" i="3"/>
  <c r="K6156" i="3"/>
  <c r="K6155" i="3"/>
  <c r="K6154" i="3"/>
  <c r="K6153" i="3"/>
  <c r="K6152" i="3"/>
  <c r="K6151" i="3"/>
  <c r="K6150" i="3"/>
  <c r="K6149" i="3"/>
  <c r="K6148" i="3"/>
  <c r="K6147" i="3"/>
  <c r="K6146" i="3"/>
  <c r="K6145" i="3"/>
  <c r="K6144" i="3"/>
  <c r="K6143" i="3"/>
  <c r="K6142" i="3"/>
  <c r="K6141" i="3"/>
  <c r="K6140" i="3"/>
  <c r="K6139" i="3"/>
  <c r="K6138" i="3"/>
  <c r="K6137" i="3"/>
  <c r="K6136" i="3"/>
  <c r="K6135" i="3"/>
  <c r="K6134" i="3"/>
  <c r="K6133" i="3"/>
  <c r="K6132" i="3"/>
  <c r="K6131" i="3"/>
  <c r="K6130" i="3"/>
  <c r="K6129" i="3"/>
  <c r="K6128" i="3"/>
  <c r="K6127" i="3"/>
  <c r="K6126" i="3"/>
  <c r="K6125" i="3"/>
  <c r="K6124" i="3"/>
  <c r="K6123" i="3"/>
  <c r="K6122" i="3"/>
  <c r="K6121" i="3"/>
  <c r="K6120" i="3"/>
  <c r="K6119" i="3"/>
  <c r="K6118" i="3"/>
  <c r="K6117" i="3"/>
  <c r="K6116" i="3"/>
  <c r="K6115" i="3"/>
  <c r="K6114" i="3"/>
  <c r="K6113" i="3"/>
  <c r="K6112" i="3"/>
  <c r="K6111" i="3"/>
  <c r="K6110" i="3"/>
  <c r="K6109" i="3"/>
  <c r="K6108" i="3"/>
  <c r="K6107" i="3"/>
  <c r="K6106" i="3"/>
  <c r="K6105" i="3"/>
  <c r="K6104" i="3"/>
  <c r="K6103" i="3"/>
  <c r="K6102" i="3"/>
  <c r="K6101" i="3"/>
  <c r="K6100" i="3"/>
  <c r="K6099" i="3"/>
  <c r="K6098" i="3"/>
  <c r="K6097" i="3"/>
  <c r="K6096" i="3"/>
  <c r="K6095" i="3"/>
  <c r="K6094" i="3"/>
  <c r="K6093" i="3"/>
  <c r="K6092" i="3"/>
  <c r="K6091" i="3"/>
  <c r="K6090" i="3"/>
  <c r="K6089" i="3"/>
  <c r="K6088" i="3"/>
  <c r="K6087" i="3"/>
  <c r="K6086" i="3"/>
  <c r="K6085" i="3"/>
  <c r="K6084" i="3"/>
  <c r="K6083" i="3"/>
  <c r="K6082" i="3"/>
  <c r="K6081" i="3"/>
  <c r="K6080" i="3"/>
  <c r="K6079" i="3"/>
  <c r="K6078" i="3"/>
  <c r="K6077" i="3"/>
  <c r="K6076" i="3"/>
  <c r="K6075" i="3"/>
  <c r="K6074" i="3"/>
  <c r="K6073" i="3"/>
  <c r="K6072" i="3"/>
  <c r="K6071" i="3"/>
  <c r="K6070" i="3"/>
  <c r="K6069" i="3"/>
  <c r="K6068" i="3"/>
  <c r="K6067" i="3"/>
  <c r="K6066" i="3"/>
  <c r="K6065" i="3"/>
  <c r="K6064" i="3"/>
  <c r="K6063" i="3"/>
  <c r="K6062" i="3"/>
  <c r="K6061" i="3"/>
  <c r="K6060" i="3"/>
  <c r="K6059" i="3"/>
  <c r="K6058" i="3"/>
  <c r="K6057" i="3"/>
  <c r="K6056" i="3"/>
  <c r="K6055" i="3"/>
  <c r="K6054" i="3"/>
  <c r="K6053" i="3"/>
  <c r="K6052" i="3"/>
  <c r="K6051" i="3"/>
  <c r="K6050" i="3"/>
  <c r="K6049" i="3"/>
  <c r="K6048" i="3"/>
  <c r="K6047" i="3"/>
  <c r="K6046" i="3"/>
  <c r="K6045" i="3"/>
  <c r="K6044" i="3"/>
  <c r="K6043" i="3"/>
  <c r="K6042" i="3"/>
  <c r="K6041" i="3"/>
  <c r="K6040" i="3"/>
  <c r="K6039" i="3"/>
  <c r="K6038" i="3"/>
  <c r="K6037" i="3"/>
  <c r="K6036" i="3"/>
  <c r="K6035" i="3"/>
  <c r="K6034" i="3"/>
  <c r="K6033" i="3"/>
  <c r="K6032" i="3"/>
  <c r="K6031" i="3"/>
  <c r="K6030" i="3"/>
  <c r="K6029" i="3"/>
  <c r="K6028" i="3"/>
  <c r="K6027" i="3"/>
  <c r="K6026" i="3"/>
  <c r="K6025" i="3"/>
  <c r="K6024" i="3"/>
  <c r="K6023" i="3"/>
  <c r="K6022" i="3"/>
  <c r="K6021" i="3"/>
  <c r="K6020" i="3"/>
  <c r="K6019" i="3"/>
  <c r="K6018" i="3"/>
  <c r="K6017" i="3"/>
  <c r="K6016" i="3"/>
  <c r="K6015" i="3"/>
  <c r="K6014" i="3"/>
  <c r="K6013" i="3"/>
  <c r="K6012" i="3"/>
  <c r="K6011" i="3"/>
  <c r="K6010" i="3"/>
  <c r="K6009" i="3"/>
  <c r="K6008" i="3"/>
  <c r="K6007" i="3"/>
  <c r="K6006" i="3"/>
  <c r="K6005" i="3"/>
  <c r="K6004" i="3"/>
  <c r="K6003" i="3"/>
  <c r="K6002" i="3"/>
  <c r="K6001" i="3"/>
  <c r="K6000" i="3"/>
  <c r="K5999" i="3"/>
  <c r="K5998" i="3"/>
  <c r="K5997" i="3"/>
  <c r="K5996" i="3"/>
  <c r="K5995" i="3"/>
  <c r="K5994" i="3"/>
  <c r="K5993" i="3"/>
  <c r="K5992" i="3"/>
  <c r="K5991" i="3"/>
  <c r="K5990" i="3"/>
  <c r="K5989" i="3"/>
  <c r="K5988" i="3"/>
  <c r="K5987" i="3"/>
  <c r="K5986" i="3"/>
  <c r="K5985" i="3"/>
  <c r="K5984" i="3"/>
  <c r="K5983" i="3"/>
  <c r="K5982" i="3"/>
  <c r="K5981" i="3"/>
  <c r="K5980" i="3"/>
  <c r="K5979" i="3"/>
  <c r="K5978" i="3"/>
  <c r="K5977" i="3"/>
  <c r="K5976" i="3"/>
  <c r="K5975" i="3"/>
  <c r="K5974" i="3"/>
  <c r="K5973" i="3"/>
  <c r="K5972" i="3"/>
  <c r="K5971" i="3"/>
  <c r="K5970" i="3"/>
  <c r="K5969" i="3"/>
  <c r="K5968" i="3"/>
  <c r="K5967" i="3"/>
  <c r="K5966" i="3"/>
  <c r="K5965" i="3"/>
  <c r="K5964" i="3"/>
  <c r="K5963" i="3"/>
  <c r="K5962" i="3"/>
  <c r="K5961" i="3"/>
  <c r="K5960" i="3"/>
  <c r="K5959" i="3"/>
  <c r="K5958" i="3"/>
  <c r="K5957" i="3"/>
  <c r="K5956" i="3"/>
  <c r="K5955" i="3"/>
  <c r="K5954" i="3"/>
  <c r="K5953" i="3"/>
  <c r="K5952" i="3"/>
  <c r="K5951" i="3"/>
  <c r="K5950" i="3"/>
  <c r="K5949" i="3"/>
  <c r="K5948" i="3"/>
  <c r="K5947" i="3"/>
  <c r="K5946" i="3"/>
  <c r="K5945" i="3"/>
  <c r="K5944" i="3"/>
  <c r="K5943" i="3"/>
  <c r="K5942" i="3"/>
  <c r="K5941" i="3"/>
  <c r="K5940" i="3"/>
  <c r="K5939" i="3"/>
  <c r="K5938" i="3"/>
  <c r="K5937" i="3"/>
  <c r="K5936" i="3"/>
  <c r="K5935" i="3"/>
  <c r="K5934" i="3"/>
  <c r="K5933" i="3"/>
  <c r="K5932" i="3"/>
  <c r="K5931" i="3"/>
  <c r="K5930" i="3"/>
  <c r="K5929" i="3"/>
  <c r="K5928" i="3"/>
  <c r="K5927" i="3"/>
  <c r="K5926" i="3"/>
  <c r="K5925" i="3"/>
  <c r="K5924" i="3"/>
  <c r="K5923" i="3"/>
  <c r="K5922" i="3"/>
  <c r="K5921" i="3"/>
  <c r="K5920" i="3"/>
  <c r="K5919" i="3"/>
  <c r="K5918" i="3"/>
  <c r="K5917" i="3"/>
  <c r="K5916" i="3"/>
  <c r="K5915" i="3"/>
  <c r="K5914" i="3"/>
  <c r="K5913" i="3"/>
  <c r="K5912" i="3"/>
  <c r="K5911" i="3"/>
  <c r="K5910" i="3"/>
  <c r="K5909" i="3"/>
  <c r="K5908" i="3"/>
  <c r="K5907" i="3"/>
  <c r="K5906" i="3"/>
  <c r="K5905" i="3"/>
  <c r="K5904" i="3"/>
  <c r="K5903" i="3"/>
  <c r="K5902" i="3"/>
  <c r="K5901" i="3"/>
  <c r="K5900" i="3"/>
  <c r="K5899" i="3"/>
  <c r="K5898" i="3"/>
  <c r="K5897" i="3"/>
  <c r="K5896" i="3"/>
  <c r="K5895" i="3"/>
  <c r="K5894" i="3"/>
  <c r="K5893" i="3"/>
  <c r="K5892" i="3"/>
  <c r="K5891" i="3"/>
  <c r="K5890" i="3"/>
  <c r="K5889" i="3"/>
  <c r="K5888" i="3"/>
  <c r="K5887" i="3"/>
  <c r="K5886" i="3"/>
  <c r="K5885" i="3"/>
  <c r="K5884" i="3"/>
  <c r="K5883" i="3"/>
  <c r="K5882" i="3"/>
  <c r="K5881" i="3"/>
  <c r="K5880" i="3"/>
  <c r="K5879" i="3"/>
  <c r="K5878" i="3"/>
  <c r="K5877" i="3"/>
  <c r="K5876" i="3"/>
  <c r="K5875" i="3"/>
  <c r="K5874" i="3"/>
  <c r="K5873" i="3"/>
  <c r="K5872" i="3"/>
  <c r="K5871" i="3"/>
  <c r="K5870" i="3"/>
  <c r="K5869" i="3"/>
  <c r="K5868" i="3"/>
  <c r="K5867" i="3"/>
  <c r="K5866" i="3"/>
  <c r="K5865" i="3"/>
  <c r="K5864" i="3"/>
  <c r="K5863" i="3"/>
  <c r="K5862" i="3"/>
  <c r="K5861" i="3"/>
  <c r="K5860" i="3"/>
  <c r="K5859" i="3"/>
  <c r="K5858" i="3"/>
  <c r="K5857" i="3"/>
  <c r="K5856" i="3"/>
  <c r="K5855" i="3"/>
  <c r="K5854" i="3"/>
  <c r="K5853" i="3"/>
  <c r="K5852" i="3"/>
  <c r="K5851" i="3"/>
  <c r="K5850" i="3"/>
  <c r="K5849" i="3"/>
  <c r="K5848" i="3"/>
  <c r="K5847" i="3"/>
  <c r="K5846" i="3"/>
  <c r="K5845" i="3"/>
  <c r="K5844" i="3"/>
  <c r="K5843" i="3"/>
  <c r="K5842" i="3"/>
  <c r="K5841" i="3"/>
  <c r="K5840" i="3"/>
  <c r="K5839" i="3"/>
  <c r="K5838" i="3"/>
  <c r="K5837" i="3"/>
  <c r="K5836" i="3"/>
  <c r="K5835" i="3"/>
  <c r="K5834" i="3"/>
  <c r="K5833" i="3"/>
  <c r="K5832" i="3"/>
  <c r="K5831" i="3"/>
  <c r="K5830" i="3"/>
  <c r="K5829" i="3"/>
  <c r="K5828" i="3"/>
  <c r="K5827" i="3"/>
  <c r="K5826" i="3"/>
  <c r="K5825" i="3"/>
  <c r="K5824" i="3"/>
  <c r="K5823" i="3"/>
  <c r="K5822" i="3"/>
  <c r="K5821" i="3"/>
  <c r="K5820" i="3"/>
  <c r="K5819" i="3"/>
  <c r="K5818" i="3"/>
  <c r="K5817" i="3"/>
  <c r="K5816" i="3"/>
  <c r="K5815" i="3"/>
  <c r="K5814" i="3"/>
  <c r="K5813" i="3"/>
  <c r="K5812" i="3"/>
  <c r="K5811" i="3"/>
  <c r="K5810" i="3"/>
  <c r="K5809" i="3"/>
  <c r="K5808" i="3"/>
  <c r="K5807" i="3"/>
  <c r="K5806" i="3"/>
  <c r="K5805" i="3"/>
  <c r="K5804" i="3"/>
  <c r="K5803" i="3"/>
  <c r="K5802" i="3"/>
  <c r="K5801" i="3"/>
  <c r="K5800" i="3"/>
  <c r="K5799" i="3"/>
  <c r="K5798" i="3"/>
  <c r="K5797" i="3"/>
  <c r="K5796" i="3"/>
  <c r="K5795" i="3"/>
  <c r="K5794" i="3"/>
  <c r="K5793" i="3"/>
  <c r="K5792" i="3"/>
  <c r="K5791" i="3"/>
  <c r="K5790" i="3"/>
  <c r="K5789" i="3"/>
  <c r="K5788" i="3"/>
  <c r="K5787" i="3"/>
  <c r="K5786" i="3"/>
  <c r="K5785" i="3"/>
  <c r="K5784" i="3"/>
  <c r="K5783" i="3"/>
  <c r="K5782" i="3"/>
  <c r="K5781" i="3"/>
  <c r="K5780" i="3"/>
  <c r="K5779" i="3"/>
  <c r="K5778" i="3"/>
  <c r="K5777" i="3"/>
  <c r="K5776" i="3"/>
  <c r="K5775" i="3"/>
  <c r="K5774" i="3"/>
  <c r="K5773" i="3"/>
  <c r="K5772" i="3"/>
  <c r="K5771" i="3"/>
  <c r="K5770" i="3"/>
  <c r="K5769" i="3"/>
  <c r="K5768" i="3"/>
  <c r="K5767" i="3"/>
  <c r="K5766" i="3"/>
  <c r="K5765" i="3"/>
  <c r="K5764" i="3"/>
  <c r="K5763" i="3"/>
  <c r="K5762" i="3"/>
  <c r="K5761" i="3"/>
  <c r="K5760" i="3"/>
  <c r="K5759" i="3"/>
  <c r="K5758" i="3"/>
  <c r="K5757" i="3"/>
  <c r="K5756" i="3"/>
  <c r="K5755" i="3"/>
  <c r="K5754" i="3"/>
  <c r="K5753" i="3"/>
  <c r="K5752" i="3"/>
  <c r="K5751" i="3"/>
  <c r="K5750" i="3"/>
  <c r="K5749" i="3"/>
  <c r="K5748" i="3"/>
  <c r="K5747" i="3"/>
  <c r="K5746" i="3"/>
  <c r="K5745" i="3"/>
  <c r="K5744" i="3"/>
  <c r="K5743" i="3"/>
  <c r="K5742" i="3"/>
  <c r="K5741" i="3"/>
  <c r="K5740" i="3"/>
  <c r="K5739" i="3"/>
  <c r="K5738" i="3"/>
  <c r="K5737" i="3"/>
  <c r="K5736" i="3"/>
  <c r="K5735" i="3"/>
  <c r="K5734" i="3"/>
  <c r="K5733" i="3"/>
  <c r="K5732" i="3"/>
  <c r="K5731" i="3"/>
  <c r="K5730" i="3"/>
  <c r="K5729" i="3"/>
  <c r="K5728" i="3"/>
  <c r="K5727" i="3"/>
  <c r="K5726" i="3"/>
  <c r="K5725" i="3"/>
  <c r="K5724" i="3"/>
  <c r="K5723" i="3"/>
  <c r="K5722" i="3"/>
  <c r="K5721" i="3"/>
  <c r="K5720" i="3"/>
  <c r="K5719" i="3"/>
  <c r="K5718" i="3"/>
  <c r="K5717" i="3"/>
  <c r="K5716" i="3"/>
  <c r="K5715" i="3"/>
  <c r="K5714" i="3"/>
  <c r="K5713" i="3"/>
  <c r="K5712" i="3"/>
  <c r="K5711" i="3"/>
  <c r="K5710" i="3"/>
  <c r="K5709" i="3"/>
  <c r="K5708" i="3"/>
  <c r="K5707" i="3"/>
  <c r="K5706" i="3"/>
  <c r="K5705" i="3"/>
  <c r="K5704" i="3"/>
  <c r="K5703" i="3"/>
  <c r="K5702" i="3"/>
  <c r="K5701" i="3"/>
  <c r="K5700" i="3"/>
  <c r="K5699" i="3"/>
  <c r="K5698" i="3"/>
  <c r="K5697" i="3"/>
  <c r="K5696" i="3"/>
  <c r="K5695" i="3"/>
  <c r="K5694" i="3"/>
  <c r="K5693" i="3"/>
  <c r="K5692" i="3"/>
  <c r="K5691" i="3"/>
  <c r="K5690" i="3"/>
  <c r="K5689" i="3"/>
  <c r="K5688" i="3"/>
  <c r="K5687" i="3"/>
  <c r="K5686" i="3"/>
  <c r="K5685" i="3"/>
  <c r="K5684" i="3"/>
  <c r="K5683" i="3"/>
  <c r="K5682" i="3"/>
  <c r="K5681" i="3"/>
  <c r="K5680" i="3"/>
  <c r="K5679" i="3"/>
  <c r="K5678" i="3"/>
  <c r="K5677" i="3"/>
  <c r="K5676" i="3"/>
  <c r="K5675" i="3"/>
  <c r="K5674" i="3"/>
  <c r="K5673" i="3"/>
  <c r="K5672" i="3"/>
  <c r="K5671" i="3"/>
  <c r="K5670" i="3"/>
  <c r="K5669" i="3"/>
  <c r="K5668" i="3"/>
  <c r="K5667" i="3"/>
  <c r="K5666" i="3"/>
  <c r="K5665" i="3"/>
  <c r="K5664" i="3"/>
  <c r="K5663" i="3"/>
  <c r="K5662" i="3"/>
  <c r="K5661" i="3"/>
  <c r="K5660" i="3"/>
  <c r="K5659" i="3"/>
  <c r="K5658" i="3"/>
  <c r="K5657" i="3"/>
  <c r="K5656" i="3"/>
  <c r="K5655" i="3"/>
  <c r="K5654" i="3"/>
  <c r="K5653" i="3"/>
  <c r="K5652" i="3"/>
  <c r="K5651" i="3"/>
  <c r="K5650" i="3"/>
  <c r="K5649" i="3"/>
  <c r="K5648" i="3"/>
  <c r="K5647" i="3"/>
  <c r="K5646" i="3"/>
  <c r="K5645" i="3"/>
  <c r="K5644" i="3"/>
  <c r="K5643" i="3"/>
  <c r="K5642" i="3"/>
  <c r="K5641" i="3"/>
  <c r="K5640" i="3"/>
  <c r="K5639" i="3"/>
  <c r="K5638" i="3"/>
  <c r="K5637" i="3"/>
  <c r="K5636" i="3"/>
  <c r="K5635" i="3"/>
  <c r="K5634" i="3"/>
  <c r="K5633" i="3"/>
  <c r="K5632" i="3"/>
  <c r="K5631" i="3"/>
  <c r="K5630" i="3"/>
  <c r="K5629" i="3"/>
  <c r="K5628" i="3"/>
  <c r="K5627" i="3"/>
  <c r="K5626" i="3"/>
  <c r="K5625" i="3"/>
  <c r="K5624" i="3"/>
  <c r="K5623" i="3"/>
  <c r="K5622" i="3"/>
  <c r="K5621" i="3"/>
  <c r="K5620" i="3"/>
  <c r="K5619" i="3"/>
  <c r="K5618" i="3"/>
  <c r="K5617" i="3"/>
  <c r="K5616" i="3"/>
  <c r="K5615" i="3"/>
  <c r="K5614" i="3"/>
  <c r="K5613" i="3"/>
  <c r="K5612" i="3"/>
  <c r="K5611" i="3"/>
  <c r="K5610" i="3"/>
  <c r="K5609" i="3"/>
  <c r="K5608" i="3"/>
  <c r="K5607" i="3"/>
  <c r="K5606" i="3"/>
  <c r="K5605" i="3"/>
  <c r="K5604" i="3"/>
  <c r="K5603" i="3"/>
  <c r="K5602" i="3"/>
  <c r="K5601" i="3"/>
  <c r="K5600" i="3"/>
  <c r="K5599" i="3"/>
  <c r="K5598" i="3"/>
  <c r="K5597" i="3"/>
  <c r="K5596" i="3"/>
  <c r="K5595" i="3"/>
  <c r="K5594" i="3"/>
  <c r="K5593" i="3"/>
  <c r="K5592" i="3"/>
  <c r="K5591" i="3"/>
  <c r="K5590" i="3"/>
  <c r="K5589" i="3"/>
  <c r="K5588" i="3"/>
  <c r="K5587" i="3"/>
  <c r="K5586" i="3"/>
  <c r="K5585" i="3"/>
  <c r="K5584" i="3"/>
  <c r="K5583" i="3"/>
  <c r="K5582" i="3"/>
  <c r="K5581" i="3"/>
  <c r="K5580" i="3"/>
  <c r="K5579" i="3"/>
  <c r="K5578" i="3"/>
  <c r="K5577" i="3"/>
  <c r="K5576" i="3"/>
  <c r="K5575" i="3"/>
  <c r="K5574" i="3"/>
  <c r="K5573" i="3"/>
  <c r="K5572" i="3"/>
  <c r="K5571" i="3"/>
  <c r="K5570" i="3"/>
  <c r="K5569" i="3"/>
  <c r="K5568" i="3"/>
  <c r="K5567" i="3"/>
  <c r="K5566" i="3"/>
  <c r="K5565" i="3"/>
  <c r="K5564" i="3"/>
  <c r="K5563" i="3"/>
  <c r="K5562" i="3"/>
  <c r="K5561" i="3"/>
  <c r="K5560" i="3"/>
  <c r="K5559" i="3"/>
  <c r="K5558" i="3"/>
  <c r="K5557" i="3"/>
  <c r="K5556" i="3"/>
  <c r="K5555" i="3"/>
  <c r="K5554" i="3"/>
  <c r="K5553" i="3"/>
  <c r="K5552" i="3"/>
  <c r="K5551" i="3"/>
  <c r="K5550" i="3"/>
  <c r="K5549" i="3"/>
  <c r="K5548" i="3"/>
  <c r="K5547" i="3"/>
  <c r="K5546" i="3"/>
  <c r="K5545" i="3"/>
  <c r="K5544" i="3"/>
  <c r="K5543" i="3"/>
  <c r="K5542" i="3"/>
  <c r="K5541" i="3"/>
  <c r="K5540" i="3"/>
  <c r="K5539" i="3"/>
  <c r="K5538" i="3"/>
  <c r="K5537" i="3"/>
  <c r="K5536" i="3"/>
  <c r="K5535" i="3"/>
  <c r="K5534" i="3"/>
  <c r="K5533" i="3"/>
  <c r="K5532" i="3"/>
  <c r="K5531" i="3"/>
  <c r="K5530" i="3"/>
  <c r="K5529" i="3"/>
  <c r="K5528" i="3"/>
  <c r="K5527" i="3"/>
  <c r="K5526" i="3"/>
  <c r="K5525" i="3"/>
  <c r="K5524" i="3"/>
  <c r="K5523" i="3"/>
  <c r="K5522" i="3"/>
  <c r="K5521" i="3"/>
  <c r="K5520" i="3"/>
  <c r="K5519" i="3"/>
  <c r="K5518" i="3"/>
  <c r="K5517" i="3"/>
  <c r="K5516" i="3"/>
  <c r="K5515" i="3"/>
  <c r="K5514" i="3"/>
  <c r="K5513" i="3"/>
  <c r="K5512" i="3"/>
  <c r="K5511" i="3"/>
  <c r="K5510" i="3"/>
  <c r="K5509" i="3"/>
  <c r="K5508" i="3"/>
  <c r="K5507" i="3"/>
  <c r="K5506" i="3"/>
  <c r="K5505" i="3"/>
  <c r="K5504" i="3"/>
  <c r="K5503" i="3"/>
  <c r="K5502" i="3"/>
  <c r="K5501" i="3"/>
  <c r="K5500" i="3"/>
  <c r="K5499" i="3"/>
  <c r="K5498" i="3"/>
  <c r="K5497" i="3"/>
  <c r="K5496" i="3"/>
  <c r="K5495" i="3"/>
  <c r="K5494" i="3"/>
  <c r="K5493" i="3"/>
  <c r="K5492" i="3"/>
  <c r="K5491" i="3"/>
  <c r="K5490" i="3"/>
  <c r="K5489" i="3"/>
  <c r="K5488" i="3"/>
  <c r="K5487" i="3"/>
  <c r="K5486" i="3"/>
  <c r="K5485" i="3"/>
  <c r="K5484" i="3"/>
  <c r="K5483" i="3"/>
  <c r="K5482" i="3"/>
  <c r="K5481" i="3"/>
  <c r="K5480" i="3"/>
  <c r="K5479" i="3"/>
  <c r="K5478" i="3"/>
  <c r="K5477" i="3"/>
  <c r="K5476" i="3"/>
  <c r="K5475" i="3"/>
  <c r="K5474" i="3"/>
  <c r="K5473" i="3"/>
  <c r="K5472" i="3"/>
  <c r="K5471" i="3"/>
  <c r="K5470" i="3"/>
  <c r="K5469" i="3"/>
  <c r="K5468" i="3"/>
  <c r="K5467" i="3"/>
  <c r="K5466" i="3"/>
  <c r="K5465" i="3"/>
  <c r="K5464" i="3"/>
  <c r="K5463" i="3"/>
  <c r="K5462" i="3"/>
  <c r="K5461" i="3"/>
  <c r="K5460" i="3"/>
  <c r="K5459" i="3"/>
  <c r="K5458" i="3"/>
  <c r="K5457" i="3"/>
  <c r="K5456" i="3"/>
  <c r="K5455" i="3"/>
  <c r="K5454" i="3"/>
  <c r="K5453" i="3"/>
  <c r="K5452" i="3"/>
  <c r="K5451" i="3"/>
  <c r="K5450" i="3"/>
  <c r="K5449" i="3"/>
  <c r="K5448" i="3"/>
  <c r="K5447" i="3"/>
  <c r="K5446" i="3"/>
  <c r="K5445" i="3"/>
  <c r="K5444" i="3"/>
  <c r="K5443" i="3"/>
  <c r="K5442" i="3"/>
  <c r="K5441" i="3"/>
  <c r="K5440" i="3"/>
  <c r="K5439" i="3"/>
  <c r="K5438" i="3"/>
  <c r="K5437" i="3"/>
  <c r="K5436" i="3"/>
  <c r="K5435" i="3"/>
  <c r="K5434" i="3"/>
  <c r="K5433" i="3"/>
  <c r="K5432" i="3"/>
  <c r="K5431" i="3"/>
  <c r="K5430" i="3"/>
  <c r="K5429" i="3"/>
  <c r="K5428" i="3"/>
  <c r="K5427" i="3"/>
  <c r="K5426" i="3"/>
  <c r="K5425" i="3"/>
  <c r="K5424" i="3"/>
  <c r="K5423" i="3"/>
  <c r="K5422" i="3"/>
  <c r="K5421" i="3"/>
  <c r="K5420" i="3"/>
  <c r="K5419" i="3"/>
  <c r="K5418" i="3"/>
  <c r="K5417" i="3"/>
  <c r="K5416" i="3"/>
  <c r="K5415" i="3"/>
  <c r="K5414" i="3"/>
  <c r="K5413" i="3"/>
  <c r="K5412" i="3"/>
  <c r="K5411" i="3"/>
  <c r="K5410" i="3"/>
  <c r="K5409" i="3"/>
  <c r="K5408" i="3"/>
  <c r="K5407" i="3"/>
  <c r="K5406" i="3"/>
  <c r="K5405" i="3"/>
  <c r="K5404" i="3"/>
  <c r="K5403" i="3"/>
  <c r="K5402" i="3"/>
  <c r="K5401" i="3"/>
  <c r="K5400" i="3"/>
  <c r="K5399" i="3"/>
  <c r="K5398" i="3"/>
  <c r="K5397" i="3"/>
  <c r="K5396" i="3"/>
  <c r="K5395" i="3"/>
  <c r="K5394" i="3"/>
  <c r="K5393" i="3"/>
  <c r="K5392" i="3"/>
  <c r="K5391" i="3"/>
  <c r="K5390" i="3"/>
  <c r="K5389" i="3"/>
  <c r="K5388" i="3"/>
  <c r="K5387" i="3"/>
  <c r="K5386" i="3"/>
  <c r="K5385" i="3"/>
  <c r="K5384" i="3"/>
  <c r="K5383" i="3"/>
  <c r="K5382" i="3"/>
  <c r="K5381" i="3"/>
  <c r="K5380" i="3"/>
  <c r="K5379" i="3"/>
  <c r="K5378" i="3"/>
  <c r="K5377" i="3"/>
  <c r="K5376" i="3"/>
  <c r="K5375" i="3"/>
  <c r="K5374" i="3"/>
  <c r="K5373" i="3"/>
  <c r="K5372" i="3"/>
  <c r="K5371" i="3"/>
  <c r="K5370" i="3"/>
  <c r="K5369" i="3"/>
  <c r="K5368" i="3"/>
  <c r="K5367" i="3"/>
  <c r="K5366" i="3"/>
  <c r="K5365" i="3"/>
  <c r="K5364" i="3"/>
  <c r="K5363" i="3"/>
  <c r="K5362" i="3"/>
  <c r="K5361" i="3"/>
  <c r="K5360" i="3"/>
  <c r="K5359" i="3"/>
  <c r="K5358" i="3"/>
  <c r="K5357" i="3"/>
  <c r="K5356" i="3"/>
  <c r="K5355" i="3"/>
  <c r="K5354" i="3"/>
  <c r="K5353" i="3"/>
  <c r="K5352" i="3"/>
  <c r="K5351" i="3"/>
  <c r="K5350" i="3"/>
  <c r="K5349" i="3"/>
  <c r="K5348" i="3"/>
  <c r="K5347" i="3"/>
  <c r="K5346" i="3"/>
  <c r="K5345" i="3"/>
  <c r="K5344" i="3"/>
  <c r="K5343" i="3"/>
  <c r="K5342" i="3"/>
  <c r="K5341" i="3"/>
  <c r="K5340" i="3"/>
  <c r="K5339" i="3"/>
  <c r="K5338" i="3"/>
  <c r="K5337" i="3"/>
  <c r="K5336" i="3"/>
  <c r="K5335" i="3"/>
  <c r="K5334" i="3"/>
  <c r="K5333" i="3"/>
  <c r="K5332" i="3"/>
  <c r="K5331" i="3"/>
  <c r="K5330" i="3"/>
  <c r="K5329" i="3"/>
  <c r="K5328" i="3"/>
  <c r="K5327" i="3"/>
  <c r="K5326" i="3"/>
  <c r="K5325" i="3"/>
  <c r="K5324" i="3"/>
  <c r="K5323" i="3"/>
  <c r="K5322" i="3"/>
  <c r="K5321" i="3"/>
  <c r="K5320" i="3"/>
  <c r="K5319" i="3"/>
  <c r="K5318" i="3"/>
  <c r="K5317" i="3"/>
  <c r="K5316" i="3"/>
  <c r="K5315" i="3"/>
  <c r="K5314" i="3"/>
  <c r="K5313" i="3"/>
  <c r="K5312" i="3"/>
  <c r="K5311" i="3"/>
  <c r="K5310" i="3"/>
  <c r="K5309" i="3"/>
  <c r="K5308" i="3"/>
  <c r="K5307" i="3"/>
  <c r="K5306" i="3"/>
  <c r="K5305" i="3"/>
  <c r="K5304" i="3"/>
  <c r="K5303" i="3"/>
  <c r="K5302" i="3"/>
  <c r="K5301" i="3"/>
  <c r="K5300" i="3"/>
  <c r="K5299" i="3"/>
  <c r="K5298" i="3"/>
  <c r="K5297" i="3"/>
  <c r="K5296" i="3"/>
  <c r="K5295" i="3"/>
  <c r="K5294" i="3"/>
  <c r="K5293" i="3"/>
  <c r="K5292" i="3"/>
  <c r="K5291" i="3"/>
  <c r="K5290" i="3"/>
  <c r="K5289" i="3"/>
  <c r="K5288" i="3"/>
  <c r="K5287" i="3"/>
  <c r="K5286" i="3"/>
  <c r="K5285" i="3"/>
  <c r="K5284" i="3"/>
  <c r="K5283" i="3"/>
  <c r="K5282" i="3"/>
  <c r="K5281" i="3"/>
  <c r="K5280" i="3"/>
  <c r="K5279" i="3"/>
  <c r="K5278" i="3"/>
  <c r="K5277" i="3"/>
  <c r="K5276" i="3"/>
  <c r="K5275" i="3"/>
  <c r="K5274" i="3"/>
  <c r="K5273" i="3"/>
  <c r="K5272" i="3"/>
  <c r="K5271" i="3"/>
  <c r="K5270" i="3"/>
  <c r="K5269" i="3"/>
  <c r="K5268" i="3"/>
  <c r="K5267" i="3"/>
  <c r="K5266" i="3"/>
  <c r="K5265" i="3"/>
  <c r="K5264" i="3"/>
  <c r="K5263" i="3"/>
  <c r="K5262" i="3"/>
  <c r="K5261" i="3"/>
  <c r="K5260" i="3"/>
  <c r="K5259" i="3"/>
  <c r="K5258" i="3"/>
  <c r="K5257" i="3"/>
  <c r="K5256" i="3"/>
  <c r="K5255" i="3"/>
  <c r="K5254" i="3"/>
  <c r="K5253" i="3"/>
  <c r="K5252" i="3"/>
  <c r="K5251" i="3"/>
  <c r="K5250" i="3"/>
  <c r="K5249" i="3"/>
  <c r="K5248" i="3"/>
  <c r="K5247" i="3"/>
  <c r="K5246" i="3"/>
  <c r="K5245" i="3"/>
  <c r="K5244" i="3"/>
  <c r="K5243" i="3"/>
  <c r="K5242" i="3"/>
  <c r="K5241" i="3"/>
  <c r="K5240" i="3"/>
  <c r="K5239" i="3"/>
  <c r="K5238" i="3"/>
  <c r="K5237" i="3"/>
  <c r="K5236" i="3"/>
  <c r="K5235" i="3"/>
  <c r="K5234" i="3"/>
  <c r="K5233" i="3"/>
  <c r="K5232" i="3"/>
  <c r="K5231" i="3"/>
  <c r="K5230" i="3"/>
  <c r="K5229" i="3"/>
  <c r="K5228" i="3"/>
  <c r="K5227" i="3"/>
  <c r="K5226" i="3"/>
  <c r="K5225" i="3"/>
  <c r="K5224" i="3"/>
  <c r="K5223" i="3"/>
  <c r="K5222" i="3"/>
  <c r="K5221" i="3"/>
  <c r="K5220" i="3"/>
  <c r="K5219" i="3"/>
  <c r="K5218" i="3"/>
  <c r="K5217" i="3"/>
  <c r="K5216" i="3"/>
  <c r="K5215" i="3"/>
  <c r="K5214" i="3"/>
  <c r="K5213" i="3"/>
  <c r="K5212" i="3"/>
  <c r="K5211" i="3"/>
  <c r="K5210" i="3"/>
  <c r="K5209" i="3"/>
  <c r="K5208" i="3"/>
  <c r="K5207" i="3"/>
  <c r="K5206" i="3"/>
  <c r="K5205" i="3"/>
  <c r="K5204" i="3"/>
  <c r="K5203" i="3"/>
  <c r="K5202" i="3"/>
  <c r="K5201" i="3"/>
  <c r="K5200" i="3"/>
  <c r="K5199" i="3"/>
  <c r="K5198" i="3"/>
  <c r="K5197" i="3"/>
  <c r="K5196" i="3"/>
  <c r="K5195" i="3"/>
  <c r="K5194" i="3"/>
  <c r="K5193" i="3"/>
  <c r="K5192" i="3"/>
  <c r="K5191" i="3"/>
  <c r="K5190" i="3"/>
  <c r="K5189" i="3"/>
  <c r="K5188" i="3"/>
  <c r="K5187" i="3"/>
  <c r="K5186" i="3"/>
  <c r="K5185" i="3"/>
  <c r="K5184" i="3"/>
  <c r="K5183" i="3"/>
  <c r="K5182" i="3"/>
  <c r="K5181" i="3"/>
  <c r="K5180" i="3"/>
  <c r="K5179" i="3"/>
  <c r="K5178" i="3"/>
  <c r="K5177" i="3"/>
  <c r="K5176" i="3"/>
  <c r="K5175" i="3"/>
  <c r="K5174" i="3"/>
  <c r="K5173" i="3"/>
  <c r="K5172" i="3"/>
  <c r="K5171" i="3"/>
  <c r="K5170" i="3"/>
  <c r="K5169" i="3"/>
  <c r="K5168" i="3"/>
  <c r="K5167" i="3"/>
  <c r="K5166" i="3"/>
  <c r="K5165" i="3"/>
  <c r="K5164" i="3"/>
  <c r="K5163" i="3"/>
  <c r="K5162" i="3"/>
  <c r="K5161" i="3"/>
  <c r="K5160" i="3"/>
  <c r="K5159" i="3"/>
  <c r="K5158" i="3"/>
  <c r="K5157" i="3"/>
  <c r="K5156" i="3"/>
  <c r="K5155" i="3"/>
  <c r="K5154" i="3"/>
  <c r="K5153" i="3"/>
  <c r="K5152" i="3"/>
  <c r="K5151" i="3"/>
  <c r="K5150" i="3"/>
  <c r="K5149" i="3"/>
  <c r="K5148" i="3"/>
  <c r="K5147" i="3"/>
  <c r="K5146" i="3"/>
  <c r="K5145" i="3"/>
  <c r="K5144" i="3"/>
  <c r="K5143" i="3"/>
  <c r="K5142" i="3"/>
  <c r="K5141" i="3"/>
  <c r="K5140" i="3"/>
  <c r="K5139" i="3"/>
  <c r="K5138" i="3"/>
  <c r="K5137" i="3"/>
  <c r="K5136" i="3"/>
  <c r="K5135" i="3"/>
  <c r="K5134" i="3"/>
  <c r="K5133" i="3"/>
  <c r="K5132" i="3"/>
  <c r="K5131" i="3"/>
  <c r="K5130" i="3"/>
  <c r="K5129" i="3"/>
  <c r="K5128" i="3"/>
  <c r="K5127" i="3"/>
  <c r="K5126" i="3"/>
  <c r="K5125" i="3"/>
  <c r="K5124" i="3"/>
  <c r="K5123" i="3"/>
  <c r="K5122" i="3"/>
  <c r="K5121" i="3"/>
  <c r="K5120" i="3"/>
  <c r="K5119" i="3"/>
  <c r="K5118" i="3"/>
  <c r="K5117" i="3"/>
  <c r="K5116" i="3"/>
  <c r="K5115" i="3"/>
  <c r="K5114" i="3"/>
  <c r="K5113" i="3"/>
  <c r="K5112" i="3"/>
  <c r="K5111" i="3"/>
  <c r="K5110" i="3"/>
  <c r="K5109" i="3"/>
  <c r="K5108" i="3"/>
  <c r="K5107" i="3"/>
  <c r="K5106" i="3"/>
  <c r="K5105" i="3"/>
  <c r="K5104" i="3"/>
  <c r="K5103" i="3"/>
  <c r="K5102" i="3"/>
  <c r="K5101" i="3"/>
  <c r="K5100" i="3"/>
  <c r="K5099" i="3"/>
  <c r="K5098" i="3"/>
  <c r="K5097" i="3"/>
  <c r="K5096" i="3"/>
  <c r="K5095" i="3"/>
  <c r="K5094" i="3"/>
  <c r="K5093" i="3"/>
  <c r="K5092" i="3"/>
  <c r="K5091" i="3"/>
  <c r="K5090" i="3"/>
  <c r="K5089" i="3"/>
  <c r="K5088" i="3"/>
  <c r="K5087" i="3"/>
  <c r="K5086" i="3"/>
  <c r="K5085" i="3"/>
  <c r="K5084" i="3"/>
  <c r="K5083" i="3"/>
  <c r="K5082" i="3"/>
  <c r="K5081" i="3"/>
  <c r="K5080" i="3"/>
  <c r="K5079" i="3"/>
  <c r="K5078" i="3"/>
  <c r="K5077" i="3"/>
  <c r="K5076" i="3"/>
  <c r="K5075" i="3"/>
  <c r="K5074" i="3"/>
  <c r="K5073" i="3"/>
  <c r="K5072" i="3"/>
  <c r="K5071" i="3"/>
  <c r="K5070" i="3"/>
  <c r="K5069" i="3"/>
  <c r="K5068" i="3"/>
  <c r="K5067" i="3"/>
  <c r="K5066" i="3"/>
  <c r="K5065" i="3"/>
  <c r="K5064" i="3"/>
  <c r="K5063" i="3"/>
  <c r="K5062" i="3"/>
  <c r="K5061" i="3"/>
  <c r="K5060" i="3"/>
  <c r="K5059" i="3"/>
  <c r="K5058" i="3"/>
  <c r="K5057" i="3"/>
  <c r="K5056" i="3"/>
  <c r="K5055" i="3"/>
  <c r="K5054" i="3"/>
  <c r="K5053" i="3"/>
  <c r="K5052" i="3"/>
  <c r="K5051" i="3"/>
  <c r="K5050" i="3"/>
  <c r="K5049" i="3"/>
  <c r="K5048" i="3"/>
  <c r="K5047" i="3"/>
  <c r="K5046" i="3"/>
  <c r="K5045" i="3"/>
  <c r="K5044" i="3"/>
  <c r="K5043" i="3"/>
  <c r="K5042" i="3"/>
  <c r="K5041" i="3"/>
  <c r="K5040" i="3"/>
  <c r="K5039" i="3"/>
  <c r="K5038" i="3"/>
  <c r="K5037" i="3"/>
  <c r="K5036" i="3"/>
  <c r="K5035" i="3"/>
  <c r="K5034" i="3"/>
  <c r="K5033" i="3"/>
  <c r="K5032" i="3"/>
  <c r="K5031" i="3"/>
  <c r="K5030" i="3"/>
  <c r="K5029" i="3"/>
  <c r="K5028" i="3"/>
  <c r="K5027" i="3"/>
  <c r="K5026" i="3"/>
  <c r="K5025" i="3"/>
  <c r="K5024" i="3"/>
  <c r="K5023" i="3"/>
  <c r="K5022" i="3"/>
  <c r="K5021" i="3"/>
  <c r="K5020" i="3"/>
  <c r="K5019" i="3"/>
  <c r="K5018" i="3"/>
  <c r="K5017" i="3"/>
  <c r="K5016" i="3"/>
  <c r="K5015" i="3"/>
  <c r="K5014" i="3"/>
  <c r="K5013" i="3"/>
  <c r="K5012" i="3"/>
  <c r="K5011" i="3"/>
  <c r="K5010" i="3"/>
  <c r="K5009" i="3"/>
  <c r="K5008" i="3"/>
  <c r="K5007" i="3"/>
  <c r="K5006" i="3"/>
  <c r="K5005" i="3"/>
  <c r="K5004" i="3"/>
  <c r="K5003" i="3"/>
  <c r="K5002" i="3"/>
  <c r="K5001" i="3"/>
  <c r="K5000" i="3"/>
  <c r="K4999" i="3"/>
  <c r="K4998" i="3"/>
  <c r="K4997" i="3"/>
  <c r="K4996" i="3"/>
  <c r="K4995" i="3"/>
  <c r="K4994" i="3"/>
  <c r="K4993" i="3"/>
  <c r="K4992" i="3"/>
  <c r="K4991" i="3"/>
  <c r="K4990" i="3"/>
  <c r="K4989" i="3"/>
  <c r="K4988" i="3"/>
  <c r="K4987" i="3"/>
  <c r="K4986" i="3"/>
  <c r="K4985" i="3"/>
  <c r="K4984" i="3"/>
  <c r="K4983" i="3"/>
  <c r="K4982" i="3"/>
  <c r="K4981" i="3"/>
  <c r="K4980" i="3"/>
  <c r="K4979" i="3"/>
  <c r="K4978" i="3"/>
  <c r="K4977" i="3"/>
  <c r="K4976" i="3"/>
  <c r="K4975" i="3"/>
  <c r="K4974" i="3"/>
  <c r="K4973" i="3"/>
  <c r="K4972" i="3"/>
  <c r="K4971" i="3"/>
  <c r="K4970" i="3"/>
  <c r="K4969" i="3"/>
  <c r="K4968" i="3"/>
  <c r="K4967" i="3"/>
  <c r="K4966" i="3"/>
  <c r="K4965" i="3"/>
  <c r="K4964" i="3"/>
  <c r="K4963" i="3"/>
  <c r="K4962" i="3"/>
  <c r="K4961" i="3"/>
  <c r="K4960" i="3"/>
  <c r="K4959" i="3"/>
  <c r="K4958" i="3"/>
  <c r="K4957" i="3"/>
  <c r="K4956" i="3"/>
  <c r="K4955" i="3"/>
  <c r="K4954" i="3"/>
  <c r="K4953" i="3"/>
  <c r="K4952" i="3"/>
  <c r="K4951" i="3"/>
  <c r="K4950" i="3"/>
  <c r="K4949" i="3"/>
  <c r="K4948" i="3"/>
  <c r="K4947" i="3"/>
  <c r="K4946" i="3"/>
  <c r="K4945" i="3"/>
  <c r="K4944" i="3"/>
  <c r="K4943" i="3"/>
  <c r="K4942" i="3"/>
  <c r="K4941" i="3"/>
  <c r="K4940" i="3"/>
  <c r="K4939" i="3"/>
  <c r="K4938" i="3"/>
  <c r="K4937" i="3"/>
  <c r="K4936" i="3"/>
  <c r="K4935" i="3"/>
  <c r="K4934" i="3"/>
  <c r="K4933" i="3"/>
  <c r="K4932" i="3"/>
  <c r="K4931" i="3"/>
  <c r="K4930" i="3"/>
  <c r="K4929" i="3"/>
  <c r="K4928" i="3"/>
  <c r="K4927" i="3"/>
  <c r="K4926" i="3"/>
  <c r="K4925" i="3"/>
  <c r="K4924" i="3"/>
  <c r="K4923" i="3"/>
  <c r="K4922" i="3"/>
  <c r="K4921" i="3"/>
  <c r="K4920" i="3"/>
  <c r="K4919" i="3"/>
  <c r="K4918" i="3"/>
  <c r="K4917" i="3"/>
  <c r="K4916" i="3"/>
  <c r="K4915" i="3"/>
  <c r="K4914" i="3"/>
  <c r="K4913" i="3"/>
  <c r="K4912" i="3"/>
  <c r="K4911" i="3"/>
  <c r="K4910" i="3"/>
  <c r="K4909" i="3"/>
  <c r="K4908" i="3"/>
  <c r="K4907" i="3"/>
  <c r="K4906" i="3"/>
  <c r="K4905" i="3"/>
  <c r="K4904" i="3"/>
  <c r="K4903" i="3"/>
  <c r="K4902" i="3"/>
  <c r="K4901" i="3"/>
  <c r="K4900" i="3"/>
  <c r="K4899" i="3"/>
  <c r="K4898" i="3"/>
  <c r="K4897" i="3"/>
  <c r="K4896" i="3"/>
  <c r="K4895" i="3"/>
  <c r="K4894" i="3"/>
  <c r="K4893" i="3"/>
  <c r="K4892" i="3"/>
  <c r="K4891" i="3"/>
  <c r="K4890" i="3"/>
  <c r="K4889" i="3"/>
  <c r="K4888" i="3"/>
  <c r="K4887" i="3"/>
  <c r="K4886" i="3"/>
  <c r="K4885" i="3"/>
  <c r="K4884" i="3"/>
  <c r="K4883" i="3"/>
  <c r="K4882" i="3"/>
  <c r="K4881" i="3"/>
  <c r="K4880" i="3"/>
  <c r="K4879" i="3"/>
  <c r="K4878" i="3"/>
  <c r="K4877" i="3"/>
  <c r="K4876" i="3"/>
  <c r="K4875" i="3"/>
  <c r="K4874" i="3"/>
  <c r="K4873" i="3"/>
  <c r="K4872" i="3"/>
  <c r="K4871" i="3"/>
  <c r="K4870" i="3"/>
  <c r="K4869" i="3"/>
  <c r="K4868" i="3"/>
  <c r="K4867" i="3"/>
  <c r="K4866" i="3"/>
  <c r="K4865" i="3"/>
  <c r="K4864" i="3"/>
  <c r="K4863" i="3"/>
  <c r="K4862" i="3"/>
  <c r="K4861" i="3"/>
  <c r="K4860" i="3"/>
  <c r="K4859" i="3"/>
  <c r="K4858" i="3"/>
  <c r="K4857" i="3"/>
  <c r="K4856" i="3"/>
  <c r="K4855" i="3"/>
  <c r="K4854" i="3"/>
  <c r="K4853" i="3"/>
  <c r="K4852" i="3"/>
  <c r="K4851" i="3"/>
  <c r="K4850" i="3"/>
  <c r="K4849" i="3"/>
  <c r="K4848" i="3"/>
  <c r="K4847" i="3"/>
  <c r="K4846" i="3"/>
  <c r="K4845" i="3"/>
  <c r="K4844" i="3"/>
  <c r="K4843" i="3"/>
  <c r="K4842" i="3"/>
  <c r="K4841" i="3"/>
  <c r="K4840" i="3"/>
  <c r="K4839" i="3"/>
  <c r="K4838" i="3"/>
  <c r="K4837" i="3"/>
  <c r="K4836" i="3"/>
  <c r="K4835" i="3"/>
  <c r="K4834" i="3"/>
  <c r="K4833" i="3"/>
  <c r="K4832" i="3"/>
  <c r="K4831" i="3"/>
  <c r="K4830" i="3"/>
  <c r="K4829" i="3"/>
  <c r="K4828" i="3"/>
  <c r="K4827" i="3"/>
  <c r="K4826" i="3"/>
  <c r="K4825" i="3"/>
  <c r="K4824" i="3"/>
  <c r="K4823" i="3"/>
  <c r="K4822" i="3"/>
  <c r="K4821" i="3"/>
  <c r="K4820" i="3"/>
  <c r="K4819" i="3"/>
  <c r="K4818" i="3"/>
  <c r="K4817" i="3"/>
  <c r="K4816" i="3"/>
  <c r="K4815" i="3"/>
  <c r="K4814" i="3"/>
  <c r="K4813" i="3"/>
  <c r="K4812" i="3"/>
  <c r="K4811" i="3"/>
  <c r="K4810" i="3"/>
  <c r="K4809" i="3"/>
  <c r="K4808" i="3"/>
  <c r="K4807" i="3"/>
  <c r="K4806" i="3"/>
  <c r="K4805" i="3"/>
  <c r="K4804" i="3"/>
  <c r="K4803" i="3"/>
  <c r="K4802" i="3"/>
  <c r="K4801" i="3"/>
  <c r="K4800" i="3"/>
  <c r="K4799" i="3"/>
  <c r="K4798" i="3"/>
  <c r="K4797" i="3"/>
  <c r="K4796" i="3"/>
  <c r="K4795" i="3"/>
  <c r="K4794" i="3"/>
  <c r="K4793" i="3"/>
  <c r="K4792" i="3"/>
  <c r="K4791" i="3"/>
  <c r="K4790" i="3"/>
  <c r="K4789" i="3"/>
  <c r="K4788" i="3"/>
  <c r="K4787" i="3"/>
  <c r="K4786" i="3"/>
  <c r="K4785" i="3"/>
  <c r="K4784" i="3"/>
  <c r="K4783" i="3"/>
  <c r="K4782" i="3"/>
  <c r="K4781" i="3"/>
  <c r="K4780" i="3"/>
  <c r="K4779" i="3"/>
  <c r="K4778" i="3"/>
  <c r="K4777" i="3"/>
  <c r="K4776" i="3"/>
  <c r="K4775" i="3"/>
  <c r="K4774" i="3"/>
  <c r="K4773" i="3"/>
  <c r="K4772" i="3"/>
  <c r="K4771" i="3"/>
  <c r="K4770" i="3"/>
  <c r="K4769" i="3"/>
  <c r="K4768" i="3"/>
  <c r="K4767" i="3"/>
  <c r="K4766" i="3"/>
  <c r="K4765" i="3"/>
  <c r="K4764" i="3"/>
  <c r="K4763" i="3"/>
  <c r="K4762" i="3"/>
  <c r="K4761" i="3"/>
  <c r="K4760" i="3"/>
  <c r="K4759" i="3"/>
  <c r="K4758" i="3"/>
  <c r="K4757" i="3"/>
  <c r="K4756" i="3"/>
  <c r="K4755" i="3"/>
  <c r="K4754" i="3"/>
  <c r="K4753" i="3"/>
  <c r="K4752" i="3"/>
  <c r="K4751" i="3"/>
  <c r="K4750" i="3"/>
  <c r="K4749" i="3"/>
  <c r="K4748" i="3"/>
  <c r="K4747" i="3"/>
  <c r="K4746" i="3"/>
  <c r="K4745" i="3"/>
  <c r="K4744" i="3"/>
  <c r="K4743" i="3"/>
  <c r="K4742" i="3"/>
  <c r="K4741" i="3"/>
  <c r="K4740" i="3"/>
  <c r="K4739" i="3"/>
  <c r="K4738" i="3"/>
  <c r="K4737" i="3"/>
  <c r="K4736" i="3"/>
  <c r="K4735" i="3"/>
  <c r="K4734" i="3"/>
  <c r="K4733" i="3"/>
  <c r="K4732" i="3"/>
  <c r="K4731" i="3"/>
  <c r="K4730" i="3"/>
  <c r="K4729" i="3"/>
  <c r="K4728" i="3"/>
  <c r="K4727" i="3"/>
  <c r="K4726" i="3"/>
  <c r="K4725" i="3"/>
  <c r="K4724" i="3"/>
  <c r="K4723" i="3"/>
  <c r="K4722" i="3"/>
  <c r="K4721" i="3"/>
  <c r="K4720" i="3"/>
  <c r="K4719" i="3"/>
  <c r="K4718" i="3"/>
  <c r="K4717" i="3"/>
  <c r="K4716" i="3"/>
  <c r="K4715" i="3"/>
  <c r="K4714" i="3"/>
  <c r="K4713" i="3"/>
  <c r="K4712" i="3"/>
  <c r="K4711" i="3"/>
  <c r="K4710" i="3"/>
  <c r="K4709" i="3"/>
  <c r="K4708" i="3"/>
  <c r="K4707" i="3"/>
  <c r="K4706" i="3"/>
  <c r="K4705" i="3"/>
  <c r="K4704" i="3"/>
  <c r="K4703" i="3"/>
  <c r="K4702" i="3"/>
  <c r="K4701" i="3"/>
  <c r="K4700" i="3"/>
  <c r="K4699" i="3"/>
  <c r="K4698" i="3"/>
  <c r="K4697" i="3"/>
  <c r="K4696" i="3"/>
  <c r="K4695" i="3"/>
  <c r="K4694" i="3"/>
  <c r="K4693" i="3"/>
  <c r="K4692" i="3"/>
  <c r="K4691" i="3"/>
  <c r="K4690" i="3"/>
  <c r="K4689" i="3"/>
  <c r="K4688" i="3"/>
  <c r="K4687" i="3"/>
  <c r="K4686" i="3"/>
  <c r="K4685" i="3"/>
  <c r="K4684" i="3"/>
  <c r="K4683" i="3"/>
  <c r="K4682" i="3"/>
  <c r="K4681" i="3"/>
  <c r="K4680" i="3"/>
  <c r="K4679" i="3"/>
  <c r="K4678" i="3"/>
  <c r="K4677" i="3"/>
  <c r="K4676" i="3"/>
  <c r="K4675" i="3"/>
  <c r="K4674" i="3"/>
  <c r="K4673" i="3"/>
  <c r="K4672" i="3"/>
  <c r="K4671" i="3"/>
  <c r="K4670" i="3"/>
  <c r="K4669" i="3"/>
  <c r="K4668" i="3"/>
  <c r="K4667" i="3"/>
  <c r="K4666" i="3"/>
  <c r="K4665" i="3"/>
  <c r="K4664" i="3"/>
  <c r="K4663" i="3"/>
  <c r="K4662" i="3"/>
  <c r="K4661" i="3"/>
  <c r="K4660" i="3"/>
  <c r="K4659" i="3"/>
  <c r="K4658" i="3"/>
  <c r="K4657" i="3"/>
  <c r="K4656" i="3"/>
  <c r="K4655" i="3"/>
  <c r="K4654" i="3"/>
  <c r="K4653" i="3"/>
  <c r="K4652" i="3"/>
  <c r="K4651" i="3"/>
  <c r="K4650" i="3"/>
  <c r="K4649" i="3"/>
  <c r="K4648" i="3"/>
  <c r="K4647" i="3"/>
  <c r="K4646" i="3"/>
  <c r="K4645" i="3"/>
  <c r="K4644" i="3"/>
  <c r="K4643" i="3"/>
  <c r="K4642" i="3"/>
  <c r="K4641" i="3"/>
  <c r="K4640" i="3"/>
  <c r="K4639" i="3"/>
  <c r="K4638" i="3"/>
  <c r="K4637" i="3"/>
  <c r="K4636" i="3"/>
  <c r="K4635" i="3"/>
  <c r="K4634" i="3"/>
  <c r="K4633" i="3"/>
  <c r="K4632" i="3"/>
  <c r="K4631" i="3"/>
  <c r="K4630" i="3"/>
  <c r="K4629" i="3"/>
  <c r="K4628" i="3"/>
  <c r="K4627" i="3"/>
  <c r="K4626" i="3"/>
  <c r="K4625" i="3"/>
  <c r="K4624" i="3"/>
  <c r="K4623" i="3"/>
  <c r="K4622" i="3"/>
  <c r="K4621" i="3"/>
  <c r="K4620" i="3"/>
  <c r="K4619" i="3"/>
  <c r="K4618" i="3"/>
  <c r="K4617" i="3"/>
  <c r="K4616" i="3"/>
  <c r="K4615" i="3"/>
  <c r="K4614" i="3"/>
  <c r="K4613" i="3"/>
  <c r="K4612" i="3"/>
  <c r="K4611" i="3"/>
  <c r="K4610" i="3"/>
  <c r="K4609" i="3"/>
  <c r="K4608" i="3"/>
  <c r="K4607" i="3"/>
  <c r="K4606" i="3"/>
  <c r="K4605" i="3"/>
  <c r="K4604" i="3"/>
  <c r="K4603" i="3"/>
  <c r="K4602" i="3"/>
  <c r="K4601" i="3"/>
  <c r="K4600" i="3"/>
  <c r="K4599" i="3"/>
  <c r="K4598" i="3"/>
  <c r="K4597" i="3"/>
  <c r="K4596" i="3"/>
  <c r="K4595" i="3"/>
  <c r="K4594" i="3"/>
  <c r="K4593" i="3"/>
  <c r="K4592" i="3"/>
  <c r="K4591" i="3"/>
  <c r="K4590" i="3"/>
  <c r="K4589" i="3"/>
  <c r="K4588" i="3"/>
  <c r="K4587" i="3"/>
  <c r="K4586" i="3"/>
  <c r="K4585" i="3"/>
  <c r="K4584" i="3"/>
  <c r="K4583" i="3"/>
  <c r="K4582" i="3"/>
  <c r="K4581" i="3"/>
  <c r="K4580" i="3"/>
  <c r="K4579" i="3"/>
  <c r="K4578" i="3"/>
  <c r="K4577" i="3"/>
  <c r="K4576" i="3"/>
  <c r="K4575" i="3"/>
  <c r="K4574" i="3"/>
  <c r="K4573" i="3"/>
  <c r="K4572" i="3"/>
  <c r="K4571" i="3"/>
  <c r="K4570" i="3"/>
  <c r="K4569" i="3"/>
  <c r="K4568" i="3"/>
  <c r="K4567" i="3"/>
  <c r="K4566" i="3"/>
  <c r="K4565" i="3"/>
  <c r="K4564" i="3"/>
  <c r="K4563" i="3"/>
  <c r="K4562" i="3"/>
  <c r="K4561" i="3"/>
  <c r="K4560" i="3"/>
  <c r="K4559" i="3"/>
  <c r="K4558" i="3"/>
  <c r="K4557" i="3"/>
  <c r="K4556" i="3"/>
  <c r="K4555" i="3"/>
  <c r="K4554" i="3"/>
  <c r="K4553" i="3"/>
  <c r="K4552" i="3"/>
  <c r="K4551" i="3"/>
  <c r="K4550" i="3"/>
  <c r="K4549" i="3"/>
  <c r="K4548" i="3"/>
  <c r="K4547" i="3"/>
  <c r="K4546" i="3"/>
  <c r="K4545" i="3"/>
  <c r="K4544" i="3"/>
  <c r="K4543" i="3"/>
  <c r="K4542" i="3"/>
  <c r="K4541" i="3"/>
  <c r="K4540" i="3"/>
  <c r="K4539" i="3"/>
  <c r="K4538" i="3"/>
  <c r="K4537" i="3"/>
  <c r="K4536" i="3"/>
  <c r="K4535" i="3"/>
  <c r="K4534" i="3"/>
  <c r="K4533" i="3"/>
  <c r="K4532" i="3"/>
  <c r="K4531" i="3"/>
  <c r="K4530" i="3"/>
  <c r="K4529" i="3"/>
  <c r="K4528" i="3"/>
  <c r="K4527" i="3"/>
  <c r="K4526" i="3"/>
  <c r="K4525" i="3"/>
  <c r="K4524" i="3"/>
  <c r="K4523" i="3"/>
  <c r="K4522" i="3"/>
  <c r="K4521" i="3"/>
  <c r="K4520" i="3"/>
  <c r="K4519" i="3"/>
  <c r="K4518" i="3"/>
  <c r="K4517" i="3"/>
  <c r="K4516" i="3"/>
  <c r="K4515" i="3"/>
  <c r="K4514" i="3"/>
  <c r="K4513" i="3"/>
  <c r="K4512" i="3"/>
  <c r="K4511" i="3"/>
  <c r="K4510" i="3"/>
  <c r="K4509" i="3"/>
  <c r="K4508" i="3"/>
  <c r="K4507" i="3"/>
  <c r="K4506" i="3"/>
  <c r="K4505" i="3"/>
  <c r="K4504" i="3"/>
  <c r="K4503" i="3"/>
  <c r="K4502" i="3"/>
  <c r="K4501" i="3"/>
  <c r="K4500" i="3"/>
  <c r="K4499" i="3"/>
  <c r="K4498" i="3"/>
  <c r="K4497" i="3"/>
  <c r="K4496" i="3"/>
  <c r="K4495" i="3"/>
  <c r="K4494" i="3"/>
  <c r="K4493" i="3"/>
  <c r="K4492" i="3"/>
  <c r="K4491" i="3"/>
  <c r="K4490" i="3"/>
  <c r="K4489" i="3"/>
  <c r="K4488" i="3"/>
  <c r="K4487" i="3"/>
  <c r="K4486" i="3"/>
  <c r="K4485" i="3"/>
  <c r="K4484" i="3"/>
  <c r="K4483" i="3"/>
  <c r="K4482" i="3"/>
  <c r="K4481" i="3"/>
  <c r="K4480" i="3"/>
  <c r="K4479" i="3"/>
  <c r="K4478" i="3"/>
  <c r="K4477" i="3"/>
  <c r="K4476" i="3"/>
  <c r="K4475" i="3"/>
  <c r="K4474" i="3"/>
  <c r="K4473" i="3"/>
  <c r="K4472" i="3"/>
  <c r="K4471" i="3"/>
  <c r="K4470" i="3"/>
  <c r="K4469" i="3"/>
  <c r="K4468" i="3"/>
  <c r="K4467" i="3"/>
  <c r="K4466" i="3"/>
  <c r="K4465" i="3"/>
  <c r="K4464" i="3"/>
  <c r="K4463" i="3"/>
  <c r="K4462" i="3"/>
  <c r="K4461" i="3"/>
  <c r="K4460" i="3"/>
  <c r="K4459" i="3"/>
  <c r="K4458" i="3"/>
  <c r="K4457" i="3"/>
  <c r="K4456" i="3"/>
  <c r="K4455" i="3"/>
  <c r="K4454" i="3"/>
  <c r="K4453" i="3"/>
  <c r="K4452" i="3"/>
  <c r="K4451" i="3"/>
  <c r="K4450" i="3"/>
  <c r="K4449" i="3"/>
  <c r="K4448" i="3"/>
  <c r="K4447" i="3"/>
  <c r="K4446" i="3"/>
  <c r="K4445" i="3"/>
  <c r="K4444" i="3"/>
  <c r="K4443" i="3"/>
  <c r="K4442" i="3"/>
  <c r="K4441" i="3"/>
  <c r="K4440" i="3"/>
  <c r="K4439" i="3"/>
  <c r="K4438" i="3"/>
  <c r="K4437" i="3"/>
  <c r="K4436" i="3"/>
  <c r="K4435" i="3"/>
  <c r="K4434" i="3"/>
  <c r="K4433" i="3"/>
  <c r="K4432" i="3"/>
  <c r="K4431" i="3"/>
  <c r="K4430" i="3"/>
  <c r="K4429" i="3"/>
  <c r="K4428" i="3"/>
  <c r="K4427" i="3"/>
  <c r="K4426" i="3"/>
  <c r="K4425" i="3"/>
  <c r="K4424" i="3"/>
  <c r="K4423" i="3"/>
  <c r="K4422" i="3"/>
  <c r="K4421" i="3"/>
  <c r="K4420" i="3"/>
  <c r="K4419" i="3"/>
  <c r="K4418" i="3"/>
  <c r="K4417" i="3"/>
  <c r="K4416" i="3"/>
  <c r="K4415" i="3"/>
  <c r="K4414" i="3"/>
  <c r="K4413" i="3"/>
  <c r="K4412" i="3"/>
  <c r="K4411" i="3"/>
  <c r="K4410" i="3"/>
  <c r="K4409" i="3"/>
  <c r="K4408" i="3"/>
  <c r="K4407" i="3"/>
  <c r="K4406" i="3"/>
  <c r="K4405" i="3"/>
  <c r="K4404" i="3"/>
  <c r="K4403" i="3"/>
  <c r="K4402" i="3"/>
  <c r="K4401" i="3"/>
  <c r="K4400" i="3"/>
  <c r="K4399" i="3"/>
  <c r="K4398" i="3"/>
  <c r="K4397" i="3"/>
  <c r="K4396" i="3"/>
  <c r="K4395" i="3"/>
  <c r="K4394" i="3"/>
  <c r="K4393" i="3"/>
  <c r="K4392" i="3"/>
  <c r="K4391" i="3"/>
  <c r="K4390" i="3"/>
  <c r="K4389" i="3"/>
  <c r="K4388" i="3"/>
  <c r="K4387" i="3"/>
  <c r="K4386" i="3"/>
  <c r="K4385" i="3"/>
  <c r="K4384" i="3"/>
  <c r="K4383" i="3"/>
  <c r="K4382" i="3"/>
  <c r="K4381" i="3"/>
  <c r="K4380" i="3"/>
  <c r="K4379" i="3"/>
  <c r="K4378" i="3"/>
  <c r="K4377" i="3"/>
  <c r="K4376" i="3"/>
  <c r="K4375" i="3"/>
  <c r="K4374" i="3"/>
  <c r="K4373" i="3"/>
  <c r="K4372" i="3"/>
  <c r="K4371" i="3"/>
  <c r="K4370" i="3"/>
  <c r="K4369" i="3"/>
  <c r="K4368" i="3"/>
  <c r="K4367" i="3"/>
  <c r="K4366" i="3"/>
  <c r="K4365" i="3"/>
  <c r="K4364" i="3"/>
  <c r="K4363" i="3"/>
  <c r="K4362" i="3"/>
  <c r="K4361" i="3"/>
  <c r="K4360" i="3"/>
  <c r="K4359" i="3"/>
  <c r="K4358" i="3"/>
  <c r="K4357" i="3"/>
  <c r="K4356" i="3"/>
  <c r="K4355" i="3"/>
  <c r="K4354" i="3"/>
  <c r="K4353" i="3"/>
  <c r="K4352" i="3"/>
  <c r="K4351" i="3"/>
  <c r="K4350" i="3"/>
  <c r="K4349" i="3"/>
  <c r="K4348" i="3"/>
  <c r="K4347" i="3"/>
  <c r="K4346" i="3"/>
  <c r="K4345" i="3"/>
  <c r="K4344" i="3"/>
  <c r="K4343" i="3"/>
  <c r="K4342" i="3"/>
  <c r="K4341" i="3"/>
  <c r="K4340" i="3"/>
  <c r="K4339" i="3"/>
  <c r="K4338" i="3"/>
  <c r="K4337" i="3"/>
  <c r="K4336" i="3"/>
  <c r="K4335" i="3"/>
  <c r="K4334" i="3"/>
  <c r="K4333" i="3"/>
  <c r="K4332" i="3"/>
  <c r="K4331" i="3"/>
  <c r="K4330" i="3"/>
  <c r="K4329" i="3"/>
  <c r="K4328" i="3"/>
  <c r="K4327" i="3"/>
  <c r="K4326" i="3"/>
  <c r="K4325" i="3"/>
  <c r="K4324" i="3"/>
  <c r="K4323" i="3"/>
  <c r="K4322" i="3"/>
  <c r="K4321" i="3"/>
  <c r="K4320" i="3"/>
  <c r="K4319" i="3"/>
  <c r="K4318" i="3"/>
  <c r="K4317" i="3"/>
  <c r="K4316" i="3"/>
  <c r="K4315" i="3"/>
  <c r="K4314" i="3"/>
  <c r="K4313" i="3"/>
  <c r="K4312" i="3"/>
  <c r="K4311" i="3"/>
  <c r="K4310" i="3"/>
  <c r="K4309" i="3"/>
  <c r="K4308" i="3"/>
  <c r="K4307" i="3"/>
  <c r="K4306" i="3"/>
  <c r="K4305" i="3"/>
  <c r="K4304" i="3"/>
  <c r="K4303" i="3"/>
  <c r="K4302" i="3"/>
  <c r="K4301" i="3"/>
  <c r="K4300" i="3"/>
  <c r="K4299" i="3"/>
  <c r="K4298" i="3"/>
  <c r="K4297" i="3"/>
  <c r="K4296" i="3"/>
  <c r="K4295" i="3"/>
  <c r="K4294" i="3"/>
  <c r="K4293" i="3"/>
  <c r="K4292" i="3"/>
  <c r="K4291" i="3"/>
  <c r="K4290" i="3"/>
  <c r="K4289" i="3"/>
  <c r="K4288" i="3"/>
  <c r="K4287" i="3"/>
  <c r="K4286" i="3"/>
  <c r="K4285" i="3"/>
  <c r="K4284" i="3"/>
  <c r="K4283" i="3"/>
  <c r="K4282" i="3"/>
  <c r="K4281" i="3"/>
  <c r="K4280" i="3"/>
  <c r="K4279" i="3"/>
  <c r="K4278" i="3"/>
  <c r="K4277" i="3"/>
  <c r="K4276" i="3"/>
  <c r="K4275" i="3"/>
  <c r="K4274" i="3"/>
  <c r="K4273" i="3"/>
  <c r="K4272" i="3"/>
  <c r="K4271" i="3"/>
  <c r="K4270" i="3"/>
  <c r="K4269" i="3"/>
  <c r="K4268" i="3"/>
  <c r="K4267" i="3"/>
  <c r="K4266" i="3"/>
  <c r="K4265" i="3"/>
  <c r="K4264" i="3"/>
  <c r="K4263" i="3"/>
  <c r="K4262" i="3"/>
  <c r="K4261" i="3"/>
  <c r="K4260" i="3"/>
  <c r="K4259" i="3"/>
  <c r="K4258" i="3"/>
  <c r="K4257" i="3"/>
  <c r="K4256" i="3"/>
  <c r="K4255" i="3"/>
  <c r="K4254" i="3"/>
  <c r="K4253" i="3"/>
  <c r="K4252" i="3"/>
  <c r="K4251" i="3"/>
  <c r="K4250" i="3"/>
  <c r="K4249" i="3"/>
  <c r="K4248" i="3"/>
  <c r="K4247" i="3"/>
  <c r="K4246" i="3"/>
  <c r="K4245" i="3"/>
  <c r="K4244" i="3"/>
  <c r="K4243" i="3"/>
  <c r="K4242" i="3"/>
  <c r="K4241" i="3"/>
  <c r="K4240" i="3"/>
  <c r="K4239" i="3"/>
  <c r="K4238" i="3"/>
  <c r="K4237" i="3"/>
  <c r="K4236" i="3"/>
  <c r="K4235" i="3"/>
  <c r="K4234" i="3"/>
  <c r="K4233" i="3"/>
  <c r="K4232" i="3"/>
  <c r="K4231" i="3"/>
  <c r="K4230" i="3"/>
  <c r="K4229" i="3"/>
  <c r="K4228" i="3"/>
  <c r="K4227" i="3"/>
  <c r="K4226" i="3"/>
  <c r="K4225" i="3"/>
  <c r="K4224" i="3"/>
  <c r="K4223" i="3"/>
  <c r="K4222" i="3"/>
  <c r="K4221" i="3"/>
  <c r="K4220" i="3"/>
  <c r="K4219" i="3"/>
  <c r="K4218" i="3"/>
  <c r="K4217" i="3"/>
  <c r="K4216" i="3"/>
  <c r="K4215" i="3"/>
  <c r="K4214" i="3"/>
  <c r="K4213" i="3"/>
  <c r="K4212" i="3"/>
  <c r="K4211" i="3"/>
  <c r="K4210" i="3"/>
  <c r="K4209" i="3"/>
  <c r="K4208" i="3"/>
  <c r="K4207" i="3"/>
  <c r="K4206" i="3"/>
  <c r="K4205" i="3"/>
  <c r="K4204" i="3"/>
  <c r="K4203" i="3"/>
  <c r="K4202" i="3"/>
  <c r="K4201" i="3"/>
  <c r="K4200" i="3"/>
  <c r="K4199" i="3"/>
  <c r="K4198" i="3"/>
  <c r="K4197" i="3"/>
  <c r="K4196" i="3"/>
  <c r="K4195" i="3"/>
  <c r="K4194" i="3"/>
  <c r="K4193" i="3"/>
  <c r="K4192" i="3"/>
  <c r="K4191" i="3"/>
  <c r="K4190" i="3"/>
  <c r="K4189" i="3"/>
  <c r="K4188" i="3"/>
  <c r="K4187" i="3"/>
  <c r="K4186" i="3"/>
  <c r="K4185" i="3"/>
  <c r="K4184" i="3"/>
  <c r="K4183" i="3"/>
  <c r="K4182" i="3"/>
  <c r="K4181" i="3"/>
  <c r="K4180" i="3"/>
  <c r="K4179" i="3"/>
  <c r="K4178" i="3"/>
  <c r="K4177" i="3"/>
  <c r="K4176" i="3"/>
  <c r="K4175" i="3"/>
  <c r="K4174" i="3"/>
  <c r="K4173" i="3"/>
  <c r="K4172" i="3"/>
  <c r="K4171" i="3"/>
  <c r="K4170" i="3"/>
  <c r="K4169" i="3"/>
  <c r="K4168" i="3"/>
  <c r="K4167" i="3"/>
  <c r="K4166" i="3"/>
  <c r="K4165" i="3"/>
  <c r="K4164" i="3"/>
  <c r="K4163" i="3"/>
  <c r="K4162" i="3"/>
  <c r="K4161" i="3"/>
  <c r="K4160" i="3"/>
  <c r="K4159" i="3"/>
  <c r="K4158" i="3"/>
  <c r="K4157" i="3"/>
  <c r="K4156" i="3"/>
  <c r="K4155" i="3"/>
  <c r="K4154" i="3"/>
  <c r="K4153" i="3"/>
  <c r="K4152" i="3"/>
  <c r="K4151" i="3"/>
  <c r="K4150" i="3"/>
  <c r="K4149" i="3"/>
  <c r="K4148" i="3"/>
  <c r="K4147" i="3"/>
  <c r="K4146" i="3"/>
  <c r="K4145" i="3"/>
  <c r="K4144" i="3"/>
  <c r="K4143" i="3"/>
  <c r="K4142" i="3"/>
  <c r="K4141" i="3"/>
  <c r="K4140" i="3"/>
  <c r="K4139" i="3"/>
  <c r="K4138" i="3"/>
  <c r="K4137" i="3"/>
  <c r="K4136" i="3"/>
  <c r="K4135" i="3"/>
  <c r="K4134" i="3"/>
  <c r="K4133" i="3"/>
  <c r="K4132" i="3"/>
  <c r="K4131" i="3"/>
  <c r="K4130" i="3"/>
  <c r="K4129" i="3"/>
  <c r="K4128" i="3"/>
  <c r="K4127" i="3"/>
  <c r="K4126" i="3"/>
  <c r="K4125" i="3"/>
  <c r="K4124" i="3"/>
  <c r="K4123" i="3"/>
  <c r="K4122" i="3"/>
  <c r="K4121" i="3"/>
  <c r="K4120" i="3"/>
  <c r="K4119" i="3"/>
  <c r="K4118" i="3"/>
  <c r="K4117" i="3"/>
  <c r="K4116" i="3"/>
  <c r="K4115" i="3"/>
  <c r="K4114" i="3"/>
  <c r="K4113" i="3"/>
  <c r="K4112" i="3"/>
  <c r="K4111" i="3"/>
  <c r="K4110" i="3"/>
  <c r="K4109" i="3"/>
  <c r="K4108" i="3"/>
  <c r="K4107" i="3"/>
  <c r="K4106" i="3"/>
  <c r="K4105" i="3"/>
  <c r="K4104" i="3"/>
  <c r="K4103" i="3"/>
  <c r="K4102" i="3"/>
  <c r="K4101" i="3"/>
  <c r="K4100" i="3"/>
  <c r="K4099" i="3"/>
  <c r="K4098" i="3"/>
  <c r="K4097" i="3"/>
  <c r="K4096" i="3"/>
  <c r="K4095" i="3"/>
  <c r="K4094" i="3"/>
  <c r="K4093" i="3"/>
  <c r="K4092" i="3"/>
  <c r="K4091" i="3"/>
  <c r="K4090" i="3"/>
  <c r="K4089" i="3"/>
  <c r="K4088" i="3"/>
  <c r="K4087" i="3"/>
  <c r="K4086" i="3"/>
  <c r="K4085" i="3"/>
  <c r="K4084" i="3"/>
  <c r="K4083" i="3"/>
  <c r="K4082" i="3"/>
  <c r="K4081" i="3"/>
  <c r="K4080" i="3"/>
  <c r="K4079" i="3"/>
  <c r="K4078" i="3"/>
  <c r="K4077" i="3"/>
  <c r="K4076" i="3"/>
  <c r="K4075" i="3"/>
  <c r="K4074" i="3"/>
  <c r="K4073" i="3"/>
  <c r="K4072" i="3"/>
  <c r="K4071" i="3"/>
  <c r="K4070" i="3"/>
  <c r="K4069" i="3"/>
  <c r="K4068" i="3"/>
  <c r="K4067" i="3"/>
  <c r="K4066" i="3"/>
  <c r="K4065" i="3"/>
  <c r="K4064" i="3"/>
  <c r="K4063" i="3"/>
  <c r="K4062" i="3"/>
  <c r="K4061" i="3"/>
  <c r="K4060" i="3"/>
  <c r="K4059" i="3"/>
  <c r="K4058" i="3"/>
  <c r="K4057" i="3"/>
  <c r="K4056" i="3"/>
  <c r="K4055" i="3"/>
  <c r="K4054" i="3"/>
  <c r="K4053" i="3"/>
  <c r="K4052" i="3"/>
  <c r="K4051" i="3"/>
  <c r="K4050" i="3"/>
  <c r="K4049" i="3"/>
  <c r="K4048" i="3"/>
  <c r="K4047" i="3"/>
  <c r="K4046" i="3"/>
  <c r="K4045" i="3"/>
  <c r="K4044" i="3"/>
  <c r="K4043" i="3"/>
  <c r="K4042" i="3"/>
  <c r="K4041" i="3"/>
  <c r="K4040" i="3"/>
  <c r="K4039" i="3"/>
  <c r="K4038" i="3"/>
  <c r="K4037" i="3"/>
  <c r="K4036" i="3"/>
  <c r="K4035" i="3"/>
  <c r="K4034" i="3"/>
  <c r="K4033" i="3"/>
  <c r="K4032" i="3"/>
  <c r="K4031" i="3"/>
  <c r="K4030" i="3"/>
  <c r="K4029" i="3"/>
  <c r="K4028" i="3"/>
  <c r="K4027" i="3"/>
  <c r="K4026" i="3"/>
  <c r="K4025" i="3"/>
  <c r="K4024" i="3"/>
  <c r="K4023" i="3"/>
  <c r="K4022" i="3"/>
  <c r="K4021" i="3"/>
  <c r="K4020" i="3"/>
  <c r="K4019" i="3"/>
  <c r="K4018" i="3"/>
  <c r="K4017" i="3"/>
  <c r="K4016" i="3"/>
  <c r="K4015" i="3"/>
  <c r="K4014" i="3"/>
  <c r="K4013" i="3"/>
  <c r="K4012" i="3"/>
  <c r="K4011" i="3"/>
  <c r="K4010" i="3"/>
  <c r="K4009" i="3"/>
  <c r="K4008" i="3"/>
  <c r="K4007" i="3"/>
  <c r="K4006" i="3"/>
  <c r="K4005" i="3"/>
  <c r="K4004" i="3"/>
  <c r="K4003" i="3"/>
  <c r="K4002" i="3"/>
  <c r="K4001" i="3"/>
  <c r="K4000" i="3"/>
  <c r="K3999" i="3"/>
  <c r="K3998" i="3"/>
  <c r="K3997" i="3"/>
  <c r="K3996" i="3"/>
  <c r="K3995" i="3"/>
  <c r="K3994" i="3"/>
  <c r="K3993" i="3"/>
  <c r="K3992" i="3"/>
  <c r="K3991" i="3"/>
  <c r="K3990" i="3"/>
  <c r="K3989" i="3"/>
  <c r="K3988" i="3"/>
  <c r="K3987" i="3"/>
  <c r="K3986" i="3"/>
  <c r="K3985" i="3"/>
  <c r="K3984" i="3"/>
  <c r="K3983" i="3"/>
  <c r="K3982" i="3"/>
  <c r="K3981" i="3"/>
  <c r="K3980" i="3"/>
  <c r="K3979" i="3"/>
  <c r="K3978" i="3"/>
  <c r="K3977" i="3"/>
  <c r="K3976" i="3"/>
  <c r="K3975" i="3"/>
  <c r="K3974" i="3"/>
  <c r="K3973" i="3"/>
  <c r="K3972" i="3"/>
  <c r="K3971" i="3"/>
  <c r="K3970" i="3"/>
  <c r="K3969" i="3"/>
  <c r="K3968" i="3"/>
  <c r="K3967" i="3"/>
  <c r="K3966" i="3"/>
  <c r="K3965" i="3"/>
  <c r="K3964" i="3"/>
  <c r="K3963" i="3"/>
  <c r="K3962" i="3"/>
  <c r="K3961" i="3"/>
  <c r="K3960" i="3"/>
  <c r="K3959" i="3"/>
  <c r="K3958" i="3"/>
  <c r="K3957" i="3"/>
  <c r="K3956" i="3"/>
  <c r="K3955" i="3"/>
  <c r="K3954" i="3"/>
  <c r="K3953" i="3"/>
  <c r="K3952" i="3"/>
  <c r="K3951" i="3"/>
  <c r="K3950" i="3"/>
  <c r="K3949" i="3"/>
  <c r="K3948" i="3"/>
  <c r="K3947" i="3"/>
  <c r="K3946" i="3"/>
  <c r="K3945" i="3"/>
  <c r="K3944" i="3"/>
  <c r="K3943" i="3"/>
  <c r="K3942" i="3"/>
  <c r="K3941" i="3"/>
  <c r="K3940" i="3"/>
  <c r="K3939" i="3"/>
  <c r="K3938" i="3"/>
  <c r="K3937" i="3"/>
  <c r="K3936" i="3"/>
  <c r="K3935" i="3"/>
  <c r="K3934" i="3"/>
  <c r="K3933" i="3"/>
  <c r="K3932" i="3"/>
  <c r="K3931" i="3"/>
  <c r="K3930" i="3"/>
  <c r="K3929" i="3"/>
  <c r="K3928" i="3"/>
  <c r="K3927" i="3"/>
  <c r="K3926" i="3"/>
  <c r="K3925" i="3"/>
  <c r="K3924" i="3"/>
  <c r="K3923" i="3"/>
  <c r="K3922" i="3"/>
  <c r="K3921" i="3"/>
  <c r="K3920" i="3"/>
  <c r="K3919" i="3"/>
  <c r="K3918" i="3"/>
  <c r="K3917" i="3"/>
  <c r="K3916" i="3"/>
  <c r="K3915" i="3"/>
  <c r="K3914" i="3"/>
  <c r="K3913" i="3"/>
  <c r="K3912" i="3"/>
  <c r="K3911" i="3"/>
  <c r="K3910" i="3"/>
  <c r="K3909" i="3"/>
  <c r="K3908" i="3"/>
  <c r="K3907" i="3"/>
  <c r="K3906" i="3"/>
  <c r="K3905" i="3"/>
  <c r="K3904" i="3"/>
  <c r="K3903" i="3"/>
  <c r="K3902" i="3"/>
  <c r="K3901" i="3"/>
  <c r="K3900" i="3"/>
  <c r="K3899" i="3"/>
  <c r="K3898" i="3"/>
  <c r="K3897" i="3"/>
  <c r="K3896" i="3"/>
  <c r="K3895" i="3"/>
  <c r="K3894" i="3"/>
  <c r="K3893" i="3"/>
  <c r="K3892" i="3"/>
  <c r="K3891" i="3"/>
  <c r="K3890" i="3"/>
  <c r="K3889" i="3"/>
  <c r="K3888" i="3"/>
  <c r="K3887" i="3"/>
  <c r="K3886" i="3"/>
  <c r="K3885" i="3"/>
  <c r="K3884" i="3"/>
  <c r="K3883" i="3"/>
  <c r="K3882" i="3"/>
  <c r="K3881" i="3"/>
  <c r="K3880" i="3"/>
  <c r="K3879" i="3"/>
  <c r="K3878" i="3"/>
  <c r="K3877" i="3"/>
  <c r="K3876" i="3"/>
  <c r="K3875" i="3"/>
  <c r="K3874" i="3"/>
  <c r="K3873" i="3"/>
  <c r="K3872" i="3"/>
  <c r="K3871" i="3"/>
  <c r="K3870" i="3"/>
  <c r="K3869" i="3"/>
  <c r="K3868" i="3"/>
  <c r="K3867" i="3"/>
  <c r="K3866" i="3"/>
  <c r="K3865" i="3"/>
  <c r="K3864" i="3"/>
  <c r="K3863" i="3"/>
  <c r="K3862" i="3"/>
  <c r="K3861" i="3"/>
  <c r="K3860" i="3"/>
  <c r="K3859" i="3"/>
  <c r="K3858" i="3"/>
  <c r="K3857" i="3"/>
  <c r="K3856" i="3"/>
  <c r="K3855" i="3"/>
  <c r="K3854" i="3"/>
  <c r="K3853" i="3"/>
  <c r="K3852" i="3"/>
  <c r="K3851" i="3"/>
  <c r="K3850" i="3"/>
  <c r="K3849" i="3"/>
  <c r="K3848" i="3"/>
  <c r="K3847" i="3"/>
  <c r="K3846" i="3"/>
  <c r="K3845" i="3"/>
  <c r="K3844" i="3"/>
  <c r="K3843" i="3"/>
  <c r="K3842" i="3"/>
  <c r="K3841" i="3"/>
  <c r="K3840" i="3"/>
  <c r="K3839" i="3"/>
  <c r="K3838" i="3"/>
  <c r="K3837" i="3"/>
  <c r="K3836" i="3"/>
  <c r="K3835" i="3"/>
  <c r="K3834" i="3"/>
  <c r="K3833" i="3"/>
  <c r="K3832" i="3"/>
  <c r="K3831" i="3"/>
  <c r="K3830" i="3"/>
  <c r="K3829" i="3"/>
  <c r="K3828" i="3"/>
  <c r="K3827" i="3"/>
  <c r="K3826" i="3"/>
  <c r="K3825" i="3"/>
  <c r="K3824" i="3"/>
  <c r="K3823" i="3"/>
  <c r="K3822" i="3"/>
  <c r="K3821" i="3"/>
  <c r="K3820" i="3"/>
  <c r="K3819" i="3"/>
  <c r="K3818" i="3"/>
  <c r="K3817" i="3"/>
  <c r="K3816" i="3"/>
  <c r="K3815" i="3"/>
  <c r="K3814" i="3"/>
  <c r="K3813" i="3"/>
  <c r="K3812" i="3"/>
  <c r="K3811" i="3"/>
  <c r="K3810" i="3"/>
  <c r="K3809" i="3"/>
  <c r="K3808" i="3"/>
  <c r="K3807" i="3"/>
  <c r="K3806" i="3"/>
  <c r="K3805" i="3"/>
  <c r="K3804" i="3"/>
  <c r="K3803" i="3"/>
  <c r="K3802" i="3"/>
  <c r="K3801" i="3"/>
  <c r="K3800" i="3"/>
  <c r="K3799" i="3"/>
  <c r="K3798" i="3"/>
  <c r="K3797" i="3"/>
  <c r="K3796" i="3"/>
  <c r="K3795" i="3"/>
  <c r="K3794" i="3"/>
  <c r="K3793" i="3"/>
  <c r="K3792" i="3"/>
  <c r="K3791" i="3"/>
  <c r="K3790" i="3"/>
  <c r="K3789" i="3"/>
  <c r="K3788" i="3"/>
  <c r="K3787" i="3"/>
  <c r="K3786" i="3"/>
  <c r="K3785" i="3"/>
  <c r="K3784" i="3"/>
  <c r="K3783" i="3"/>
  <c r="K3782" i="3"/>
  <c r="K3781" i="3"/>
  <c r="K3780" i="3"/>
  <c r="K3779" i="3"/>
  <c r="K3778" i="3"/>
  <c r="K3777" i="3"/>
  <c r="K3776" i="3"/>
  <c r="K3775" i="3"/>
  <c r="K3774" i="3"/>
  <c r="K3773" i="3"/>
  <c r="K3772" i="3"/>
  <c r="K3771" i="3"/>
  <c r="K3770" i="3"/>
  <c r="K3769" i="3"/>
  <c r="K3768" i="3"/>
  <c r="K3767" i="3"/>
  <c r="K3766" i="3"/>
  <c r="K3765" i="3"/>
  <c r="K3764" i="3"/>
  <c r="K3763" i="3"/>
  <c r="K3762" i="3"/>
  <c r="K3761" i="3"/>
  <c r="K3760" i="3"/>
  <c r="K3759" i="3"/>
  <c r="K3758" i="3"/>
  <c r="K3757" i="3"/>
  <c r="K3756" i="3"/>
  <c r="K3755" i="3"/>
  <c r="K3754" i="3"/>
  <c r="K3753" i="3"/>
  <c r="K3752" i="3"/>
  <c r="K3751" i="3"/>
  <c r="K3750" i="3"/>
  <c r="K3749" i="3"/>
  <c r="K3748" i="3"/>
  <c r="K3747" i="3"/>
  <c r="K3746" i="3"/>
  <c r="K3745" i="3"/>
  <c r="K3744" i="3"/>
  <c r="K3743" i="3"/>
  <c r="K3742" i="3"/>
  <c r="K3741" i="3"/>
  <c r="K3740" i="3"/>
  <c r="K3739" i="3"/>
  <c r="K3738" i="3"/>
  <c r="K3737" i="3"/>
  <c r="K3736" i="3"/>
  <c r="K3735" i="3"/>
  <c r="K3734" i="3"/>
  <c r="K3733" i="3"/>
  <c r="K3732" i="3"/>
  <c r="K3731" i="3"/>
  <c r="K3730" i="3"/>
  <c r="K3729" i="3"/>
  <c r="K3728" i="3"/>
  <c r="K3727" i="3"/>
  <c r="K3726" i="3"/>
  <c r="K3725" i="3"/>
  <c r="K3724" i="3"/>
  <c r="K3723" i="3"/>
  <c r="K3722" i="3"/>
  <c r="K3721" i="3"/>
  <c r="K3720" i="3"/>
  <c r="K3719" i="3"/>
  <c r="K3718" i="3"/>
  <c r="K3717" i="3"/>
  <c r="K3716" i="3"/>
  <c r="K3715" i="3"/>
  <c r="K3714" i="3"/>
  <c r="K3713" i="3"/>
  <c r="K3712" i="3"/>
  <c r="K3711" i="3"/>
  <c r="K3710" i="3"/>
  <c r="K3709" i="3"/>
  <c r="K3708" i="3"/>
  <c r="K3707" i="3"/>
  <c r="K3706" i="3"/>
  <c r="K3705" i="3"/>
  <c r="K3704" i="3"/>
  <c r="K3703" i="3"/>
  <c r="K3702" i="3"/>
  <c r="K3701" i="3"/>
  <c r="K3700" i="3"/>
  <c r="K3699" i="3"/>
  <c r="K3698" i="3"/>
  <c r="K3697" i="3"/>
  <c r="K3696" i="3"/>
  <c r="K3695" i="3"/>
  <c r="K3694" i="3"/>
  <c r="K3693" i="3"/>
  <c r="K3692" i="3"/>
  <c r="K3691" i="3"/>
  <c r="K3690" i="3"/>
  <c r="K3689" i="3"/>
  <c r="K3688" i="3"/>
  <c r="K3687" i="3"/>
  <c r="K3686" i="3"/>
  <c r="K3685" i="3"/>
  <c r="K3684" i="3"/>
  <c r="K3683" i="3"/>
  <c r="K3682" i="3"/>
  <c r="K3681" i="3"/>
  <c r="K3680" i="3"/>
  <c r="K3679" i="3"/>
  <c r="K3678" i="3"/>
  <c r="K3677" i="3"/>
  <c r="K3676" i="3"/>
  <c r="K3675" i="3"/>
  <c r="K3674" i="3"/>
  <c r="K3673" i="3"/>
  <c r="K3672" i="3"/>
  <c r="K3671" i="3"/>
  <c r="K3670" i="3"/>
  <c r="K3669" i="3"/>
  <c r="K3668" i="3"/>
  <c r="K3667" i="3"/>
  <c r="K3666" i="3"/>
  <c r="K3665" i="3"/>
  <c r="K3664" i="3"/>
  <c r="K3663" i="3"/>
  <c r="K3662" i="3"/>
  <c r="K3661" i="3"/>
  <c r="K3660" i="3"/>
  <c r="K3659" i="3"/>
  <c r="K3658" i="3"/>
  <c r="K3657" i="3"/>
  <c r="K3656" i="3"/>
  <c r="K3655" i="3"/>
  <c r="K3654" i="3"/>
  <c r="K3653" i="3"/>
  <c r="K3652" i="3"/>
  <c r="K3651" i="3"/>
  <c r="K3650" i="3"/>
  <c r="K3649" i="3"/>
  <c r="K3648" i="3"/>
  <c r="K3647" i="3"/>
  <c r="K3646" i="3"/>
  <c r="K3645" i="3"/>
  <c r="K3644" i="3"/>
  <c r="K3643" i="3"/>
  <c r="K3642" i="3"/>
  <c r="K3641" i="3"/>
  <c r="K3640" i="3"/>
  <c r="K3639" i="3"/>
  <c r="K3638" i="3"/>
  <c r="K3637" i="3"/>
  <c r="K3636" i="3"/>
  <c r="K3635" i="3"/>
  <c r="K3634" i="3"/>
  <c r="K3633" i="3"/>
  <c r="K3632" i="3"/>
  <c r="K3631" i="3"/>
  <c r="K3630" i="3"/>
  <c r="K3629" i="3"/>
  <c r="K3628" i="3"/>
  <c r="K3627" i="3"/>
  <c r="K3626" i="3"/>
  <c r="K3625" i="3"/>
  <c r="K3624" i="3"/>
  <c r="K3623" i="3"/>
  <c r="K3622" i="3"/>
  <c r="K3621" i="3"/>
  <c r="K3620" i="3"/>
  <c r="K3619" i="3"/>
  <c r="K3618" i="3"/>
  <c r="K3617" i="3"/>
  <c r="K3616" i="3"/>
  <c r="K3615" i="3"/>
  <c r="K3614" i="3"/>
  <c r="K3613" i="3"/>
  <c r="K3612" i="3"/>
  <c r="K3611" i="3"/>
  <c r="K3610" i="3"/>
  <c r="K3609" i="3"/>
  <c r="K3608" i="3"/>
  <c r="K3607" i="3"/>
  <c r="K3606" i="3"/>
  <c r="K3605" i="3"/>
  <c r="K3604" i="3"/>
  <c r="K3603" i="3"/>
  <c r="K3602" i="3"/>
  <c r="K3601" i="3"/>
  <c r="K3600" i="3"/>
  <c r="K3599" i="3"/>
  <c r="K3598" i="3"/>
  <c r="K3597" i="3"/>
  <c r="K3596" i="3"/>
  <c r="K3595" i="3"/>
  <c r="K3594" i="3"/>
  <c r="K3593" i="3"/>
  <c r="K3592" i="3"/>
  <c r="K3591" i="3"/>
  <c r="K3590" i="3"/>
  <c r="K3589" i="3"/>
  <c r="K3588" i="3"/>
  <c r="K3587" i="3"/>
  <c r="K3586" i="3"/>
  <c r="K3585" i="3"/>
  <c r="K3584" i="3"/>
  <c r="K3583" i="3"/>
  <c r="K3582" i="3"/>
  <c r="K3581" i="3"/>
  <c r="K3580" i="3"/>
  <c r="K3579" i="3"/>
  <c r="K3578" i="3"/>
  <c r="K3577" i="3"/>
  <c r="K3576" i="3"/>
  <c r="K3575" i="3"/>
  <c r="K3574" i="3"/>
  <c r="K3573" i="3"/>
  <c r="K3572" i="3"/>
  <c r="K3571" i="3"/>
  <c r="K3570" i="3"/>
  <c r="K3569" i="3"/>
  <c r="K3568" i="3"/>
  <c r="K3567" i="3"/>
  <c r="K3566" i="3"/>
  <c r="K3565" i="3"/>
  <c r="K3564" i="3"/>
  <c r="K3563" i="3"/>
  <c r="K3562" i="3"/>
  <c r="K3561" i="3"/>
  <c r="K3560" i="3"/>
  <c r="K3559" i="3"/>
  <c r="K3558" i="3"/>
  <c r="K3557" i="3"/>
  <c r="K3556" i="3"/>
  <c r="K3555" i="3"/>
  <c r="K3554" i="3"/>
  <c r="K3553" i="3"/>
  <c r="K3552" i="3"/>
  <c r="K3551" i="3"/>
  <c r="K3550" i="3"/>
  <c r="K3549" i="3"/>
  <c r="K3548" i="3"/>
  <c r="K3547" i="3"/>
  <c r="K3546" i="3"/>
  <c r="K3545" i="3"/>
  <c r="K3544" i="3"/>
  <c r="K3543" i="3"/>
  <c r="K3542" i="3"/>
  <c r="K3541" i="3"/>
  <c r="K3540" i="3"/>
  <c r="K3539" i="3"/>
  <c r="K3538" i="3"/>
  <c r="K3537" i="3"/>
  <c r="K3536" i="3"/>
  <c r="K3535" i="3"/>
  <c r="K3534" i="3"/>
  <c r="K3533" i="3"/>
  <c r="K3532" i="3"/>
  <c r="K3531" i="3"/>
  <c r="K3530" i="3"/>
  <c r="K3529" i="3"/>
  <c r="K3528" i="3"/>
  <c r="K3527" i="3"/>
  <c r="K3526" i="3"/>
  <c r="K3525" i="3"/>
  <c r="K3524" i="3"/>
  <c r="K3523" i="3"/>
  <c r="K3522" i="3"/>
  <c r="K3521" i="3"/>
  <c r="K3520" i="3"/>
  <c r="K3519" i="3"/>
  <c r="K3518" i="3"/>
  <c r="K3517" i="3"/>
  <c r="K3516" i="3"/>
  <c r="K3515" i="3"/>
  <c r="K3514" i="3"/>
  <c r="K3513" i="3"/>
  <c r="K3512" i="3"/>
  <c r="K3511" i="3"/>
  <c r="K3510" i="3"/>
  <c r="K3509" i="3"/>
  <c r="K3508" i="3"/>
  <c r="K3507" i="3"/>
  <c r="K3506" i="3"/>
  <c r="K3505" i="3"/>
  <c r="K3504" i="3"/>
  <c r="K3503" i="3"/>
  <c r="K3502" i="3"/>
  <c r="K3501" i="3"/>
  <c r="K3500" i="3"/>
  <c r="K3499" i="3"/>
  <c r="K3498" i="3"/>
  <c r="K3497" i="3"/>
  <c r="K3496" i="3"/>
  <c r="K3495" i="3"/>
  <c r="K3494" i="3"/>
  <c r="K3493" i="3"/>
  <c r="K3492" i="3"/>
  <c r="K3491" i="3"/>
  <c r="K3490" i="3"/>
  <c r="K3489" i="3"/>
  <c r="K3488" i="3"/>
  <c r="K3487" i="3"/>
  <c r="K3486" i="3"/>
  <c r="K3485" i="3"/>
  <c r="K3484" i="3"/>
  <c r="K3483" i="3"/>
  <c r="K3482" i="3"/>
  <c r="K3481" i="3"/>
  <c r="K3480" i="3"/>
  <c r="K3479" i="3"/>
  <c r="K3478" i="3"/>
  <c r="K3477" i="3"/>
  <c r="K3476" i="3"/>
  <c r="K3475" i="3"/>
  <c r="K3474" i="3"/>
  <c r="K3473" i="3"/>
  <c r="K3472" i="3"/>
  <c r="K3471" i="3"/>
  <c r="K3470" i="3"/>
  <c r="K3469" i="3"/>
  <c r="K3468" i="3"/>
  <c r="K3467" i="3"/>
  <c r="K3466" i="3"/>
  <c r="K3465" i="3"/>
  <c r="K3464" i="3"/>
  <c r="K3463" i="3"/>
  <c r="K3462" i="3"/>
  <c r="K3461" i="3"/>
  <c r="K3460" i="3"/>
  <c r="K3459" i="3"/>
  <c r="K3458" i="3"/>
  <c r="K3457" i="3"/>
  <c r="K3456" i="3"/>
  <c r="K3455" i="3"/>
  <c r="K3454" i="3"/>
  <c r="K3453" i="3"/>
  <c r="K3452" i="3"/>
  <c r="K3451" i="3"/>
  <c r="K3450" i="3"/>
  <c r="K3449" i="3"/>
  <c r="K3448" i="3"/>
  <c r="K3447" i="3"/>
  <c r="K3446" i="3"/>
  <c r="K3445" i="3"/>
  <c r="K3444" i="3"/>
  <c r="K3443" i="3"/>
  <c r="K3442" i="3"/>
  <c r="K3441" i="3"/>
  <c r="K3440" i="3"/>
  <c r="K3439" i="3"/>
  <c r="K3438" i="3"/>
  <c r="K3437" i="3"/>
  <c r="K3436" i="3"/>
  <c r="K3435" i="3"/>
  <c r="K3434" i="3"/>
  <c r="K3433" i="3"/>
  <c r="K3432" i="3"/>
  <c r="K3431" i="3"/>
  <c r="K3430" i="3"/>
  <c r="K3429" i="3"/>
  <c r="K3428" i="3"/>
  <c r="K3427" i="3"/>
  <c r="K3426" i="3"/>
  <c r="K3425" i="3"/>
  <c r="K3424" i="3"/>
  <c r="K3423" i="3"/>
  <c r="K3422" i="3"/>
  <c r="K3421" i="3"/>
  <c r="K3420" i="3"/>
  <c r="K3419" i="3"/>
  <c r="K3418" i="3"/>
  <c r="K3417" i="3"/>
  <c r="K3416" i="3"/>
  <c r="K3415" i="3"/>
  <c r="K3414" i="3"/>
  <c r="K3413" i="3"/>
  <c r="K3412" i="3"/>
  <c r="K3411" i="3"/>
  <c r="K3410" i="3"/>
  <c r="K3409" i="3"/>
  <c r="K3408" i="3"/>
  <c r="K3407" i="3"/>
  <c r="K3406" i="3"/>
  <c r="K3405" i="3"/>
  <c r="K3404" i="3"/>
  <c r="K3403" i="3"/>
  <c r="K3402" i="3"/>
  <c r="K3401" i="3"/>
  <c r="K3400" i="3"/>
  <c r="K3399" i="3"/>
  <c r="K3398" i="3"/>
  <c r="K3397" i="3"/>
  <c r="K3396" i="3"/>
  <c r="K3395" i="3"/>
  <c r="K3394" i="3"/>
  <c r="K3393" i="3"/>
  <c r="K3392" i="3"/>
  <c r="K3391" i="3"/>
  <c r="K3390" i="3"/>
  <c r="K3389" i="3"/>
  <c r="K3388" i="3"/>
  <c r="K3387" i="3"/>
  <c r="K3386" i="3"/>
  <c r="K3385" i="3"/>
  <c r="K3384" i="3"/>
  <c r="K3383" i="3"/>
  <c r="K3382" i="3"/>
  <c r="K3381" i="3"/>
  <c r="K3380" i="3"/>
  <c r="K3379" i="3"/>
  <c r="K3378" i="3"/>
  <c r="K3377" i="3"/>
  <c r="K3376" i="3"/>
  <c r="K3375" i="3"/>
  <c r="K3374" i="3"/>
  <c r="K3373" i="3"/>
  <c r="K3372" i="3"/>
  <c r="K3371" i="3"/>
  <c r="K3370" i="3"/>
  <c r="K3369" i="3"/>
  <c r="K3368" i="3"/>
  <c r="K3367" i="3"/>
  <c r="K3366" i="3"/>
  <c r="K3365" i="3"/>
  <c r="K3364" i="3"/>
  <c r="K3363" i="3"/>
  <c r="K3362" i="3"/>
  <c r="K3361" i="3"/>
  <c r="K3360" i="3"/>
  <c r="K3359" i="3"/>
  <c r="K3358" i="3"/>
  <c r="K3357" i="3"/>
  <c r="K3356" i="3"/>
  <c r="K3355" i="3"/>
  <c r="K3354" i="3"/>
  <c r="K3353" i="3"/>
  <c r="K3352" i="3"/>
  <c r="K3351" i="3"/>
  <c r="K3350" i="3"/>
  <c r="K3349" i="3"/>
  <c r="K3348" i="3"/>
  <c r="K3347" i="3"/>
  <c r="K3346" i="3"/>
  <c r="K3345" i="3"/>
  <c r="K3344" i="3"/>
  <c r="K3343" i="3"/>
  <c r="K3342" i="3"/>
  <c r="K3341" i="3"/>
  <c r="K3340" i="3"/>
  <c r="K3339" i="3"/>
  <c r="K3338" i="3"/>
  <c r="K3337" i="3"/>
  <c r="K3336" i="3"/>
  <c r="K3335" i="3"/>
  <c r="K3334" i="3"/>
  <c r="K3333" i="3"/>
  <c r="K3332" i="3"/>
  <c r="K3331" i="3"/>
  <c r="K3330" i="3"/>
  <c r="K3329" i="3"/>
  <c r="K3328" i="3"/>
  <c r="K3327" i="3"/>
  <c r="K3326" i="3"/>
  <c r="K3325" i="3"/>
  <c r="K3324" i="3"/>
  <c r="K3323" i="3"/>
  <c r="K3322" i="3"/>
  <c r="K3321" i="3"/>
  <c r="K3320" i="3"/>
  <c r="K3319" i="3"/>
  <c r="K3318" i="3"/>
  <c r="K3317" i="3"/>
  <c r="K3316" i="3"/>
  <c r="K3315" i="3"/>
  <c r="K3314" i="3"/>
  <c r="K3313" i="3"/>
  <c r="K3312" i="3"/>
  <c r="K3311" i="3"/>
  <c r="K3310" i="3"/>
  <c r="K3309" i="3"/>
  <c r="K3308" i="3"/>
  <c r="K3307" i="3"/>
  <c r="K3306" i="3"/>
  <c r="K3305" i="3"/>
  <c r="K3304" i="3"/>
  <c r="K3303" i="3"/>
  <c r="K3302" i="3"/>
  <c r="K3301" i="3"/>
  <c r="K3300" i="3"/>
  <c r="K3299" i="3"/>
  <c r="K3298" i="3"/>
  <c r="K3297" i="3"/>
  <c r="K3296" i="3"/>
  <c r="K3295" i="3"/>
  <c r="K3294" i="3"/>
  <c r="K3293" i="3"/>
  <c r="K3292" i="3"/>
  <c r="K3291" i="3"/>
  <c r="K3290" i="3"/>
  <c r="K3289" i="3"/>
  <c r="K3288" i="3"/>
  <c r="K3287" i="3"/>
  <c r="K3286" i="3"/>
  <c r="K3285" i="3"/>
  <c r="K3284" i="3"/>
  <c r="K3283" i="3"/>
  <c r="K3282" i="3"/>
  <c r="K3281" i="3"/>
  <c r="K3280" i="3"/>
  <c r="K3279" i="3"/>
  <c r="K3278" i="3"/>
  <c r="K3277" i="3"/>
  <c r="K3276" i="3"/>
  <c r="K3275" i="3"/>
  <c r="K3274" i="3"/>
  <c r="K3273" i="3"/>
  <c r="K3272" i="3"/>
  <c r="K3271" i="3"/>
  <c r="K3270" i="3"/>
  <c r="K3269" i="3"/>
  <c r="K3268" i="3"/>
  <c r="K3267" i="3"/>
  <c r="K3266" i="3"/>
  <c r="K3265" i="3"/>
  <c r="K3264" i="3"/>
  <c r="K3263" i="3"/>
  <c r="K3262" i="3"/>
  <c r="K3261" i="3"/>
  <c r="K3260" i="3"/>
  <c r="K3259" i="3"/>
  <c r="K3258" i="3"/>
  <c r="K3257" i="3"/>
  <c r="K3256" i="3"/>
  <c r="K3255" i="3"/>
  <c r="K3254" i="3"/>
  <c r="K3253" i="3"/>
  <c r="K3252" i="3"/>
  <c r="K3251" i="3"/>
  <c r="K3250" i="3"/>
  <c r="K3249" i="3"/>
  <c r="K3248" i="3"/>
  <c r="K3247" i="3"/>
  <c r="K3246" i="3"/>
  <c r="K3245" i="3"/>
  <c r="K3244" i="3"/>
  <c r="K3243" i="3"/>
  <c r="K3242" i="3"/>
  <c r="K3241" i="3"/>
  <c r="K3240" i="3"/>
  <c r="K3239" i="3"/>
  <c r="K3238" i="3"/>
  <c r="K3237" i="3"/>
  <c r="K3236" i="3"/>
  <c r="K3235" i="3"/>
  <c r="K3234" i="3"/>
  <c r="K3233" i="3"/>
  <c r="K3232" i="3"/>
  <c r="K3231" i="3"/>
  <c r="K3230" i="3"/>
  <c r="K3229" i="3"/>
  <c r="K3228" i="3"/>
  <c r="K3227" i="3"/>
  <c r="K3226" i="3"/>
  <c r="K3225" i="3"/>
  <c r="K3224" i="3"/>
  <c r="K3223" i="3"/>
  <c r="K3222" i="3"/>
  <c r="K3221" i="3"/>
  <c r="K3220" i="3"/>
  <c r="K3219" i="3"/>
  <c r="K3218" i="3"/>
  <c r="K3217" i="3"/>
  <c r="K3216" i="3"/>
  <c r="K3215" i="3"/>
  <c r="K3214" i="3"/>
  <c r="K3213" i="3"/>
  <c r="K3212" i="3"/>
  <c r="K3211" i="3"/>
  <c r="K3210" i="3"/>
  <c r="K3209" i="3"/>
  <c r="K3208" i="3"/>
  <c r="K3207" i="3"/>
  <c r="K3206" i="3"/>
  <c r="K3205" i="3"/>
  <c r="K3204" i="3"/>
  <c r="K3203" i="3"/>
  <c r="K3202" i="3"/>
  <c r="K3201" i="3"/>
  <c r="K3200" i="3"/>
  <c r="K3199" i="3"/>
  <c r="K3198" i="3"/>
  <c r="K3197" i="3"/>
  <c r="K3196" i="3"/>
  <c r="K3195" i="3"/>
  <c r="K3194" i="3"/>
  <c r="K3193" i="3"/>
  <c r="K3192" i="3"/>
  <c r="K3191" i="3"/>
  <c r="K3190" i="3"/>
  <c r="K3189" i="3"/>
  <c r="K3188" i="3"/>
  <c r="K3187" i="3"/>
  <c r="K3186" i="3"/>
  <c r="K3185" i="3"/>
  <c r="K3184" i="3"/>
  <c r="K3183" i="3"/>
  <c r="K3182" i="3"/>
  <c r="K3181" i="3"/>
  <c r="K3180" i="3"/>
  <c r="K3179" i="3"/>
  <c r="K3178" i="3"/>
  <c r="K3177" i="3"/>
  <c r="K3176" i="3"/>
  <c r="K3175" i="3"/>
  <c r="K3174" i="3"/>
  <c r="K3173" i="3"/>
  <c r="K3172" i="3"/>
  <c r="K3171" i="3"/>
  <c r="K3170" i="3"/>
  <c r="K3169" i="3"/>
  <c r="K3168" i="3"/>
  <c r="K3167" i="3"/>
  <c r="K3166" i="3"/>
  <c r="K3165" i="3"/>
  <c r="K3164" i="3"/>
  <c r="K3163" i="3"/>
  <c r="K3162" i="3"/>
  <c r="K3161" i="3"/>
  <c r="K3160" i="3"/>
  <c r="K3159" i="3"/>
  <c r="K3158" i="3"/>
  <c r="K3157" i="3"/>
  <c r="K3156" i="3"/>
  <c r="K3155" i="3"/>
  <c r="K3154" i="3"/>
  <c r="K3153" i="3"/>
  <c r="K3152" i="3"/>
  <c r="K3151" i="3"/>
  <c r="K3150" i="3"/>
  <c r="K3149" i="3"/>
  <c r="K3148" i="3"/>
  <c r="K3147" i="3"/>
  <c r="K3146" i="3"/>
  <c r="K3145" i="3"/>
  <c r="K3144" i="3"/>
  <c r="K3143" i="3"/>
  <c r="K3142" i="3"/>
  <c r="K3141" i="3"/>
  <c r="K3140" i="3"/>
  <c r="K3139" i="3"/>
  <c r="K3138" i="3"/>
  <c r="K3137" i="3"/>
  <c r="K3136" i="3"/>
  <c r="K3135" i="3"/>
  <c r="K3134" i="3"/>
  <c r="K3133" i="3"/>
  <c r="K3132" i="3"/>
  <c r="K3131" i="3"/>
  <c r="K3130" i="3"/>
  <c r="K3129" i="3"/>
  <c r="K3128" i="3"/>
  <c r="K3127" i="3"/>
  <c r="K3126" i="3"/>
  <c r="K3125" i="3"/>
  <c r="K3124" i="3"/>
  <c r="K3123" i="3"/>
  <c r="K3122" i="3"/>
  <c r="K3121" i="3"/>
  <c r="K3120" i="3"/>
  <c r="K3119" i="3"/>
  <c r="K3118" i="3"/>
  <c r="K3117" i="3"/>
  <c r="K3116" i="3"/>
  <c r="K3115" i="3"/>
  <c r="K3114" i="3"/>
  <c r="K3113" i="3"/>
  <c r="K3112" i="3"/>
  <c r="K3111" i="3"/>
  <c r="K3110" i="3"/>
  <c r="K3109" i="3"/>
  <c r="K3108" i="3"/>
  <c r="K3107" i="3"/>
  <c r="K3106" i="3"/>
  <c r="K3105" i="3"/>
  <c r="K3104" i="3"/>
  <c r="K3103" i="3"/>
  <c r="K3102" i="3"/>
  <c r="K3101" i="3"/>
  <c r="K3100" i="3"/>
  <c r="K3099" i="3"/>
  <c r="K3098" i="3"/>
  <c r="K3097" i="3"/>
  <c r="K3096" i="3"/>
  <c r="K3095" i="3"/>
  <c r="K3094" i="3"/>
  <c r="K3093" i="3"/>
  <c r="K3092" i="3"/>
  <c r="K3091" i="3"/>
  <c r="K3090" i="3"/>
  <c r="K3089" i="3"/>
  <c r="K3088" i="3"/>
  <c r="K3087" i="3"/>
  <c r="K3086" i="3"/>
  <c r="K3085" i="3"/>
  <c r="K3084" i="3"/>
  <c r="K3083" i="3"/>
  <c r="K3082" i="3"/>
  <c r="K3081" i="3"/>
  <c r="K3080" i="3"/>
  <c r="K3079" i="3"/>
  <c r="K3078" i="3"/>
  <c r="K3077" i="3"/>
  <c r="K3076" i="3"/>
  <c r="K3075" i="3"/>
  <c r="K3074" i="3"/>
  <c r="K3073" i="3"/>
  <c r="K3072" i="3"/>
  <c r="K3071" i="3"/>
  <c r="K3070" i="3"/>
  <c r="K3069" i="3"/>
  <c r="K3068" i="3"/>
  <c r="K3067" i="3"/>
  <c r="K3066" i="3"/>
  <c r="K3065" i="3"/>
  <c r="K3064" i="3"/>
  <c r="K3063" i="3"/>
  <c r="K3062" i="3"/>
  <c r="K3061" i="3"/>
  <c r="K3060" i="3"/>
  <c r="K3059" i="3"/>
  <c r="K3058" i="3"/>
  <c r="K3057" i="3"/>
  <c r="K3056" i="3"/>
  <c r="K3055" i="3"/>
  <c r="K3054" i="3"/>
  <c r="K3053" i="3"/>
  <c r="K3052" i="3"/>
  <c r="K3051" i="3"/>
  <c r="K3050" i="3"/>
  <c r="K3049" i="3"/>
  <c r="K3048" i="3"/>
  <c r="K3047" i="3"/>
  <c r="K3046" i="3"/>
  <c r="K3045" i="3"/>
  <c r="K3044" i="3"/>
  <c r="K3043" i="3"/>
  <c r="K3042" i="3"/>
  <c r="K3041" i="3"/>
  <c r="K3040" i="3"/>
  <c r="K3039" i="3"/>
  <c r="K3038" i="3"/>
  <c r="K3037" i="3"/>
  <c r="K3036" i="3"/>
  <c r="K3035" i="3"/>
  <c r="K3034" i="3"/>
  <c r="K3033" i="3"/>
  <c r="K3032" i="3"/>
  <c r="K3031" i="3"/>
  <c r="K3030" i="3"/>
  <c r="K3029" i="3"/>
  <c r="K3028" i="3"/>
  <c r="K3027" i="3"/>
  <c r="K3026" i="3"/>
  <c r="K3025" i="3"/>
  <c r="K3024" i="3"/>
  <c r="K3023" i="3"/>
  <c r="K3022" i="3"/>
  <c r="K3021" i="3"/>
  <c r="K3020" i="3"/>
  <c r="K3019" i="3"/>
  <c r="K3018" i="3"/>
  <c r="K3017" i="3"/>
  <c r="K3016" i="3"/>
  <c r="K3015" i="3"/>
  <c r="K3014" i="3"/>
  <c r="K3013" i="3"/>
  <c r="K3012" i="3"/>
  <c r="K3011" i="3"/>
  <c r="K3010" i="3"/>
  <c r="K3009" i="3"/>
  <c r="K3008" i="3"/>
  <c r="K3007" i="3"/>
  <c r="K3006" i="3"/>
  <c r="K3005" i="3"/>
  <c r="K3004" i="3"/>
  <c r="K3003" i="3"/>
  <c r="K3002" i="3"/>
  <c r="K3001" i="3"/>
  <c r="K3000" i="3"/>
  <c r="K2999" i="3"/>
  <c r="K2998" i="3"/>
  <c r="K2997" i="3"/>
  <c r="K2996" i="3"/>
  <c r="K2995" i="3"/>
  <c r="K2994" i="3"/>
  <c r="K2993" i="3"/>
  <c r="K2992" i="3"/>
  <c r="K2991" i="3"/>
  <c r="K2990" i="3"/>
  <c r="K2989" i="3"/>
  <c r="K2988" i="3"/>
  <c r="K2987" i="3"/>
  <c r="K2986" i="3"/>
  <c r="K2985" i="3"/>
  <c r="K2984" i="3"/>
  <c r="K2983" i="3"/>
  <c r="K2982" i="3"/>
  <c r="K2981" i="3"/>
  <c r="K2980" i="3"/>
  <c r="K2979" i="3"/>
  <c r="K2978" i="3"/>
  <c r="K2977" i="3"/>
  <c r="K2976" i="3"/>
  <c r="K2975" i="3"/>
  <c r="K2974" i="3"/>
  <c r="K2973" i="3"/>
  <c r="K2972" i="3"/>
  <c r="K2971" i="3"/>
  <c r="K2970" i="3"/>
  <c r="K2969" i="3"/>
  <c r="K2968" i="3"/>
  <c r="K2967" i="3"/>
  <c r="K2966" i="3"/>
  <c r="K2965" i="3"/>
  <c r="K2964" i="3"/>
  <c r="K2963" i="3"/>
  <c r="K2962" i="3"/>
  <c r="K2961" i="3"/>
  <c r="K2960" i="3"/>
  <c r="K2959" i="3"/>
  <c r="K2958" i="3"/>
  <c r="K2957" i="3"/>
  <c r="K2956" i="3"/>
  <c r="K2955" i="3"/>
  <c r="K2954" i="3"/>
  <c r="K2953" i="3"/>
  <c r="K2952" i="3"/>
  <c r="K2951" i="3"/>
  <c r="K2950" i="3"/>
  <c r="K2949" i="3"/>
  <c r="K2948" i="3"/>
  <c r="K2947" i="3"/>
  <c r="K2946" i="3"/>
  <c r="K2945" i="3"/>
  <c r="K2944" i="3"/>
  <c r="K2943" i="3"/>
  <c r="K2942" i="3"/>
  <c r="K2941" i="3"/>
  <c r="K2940" i="3"/>
  <c r="K2939" i="3"/>
  <c r="K2938" i="3"/>
  <c r="K2937" i="3"/>
  <c r="K2936" i="3"/>
  <c r="K2935" i="3"/>
  <c r="K2934" i="3"/>
  <c r="K2933" i="3"/>
  <c r="K2932" i="3"/>
  <c r="K2931" i="3"/>
  <c r="K2930" i="3"/>
  <c r="K2929" i="3"/>
  <c r="K2928" i="3"/>
  <c r="K2927" i="3"/>
  <c r="K2926" i="3"/>
  <c r="K2925" i="3"/>
  <c r="K2924" i="3"/>
  <c r="K2923" i="3"/>
  <c r="K2922" i="3"/>
  <c r="K2921" i="3"/>
  <c r="K2920" i="3"/>
  <c r="K2919" i="3"/>
  <c r="K2918" i="3"/>
  <c r="K2917" i="3"/>
  <c r="K2916" i="3"/>
  <c r="K2915" i="3"/>
  <c r="K2914" i="3"/>
  <c r="K2913" i="3"/>
  <c r="K2912" i="3"/>
  <c r="K2911" i="3"/>
  <c r="K2910" i="3"/>
  <c r="K2909" i="3"/>
  <c r="K2908" i="3"/>
  <c r="K2907" i="3"/>
  <c r="K2906" i="3"/>
  <c r="K2905" i="3"/>
  <c r="K2904" i="3"/>
  <c r="K2903" i="3"/>
  <c r="K2902" i="3"/>
  <c r="K2901" i="3"/>
  <c r="K2900" i="3"/>
  <c r="K2899" i="3"/>
  <c r="K2898" i="3"/>
  <c r="K2897" i="3"/>
  <c r="K2896" i="3"/>
  <c r="K2895" i="3"/>
  <c r="K2894" i="3"/>
  <c r="K2893" i="3"/>
  <c r="K2892" i="3"/>
  <c r="K2891" i="3"/>
  <c r="K2890" i="3"/>
  <c r="K2889" i="3"/>
  <c r="K2888" i="3"/>
  <c r="K2887" i="3"/>
  <c r="K2886" i="3"/>
  <c r="K2885" i="3"/>
  <c r="K2884" i="3"/>
  <c r="K2883" i="3"/>
  <c r="K2882" i="3"/>
  <c r="K2881" i="3"/>
  <c r="K2880" i="3"/>
  <c r="K2879" i="3"/>
  <c r="K2878" i="3"/>
  <c r="K2877" i="3"/>
  <c r="K2876" i="3"/>
  <c r="K2875" i="3"/>
  <c r="K2874" i="3"/>
  <c r="K2873" i="3"/>
  <c r="K2872" i="3"/>
  <c r="K2871" i="3"/>
  <c r="K2870" i="3"/>
  <c r="K2869" i="3"/>
  <c r="K2868" i="3"/>
  <c r="K2867" i="3"/>
  <c r="K2866" i="3"/>
  <c r="K2865" i="3"/>
  <c r="K2864" i="3"/>
  <c r="K2863" i="3"/>
  <c r="K2862" i="3"/>
  <c r="K2861" i="3"/>
  <c r="K2860" i="3"/>
  <c r="K2859" i="3"/>
  <c r="K2858" i="3"/>
  <c r="K2857" i="3"/>
  <c r="K2856" i="3"/>
  <c r="K2855" i="3"/>
  <c r="K2854" i="3"/>
  <c r="K2853" i="3"/>
  <c r="K2852" i="3"/>
  <c r="K2851" i="3"/>
  <c r="K2850" i="3"/>
  <c r="K2849" i="3"/>
  <c r="K2848" i="3"/>
  <c r="K2847" i="3"/>
  <c r="K2846" i="3"/>
  <c r="K2845" i="3"/>
  <c r="K2844" i="3"/>
  <c r="K2843" i="3"/>
  <c r="K2842" i="3"/>
  <c r="K2841" i="3"/>
  <c r="K2840" i="3"/>
  <c r="K2839" i="3"/>
  <c r="K2838" i="3"/>
  <c r="K2837" i="3"/>
  <c r="K2836" i="3"/>
  <c r="K2835" i="3"/>
  <c r="K2834" i="3"/>
  <c r="K2833" i="3"/>
  <c r="K2832" i="3"/>
  <c r="K2831" i="3"/>
  <c r="K2830" i="3"/>
  <c r="K2829" i="3"/>
  <c r="K2828" i="3"/>
  <c r="K2827" i="3"/>
  <c r="K2826" i="3"/>
  <c r="K2825" i="3"/>
  <c r="K2824" i="3"/>
  <c r="K2823" i="3"/>
  <c r="K2822" i="3"/>
  <c r="K2821" i="3"/>
  <c r="K2820" i="3"/>
  <c r="K2819" i="3"/>
  <c r="K2818" i="3"/>
  <c r="K2817" i="3"/>
  <c r="K2816" i="3"/>
  <c r="K2815" i="3"/>
  <c r="K2814" i="3"/>
  <c r="K2813" i="3"/>
  <c r="K2812" i="3"/>
  <c r="K2811" i="3"/>
  <c r="K2810" i="3"/>
  <c r="K2809" i="3"/>
  <c r="K2808" i="3"/>
  <c r="K2807" i="3"/>
  <c r="K2806" i="3"/>
  <c r="K2805" i="3"/>
  <c r="K2804" i="3"/>
  <c r="K2803" i="3"/>
  <c r="K2802" i="3"/>
  <c r="K2801" i="3"/>
  <c r="K2800" i="3"/>
  <c r="K2799" i="3"/>
  <c r="K2798" i="3"/>
  <c r="K2797" i="3"/>
  <c r="K2796" i="3"/>
  <c r="K2795" i="3"/>
  <c r="K2794" i="3"/>
  <c r="K2793" i="3"/>
  <c r="K2792" i="3"/>
  <c r="K2791" i="3"/>
  <c r="K2790" i="3"/>
  <c r="K2789" i="3"/>
  <c r="K2788" i="3"/>
  <c r="K2787" i="3"/>
  <c r="K2786" i="3"/>
  <c r="K2785" i="3"/>
  <c r="K2784" i="3"/>
  <c r="K2783" i="3"/>
  <c r="K2782" i="3"/>
  <c r="K2781" i="3"/>
  <c r="K2780" i="3"/>
  <c r="K2779" i="3"/>
  <c r="K2778" i="3"/>
  <c r="K2777" i="3"/>
  <c r="K2776" i="3"/>
  <c r="K2775" i="3"/>
  <c r="K2774" i="3"/>
  <c r="K2773" i="3"/>
  <c r="K2772" i="3"/>
  <c r="K2771" i="3"/>
  <c r="K2770" i="3"/>
  <c r="K2769" i="3"/>
  <c r="K2768" i="3"/>
  <c r="K2767" i="3"/>
  <c r="K2766" i="3"/>
  <c r="K2765" i="3"/>
  <c r="K2764" i="3"/>
  <c r="K2763" i="3"/>
  <c r="K2762" i="3"/>
  <c r="K2761" i="3"/>
  <c r="K2760" i="3"/>
  <c r="K2759" i="3"/>
  <c r="K2758" i="3"/>
  <c r="K2757" i="3"/>
  <c r="K2756" i="3"/>
  <c r="K2755" i="3"/>
  <c r="K2754" i="3"/>
  <c r="K2753" i="3"/>
  <c r="K2752" i="3"/>
  <c r="K2751" i="3"/>
  <c r="K2750" i="3"/>
  <c r="K2749" i="3"/>
  <c r="K2748" i="3"/>
  <c r="K2747" i="3"/>
  <c r="K2746" i="3"/>
  <c r="K2745" i="3"/>
  <c r="K2744" i="3"/>
  <c r="K2743" i="3"/>
  <c r="K2742" i="3"/>
  <c r="K2741" i="3"/>
  <c r="K2740" i="3"/>
  <c r="K2739" i="3"/>
  <c r="K2738" i="3"/>
  <c r="K2737" i="3"/>
  <c r="K2736" i="3"/>
  <c r="K2735" i="3"/>
  <c r="K2734" i="3"/>
  <c r="K2733" i="3"/>
  <c r="K2732" i="3"/>
  <c r="K2731" i="3"/>
  <c r="K2730" i="3"/>
  <c r="K2729" i="3"/>
  <c r="K2728" i="3"/>
  <c r="K2727" i="3"/>
  <c r="K2726" i="3"/>
  <c r="K2725" i="3"/>
  <c r="K2724" i="3"/>
  <c r="K2723" i="3"/>
  <c r="K2722" i="3"/>
  <c r="K2721" i="3"/>
  <c r="K2720" i="3"/>
  <c r="K2719" i="3"/>
  <c r="K2718" i="3"/>
  <c r="K2717" i="3"/>
  <c r="K2716" i="3"/>
  <c r="K2715" i="3"/>
  <c r="K2714" i="3"/>
  <c r="K2713" i="3"/>
  <c r="K2712" i="3"/>
  <c r="K2711" i="3"/>
  <c r="K2710" i="3"/>
  <c r="K2709" i="3"/>
  <c r="K2708" i="3"/>
  <c r="K2707" i="3"/>
  <c r="K2706" i="3"/>
  <c r="K2705" i="3"/>
  <c r="K2704" i="3"/>
  <c r="K2703" i="3"/>
  <c r="K2702" i="3"/>
  <c r="K2701" i="3"/>
  <c r="K2700" i="3"/>
  <c r="K2699" i="3"/>
  <c r="K2698" i="3"/>
  <c r="K2697" i="3"/>
  <c r="K2696" i="3"/>
  <c r="K2695" i="3"/>
  <c r="K2694" i="3"/>
  <c r="K2693" i="3"/>
  <c r="K2692" i="3"/>
  <c r="K2691" i="3"/>
  <c r="K2690" i="3"/>
  <c r="K2689" i="3"/>
  <c r="K2688" i="3"/>
  <c r="K2687" i="3"/>
  <c r="K2686" i="3"/>
  <c r="K2685" i="3"/>
  <c r="K2684" i="3"/>
  <c r="K2683" i="3"/>
  <c r="K2682" i="3"/>
  <c r="K2681" i="3"/>
  <c r="K2680" i="3"/>
  <c r="K2679" i="3"/>
  <c r="K2678" i="3"/>
  <c r="K2677" i="3"/>
  <c r="K2676" i="3"/>
  <c r="K2675" i="3"/>
  <c r="K2674" i="3"/>
  <c r="K2673" i="3"/>
  <c r="K2672" i="3"/>
  <c r="K2671" i="3"/>
  <c r="K2670" i="3"/>
  <c r="K2669" i="3"/>
  <c r="K2668" i="3"/>
  <c r="K2667" i="3"/>
  <c r="K2666" i="3"/>
  <c r="K2665" i="3"/>
  <c r="K2664" i="3"/>
  <c r="K2663" i="3"/>
  <c r="K2662" i="3"/>
  <c r="K2661" i="3"/>
  <c r="K2660" i="3"/>
  <c r="K2659" i="3"/>
  <c r="K2658" i="3"/>
  <c r="K2657" i="3"/>
  <c r="K2656" i="3"/>
  <c r="K2655" i="3"/>
  <c r="K2654" i="3"/>
  <c r="K2653" i="3"/>
  <c r="K2652" i="3"/>
  <c r="K2651" i="3"/>
  <c r="K2650" i="3"/>
  <c r="K2649" i="3"/>
  <c r="K2648" i="3"/>
  <c r="K2647" i="3"/>
  <c r="K2646" i="3"/>
  <c r="K2645" i="3"/>
  <c r="K2644" i="3"/>
  <c r="K2643" i="3"/>
  <c r="K2642" i="3"/>
  <c r="K2641" i="3"/>
  <c r="K2640" i="3"/>
  <c r="K2639" i="3"/>
  <c r="K2638" i="3"/>
  <c r="K2637" i="3"/>
  <c r="K2636" i="3"/>
  <c r="K2635" i="3"/>
  <c r="K2634" i="3"/>
  <c r="K2633" i="3"/>
  <c r="K2632" i="3"/>
  <c r="K2631" i="3"/>
  <c r="K2630" i="3"/>
  <c r="K2629" i="3"/>
  <c r="K2628" i="3"/>
  <c r="K2627" i="3"/>
  <c r="K2626" i="3"/>
  <c r="K2625" i="3"/>
  <c r="K2624" i="3"/>
  <c r="K2623" i="3"/>
  <c r="K2622" i="3"/>
  <c r="K2621" i="3"/>
  <c r="K2620" i="3"/>
  <c r="K2619" i="3"/>
  <c r="K2618" i="3"/>
  <c r="K2617" i="3"/>
  <c r="K2616" i="3"/>
  <c r="K2615" i="3"/>
  <c r="K2614" i="3"/>
  <c r="K2613" i="3"/>
  <c r="K2612" i="3"/>
  <c r="K2611" i="3"/>
  <c r="K2610" i="3"/>
  <c r="K2609" i="3"/>
  <c r="K2608" i="3"/>
  <c r="K2607" i="3"/>
  <c r="K2606" i="3"/>
  <c r="K2605" i="3"/>
  <c r="K2604" i="3"/>
  <c r="K2603" i="3"/>
  <c r="K2602" i="3"/>
  <c r="K2601" i="3"/>
  <c r="K2600" i="3"/>
  <c r="K2599" i="3"/>
  <c r="K2598" i="3"/>
  <c r="K2597" i="3"/>
  <c r="K2596" i="3"/>
  <c r="K2595" i="3"/>
  <c r="K2594" i="3"/>
  <c r="K2593" i="3"/>
  <c r="K2592" i="3"/>
  <c r="K2591" i="3"/>
  <c r="K2590" i="3"/>
  <c r="K2589" i="3"/>
  <c r="K2588" i="3"/>
  <c r="K2587" i="3"/>
  <c r="K2586" i="3"/>
  <c r="K2585" i="3"/>
  <c r="K2584" i="3"/>
  <c r="K2583" i="3"/>
  <c r="K2582" i="3"/>
  <c r="K2581" i="3"/>
  <c r="K2580" i="3"/>
  <c r="K2579" i="3"/>
  <c r="K2578" i="3"/>
  <c r="K2577" i="3"/>
  <c r="K2576" i="3"/>
  <c r="K2575" i="3"/>
  <c r="K2574" i="3"/>
  <c r="K2573" i="3"/>
  <c r="K2572" i="3"/>
  <c r="K2571" i="3"/>
  <c r="K2570" i="3"/>
  <c r="K2569" i="3"/>
  <c r="K2568" i="3"/>
  <c r="K2567" i="3"/>
  <c r="K2566" i="3"/>
  <c r="K2565" i="3"/>
  <c r="K2564" i="3"/>
  <c r="K2563" i="3"/>
  <c r="K2562" i="3"/>
  <c r="K2561" i="3"/>
  <c r="K2560" i="3"/>
  <c r="K2559" i="3"/>
  <c r="K2558" i="3"/>
  <c r="K2557" i="3"/>
  <c r="K2556" i="3"/>
  <c r="K2555" i="3"/>
  <c r="K2554" i="3"/>
  <c r="K2553" i="3"/>
  <c r="K2552" i="3"/>
  <c r="K2551" i="3"/>
  <c r="K2550" i="3"/>
  <c r="K2549" i="3"/>
  <c r="K2548" i="3"/>
  <c r="K2547" i="3"/>
  <c r="K2546" i="3"/>
  <c r="K2545" i="3"/>
  <c r="K2544" i="3"/>
  <c r="K2543" i="3"/>
  <c r="K2542" i="3"/>
  <c r="K2541" i="3"/>
  <c r="K2540" i="3"/>
  <c r="K2539" i="3"/>
  <c r="K2538" i="3"/>
  <c r="K2537" i="3"/>
  <c r="K2536" i="3"/>
  <c r="K2535" i="3"/>
  <c r="K2534" i="3"/>
  <c r="K2533" i="3"/>
  <c r="K2532" i="3"/>
  <c r="K2531" i="3"/>
  <c r="K2530" i="3"/>
  <c r="K2529" i="3"/>
  <c r="K2528" i="3"/>
  <c r="K2527" i="3"/>
  <c r="K2526" i="3"/>
  <c r="K2525" i="3"/>
  <c r="K2524" i="3"/>
  <c r="K2523" i="3"/>
  <c r="K2522" i="3"/>
  <c r="K2521" i="3"/>
  <c r="K2520" i="3"/>
  <c r="K2519" i="3"/>
  <c r="K2518" i="3"/>
  <c r="K2517" i="3"/>
  <c r="K2516" i="3"/>
  <c r="K2515" i="3"/>
  <c r="K2514" i="3"/>
  <c r="K2513" i="3"/>
  <c r="K2512" i="3"/>
  <c r="K2511" i="3"/>
  <c r="K2510" i="3"/>
  <c r="K2509" i="3"/>
  <c r="K2508" i="3"/>
  <c r="K2507" i="3"/>
  <c r="K2506" i="3"/>
  <c r="K2505" i="3"/>
  <c r="K2504" i="3"/>
  <c r="K2503" i="3"/>
  <c r="K2502" i="3"/>
  <c r="K2501" i="3"/>
  <c r="K2500" i="3"/>
  <c r="K2499" i="3"/>
  <c r="K2498" i="3"/>
  <c r="K2497" i="3"/>
  <c r="K2496" i="3"/>
  <c r="K2495" i="3"/>
  <c r="K2494" i="3"/>
  <c r="K2493" i="3"/>
  <c r="K2492" i="3"/>
  <c r="K2491" i="3"/>
  <c r="K2490" i="3"/>
  <c r="K2489" i="3"/>
  <c r="K2488" i="3"/>
  <c r="K2487" i="3"/>
  <c r="K2486" i="3"/>
  <c r="K2485" i="3"/>
  <c r="K2484" i="3"/>
  <c r="K2483" i="3"/>
  <c r="K2482" i="3"/>
  <c r="K2481" i="3"/>
  <c r="K2480" i="3"/>
  <c r="K2479" i="3"/>
  <c r="K2478" i="3"/>
  <c r="K2477" i="3"/>
  <c r="K2476" i="3"/>
  <c r="K2475" i="3"/>
  <c r="K2474" i="3"/>
  <c r="K2473" i="3"/>
  <c r="K2472" i="3"/>
  <c r="K2471" i="3"/>
  <c r="K2470" i="3"/>
  <c r="K2469" i="3"/>
  <c r="K2468" i="3"/>
  <c r="K2467" i="3"/>
  <c r="K2466" i="3"/>
  <c r="K2465" i="3"/>
  <c r="K2464" i="3"/>
  <c r="K2463" i="3"/>
  <c r="K2462" i="3"/>
  <c r="K2461" i="3"/>
  <c r="K2460" i="3"/>
  <c r="K2459" i="3"/>
  <c r="K2458" i="3"/>
  <c r="K2457" i="3"/>
  <c r="K2456" i="3"/>
  <c r="K2455" i="3"/>
  <c r="K2454" i="3"/>
  <c r="K2453" i="3"/>
  <c r="K2452" i="3"/>
  <c r="K2451" i="3"/>
  <c r="K2450" i="3"/>
  <c r="K2449" i="3"/>
  <c r="K2448" i="3"/>
  <c r="K2447" i="3"/>
  <c r="K2446" i="3"/>
  <c r="K2445" i="3"/>
  <c r="K2444" i="3"/>
  <c r="K2443" i="3"/>
  <c r="K2442" i="3"/>
  <c r="K2441" i="3"/>
  <c r="K2440" i="3"/>
  <c r="K2439" i="3"/>
  <c r="K2438" i="3"/>
  <c r="K2437" i="3"/>
  <c r="K2436" i="3"/>
  <c r="K2435" i="3"/>
  <c r="K2434" i="3"/>
  <c r="K2433" i="3"/>
  <c r="K2432" i="3"/>
  <c r="K2431" i="3"/>
  <c r="K2430" i="3"/>
  <c r="K2429" i="3"/>
  <c r="K2428" i="3"/>
  <c r="K2427" i="3"/>
  <c r="K2426" i="3"/>
  <c r="K2425" i="3"/>
  <c r="K2424" i="3"/>
  <c r="K2423" i="3"/>
  <c r="K2422" i="3"/>
  <c r="K2421" i="3"/>
  <c r="K2420" i="3"/>
  <c r="K2419" i="3"/>
  <c r="K2418" i="3"/>
  <c r="K2417" i="3"/>
  <c r="K2416" i="3"/>
  <c r="K2415" i="3"/>
  <c r="K2414" i="3"/>
  <c r="K2413" i="3"/>
  <c r="K2412" i="3"/>
  <c r="K2411" i="3"/>
  <c r="K2410" i="3"/>
  <c r="K2409" i="3"/>
  <c r="K2408" i="3"/>
  <c r="K2407" i="3"/>
  <c r="K2406" i="3"/>
  <c r="K2405" i="3"/>
  <c r="K2404" i="3"/>
  <c r="K2403" i="3"/>
  <c r="K2402" i="3"/>
  <c r="K2401" i="3"/>
  <c r="K2400" i="3"/>
  <c r="K2399" i="3"/>
  <c r="K2398" i="3"/>
  <c r="K2397" i="3"/>
  <c r="K2396" i="3"/>
  <c r="K2395" i="3"/>
  <c r="K2394" i="3"/>
  <c r="K2393" i="3"/>
  <c r="K2392" i="3"/>
  <c r="K2391" i="3"/>
  <c r="K2390" i="3"/>
  <c r="K2389" i="3"/>
  <c r="K2388" i="3"/>
  <c r="K2387" i="3"/>
  <c r="K2386" i="3"/>
  <c r="K2385" i="3"/>
  <c r="K2384" i="3"/>
  <c r="K2383" i="3"/>
  <c r="K2382" i="3"/>
  <c r="K2381" i="3"/>
  <c r="K2380" i="3"/>
  <c r="K2379" i="3"/>
  <c r="K2378" i="3"/>
  <c r="K2377" i="3"/>
  <c r="K2376" i="3"/>
  <c r="K2375" i="3"/>
  <c r="K2374" i="3"/>
  <c r="K2373" i="3"/>
  <c r="K2372" i="3"/>
  <c r="K2371" i="3"/>
  <c r="K2370" i="3"/>
  <c r="K2369" i="3"/>
  <c r="K2368" i="3"/>
  <c r="K2367" i="3"/>
  <c r="K2366" i="3"/>
  <c r="K2365" i="3"/>
  <c r="K2364" i="3"/>
  <c r="K2363" i="3"/>
  <c r="K2362" i="3"/>
  <c r="K2361" i="3"/>
  <c r="K2360" i="3"/>
  <c r="K2359" i="3"/>
  <c r="K2358" i="3"/>
  <c r="K2357" i="3"/>
  <c r="K2356" i="3"/>
  <c r="K2355" i="3"/>
  <c r="K2354" i="3"/>
  <c r="K2353" i="3"/>
  <c r="K2352" i="3"/>
  <c r="K2351" i="3"/>
  <c r="K2350" i="3"/>
  <c r="K2349" i="3"/>
  <c r="K2348" i="3"/>
  <c r="K2347" i="3"/>
  <c r="K2346" i="3"/>
  <c r="K2345" i="3"/>
  <c r="K2344" i="3"/>
  <c r="K2343" i="3"/>
  <c r="K2342" i="3"/>
  <c r="K2341" i="3"/>
  <c r="K2340" i="3"/>
  <c r="K2339" i="3"/>
  <c r="K2338" i="3"/>
  <c r="K2337" i="3"/>
  <c r="K2336" i="3"/>
  <c r="K2335" i="3"/>
  <c r="K2334" i="3"/>
  <c r="K2333" i="3"/>
  <c r="K2332" i="3"/>
  <c r="K2331" i="3"/>
  <c r="K2330" i="3"/>
  <c r="K2329" i="3"/>
  <c r="K2328" i="3"/>
  <c r="K2327" i="3"/>
  <c r="K2326" i="3"/>
  <c r="K2325" i="3"/>
  <c r="K2324" i="3"/>
  <c r="K2323" i="3"/>
  <c r="K2322" i="3"/>
  <c r="K2321" i="3"/>
  <c r="K2320" i="3"/>
  <c r="K2319" i="3"/>
  <c r="K2318" i="3"/>
  <c r="K2317" i="3"/>
  <c r="K2316" i="3"/>
  <c r="K2315" i="3"/>
  <c r="K2314" i="3"/>
  <c r="K2313" i="3"/>
  <c r="K2312" i="3"/>
  <c r="K2311" i="3"/>
  <c r="K2310" i="3"/>
  <c r="K2309" i="3"/>
  <c r="K2308" i="3"/>
  <c r="K2307" i="3"/>
  <c r="K2306" i="3"/>
  <c r="K2305" i="3"/>
  <c r="K2304" i="3"/>
  <c r="K2303" i="3"/>
  <c r="K2302" i="3"/>
  <c r="K2301" i="3"/>
  <c r="K2300" i="3"/>
  <c r="K2299" i="3"/>
  <c r="K2298" i="3"/>
  <c r="K2297" i="3"/>
  <c r="K2296" i="3"/>
  <c r="K2295" i="3"/>
  <c r="K2294" i="3"/>
  <c r="K2293" i="3"/>
  <c r="K2292" i="3"/>
  <c r="K2291" i="3"/>
  <c r="K2290" i="3"/>
  <c r="K2289" i="3"/>
  <c r="K2288" i="3"/>
  <c r="K2287" i="3"/>
  <c r="K2286" i="3"/>
  <c r="K2285" i="3"/>
  <c r="K2284" i="3"/>
  <c r="K2283" i="3"/>
  <c r="K2282" i="3"/>
  <c r="K2281" i="3"/>
  <c r="K2280" i="3"/>
  <c r="K2279" i="3"/>
  <c r="K2278" i="3"/>
  <c r="K2277" i="3"/>
  <c r="K2276" i="3"/>
  <c r="K2275" i="3"/>
  <c r="K2274" i="3"/>
  <c r="K2273" i="3"/>
  <c r="K2272" i="3"/>
  <c r="K2271" i="3"/>
  <c r="K2270" i="3"/>
  <c r="K2269" i="3"/>
  <c r="K2268" i="3"/>
  <c r="K2267" i="3"/>
  <c r="K2266" i="3"/>
  <c r="K2265" i="3"/>
  <c r="K2264" i="3"/>
  <c r="K2263" i="3"/>
  <c r="K2262" i="3"/>
  <c r="K2261" i="3"/>
  <c r="K2260" i="3"/>
  <c r="K2259" i="3"/>
  <c r="K2258" i="3"/>
  <c r="K2257" i="3"/>
  <c r="K2256" i="3"/>
  <c r="K2255" i="3"/>
  <c r="K2254" i="3"/>
  <c r="K2253" i="3"/>
  <c r="K2252" i="3"/>
  <c r="K2251" i="3"/>
  <c r="K2250" i="3"/>
  <c r="K2249" i="3"/>
  <c r="K2248" i="3"/>
  <c r="K2247" i="3"/>
  <c r="K2246" i="3"/>
  <c r="K2245" i="3"/>
  <c r="K2244" i="3"/>
  <c r="K2243" i="3"/>
  <c r="K2242" i="3"/>
  <c r="K2241" i="3"/>
  <c r="K2240" i="3"/>
  <c r="K2239" i="3"/>
  <c r="K2238" i="3"/>
  <c r="K2237" i="3"/>
  <c r="K2236" i="3"/>
  <c r="K2235" i="3"/>
  <c r="K2234" i="3"/>
  <c r="K2233" i="3"/>
  <c r="K2232" i="3"/>
  <c r="K2231" i="3"/>
  <c r="K2230" i="3"/>
  <c r="K2229" i="3"/>
  <c r="K2228" i="3"/>
  <c r="K2227" i="3"/>
  <c r="K2226" i="3"/>
  <c r="K2225" i="3"/>
  <c r="K2224" i="3"/>
  <c r="K2223" i="3"/>
  <c r="K2222" i="3"/>
  <c r="K2221" i="3"/>
  <c r="K2220" i="3"/>
  <c r="K2219" i="3"/>
  <c r="K2218" i="3"/>
  <c r="K2217" i="3"/>
  <c r="K2216" i="3"/>
  <c r="K2215" i="3"/>
  <c r="K2214" i="3"/>
  <c r="K2213" i="3"/>
  <c r="K2212" i="3"/>
  <c r="K2211" i="3"/>
  <c r="K2210" i="3"/>
  <c r="K2209" i="3"/>
  <c r="K2208" i="3"/>
  <c r="K2207" i="3"/>
  <c r="K2206" i="3"/>
  <c r="K2205" i="3"/>
  <c r="K2204" i="3"/>
  <c r="K2203" i="3"/>
  <c r="K2202" i="3"/>
  <c r="K2201" i="3"/>
  <c r="K2200" i="3"/>
  <c r="K2199" i="3"/>
  <c r="K2198" i="3"/>
  <c r="K2197" i="3"/>
  <c r="K2196" i="3"/>
  <c r="K2195" i="3"/>
  <c r="K2194" i="3"/>
  <c r="K2193" i="3"/>
  <c r="K2192" i="3"/>
  <c r="K2191" i="3"/>
  <c r="K2190" i="3"/>
  <c r="K2189" i="3"/>
  <c r="K2188" i="3"/>
  <c r="K2187" i="3"/>
  <c r="K2186" i="3"/>
  <c r="K2185" i="3"/>
  <c r="K2184" i="3"/>
  <c r="K2183" i="3"/>
  <c r="K2182" i="3"/>
  <c r="K2181" i="3"/>
  <c r="K2180" i="3"/>
  <c r="K2179" i="3"/>
  <c r="K2178" i="3"/>
  <c r="K2177" i="3"/>
  <c r="K2176" i="3"/>
  <c r="K2175" i="3"/>
  <c r="K2174" i="3"/>
  <c r="K2173" i="3"/>
  <c r="K2172" i="3"/>
  <c r="K2171" i="3"/>
  <c r="K2170" i="3"/>
  <c r="K2169" i="3"/>
  <c r="K2168" i="3"/>
  <c r="K2167" i="3"/>
  <c r="K2166" i="3"/>
  <c r="K2165" i="3"/>
  <c r="K2164" i="3"/>
  <c r="K2163" i="3"/>
  <c r="K2162" i="3"/>
  <c r="K2161" i="3"/>
  <c r="K2160" i="3"/>
  <c r="K2159" i="3"/>
  <c r="K2158" i="3"/>
  <c r="K2157" i="3"/>
  <c r="K2156" i="3"/>
  <c r="K2155" i="3"/>
  <c r="K2154" i="3"/>
  <c r="K2153" i="3"/>
  <c r="K2152" i="3"/>
  <c r="K2151" i="3"/>
  <c r="K2150" i="3"/>
  <c r="K2149" i="3"/>
  <c r="K2148" i="3"/>
  <c r="K2147" i="3"/>
  <c r="K2146" i="3"/>
  <c r="K2145" i="3"/>
  <c r="K2144" i="3"/>
  <c r="K2143" i="3"/>
  <c r="K2142" i="3"/>
  <c r="K2141" i="3"/>
  <c r="K2140" i="3"/>
  <c r="K2139" i="3"/>
  <c r="K2138" i="3"/>
  <c r="K2137" i="3"/>
  <c r="K2136" i="3"/>
  <c r="K2135" i="3"/>
  <c r="K2134" i="3"/>
  <c r="K2133" i="3"/>
  <c r="K2132" i="3"/>
  <c r="K2131" i="3"/>
  <c r="K2130" i="3"/>
  <c r="K2129" i="3"/>
  <c r="K2128" i="3"/>
  <c r="K2127" i="3"/>
  <c r="K2126" i="3"/>
  <c r="K2125" i="3"/>
  <c r="K2124" i="3"/>
  <c r="K2123" i="3"/>
  <c r="K2122" i="3"/>
  <c r="K2121" i="3"/>
  <c r="K2120" i="3"/>
  <c r="K2119" i="3"/>
  <c r="K2118" i="3"/>
  <c r="K2117" i="3"/>
  <c r="K2116" i="3"/>
  <c r="K2115" i="3"/>
  <c r="K2114" i="3"/>
  <c r="K2113" i="3"/>
  <c r="K2112" i="3"/>
  <c r="K2111" i="3"/>
  <c r="K2110" i="3"/>
  <c r="K2109" i="3"/>
  <c r="K2108" i="3"/>
  <c r="K2107" i="3"/>
  <c r="K2106" i="3"/>
  <c r="K2105" i="3"/>
  <c r="K2104" i="3"/>
  <c r="K2103" i="3"/>
  <c r="K2102" i="3"/>
  <c r="K2101" i="3"/>
  <c r="K2100" i="3"/>
  <c r="K2099" i="3"/>
  <c r="K2098" i="3"/>
  <c r="K2097" i="3"/>
  <c r="K2096" i="3"/>
  <c r="K2095" i="3"/>
  <c r="K2094" i="3"/>
  <c r="K2093" i="3"/>
  <c r="K2092" i="3"/>
  <c r="K2091" i="3"/>
  <c r="K2090" i="3"/>
  <c r="K2089" i="3"/>
  <c r="K2088" i="3"/>
  <c r="K2087" i="3"/>
  <c r="K2086" i="3"/>
  <c r="K2085" i="3"/>
  <c r="K2084" i="3"/>
  <c r="K2083" i="3"/>
  <c r="K2082" i="3"/>
  <c r="K2081" i="3"/>
  <c r="K2080" i="3"/>
  <c r="K2079" i="3"/>
  <c r="K2078" i="3"/>
  <c r="K2077" i="3"/>
  <c r="K2076" i="3"/>
  <c r="K2075" i="3"/>
  <c r="K2074" i="3"/>
  <c r="K2073" i="3"/>
  <c r="K2072" i="3"/>
  <c r="K2071" i="3"/>
  <c r="K2070" i="3"/>
  <c r="K2069" i="3"/>
  <c r="K2068" i="3"/>
  <c r="K2067" i="3"/>
  <c r="K2066" i="3"/>
  <c r="K2065" i="3"/>
  <c r="K2064" i="3"/>
  <c r="K2063" i="3"/>
  <c r="K2062" i="3"/>
  <c r="K2061" i="3"/>
  <c r="K2060" i="3"/>
  <c r="K2059" i="3"/>
  <c r="K2058" i="3"/>
  <c r="K2057" i="3"/>
  <c r="K2056" i="3"/>
  <c r="K2055" i="3"/>
  <c r="K2054" i="3"/>
  <c r="K2053" i="3"/>
  <c r="K2052" i="3"/>
  <c r="K2051" i="3"/>
  <c r="K2050" i="3"/>
  <c r="K2049" i="3"/>
  <c r="K2048" i="3"/>
  <c r="K2047" i="3"/>
  <c r="K2046" i="3"/>
  <c r="K2045" i="3"/>
  <c r="K2044" i="3"/>
  <c r="K2043" i="3"/>
  <c r="K2042" i="3"/>
  <c r="K2041" i="3"/>
  <c r="K2040" i="3"/>
  <c r="K2039" i="3"/>
  <c r="K2038" i="3"/>
  <c r="K2037" i="3"/>
  <c r="K2036" i="3"/>
  <c r="K2035" i="3"/>
  <c r="K2034" i="3"/>
  <c r="K2033" i="3"/>
  <c r="K2032" i="3"/>
  <c r="K2031" i="3"/>
  <c r="K2030" i="3"/>
  <c r="K2029" i="3"/>
  <c r="K2028" i="3"/>
  <c r="K2027" i="3"/>
  <c r="K2026" i="3"/>
  <c r="K2025" i="3"/>
  <c r="K2024" i="3"/>
  <c r="K2023" i="3"/>
  <c r="K2022" i="3"/>
  <c r="K2021" i="3"/>
  <c r="K2020" i="3"/>
  <c r="K2019" i="3"/>
  <c r="K2018" i="3"/>
  <c r="K2017" i="3"/>
  <c r="K2016" i="3"/>
  <c r="K2015" i="3"/>
  <c r="K2014" i="3"/>
  <c r="K2013" i="3"/>
  <c r="K2012" i="3"/>
  <c r="K2011" i="3"/>
  <c r="K2010" i="3"/>
  <c r="K2009" i="3"/>
  <c r="K2008" i="3"/>
  <c r="K2007" i="3"/>
  <c r="K2006" i="3"/>
  <c r="K2005" i="3"/>
  <c r="K2004" i="3"/>
  <c r="K2003" i="3"/>
  <c r="K2002" i="3"/>
  <c r="K2001" i="3"/>
  <c r="K2000" i="3"/>
  <c r="K1999" i="3"/>
  <c r="K1998" i="3"/>
  <c r="K1997" i="3"/>
  <c r="K1996" i="3"/>
  <c r="K1995" i="3"/>
  <c r="K1994" i="3"/>
  <c r="K1993" i="3"/>
  <c r="K1992" i="3"/>
  <c r="K1991" i="3"/>
  <c r="K1990" i="3"/>
  <c r="K1989" i="3"/>
  <c r="K1988" i="3"/>
  <c r="K1987" i="3"/>
  <c r="K1986" i="3"/>
  <c r="K1985" i="3"/>
  <c r="K1984" i="3"/>
  <c r="K1983" i="3"/>
  <c r="K1982" i="3"/>
  <c r="K1981" i="3"/>
  <c r="K1980" i="3"/>
  <c r="K1979" i="3"/>
  <c r="K1978" i="3"/>
  <c r="K1977" i="3"/>
  <c r="K1976" i="3"/>
  <c r="K1975" i="3"/>
  <c r="K1974" i="3"/>
  <c r="K1973" i="3"/>
  <c r="K1972" i="3"/>
  <c r="K1971" i="3"/>
  <c r="K1970" i="3"/>
  <c r="K1969" i="3"/>
  <c r="K1968" i="3"/>
  <c r="K1967" i="3"/>
  <c r="K1966" i="3"/>
  <c r="K1965" i="3"/>
  <c r="K1964" i="3"/>
  <c r="K1963" i="3"/>
  <c r="K1962" i="3"/>
  <c r="K1961" i="3"/>
  <c r="K1960" i="3"/>
  <c r="K1959" i="3"/>
  <c r="K1958" i="3"/>
  <c r="K1957" i="3"/>
  <c r="K1956" i="3"/>
  <c r="K1955" i="3"/>
  <c r="K1954" i="3"/>
  <c r="K1953" i="3"/>
  <c r="K1952" i="3"/>
  <c r="K1951" i="3"/>
  <c r="K1950" i="3"/>
  <c r="K1949" i="3"/>
  <c r="K1948" i="3"/>
  <c r="K1947" i="3"/>
  <c r="K1946" i="3"/>
  <c r="K1945" i="3"/>
  <c r="K1944" i="3"/>
  <c r="K1943" i="3"/>
  <c r="K1942" i="3"/>
  <c r="K1941" i="3"/>
  <c r="K1940" i="3"/>
  <c r="K1939" i="3"/>
  <c r="K1938" i="3"/>
  <c r="K1937" i="3"/>
  <c r="K1936" i="3"/>
  <c r="K1935" i="3"/>
  <c r="K1934" i="3"/>
  <c r="K1933" i="3"/>
  <c r="K1932" i="3"/>
  <c r="K1931" i="3"/>
  <c r="K1930" i="3"/>
  <c r="K1929" i="3"/>
  <c r="K1928" i="3"/>
  <c r="K1927" i="3"/>
  <c r="K1926" i="3"/>
  <c r="K1925" i="3"/>
  <c r="K1924" i="3"/>
  <c r="K1923" i="3"/>
  <c r="K1922" i="3"/>
  <c r="K1921" i="3"/>
  <c r="K1920" i="3"/>
  <c r="K1919" i="3"/>
  <c r="K1918" i="3"/>
  <c r="K1917" i="3"/>
  <c r="K1916" i="3"/>
  <c r="K1915" i="3"/>
  <c r="K1914" i="3"/>
  <c r="K1913" i="3"/>
  <c r="K1912" i="3"/>
  <c r="K1911" i="3"/>
  <c r="K1910" i="3"/>
  <c r="K1909" i="3"/>
  <c r="K1908" i="3"/>
  <c r="K1907" i="3"/>
  <c r="K1906" i="3"/>
  <c r="K1905" i="3"/>
  <c r="K1904" i="3"/>
  <c r="K1903" i="3"/>
  <c r="K1902" i="3"/>
  <c r="K1901" i="3"/>
  <c r="K1900" i="3"/>
  <c r="K1899" i="3"/>
  <c r="K1898" i="3"/>
  <c r="K1897" i="3"/>
  <c r="K1896" i="3"/>
  <c r="K1895" i="3"/>
  <c r="K1894" i="3"/>
  <c r="K1893" i="3"/>
  <c r="K1892" i="3"/>
  <c r="K1891" i="3"/>
  <c r="K1890" i="3"/>
  <c r="K1889" i="3"/>
  <c r="K1888" i="3"/>
  <c r="K1887" i="3"/>
  <c r="K1886" i="3"/>
  <c r="K1885" i="3"/>
  <c r="K1884" i="3"/>
  <c r="K1883" i="3"/>
  <c r="K1882" i="3"/>
  <c r="K1881" i="3"/>
  <c r="K1880" i="3"/>
  <c r="K1879" i="3"/>
  <c r="K1878" i="3"/>
  <c r="K1877" i="3"/>
  <c r="K1876" i="3"/>
  <c r="K1875" i="3"/>
  <c r="K1874" i="3"/>
  <c r="K1873" i="3"/>
  <c r="K1872" i="3"/>
  <c r="K1871" i="3"/>
  <c r="K1870" i="3"/>
  <c r="K1869" i="3"/>
  <c r="K1868" i="3"/>
  <c r="K1867" i="3"/>
  <c r="K1866" i="3"/>
  <c r="K1865" i="3"/>
  <c r="K1864" i="3"/>
  <c r="K1863" i="3"/>
  <c r="K1862" i="3"/>
  <c r="K1861" i="3"/>
  <c r="K1860" i="3"/>
  <c r="K1859" i="3"/>
  <c r="K1858" i="3"/>
  <c r="K1857" i="3"/>
  <c r="K1856" i="3"/>
  <c r="K1855" i="3"/>
  <c r="K1854" i="3"/>
  <c r="K1853" i="3"/>
  <c r="K1852" i="3"/>
  <c r="K1851" i="3"/>
  <c r="K1850" i="3"/>
  <c r="K1849" i="3"/>
  <c r="K1848" i="3"/>
  <c r="K1847" i="3"/>
  <c r="K1846" i="3"/>
  <c r="K1845" i="3"/>
  <c r="K1844" i="3"/>
  <c r="K1843" i="3"/>
  <c r="K1842" i="3"/>
  <c r="K1841" i="3"/>
  <c r="K1840" i="3"/>
  <c r="K1839" i="3"/>
  <c r="K1838" i="3"/>
  <c r="K1837" i="3"/>
  <c r="K1836" i="3"/>
  <c r="K1835" i="3"/>
  <c r="K1834" i="3"/>
  <c r="K1833" i="3"/>
  <c r="K1832" i="3"/>
  <c r="K1831" i="3"/>
  <c r="K1830" i="3"/>
  <c r="K1829" i="3"/>
  <c r="K1828" i="3"/>
  <c r="K1827" i="3"/>
  <c r="K1826" i="3"/>
  <c r="K1825" i="3"/>
  <c r="K1824" i="3"/>
  <c r="K1823" i="3"/>
  <c r="K1822" i="3"/>
  <c r="K1821" i="3"/>
  <c r="K1820" i="3"/>
  <c r="K1819" i="3"/>
  <c r="K1818" i="3"/>
  <c r="K1817" i="3"/>
  <c r="K1816" i="3"/>
  <c r="K1815" i="3"/>
  <c r="K1814" i="3"/>
  <c r="K1813" i="3"/>
  <c r="K1812" i="3"/>
  <c r="K1811" i="3"/>
  <c r="K1810" i="3"/>
  <c r="K1809" i="3"/>
  <c r="K1808" i="3"/>
  <c r="K1807" i="3"/>
  <c r="K1806" i="3"/>
  <c r="K1805" i="3"/>
  <c r="K1804" i="3"/>
  <c r="K1803" i="3"/>
  <c r="K1802" i="3"/>
  <c r="K1801" i="3"/>
  <c r="K1800" i="3"/>
  <c r="K1799" i="3"/>
  <c r="K1798" i="3"/>
  <c r="K1797" i="3"/>
  <c r="K1796" i="3"/>
  <c r="K1795" i="3"/>
  <c r="K1794" i="3"/>
  <c r="K1793" i="3"/>
  <c r="K1792" i="3"/>
  <c r="K1791" i="3"/>
  <c r="K1790" i="3"/>
  <c r="K1789" i="3"/>
  <c r="K1788" i="3"/>
  <c r="K1787" i="3"/>
  <c r="K1786" i="3"/>
  <c r="K1785" i="3"/>
  <c r="K1784" i="3"/>
  <c r="K1783" i="3"/>
  <c r="K1782" i="3"/>
  <c r="K1781" i="3"/>
  <c r="K1780" i="3"/>
  <c r="K1779" i="3"/>
  <c r="K1778" i="3"/>
  <c r="K1777" i="3"/>
  <c r="K1776" i="3"/>
  <c r="K1775" i="3"/>
  <c r="K1774" i="3"/>
  <c r="K1773" i="3"/>
  <c r="K1772" i="3"/>
  <c r="K1771" i="3"/>
  <c r="K1770" i="3"/>
  <c r="K1769" i="3"/>
  <c r="K1768" i="3"/>
  <c r="K1767" i="3"/>
  <c r="K1766" i="3"/>
  <c r="K1765" i="3"/>
  <c r="K1764" i="3"/>
  <c r="K1763" i="3"/>
  <c r="K1762" i="3"/>
  <c r="K1761" i="3"/>
  <c r="K1760" i="3"/>
  <c r="K1759" i="3"/>
  <c r="K1758" i="3"/>
  <c r="K1757" i="3"/>
  <c r="K1756" i="3"/>
  <c r="K1755" i="3"/>
  <c r="K1754" i="3"/>
  <c r="K1753" i="3"/>
  <c r="K1752" i="3"/>
  <c r="K1751" i="3"/>
  <c r="K1750" i="3"/>
  <c r="K1749" i="3"/>
  <c r="K1748" i="3"/>
  <c r="K1747" i="3"/>
  <c r="K1746" i="3"/>
  <c r="K1745" i="3"/>
  <c r="K1744" i="3"/>
  <c r="K1743" i="3"/>
  <c r="K1742" i="3"/>
  <c r="K1741" i="3"/>
  <c r="K1740" i="3"/>
  <c r="K1739" i="3"/>
  <c r="K1738" i="3"/>
  <c r="K1737" i="3"/>
  <c r="K1736" i="3"/>
  <c r="K1735" i="3"/>
  <c r="K1734" i="3"/>
  <c r="K1733" i="3"/>
  <c r="K1732" i="3"/>
  <c r="K1731" i="3"/>
  <c r="K1730" i="3"/>
  <c r="K1729" i="3"/>
  <c r="K1728" i="3"/>
  <c r="K1727" i="3"/>
  <c r="K1726" i="3"/>
  <c r="K1725" i="3"/>
  <c r="K1724" i="3"/>
  <c r="K1723" i="3"/>
  <c r="K1722" i="3"/>
  <c r="K1721" i="3"/>
  <c r="K1720" i="3"/>
  <c r="K1719" i="3"/>
  <c r="K1718" i="3"/>
  <c r="K1717" i="3"/>
  <c r="K1716" i="3"/>
  <c r="K1715" i="3"/>
  <c r="K1714" i="3"/>
  <c r="K1713" i="3"/>
  <c r="K1712" i="3"/>
  <c r="K1711" i="3"/>
  <c r="K1710" i="3"/>
  <c r="K1709" i="3"/>
  <c r="K1708" i="3"/>
  <c r="K1707" i="3"/>
  <c r="K1706" i="3"/>
  <c r="K1705" i="3"/>
  <c r="K1704" i="3"/>
  <c r="K1703" i="3"/>
  <c r="K1702" i="3"/>
  <c r="K1701" i="3"/>
  <c r="K1700" i="3"/>
  <c r="K1699" i="3"/>
  <c r="K1698" i="3"/>
  <c r="K1697" i="3"/>
  <c r="K1696" i="3"/>
  <c r="K1695" i="3"/>
  <c r="K1694" i="3"/>
  <c r="K1693" i="3"/>
  <c r="K1692" i="3"/>
  <c r="K1691" i="3"/>
  <c r="K1690" i="3"/>
  <c r="K1689" i="3"/>
  <c r="K1688" i="3"/>
  <c r="K1687" i="3"/>
  <c r="K1686" i="3"/>
  <c r="K1685" i="3"/>
  <c r="K1684" i="3"/>
  <c r="K1683" i="3"/>
  <c r="K1682" i="3"/>
  <c r="K1681" i="3"/>
  <c r="K1680" i="3"/>
  <c r="K1679" i="3"/>
  <c r="K1678" i="3"/>
  <c r="K1677" i="3"/>
  <c r="K1676" i="3"/>
  <c r="K1675" i="3"/>
  <c r="K1674" i="3"/>
  <c r="K1673" i="3"/>
  <c r="K1672" i="3"/>
  <c r="K1671" i="3"/>
  <c r="K1670" i="3"/>
  <c r="K1669" i="3"/>
  <c r="K1668" i="3"/>
  <c r="K1667" i="3"/>
  <c r="K1666" i="3"/>
  <c r="K1665" i="3"/>
  <c r="K1664" i="3"/>
  <c r="K1663" i="3"/>
  <c r="K1662" i="3"/>
  <c r="K1661" i="3"/>
  <c r="K1660" i="3"/>
  <c r="K1659" i="3"/>
  <c r="K1658" i="3"/>
  <c r="K1657" i="3"/>
  <c r="K1656" i="3"/>
  <c r="K1655" i="3"/>
  <c r="K1654" i="3"/>
  <c r="K1653" i="3"/>
  <c r="K1652" i="3"/>
  <c r="K1651" i="3"/>
  <c r="K1650" i="3"/>
  <c r="K1649" i="3"/>
  <c r="K1648" i="3"/>
  <c r="K1647" i="3"/>
  <c r="K1646" i="3"/>
  <c r="K1645" i="3"/>
  <c r="K1644" i="3"/>
  <c r="K1643" i="3"/>
  <c r="K1642" i="3"/>
  <c r="K1641" i="3"/>
  <c r="K1640" i="3"/>
  <c r="K1639" i="3"/>
  <c r="K1638" i="3"/>
  <c r="K1637" i="3"/>
  <c r="K1636" i="3"/>
  <c r="K1635" i="3"/>
  <c r="K1634" i="3"/>
  <c r="K1633" i="3"/>
  <c r="K1632" i="3"/>
  <c r="K1631" i="3"/>
  <c r="K1630" i="3"/>
  <c r="K1629" i="3"/>
  <c r="K1628" i="3"/>
  <c r="K1627" i="3"/>
  <c r="K1626" i="3"/>
  <c r="K1625" i="3"/>
  <c r="K1624" i="3"/>
  <c r="K1623" i="3"/>
  <c r="K1622" i="3"/>
  <c r="K1621" i="3"/>
  <c r="K1620" i="3"/>
  <c r="K1619" i="3"/>
  <c r="K1618" i="3"/>
  <c r="K1617" i="3"/>
  <c r="K1616" i="3"/>
  <c r="K1615" i="3"/>
  <c r="K1614" i="3"/>
  <c r="K1613" i="3"/>
  <c r="K1612" i="3"/>
  <c r="K1611" i="3"/>
  <c r="K1610" i="3"/>
  <c r="K1609" i="3"/>
  <c r="K1608" i="3"/>
  <c r="K1607" i="3"/>
  <c r="K1606" i="3"/>
  <c r="K1605" i="3"/>
  <c r="K1604" i="3"/>
  <c r="K1603" i="3"/>
  <c r="K1602" i="3"/>
  <c r="K1601" i="3"/>
  <c r="K1600" i="3"/>
  <c r="K1599" i="3"/>
  <c r="K1598" i="3"/>
  <c r="K1597" i="3"/>
  <c r="K1596" i="3"/>
  <c r="K1595" i="3"/>
  <c r="K1594" i="3"/>
  <c r="K1593" i="3"/>
  <c r="K1592" i="3"/>
  <c r="K1591" i="3"/>
  <c r="K1590" i="3"/>
  <c r="K1589" i="3"/>
  <c r="K1588" i="3"/>
  <c r="K1587" i="3"/>
  <c r="K1586" i="3"/>
  <c r="K1585" i="3"/>
  <c r="K1584" i="3"/>
  <c r="K1583" i="3"/>
  <c r="K1582" i="3"/>
  <c r="K1581" i="3"/>
  <c r="K1580" i="3"/>
  <c r="K1579" i="3"/>
  <c r="K1578" i="3"/>
  <c r="K1577" i="3"/>
  <c r="K1576" i="3"/>
  <c r="K1575" i="3"/>
  <c r="K1574" i="3"/>
  <c r="K1573" i="3"/>
  <c r="K1572" i="3"/>
  <c r="K1571" i="3"/>
  <c r="K1570" i="3"/>
  <c r="K1569" i="3"/>
  <c r="K1568" i="3"/>
  <c r="K1567" i="3"/>
  <c r="K1566" i="3"/>
  <c r="K1565" i="3"/>
  <c r="K1564" i="3"/>
  <c r="K1563" i="3"/>
  <c r="K1562" i="3"/>
  <c r="K1561" i="3"/>
  <c r="K1560" i="3"/>
  <c r="K1559" i="3"/>
  <c r="K1558" i="3"/>
  <c r="K1557" i="3"/>
  <c r="K1556" i="3"/>
  <c r="K1555" i="3"/>
  <c r="K1554" i="3"/>
  <c r="K1553" i="3"/>
  <c r="K1552" i="3"/>
  <c r="K1551" i="3"/>
  <c r="K1550" i="3"/>
  <c r="K1549" i="3"/>
  <c r="K1548" i="3"/>
  <c r="K1547" i="3"/>
  <c r="K1546" i="3"/>
  <c r="K1545" i="3"/>
  <c r="K1544" i="3"/>
  <c r="K1543" i="3"/>
  <c r="K1542" i="3"/>
  <c r="K1541" i="3"/>
  <c r="K1540" i="3"/>
  <c r="K1539" i="3"/>
  <c r="K1538" i="3"/>
  <c r="K1537" i="3"/>
  <c r="K1536" i="3"/>
  <c r="K1535" i="3"/>
  <c r="K1534" i="3"/>
  <c r="K1533" i="3"/>
  <c r="K1532" i="3"/>
  <c r="K1531" i="3"/>
  <c r="K1530" i="3"/>
  <c r="K1529" i="3"/>
  <c r="K1528" i="3"/>
  <c r="K1527" i="3"/>
  <c r="K1526" i="3"/>
  <c r="K1525" i="3"/>
  <c r="K1524" i="3"/>
  <c r="K1523" i="3"/>
  <c r="K1522" i="3"/>
  <c r="K1521" i="3"/>
  <c r="K1520" i="3"/>
  <c r="K1519" i="3"/>
  <c r="K1518" i="3"/>
  <c r="K1517" i="3"/>
  <c r="K1516" i="3"/>
  <c r="K1515" i="3"/>
  <c r="K1514" i="3"/>
  <c r="K1513" i="3"/>
  <c r="K1512" i="3"/>
  <c r="K1511" i="3"/>
  <c r="K1510" i="3"/>
  <c r="K1509" i="3"/>
  <c r="K1508" i="3"/>
  <c r="K1507" i="3"/>
  <c r="K1506" i="3"/>
  <c r="K1505" i="3"/>
  <c r="K1504" i="3"/>
  <c r="K1503" i="3"/>
  <c r="K1502" i="3"/>
  <c r="K1501" i="3"/>
  <c r="K1500" i="3"/>
  <c r="K1499" i="3"/>
  <c r="K1498" i="3"/>
  <c r="K1497" i="3"/>
  <c r="K1496" i="3"/>
  <c r="K1495" i="3"/>
  <c r="K1494" i="3"/>
  <c r="K1493" i="3"/>
  <c r="K1492" i="3"/>
  <c r="K1491" i="3"/>
  <c r="K1490" i="3"/>
  <c r="K1489" i="3"/>
  <c r="K1488" i="3"/>
  <c r="K1487" i="3"/>
  <c r="K1486" i="3"/>
  <c r="K1485" i="3"/>
  <c r="K1484" i="3"/>
  <c r="K1483" i="3"/>
  <c r="K1482" i="3"/>
  <c r="K1481" i="3"/>
  <c r="K1480" i="3"/>
  <c r="K1479" i="3"/>
  <c r="K1478" i="3"/>
  <c r="K1477" i="3"/>
  <c r="K1476" i="3"/>
  <c r="K1475" i="3"/>
  <c r="K1474" i="3"/>
  <c r="K1473" i="3"/>
  <c r="K1472" i="3"/>
  <c r="K1471" i="3"/>
  <c r="K1470" i="3"/>
  <c r="K1469" i="3"/>
  <c r="K1468" i="3"/>
  <c r="K1467" i="3"/>
  <c r="K1466" i="3"/>
  <c r="K1465" i="3"/>
  <c r="K1464" i="3"/>
  <c r="K1463" i="3"/>
  <c r="K1462" i="3"/>
  <c r="K1461" i="3"/>
  <c r="K1460" i="3"/>
  <c r="K1459" i="3"/>
  <c r="K1458" i="3"/>
  <c r="K1457" i="3"/>
  <c r="K1456" i="3"/>
  <c r="K1455" i="3"/>
  <c r="K1454" i="3"/>
  <c r="K1453" i="3"/>
  <c r="K1452" i="3"/>
  <c r="K1451" i="3"/>
  <c r="K1450" i="3"/>
  <c r="K1449" i="3"/>
  <c r="K1448" i="3"/>
  <c r="K1447" i="3"/>
  <c r="K1446" i="3"/>
  <c r="K1445" i="3"/>
  <c r="K1444" i="3"/>
  <c r="K1443" i="3"/>
  <c r="K1442" i="3"/>
  <c r="K1441" i="3"/>
  <c r="K1440" i="3"/>
  <c r="K1439" i="3"/>
  <c r="K1438" i="3"/>
  <c r="K1437" i="3"/>
  <c r="K1436" i="3"/>
  <c r="K1435" i="3"/>
  <c r="K1434" i="3"/>
  <c r="K1433" i="3"/>
  <c r="K1432" i="3"/>
  <c r="K1431" i="3"/>
  <c r="K1430" i="3"/>
  <c r="K1429" i="3"/>
  <c r="K1428" i="3"/>
  <c r="K1427" i="3"/>
  <c r="K1426" i="3"/>
  <c r="K1425" i="3"/>
  <c r="K1424" i="3"/>
  <c r="K1423" i="3"/>
  <c r="K1422" i="3"/>
  <c r="K1421" i="3"/>
  <c r="K1420" i="3"/>
  <c r="K1419" i="3"/>
  <c r="K1418" i="3"/>
  <c r="K1417" i="3"/>
  <c r="K1416" i="3"/>
  <c r="K1415" i="3"/>
  <c r="K1414" i="3"/>
  <c r="K1413" i="3"/>
  <c r="K1412" i="3"/>
  <c r="K1411" i="3"/>
  <c r="K1410" i="3"/>
  <c r="K1409" i="3"/>
  <c r="K1408" i="3"/>
  <c r="K1407" i="3"/>
  <c r="K1406" i="3"/>
  <c r="K1405" i="3"/>
  <c r="K1404" i="3"/>
  <c r="K1403" i="3"/>
  <c r="K1402" i="3"/>
  <c r="K1401" i="3"/>
  <c r="K1400" i="3"/>
  <c r="K1399" i="3"/>
  <c r="K1398" i="3"/>
  <c r="K1397" i="3"/>
  <c r="K1396" i="3"/>
  <c r="K1395" i="3"/>
  <c r="K1394" i="3"/>
  <c r="K1393" i="3"/>
  <c r="K1392" i="3"/>
  <c r="K1391" i="3"/>
  <c r="K1390" i="3"/>
  <c r="K1389" i="3"/>
  <c r="K1388" i="3"/>
  <c r="K1387" i="3"/>
  <c r="K1386" i="3"/>
  <c r="K1385" i="3"/>
  <c r="K1384" i="3"/>
  <c r="K1383" i="3"/>
  <c r="K1382" i="3"/>
  <c r="K1381" i="3"/>
  <c r="K1380" i="3"/>
  <c r="K1379" i="3"/>
  <c r="K1378" i="3"/>
  <c r="K1377" i="3"/>
  <c r="K1376" i="3"/>
  <c r="K1375" i="3"/>
  <c r="K1374" i="3"/>
  <c r="K1373" i="3"/>
  <c r="K1372" i="3"/>
  <c r="K1371" i="3"/>
  <c r="K1370" i="3"/>
  <c r="K1369" i="3"/>
  <c r="K1368" i="3"/>
  <c r="K1367" i="3"/>
  <c r="K1366" i="3"/>
  <c r="K1365" i="3"/>
  <c r="K1364" i="3"/>
  <c r="K1363" i="3"/>
  <c r="K1362" i="3"/>
  <c r="K1361" i="3"/>
  <c r="K1360" i="3"/>
  <c r="K1359" i="3"/>
  <c r="K1358" i="3"/>
  <c r="K1357" i="3"/>
  <c r="K1356" i="3"/>
  <c r="K1355" i="3"/>
  <c r="K1354" i="3"/>
  <c r="K1353" i="3"/>
  <c r="K1352" i="3"/>
  <c r="K1351" i="3"/>
  <c r="K1350" i="3"/>
  <c r="K1349" i="3"/>
  <c r="K1348" i="3"/>
  <c r="K1347" i="3"/>
  <c r="K1346" i="3"/>
  <c r="K1345" i="3"/>
  <c r="K1344" i="3"/>
  <c r="K1343" i="3"/>
  <c r="K1342" i="3"/>
  <c r="K1341" i="3"/>
  <c r="K1340" i="3"/>
  <c r="K1339" i="3"/>
  <c r="K1338" i="3"/>
  <c r="K1337" i="3"/>
  <c r="K1336" i="3"/>
  <c r="K1335" i="3"/>
  <c r="K1334" i="3"/>
  <c r="K1333" i="3"/>
  <c r="K1332" i="3"/>
  <c r="K1331" i="3"/>
  <c r="K1330" i="3"/>
  <c r="K1329" i="3"/>
  <c r="K1328" i="3"/>
  <c r="K1327" i="3"/>
  <c r="K1326" i="3"/>
  <c r="K1325" i="3"/>
  <c r="K1324" i="3"/>
  <c r="K1323" i="3"/>
  <c r="K1322" i="3"/>
  <c r="K1321" i="3"/>
  <c r="K1320" i="3"/>
  <c r="K1319" i="3"/>
  <c r="K1318" i="3"/>
  <c r="K1317" i="3"/>
  <c r="K1316" i="3"/>
  <c r="K1315" i="3"/>
  <c r="K1314" i="3"/>
  <c r="K1313" i="3"/>
  <c r="K1312" i="3"/>
  <c r="K1311" i="3"/>
  <c r="K1310" i="3"/>
  <c r="K1309" i="3"/>
  <c r="K1308" i="3"/>
  <c r="K1307" i="3"/>
  <c r="K1306" i="3"/>
  <c r="K1305" i="3"/>
  <c r="K1304" i="3"/>
  <c r="K1303" i="3"/>
  <c r="K1302" i="3"/>
  <c r="K1301" i="3"/>
  <c r="K1300" i="3"/>
  <c r="K1299" i="3"/>
  <c r="K1298" i="3"/>
  <c r="K1297" i="3"/>
  <c r="K1296" i="3"/>
  <c r="K1295" i="3"/>
  <c r="K1294" i="3"/>
  <c r="K1293" i="3"/>
  <c r="K1292" i="3"/>
  <c r="K1291" i="3"/>
  <c r="K1290" i="3"/>
  <c r="K1289" i="3"/>
  <c r="K1288" i="3"/>
  <c r="K1287" i="3"/>
  <c r="K1286" i="3"/>
  <c r="K1285" i="3"/>
  <c r="K1284" i="3"/>
  <c r="K1283" i="3"/>
  <c r="K1282" i="3"/>
  <c r="K1281" i="3"/>
  <c r="K1280" i="3"/>
  <c r="K1279" i="3"/>
  <c r="K1278" i="3"/>
  <c r="K1277" i="3"/>
  <c r="K1276" i="3"/>
  <c r="K1275" i="3"/>
  <c r="K1274" i="3"/>
  <c r="K1273" i="3"/>
  <c r="K1272" i="3"/>
  <c r="K1271" i="3"/>
  <c r="K1270" i="3"/>
  <c r="K1269" i="3"/>
  <c r="K1268" i="3"/>
  <c r="K1267" i="3"/>
  <c r="K1266" i="3"/>
  <c r="K1265" i="3"/>
  <c r="K1264" i="3"/>
  <c r="K1263" i="3"/>
  <c r="K1262" i="3"/>
  <c r="K1261" i="3"/>
  <c r="K1260" i="3"/>
  <c r="K1259" i="3"/>
  <c r="K1258" i="3"/>
  <c r="K1257" i="3"/>
  <c r="K1256" i="3"/>
  <c r="K1255" i="3"/>
  <c r="K1254" i="3"/>
  <c r="K1253" i="3"/>
  <c r="K1252" i="3"/>
  <c r="K1251" i="3"/>
  <c r="K1250" i="3"/>
  <c r="K1249" i="3"/>
  <c r="K1248" i="3"/>
  <c r="K1247" i="3"/>
  <c r="K1246" i="3"/>
  <c r="K1245" i="3"/>
  <c r="K1244" i="3"/>
  <c r="K1243" i="3"/>
  <c r="K1242" i="3"/>
  <c r="K1241" i="3"/>
  <c r="K1240" i="3"/>
  <c r="K1239" i="3"/>
  <c r="K1238" i="3"/>
  <c r="K1237" i="3"/>
  <c r="K1236" i="3"/>
  <c r="K1235" i="3"/>
  <c r="K1234" i="3"/>
  <c r="K1233" i="3"/>
  <c r="K1232" i="3"/>
  <c r="K1231" i="3"/>
  <c r="K1230" i="3"/>
  <c r="K1229" i="3"/>
  <c r="K1228" i="3"/>
  <c r="K1227" i="3"/>
  <c r="K1226" i="3"/>
  <c r="K1225" i="3"/>
  <c r="K1224" i="3"/>
  <c r="K1223" i="3"/>
  <c r="K1222" i="3"/>
  <c r="K1221" i="3"/>
  <c r="K1220" i="3"/>
  <c r="K1219" i="3"/>
  <c r="K1218" i="3"/>
  <c r="K1217" i="3"/>
  <c r="K1216" i="3"/>
  <c r="K1215" i="3"/>
  <c r="K1214" i="3"/>
  <c r="K1213" i="3"/>
  <c r="K1212" i="3"/>
  <c r="K1211" i="3"/>
  <c r="K1210" i="3"/>
  <c r="K1209" i="3"/>
  <c r="K1208" i="3"/>
  <c r="K1207" i="3"/>
  <c r="K1206" i="3"/>
  <c r="K1205" i="3"/>
  <c r="K1204" i="3"/>
  <c r="K1203" i="3"/>
  <c r="K1202" i="3"/>
  <c r="K1201" i="3"/>
  <c r="K1200" i="3"/>
  <c r="K1199" i="3"/>
  <c r="K1198" i="3"/>
  <c r="K1197" i="3"/>
  <c r="K1196" i="3"/>
  <c r="K1195" i="3"/>
  <c r="K1194" i="3"/>
  <c r="K1193" i="3"/>
  <c r="K1192" i="3"/>
  <c r="K1191" i="3"/>
  <c r="K1190" i="3"/>
  <c r="K1189" i="3"/>
  <c r="K1188" i="3"/>
  <c r="K1187" i="3"/>
  <c r="K1186" i="3"/>
  <c r="K1185" i="3"/>
  <c r="K1184" i="3"/>
  <c r="K1183" i="3"/>
  <c r="K1182" i="3"/>
  <c r="K1181" i="3"/>
  <c r="K1180" i="3"/>
  <c r="K1179" i="3"/>
  <c r="K1178" i="3"/>
  <c r="K1177" i="3"/>
  <c r="K1176" i="3"/>
  <c r="K1175" i="3"/>
  <c r="K1174" i="3"/>
  <c r="K1173" i="3"/>
  <c r="K1172" i="3"/>
  <c r="K1171" i="3"/>
  <c r="K1170" i="3"/>
  <c r="K1169" i="3"/>
  <c r="K1168" i="3"/>
  <c r="K1167" i="3"/>
  <c r="K1166" i="3"/>
  <c r="K1165" i="3"/>
  <c r="K1164" i="3"/>
  <c r="K1163" i="3"/>
  <c r="K1162" i="3"/>
  <c r="K1161" i="3"/>
  <c r="K1160" i="3"/>
  <c r="K1159" i="3"/>
  <c r="K1158" i="3"/>
  <c r="K1157" i="3"/>
  <c r="K1156" i="3"/>
  <c r="K1155" i="3"/>
  <c r="K1154" i="3"/>
  <c r="K1153" i="3"/>
  <c r="K1152" i="3"/>
  <c r="K1151" i="3"/>
  <c r="K1150" i="3"/>
  <c r="K1149" i="3"/>
  <c r="K1148" i="3"/>
  <c r="K1147" i="3"/>
  <c r="K1146" i="3"/>
  <c r="K1145" i="3"/>
  <c r="K1144" i="3"/>
  <c r="K1143" i="3"/>
  <c r="K1142" i="3"/>
  <c r="K1141" i="3"/>
  <c r="K1140" i="3"/>
  <c r="K1139" i="3"/>
  <c r="K1138" i="3"/>
  <c r="K1137" i="3"/>
  <c r="K1136" i="3"/>
  <c r="K1135" i="3"/>
  <c r="K1134" i="3"/>
  <c r="K1133" i="3"/>
  <c r="K1132" i="3"/>
  <c r="K1131" i="3"/>
  <c r="K1130" i="3"/>
  <c r="K1129" i="3"/>
  <c r="K1128" i="3"/>
  <c r="K1127" i="3"/>
  <c r="K1126" i="3"/>
  <c r="K1125" i="3"/>
  <c r="K1124" i="3"/>
  <c r="K1123" i="3"/>
  <c r="K1122" i="3"/>
  <c r="K1121" i="3"/>
  <c r="K1120" i="3"/>
  <c r="K1119" i="3"/>
  <c r="K1118" i="3"/>
  <c r="K1117" i="3"/>
  <c r="K1116" i="3"/>
  <c r="K1115" i="3"/>
  <c r="K1114" i="3"/>
  <c r="K1113" i="3"/>
  <c r="K1112" i="3"/>
  <c r="K1111" i="3"/>
  <c r="K1110" i="3"/>
  <c r="K1109" i="3"/>
  <c r="K1108" i="3"/>
  <c r="K1107" i="3"/>
  <c r="K1106" i="3"/>
  <c r="K1105" i="3"/>
  <c r="K1104" i="3"/>
  <c r="K1103" i="3"/>
  <c r="K1102" i="3"/>
  <c r="K1101" i="3"/>
  <c r="K1100" i="3"/>
  <c r="K1099" i="3"/>
  <c r="K1098" i="3"/>
  <c r="K1097" i="3"/>
  <c r="K1096" i="3"/>
  <c r="K1095" i="3"/>
  <c r="K1094" i="3"/>
  <c r="K1093" i="3"/>
  <c r="K1092" i="3"/>
  <c r="K1091" i="3"/>
  <c r="K1090" i="3"/>
  <c r="K1089" i="3"/>
  <c r="K1088" i="3"/>
  <c r="K1087" i="3"/>
  <c r="K1086" i="3"/>
  <c r="K1085" i="3"/>
  <c r="K1084" i="3"/>
  <c r="K1083" i="3"/>
  <c r="K1082" i="3"/>
  <c r="K1081" i="3"/>
  <c r="K1080" i="3"/>
  <c r="K1079" i="3"/>
  <c r="K1078" i="3"/>
  <c r="K1077" i="3"/>
  <c r="K1076" i="3"/>
  <c r="K1075" i="3"/>
  <c r="K1074" i="3"/>
  <c r="K1073" i="3"/>
  <c r="K1072" i="3"/>
  <c r="K1071" i="3"/>
  <c r="K1070" i="3"/>
  <c r="K1069" i="3"/>
  <c r="K1068" i="3"/>
  <c r="K1067" i="3"/>
  <c r="K1066" i="3"/>
  <c r="K1065" i="3"/>
  <c r="K1064" i="3"/>
  <c r="K1063" i="3"/>
  <c r="K1062" i="3"/>
  <c r="K1061" i="3"/>
  <c r="K1060" i="3"/>
  <c r="K1059" i="3"/>
  <c r="K1058" i="3"/>
  <c r="K1057" i="3"/>
  <c r="K1056" i="3"/>
  <c r="K1055" i="3"/>
  <c r="K1054" i="3"/>
  <c r="K1053" i="3"/>
  <c r="K1052" i="3"/>
  <c r="K1051" i="3"/>
  <c r="K1050" i="3"/>
  <c r="K1049" i="3"/>
  <c r="K1048" i="3"/>
  <c r="K1047" i="3"/>
  <c r="K1046" i="3"/>
  <c r="K1045" i="3"/>
  <c r="K1044" i="3"/>
  <c r="K1043" i="3"/>
  <c r="K1042" i="3"/>
  <c r="K1041" i="3"/>
  <c r="K1040" i="3"/>
  <c r="K1039" i="3"/>
  <c r="K1038" i="3"/>
  <c r="K1037" i="3"/>
  <c r="K1036" i="3"/>
  <c r="K1035" i="3"/>
  <c r="K1034" i="3"/>
  <c r="K1033" i="3"/>
  <c r="K1032" i="3"/>
  <c r="K1031" i="3"/>
  <c r="K1030" i="3"/>
  <c r="K1029" i="3"/>
  <c r="K1028" i="3"/>
  <c r="K1027" i="3"/>
  <c r="K1026" i="3"/>
  <c r="K1025" i="3"/>
  <c r="K1024" i="3"/>
  <c r="K1023" i="3"/>
  <c r="K1022" i="3"/>
  <c r="K1021" i="3"/>
  <c r="K1020" i="3"/>
  <c r="K1019" i="3"/>
  <c r="K1018" i="3"/>
  <c r="K1017" i="3"/>
  <c r="K1016" i="3"/>
  <c r="K1015" i="3"/>
  <c r="K1014" i="3"/>
  <c r="K1013" i="3"/>
  <c r="K1012" i="3"/>
  <c r="K1011" i="3"/>
  <c r="K1010" i="3"/>
  <c r="K1009" i="3"/>
  <c r="K1008" i="3"/>
  <c r="K1007" i="3"/>
  <c r="K1006" i="3"/>
  <c r="K1005" i="3"/>
  <c r="K1004" i="3"/>
  <c r="K1003" i="3"/>
  <c r="K1002" i="3"/>
  <c r="K1001" i="3"/>
  <c r="K1000" i="3"/>
  <c r="K999" i="3"/>
  <c r="K998" i="3"/>
  <c r="K997" i="3"/>
  <c r="K996" i="3"/>
  <c r="K995" i="3"/>
  <c r="K994" i="3"/>
  <c r="K993" i="3"/>
  <c r="K992" i="3"/>
  <c r="K991" i="3"/>
  <c r="K990" i="3"/>
  <c r="K989" i="3"/>
  <c r="K988" i="3"/>
  <c r="K987" i="3"/>
  <c r="K986" i="3"/>
  <c r="K985" i="3"/>
  <c r="K984" i="3"/>
  <c r="K983" i="3"/>
  <c r="K982" i="3"/>
  <c r="K981" i="3"/>
  <c r="K980" i="3"/>
  <c r="K979" i="3"/>
  <c r="K978" i="3"/>
  <c r="K977" i="3"/>
  <c r="K976" i="3"/>
  <c r="K975" i="3"/>
  <c r="K974" i="3"/>
  <c r="K973" i="3"/>
  <c r="K972" i="3"/>
  <c r="K971" i="3"/>
  <c r="K970" i="3"/>
  <c r="K969" i="3"/>
  <c r="K968" i="3"/>
  <c r="K967" i="3"/>
  <c r="K966" i="3"/>
  <c r="K965" i="3"/>
  <c r="K964" i="3"/>
  <c r="K963" i="3"/>
  <c r="K962" i="3"/>
  <c r="K961" i="3"/>
  <c r="K960" i="3"/>
  <c r="K959" i="3"/>
  <c r="K958" i="3"/>
  <c r="K957" i="3"/>
  <c r="K956" i="3"/>
  <c r="K955" i="3"/>
  <c r="K954" i="3"/>
  <c r="K953" i="3"/>
  <c r="K952" i="3"/>
  <c r="K951" i="3"/>
  <c r="K950" i="3"/>
  <c r="K949" i="3"/>
  <c r="K948" i="3"/>
  <c r="K947" i="3"/>
  <c r="K946" i="3"/>
  <c r="K945" i="3"/>
  <c r="K944" i="3"/>
  <c r="K943" i="3"/>
  <c r="K942" i="3"/>
  <c r="K941" i="3"/>
  <c r="K940" i="3"/>
  <c r="K939" i="3"/>
  <c r="K938" i="3"/>
  <c r="K937" i="3"/>
  <c r="K936" i="3"/>
  <c r="K935" i="3"/>
  <c r="K934" i="3"/>
  <c r="K933" i="3"/>
  <c r="K932" i="3"/>
  <c r="K931" i="3"/>
  <c r="K930" i="3"/>
  <c r="K929" i="3"/>
  <c r="K928" i="3"/>
  <c r="K927" i="3"/>
  <c r="K926" i="3"/>
  <c r="K925" i="3"/>
  <c r="K924" i="3"/>
  <c r="K923" i="3"/>
  <c r="K922" i="3"/>
  <c r="K921" i="3"/>
  <c r="K920" i="3"/>
  <c r="K919" i="3"/>
  <c r="K918" i="3"/>
  <c r="K917" i="3"/>
  <c r="K916" i="3"/>
  <c r="K915" i="3"/>
  <c r="K914" i="3"/>
  <c r="K913" i="3"/>
  <c r="K912" i="3"/>
  <c r="K911" i="3"/>
  <c r="K910" i="3"/>
  <c r="K909" i="3"/>
  <c r="K908" i="3"/>
  <c r="K907" i="3"/>
  <c r="K906" i="3"/>
  <c r="K905" i="3"/>
  <c r="K904" i="3"/>
  <c r="K903" i="3"/>
  <c r="K902" i="3"/>
  <c r="K901" i="3"/>
  <c r="K900" i="3"/>
  <c r="K899" i="3"/>
  <c r="K898" i="3"/>
  <c r="K897" i="3"/>
  <c r="K896" i="3"/>
  <c r="K895" i="3"/>
  <c r="K894" i="3"/>
  <c r="K893" i="3"/>
  <c r="K892" i="3"/>
  <c r="K891" i="3"/>
  <c r="K890" i="3"/>
  <c r="K889" i="3"/>
  <c r="K888" i="3"/>
  <c r="K887" i="3"/>
  <c r="K886" i="3"/>
  <c r="K885" i="3"/>
  <c r="K884" i="3"/>
  <c r="K883" i="3"/>
  <c r="K882" i="3"/>
  <c r="K881" i="3"/>
  <c r="K880" i="3"/>
  <c r="K879" i="3"/>
  <c r="K878" i="3"/>
  <c r="K877" i="3"/>
  <c r="K876" i="3"/>
  <c r="K875" i="3"/>
  <c r="K874" i="3"/>
  <c r="K873" i="3"/>
  <c r="K872" i="3"/>
  <c r="K871" i="3"/>
  <c r="K870" i="3"/>
  <c r="K869" i="3"/>
  <c r="K868" i="3"/>
  <c r="K867" i="3"/>
  <c r="K866" i="3"/>
  <c r="K865" i="3"/>
  <c r="K864" i="3"/>
  <c r="K863" i="3"/>
  <c r="K862" i="3"/>
  <c r="K861" i="3"/>
  <c r="K860" i="3"/>
  <c r="K859" i="3"/>
  <c r="K858" i="3"/>
  <c r="K857" i="3"/>
  <c r="K856" i="3"/>
  <c r="K855" i="3"/>
  <c r="K854" i="3"/>
  <c r="K853" i="3"/>
  <c r="K852" i="3"/>
  <c r="K851" i="3"/>
  <c r="K850" i="3"/>
  <c r="K849" i="3"/>
  <c r="K848" i="3"/>
  <c r="K847" i="3"/>
  <c r="K846" i="3"/>
  <c r="K845" i="3"/>
  <c r="K844" i="3"/>
  <c r="K843" i="3"/>
  <c r="K842" i="3"/>
  <c r="K841" i="3"/>
  <c r="K840" i="3"/>
  <c r="K839" i="3"/>
  <c r="K838" i="3"/>
  <c r="K837" i="3"/>
  <c r="K836" i="3"/>
  <c r="K835" i="3"/>
  <c r="K834" i="3"/>
  <c r="K833" i="3"/>
  <c r="K832" i="3"/>
  <c r="K831" i="3"/>
  <c r="K830" i="3"/>
  <c r="K829" i="3"/>
  <c r="K828" i="3"/>
  <c r="K827" i="3"/>
  <c r="K826" i="3"/>
  <c r="K825" i="3"/>
  <c r="K824" i="3"/>
  <c r="K823" i="3"/>
  <c r="K822" i="3"/>
  <c r="K821" i="3"/>
  <c r="K820" i="3"/>
  <c r="K819" i="3"/>
  <c r="K818" i="3"/>
  <c r="K817" i="3"/>
  <c r="K816" i="3"/>
  <c r="K815" i="3"/>
  <c r="K814" i="3"/>
  <c r="K813" i="3"/>
  <c r="K812" i="3"/>
  <c r="K811" i="3"/>
  <c r="K810" i="3"/>
  <c r="K809" i="3"/>
  <c r="K808" i="3"/>
  <c r="K807" i="3"/>
  <c r="K806" i="3"/>
  <c r="K805" i="3"/>
  <c r="K804" i="3"/>
  <c r="K803" i="3"/>
  <c r="K802" i="3"/>
  <c r="K801" i="3"/>
  <c r="K800" i="3"/>
  <c r="K799" i="3"/>
  <c r="K798" i="3"/>
  <c r="K797" i="3"/>
  <c r="K796" i="3"/>
  <c r="K795" i="3"/>
  <c r="K794" i="3"/>
  <c r="K793" i="3"/>
  <c r="K792" i="3"/>
  <c r="K791" i="3"/>
  <c r="K790" i="3"/>
  <c r="K789" i="3"/>
  <c r="K788" i="3"/>
  <c r="K787" i="3"/>
  <c r="K786" i="3"/>
  <c r="K785" i="3"/>
  <c r="K784" i="3"/>
  <c r="K783" i="3"/>
  <c r="K782" i="3"/>
  <c r="K781" i="3"/>
  <c r="K780" i="3"/>
  <c r="K779" i="3"/>
  <c r="K778" i="3"/>
  <c r="K777" i="3"/>
  <c r="K776" i="3"/>
  <c r="K775" i="3"/>
  <c r="K774" i="3"/>
  <c r="K773" i="3"/>
  <c r="K772" i="3"/>
  <c r="K771" i="3"/>
  <c r="K770" i="3"/>
  <c r="K769" i="3"/>
  <c r="K768" i="3"/>
  <c r="K767" i="3"/>
  <c r="K766" i="3"/>
  <c r="K765" i="3"/>
  <c r="K764" i="3"/>
  <c r="K763" i="3"/>
  <c r="K762" i="3"/>
  <c r="K761" i="3"/>
  <c r="K760" i="3"/>
  <c r="K759" i="3"/>
  <c r="K758" i="3"/>
  <c r="K757" i="3"/>
  <c r="K756" i="3"/>
  <c r="K755" i="3"/>
  <c r="K754" i="3"/>
  <c r="K753" i="3"/>
  <c r="K752" i="3"/>
  <c r="K751" i="3"/>
  <c r="K750" i="3"/>
  <c r="K749" i="3"/>
  <c r="K748" i="3"/>
  <c r="K747" i="3"/>
  <c r="K746" i="3"/>
  <c r="K745" i="3"/>
  <c r="K744" i="3"/>
  <c r="K743" i="3"/>
  <c r="K742" i="3"/>
  <c r="K741" i="3"/>
  <c r="K740" i="3"/>
  <c r="K739" i="3"/>
  <c r="K738" i="3"/>
  <c r="K737" i="3"/>
  <c r="K736" i="3"/>
  <c r="K735" i="3"/>
  <c r="K734" i="3"/>
  <c r="K733" i="3"/>
  <c r="K732" i="3"/>
  <c r="K731" i="3"/>
  <c r="K730" i="3"/>
  <c r="K729" i="3"/>
  <c r="K728" i="3"/>
  <c r="K727" i="3"/>
  <c r="K726" i="3"/>
  <c r="K725" i="3"/>
  <c r="K724" i="3"/>
  <c r="K723" i="3"/>
  <c r="K722" i="3"/>
  <c r="K721" i="3"/>
  <c r="K720" i="3"/>
  <c r="K719" i="3"/>
  <c r="K718" i="3"/>
  <c r="K717" i="3"/>
  <c r="K716" i="3"/>
  <c r="K715" i="3"/>
  <c r="K714" i="3"/>
  <c r="K713" i="3"/>
  <c r="K712" i="3"/>
  <c r="K711" i="3"/>
  <c r="K710" i="3"/>
  <c r="K709" i="3"/>
  <c r="K708" i="3"/>
  <c r="K707" i="3"/>
  <c r="K706" i="3"/>
  <c r="K705" i="3"/>
  <c r="K704" i="3"/>
  <c r="K703" i="3"/>
  <c r="K702" i="3"/>
  <c r="K701" i="3"/>
  <c r="K700" i="3"/>
  <c r="K699" i="3"/>
  <c r="K698" i="3"/>
  <c r="K697" i="3"/>
  <c r="K696" i="3"/>
  <c r="K695" i="3"/>
  <c r="K694" i="3"/>
  <c r="K693" i="3"/>
  <c r="K692" i="3"/>
  <c r="K691" i="3"/>
  <c r="K690" i="3"/>
  <c r="K689" i="3"/>
  <c r="K688" i="3"/>
  <c r="K687" i="3"/>
  <c r="K686" i="3"/>
  <c r="K685" i="3"/>
  <c r="K684" i="3"/>
  <c r="K683" i="3"/>
  <c r="K682" i="3"/>
  <c r="K681" i="3"/>
  <c r="K680" i="3"/>
  <c r="K679" i="3"/>
  <c r="K678" i="3"/>
  <c r="K677" i="3"/>
  <c r="K676" i="3"/>
  <c r="K675" i="3"/>
  <c r="K674" i="3"/>
  <c r="K673" i="3"/>
  <c r="K672" i="3"/>
  <c r="K671" i="3"/>
  <c r="K670" i="3"/>
  <c r="K669" i="3"/>
  <c r="K668" i="3"/>
  <c r="K667" i="3"/>
  <c r="K666" i="3"/>
  <c r="K665" i="3"/>
  <c r="K664" i="3"/>
  <c r="K663" i="3"/>
  <c r="K662" i="3"/>
  <c r="K661" i="3"/>
  <c r="K660" i="3"/>
  <c r="K659" i="3"/>
  <c r="K658" i="3"/>
  <c r="K657" i="3"/>
  <c r="K656" i="3"/>
  <c r="K655" i="3"/>
  <c r="K654" i="3"/>
  <c r="K653" i="3"/>
  <c r="K652" i="3"/>
  <c r="K651" i="3"/>
  <c r="K650" i="3"/>
  <c r="K649" i="3"/>
  <c r="K648" i="3"/>
  <c r="K647" i="3"/>
  <c r="K646" i="3"/>
  <c r="K645" i="3"/>
  <c r="K644" i="3"/>
  <c r="K643" i="3"/>
  <c r="K642" i="3"/>
  <c r="K641" i="3"/>
  <c r="K640" i="3"/>
  <c r="K639" i="3"/>
  <c r="K638" i="3"/>
  <c r="K637" i="3"/>
  <c r="K636" i="3"/>
  <c r="K635" i="3"/>
  <c r="K634" i="3"/>
  <c r="K633" i="3"/>
  <c r="K632" i="3"/>
  <c r="K631" i="3"/>
  <c r="K630" i="3"/>
  <c r="K629" i="3"/>
  <c r="K628" i="3"/>
  <c r="K627" i="3"/>
  <c r="K626" i="3"/>
  <c r="K625" i="3"/>
  <c r="K624" i="3"/>
  <c r="K623" i="3"/>
  <c r="K622" i="3"/>
  <c r="K621" i="3"/>
  <c r="K620" i="3"/>
  <c r="K619" i="3"/>
  <c r="K618" i="3"/>
  <c r="K617" i="3"/>
  <c r="K616" i="3"/>
  <c r="K615" i="3"/>
  <c r="K614" i="3"/>
  <c r="K613" i="3"/>
  <c r="K612" i="3"/>
  <c r="K611" i="3"/>
  <c r="K610" i="3"/>
  <c r="K609" i="3"/>
  <c r="K608" i="3"/>
  <c r="K607" i="3"/>
  <c r="K606" i="3"/>
  <c r="K605" i="3"/>
  <c r="K604" i="3"/>
  <c r="K603" i="3"/>
  <c r="K602" i="3"/>
  <c r="K601" i="3"/>
  <c r="K600" i="3"/>
  <c r="K599" i="3"/>
  <c r="K598" i="3"/>
  <c r="K597" i="3"/>
  <c r="K596" i="3"/>
  <c r="K595" i="3"/>
  <c r="K594" i="3"/>
  <c r="K593" i="3"/>
  <c r="K592" i="3"/>
  <c r="K591" i="3"/>
  <c r="K590" i="3"/>
  <c r="K589" i="3"/>
  <c r="K588" i="3"/>
  <c r="K587" i="3"/>
  <c r="K586" i="3"/>
  <c r="K585" i="3"/>
  <c r="K584" i="3"/>
  <c r="K583" i="3"/>
  <c r="K582" i="3"/>
  <c r="K581" i="3"/>
  <c r="K580" i="3"/>
  <c r="K579" i="3"/>
  <c r="K578" i="3"/>
  <c r="K577" i="3"/>
  <c r="K576" i="3"/>
  <c r="K575" i="3"/>
  <c r="K574" i="3"/>
  <c r="K573" i="3"/>
  <c r="K572" i="3"/>
  <c r="K571" i="3"/>
  <c r="K570" i="3"/>
  <c r="K569" i="3"/>
  <c r="K568" i="3"/>
  <c r="K567" i="3"/>
  <c r="K566" i="3"/>
  <c r="K565" i="3"/>
  <c r="K564" i="3"/>
  <c r="K563" i="3"/>
  <c r="K562" i="3"/>
  <c r="K561" i="3"/>
  <c r="K560" i="3"/>
  <c r="K559" i="3"/>
  <c r="K558" i="3"/>
  <c r="K557" i="3"/>
  <c r="K556" i="3"/>
  <c r="K555" i="3"/>
  <c r="K554" i="3"/>
  <c r="K553" i="3"/>
  <c r="K552" i="3"/>
  <c r="K551" i="3"/>
  <c r="K550" i="3"/>
  <c r="K549" i="3"/>
  <c r="K548" i="3"/>
  <c r="K547" i="3"/>
  <c r="K546" i="3"/>
  <c r="K545" i="3"/>
  <c r="K544" i="3"/>
  <c r="K543" i="3"/>
  <c r="K542" i="3"/>
  <c r="K541" i="3"/>
  <c r="K540" i="3"/>
  <c r="K539" i="3"/>
  <c r="K538" i="3"/>
  <c r="K537" i="3"/>
  <c r="K536" i="3"/>
  <c r="K535" i="3"/>
  <c r="K534" i="3"/>
  <c r="K533" i="3"/>
  <c r="K532" i="3"/>
  <c r="K531" i="3"/>
  <c r="K530" i="3"/>
  <c r="K529" i="3"/>
  <c r="K528" i="3"/>
  <c r="K527" i="3"/>
  <c r="K526" i="3"/>
  <c r="K525" i="3"/>
  <c r="K524" i="3"/>
  <c r="K523" i="3"/>
  <c r="K522" i="3"/>
  <c r="K521" i="3"/>
  <c r="K520" i="3"/>
  <c r="K519" i="3"/>
  <c r="K518" i="3"/>
  <c r="K517" i="3"/>
  <c r="K516" i="3"/>
  <c r="K515" i="3"/>
  <c r="K514" i="3"/>
  <c r="K513" i="3"/>
  <c r="K512" i="3"/>
  <c r="K511" i="3"/>
  <c r="K510" i="3"/>
  <c r="K509" i="3"/>
  <c r="K508" i="3"/>
  <c r="K507" i="3"/>
  <c r="K506" i="3"/>
  <c r="K505" i="3"/>
  <c r="K504" i="3"/>
  <c r="K503" i="3"/>
  <c r="K502" i="3"/>
  <c r="K501" i="3"/>
  <c r="K500" i="3"/>
  <c r="K499" i="3"/>
  <c r="K498" i="3"/>
  <c r="K497" i="3"/>
  <c r="K496" i="3"/>
  <c r="K495" i="3"/>
  <c r="K494" i="3"/>
  <c r="K493" i="3"/>
  <c r="K492" i="3"/>
  <c r="K491" i="3"/>
  <c r="K490" i="3"/>
  <c r="K489" i="3"/>
  <c r="K488" i="3"/>
  <c r="K487" i="3"/>
  <c r="K486" i="3"/>
  <c r="K485" i="3"/>
  <c r="K484" i="3"/>
  <c r="K483" i="3"/>
  <c r="K482" i="3"/>
  <c r="K481" i="3"/>
  <c r="K480" i="3"/>
  <c r="K479" i="3"/>
  <c r="K478" i="3"/>
  <c r="K477" i="3"/>
  <c r="K476" i="3"/>
  <c r="K475" i="3"/>
  <c r="K474" i="3"/>
  <c r="K473" i="3"/>
  <c r="K472" i="3"/>
  <c r="K471" i="3"/>
  <c r="K470" i="3"/>
  <c r="K469" i="3"/>
  <c r="K468" i="3"/>
  <c r="K467" i="3"/>
  <c r="K466" i="3"/>
  <c r="K465" i="3"/>
  <c r="K464" i="3"/>
  <c r="K463" i="3"/>
  <c r="K462" i="3"/>
  <c r="K461" i="3"/>
  <c r="K460" i="3"/>
  <c r="K459" i="3"/>
  <c r="K458" i="3"/>
  <c r="K457" i="3"/>
  <c r="K456" i="3"/>
  <c r="K455" i="3"/>
  <c r="K454" i="3"/>
  <c r="K453" i="3"/>
  <c r="K452" i="3"/>
  <c r="K451" i="3"/>
  <c r="K450" i="3"/>
  <c r="K449" i="3"/>
  <c r="K448" i="3"/>
  <c r="K447" i="3"/>
  <c r="K446" i="3"/>
  <c r="K445" i="3"/>
  <c r="K444" i="3"/>
  <c r="K443" i="3"/>
  <c r="K442" i="3"/>
  <c r="K441" i="3"/>
  <c r="K440" i="3"/>
  <c r="K439" i="3"/>
  <c r="K438" i="3"/>
  <c r="K437" i="3"/>
  <c r="K436" i="3"/>
  <c r="K435" i="3"/>
  <c r="K434" i="3"/>
  <c r="K433" i="3"/>
  <c r="K432" i="3"/>
  <c r="K431" i="3"/>
  <c r="K430" i="3"/>
  <c r="K429" i="3"/>
  <c r="K428" i="3"/>
  <c r="K427" i="3"/>
  <c r="K426" i="3"/>
  <c r="K425" i="3"/>
  <c r="K424" i="3"/>
  <c r="K423" i="3"/>
  <c r="K422" i="3"/>
  <c r="K421" i="3"/>
  <c r="K420" i="3"/>
  <c r="K419" i="3"/>
  <c r="K418" i="3"/>
  <c r="K417" i="3"/>
  <c r="K416" i="3"/>
  <c r="K415" i="3"/>
  <c r="K414" i="3"/>
  <c r="K413" i="3"/>
  <c r="K412" i="3"/>
  <c r="K411" i="3"/>
  <c r="K410" i="3"/>
  <c r="K409" i="3"/>
  <c r="K408" i="3"/>
  <c r="K407" i="3"/>
  <c r="K406" i="3"/>
  <c r="K405" i="3"/>
  <c r="K404" i="3"/>
  <c r="K403" i="3"/>
  <c r="K402" i="3"/>
  <c r="K401" i="3"/>
  <c r="K400" i="3"/>
  <c r="K399" i="3"/>
  <c r="K398" i="3"/>
  <c r="K397" i="3"/>
  <c r="K396" i="3"/>
  <c r="K395" i="3"/>
  <c r="K394" i="3"/>
  <c r="K393" i="3"/>
  <c r="K392" i="3"/>
  <c r="K391" i="3"/>
  <c r="K390" i="3"/>
  <c r="K389" i="3"/>
  <c r="K388" i="3"/>
  <c r="K387" i="3"/>
  <c r="K386" i="3"/>
  <c r="K385" i="3"/>
  <c r="K384" i="3"/>
  <c r="K383" i="3"/>
  <c r="K382" i="3"/>
  <c r="K381" i="3"/>
  <c r="K380" i="3"/>
  <c r="K379" i="3"/>
  <c r="K378" i="3"/>
  <c r="K377" i="3"/>
  <c r="K376" i="3"/>
  <c r="K375" i="3"/>
  <c r="K374" i="3"/>
  <c r="K373" i="3"/>
  <c r="K372" i="3"/>
  <c r="K371" i="3"/>
  <c r="K370" i="3"/>
  <c r="K369" i="3"/>
  <c r="K368" i="3"/>
  <c r="K367" i="3"/>
  <c r="K366" i="3"/>
  <c r="K365" i="3"/>
  <c r="K364" i="3"/>
  <c r="K363" i="3"/>
  <c r="K362" i="3"/>
  <c r="K361" i="3"/>
  <c r="K360" i="3"/>
  <c r="K359" i="3"/>
  <c r="K358" i="3"/>
  <c r="K357" i="3"/>
  <c r="K356" i="3"/>
  <c r="K355" i="3"/>
  <c r="K354" i="3"/>
  <c r="K353" i="3"/>
  <c r="K352" i="3"/>
  <c r="K351" i="3"/>
  <c r="K350" i="3"/>
  <c r="K349" i="3"/>
  <c r="K348" i="3"/>
  <c r="K347" i="3"/>
  <c r="K346" i="3"/>
  <c r="K345" i="3"/>
  <c r="K344" i="3"/>
  <c r="K343" i="3"/>
  <c r="K342" i="3"/>
  <c r="K341" i="3"/>
  <c r="K340" i="3"/>
  <c r="K339" i="3"/>
  <c r="K338" i="3"/>
  <c r="K337" i="3"/>
  <c r="K336" i="3"/>
  <c r="K335" i="3"/>
  <c r="K334" i="3"/>
  <c r="K333" i="3"/>
  <c r="K332" i="3"/>
  <c r="K331" i="3"/>
  <c r="K330" i="3"/>
  <c r="K329" i="3"/>
  <c r="K328" i="3"/>
  <c r="K327" i="3"/>
  <c r="K326" i="3"/>
  <c r="K325" i="3"/>
  <c r="K324" i="3"/>
  <c r="K323" i="3"/>
  <c r="K322" i="3"/>
  <c r="K321" i="3"/>
  <c r="K320" i="3"/>
  <c r="K319" i="3"/>
  <c r="K318" i="3"/>
  <c r="K317" i="3"/>
  <c r="K316" i="3"/>
  <c r="K315" i="3"/>
  <c r="K314" i="3"/>
  <c r="K313" i="3"/>
  <c r="K312" i="3"/>
  <c r="K311" i="3"/>
  <c r="K310" i="3"/>
  <c r="K309" i="3"/>
  <c r="K308" i="3"/>
  <c r="K307" i="3"/>
  <c r="K306" i="3"/>
  <c r="K305" i="3"/>
  <c r="K304" i="3"/>
  <c r="K303" i="3"/>
  <c r="K302" i="3"/>
  <c r="K301" i="3"/>
  <c r="K300" i="3"/>
  <c r="K299" i="3"/>
  <c r="K298" i="3"/>
  <c r="K297" i="3"/>
  <c r="K296" i="3"/>
  <c r="K295" i="3"/>
  <c r="K294" i="3"/>
  <c r="K293" i="3"/>
  <c r="K292" i="3"/>
  <c r="K291" i="3"/>
  <c r="K290" i="3"/>
  <c r="K289" i="3"/>
  <c r="K288" i="3"/>
  <c r="K287" i="3"/>
  <c r="K286" i="3"/>
  <c r="K285" i="3"/>
  <c r="K284" i="3"/>
  <c r="K283" i="3"/>
  <c r="K282" i="3"/>
  <c r="K281" i="3"/>
  <c r="K280" i="3"/>
  <c r="K279" i="3"/>
  <c r="K278" i="3"/>
  <c r="K277" i="3"/>
  <c r="K276" i="3"/>
  <c r="K275" i="3"/>
  <c r="K274" i="3"/>
  <c r="K273" i="3"/>
  <c r="K272" i="3"/>
  <c r="K271" i="3"/>
  <c r="K270" i="3"/>
  <c r="K269" i="3"/>
  <c r="K268" i="3"/>
  <c r="K267" i="3"/>
  <c r="K266" i="3"/>
  <c r="K265" i="3"/>
  <c r="K264" i="3"/>
  <c r="K263" i="3"/>
  <c r="K262" i="3"/>
  <c r="K261" i="3"/>
  <c r="K260" i="3"/>
  <c r="K259" i="3"/>
  <c r="K258" i="3"/>
  <c r="K257" i="3"/>
  <c r="K256" i="3"/>
  <c r="K255" i="3"/>
  <c r="K254" i="3"/>
  <c r="K253" i="3"/>
  <c r="K252" i="3"/>
  <c r="K251" i="3"/>
  <c r="K250" i="3"/>
  <c r="K249" i="3"/>
  <c r="K248" i="3"/>
  <c r="K247" i="3"/>
  <c r="K246" i="3"/>
  <c r="K245" i="3"/>
  <c r="K244" i="3"/>
  <c r="K243" i="3"/>
  <c r="K242" i="3"/>
  <c r="K241" i="3"/>
  <c r="K240" i="3"/>
  <c r="K239" i="3"/>
  <c r="K238" i="3"/>
  <c r="K237" i="3"/>
  <c r="K236" i="3"/>
  <c r="K235" i="3"/>
  <c r="K234" i="3"/>
  <c r="K233" i="3"/>
  <c r="K232" i="3"/>
  <c r="K231" i="3"/>
  <c r="K230" i="3"/>
  <c r="K229" i="3"/>
  <c r="K228" i="3"/>
  <c r="K227" i="3"/>
  <c r="K226" i="3"/>
  <c r="K225" i="3"/>
  <c r="K224" i="3"/>
  <c r="K223" i="3"/>
  <c r="K222" i="3"/>
  <c r="K221" i="3"/>
  <c r="K220" i="3"/>
  <c r="K219" i="3"/>
  <c r="K218" i="3"/>
  <c r="K217" i="3"/>
  <c r="K216" i="3"/>
  <c r="K215" i="3"/>
  <c r="K214" i="3"/>
  <c r="K213" i="3"/>
  <c r="K212" i="3"/>
  <c r="K211" i="3"/>
  <c r="K210" i="3"/>
  <c r="K209" i="3"/>
  <c r="K208" i="3"/>
  <c r="K207" i="3"/>
  <c r="K206" i="3"/>
  <c r="K205" i="3"/>
  <c r="K204" i="3"/>
  <c r="K203" i="3"/>
  <c r="K202" i="3"/>
  <c r="K201" i="3"/>
  <c r="K200" i="3"/>
  <c r="K199" i="3"/>
  <c r="K198" i="3"/>
  <c r="K197" i="3"/>
  <c r="K196" i="3"/>
  <c r="K195" i="3"/>
  <c r="K194" i="3"/>
  <c r="K193" i="3"/>
  <c r="K192" i="3"/>
  <c r="K191" i="3"/>
  <c r="K190" i="3"/>
  <c r="K189" i="3"/>
  <c r="K188" i="3"/>
  <c r="K187" i="3"/>
  <c r="K186" i="3"/>
  <c r="K185" i="3"/>
  <c r="K184" i="3"/>
  <c r="K183" i="3"/>
  <c r="K182" i="3"/>
  <c r="K181" i="3"/>
  <c r="K180" i="3"/>
  <c r="K179" i="3"/>
  <c r="K178" i="3"/>
  <c r="K177" i="3"/>
  <c r="K176" i="3"/>
  <c r="K175" i="3"/>
  <c r="K174" i="3"/>
  <c r="K173" i="3"/>
  <c r="K172" i="3"/>
  <c r="K171" i="3"/>
  <c r="K170" i="3"/>
  <c r="K169" i="3"/>
  <c r="K168" i="3"/>
  <c r="K167" i="3"/>
  <c r="K166" i="3"/>
  <c r="K165" i="3"/>
  <c r="K164" i="3"/>
  <c r="K163" i="3"/>
  <c r="K162" i="3"/>
  <c r="K161" i="3"/>
  <c r="K160" i="3"/>
  <c r="K159" i="3"/>
  <c r="K158" i="3"/>
  <c r="K157" i="3"/>
  <c r="K156" i="3"/>
  <c r="K155" i="3"/>
  <c r="K154" i="3"/>
  <c r="K153" i="3"/>
  <c r="K152" i="3"/>
  <c r="K151" i="3"/>
  <c r="K150" i="3"/>
  <c r="K149" i="3"/>
  <c r="K148" i="3"/>
  <c r="K147" i="3"/>
  <c r="K146" i="3"/>
  <c r="K145" i="3"/>
  <c r="K144" i="3"/>
  <c r="K143" i="3"/>
  <c r="K142" i="3"/>
  <c r="K141" i="3"/>
  <c r="K140" i="3"/>
  <c r="K139" i="3"/>
  <c r="K138" i="3"/>
  <c r="K137" i="3"/>
  <c r="K136" i="3"/>
  <c r="K135" i="3"/>
  <c r="K134" i="3"/>
  <c r="K133" i="3"/>
  <c r="K132" i="3"/>
  <c r="K131" i="3"/>
  <c r="K130" i="3"/>
  <c r="K129" i="3"/>
  <c r="K128" i="3"/>
  <c r="K127" i="3"/>
  <c r="K126" i="3"/>
  <c r="K125" i="3"/>
  <c r="K124" i="3"/>
  <c r="K123" i="3"/>
  <c r="K122" i="3"/>
  <c r="K121" i="3"/>
  <c r="K120" i="3"/>
  <c r="K119" i="3"/>
  <c r="K118" i="3"/>
  <c r="K117" i="3"/>
  <c r="K116" i="3"/>
  <c r="K115" i="3"/>
  <c r="K114" i="3"/>
  <c r="K113" i="3"/>
  <c r="K112" i="3"/>
  <c r="K111" i="3"/>
  <c r="K110" i="3"/>
  <c r="K109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65" i="3"/>
  <c r="K64" i="3"/>
  <c r="K63" i="3"/>
  <c r="K62" i="3"/>
  <c r="K61" i="3"/>
  <c r="K60" i="3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40" i="3"/>
  <c r="K39" i="3"/>
  <c r="K38" i="3"/>
  <c r="K37" i="3"/>
  <c r="K36" i="3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K2" i="3"/>
  <c r="C5" i="1"/>
  <c r="C1006" i="6"/>
  <c r="C1005" i="6"/>
  <c r="C1004" i="6"/>
  <c r="C1003" i="6"/>
  <c r="C1002" i="6"/>
  <c r="C1001" i="6"/>
  <c r="C1000" i="6"/>
  <c r="C999" i="6"/>
  <c r="C998" i="6"/>
  <c r="C997" i="6"/>
  <c r="C996" i="6"/>
  <c r="C995" i="6"/>
  <c r="C994" i="6"/>
  <c r="C993" i="6"/>
  <c r="C992" i="6"/>
  <c r="C991" i="6"/>
  <c r="C990" i="6"/>
  <c r="C989" i="6"/>
  <c r="C988" i="6"/>
  <c r="C987" i="6"/>
  <c r="C986" i="6"/>
  <c r="C985" i="6"/>
  <c r="C984" i="6"/>
  <c r="C983" i="6"/>
  <c r="C982" i="6"/>
  <c r="C981" i="6"/>
  <c r="C980" i="6"/>
  <c r="C979" i="6"/>
  <c r="C978" i="6"/>
  <c r="C977" i="6"/>
  <c r="C976" i="6"/>
  <c r="C975" i="6"/>
  <c r="C974" i="6"/>
  <c r="C973" i="6"/>
  <c r="C972" i="6"/>
  <c r="C971" i="6"/>
  <c r="C970" i="6"/>
  <c r="C969" i="6"/>
  <c r="C968" i="6"/>
  <c r="C967" i="6"/>
  <c r="C966" i="6"/>
  <c r="C965" i="6"/>
  <c r="C964" i="6"/>
  <c r="C963" i="6"/>
  <c r="C962" i="6"/>
  <c r="C961" i="6"/>
  <c r="C960" i="6"/>
  <c r="C959" i="6"/>
  <c r="C958" i="6"/>
  <c r="C957" i="6"/>
  <c r="C956" i="6"/>
  <c r="C955" i="6"/>
  <c r="C954" i="6"/>
  <c r="C953" i="6"/>
  <c r="C952" i="6"/>
  <c r="C951" i="6"/>
  <c r="C950" i="6"/>
  <c r="C949" i="6"/>
  <c r="C948" i="6"/>
  <c r="C947" i="6"/>
  <c r="C946" i="6"/>
  <c r="C945" i="6"/>
  <c r="C944" i="6"/>
  <c r="C943" i="6"/>
  <c r="C942" i="6"/>
  <c r="C941" i="6"/>
  <c r="C940" i="6"/>
  <c r="C939" i="6"/>
  <c r="C938" i="6"/>
  <c r="C937" i="6"/>
  <c r="C936" i="6"/>
  <c r="C935" i="6"/>
  <c r="C934" i="6"/>
  <c r="C933" i="6"/>
  <c r="C932" i="6"/>
  <c r="C931" i="6"/>
  <c r="C930" i="6"/>
  <c r="C929" i="6"/>
  <c r="C928" i="6"/>
  <c r="C927" i="6"/>
  <c r="C926" i="6"/>
  <c r="C925" i="6"/>
  <c r="C924" i="6"/>
  <c r="C923" i="6"/>
  <c r="C922" i="6"/>
  <c r="C921" i="6"/>
  <c r="C920" i="6"/>
  <c r="C919" i="6"/>
  <c r="C918" i="6"/>
  <c r="C917" i="6"/>
  <c r="C916" i="6"/>
  <c r="C915" i="6"/>
  <c r="C914" i="6"/>
  <c r="C913" i="6"/>
  <c r="C912" i="6"/>
  <c r="C911" i="6"/>
  <c r="C910" i="6"/>
  <c r="C909" i="6"/>
  <c r="C908" i="6"/>
  <c r="C907" i="6"/>
  <c r="C906" i="6"/>
  <c r="C905" i="6"/>
  <c r="C904" i="6"/>
  <c r="C903" i="6"/>
  <c r="C902" i="6"/>
  <c r="C901" i="6"/>
  <c r="C900" i="6"/>
  <c r="C899" i="6"/>
  <c r="C898" i="6"/>
  <c r="C897" i="6"/>
  <c r="C896" i="6"/>
  <c r="C895" i="6"/>
  <c r="C894" i="6"/>
  <c r="C893" i="6"/>
  <c r="C892" i="6"/>
  <c r="C891" i="6"/>
  <c r="C890" i="6"/>
  <c r="C889" i="6"/>
  <c r="C888" i="6"/>
  <c r="C887" i="6"/>
  <c r="C886" i="6"/>
  <c r="C885" i="6"/>
  <c r="C884" i="6"/>
  <c r="C883" i="6"/>
  <c r="C882" i="6"/>
  <c r="C881" i="6"/>
  <c r="C880" i="6"/>
  <c r="C879" i="6"/>
  <c r="C878" i="6"/>
  <c r="C877" i="6"/>
  <c r="C876" i="6"/>
  <c r="C875" i="6"/>
  <c r="C874" i="6"/>
  <c r="C873" i="6"/>
  <c r="C872" i="6"/>
  <c r="C871" i="6"/>
  <c r="C870" i="6"/>
  <c r="C869" i="6"/>
  <c r="C868" i="6"/>
  <c r="C867" i="6"/>
  <c r="C866" i="6"/>
  <c r="C865" i="6"/>
  <c r="C864" i="6"/>
  <c r="C863" i="6"/>
  <c r="C862" i="6"/>
  <c r="C861" i="6"/>
  <c r="C860" i="6"/>
  <c r="C859" i="6"/>
  <c r="C858" i="6"/>
  <c r="C857" i="6"/>
  <c r="C856" i="6"/>
  <c r="C855" i="6"/>
  <c r="C854" i="6"/>
  <c r="C853" i="6"/>
  <c r="C852" i="6"/>
  <c r="C851" i="6"/>
  <c r="C850" i="6"/>
  <c r="C849" i="6"/>
  <c r="C848" i="6"/>
  <c r="C847" i="6"/>
  <c r="C846" i="6"/>
  <c r="C845" i="6"/>
  <c r="C844" i="6"/>
  <c r="C843" i="6"/>
  <c r="C842" i="6"/>
  <c r="C841" i="6"/>
  <c r="C840" i="6"/>
  <c r="C839" i="6"/>
  <c r="C838" i="6"/>
  <c r="C837" i="6"/>
  <c r="C836" i="6"/>
  <c r="C835" i="6"/>
  <c r="C834" i="6"/>
  <c r="C833" i="6"/>
  <c r="C832" i="6"/>
  <c r="C831" i="6"/>
  <c r="C830" i="6"/>
  <c r="C829" i="6"/>
  <c r="C828" i="6"/>
  <c r="C827" i="6"/>
  <c r="C826" i="6"/>
  <c r="C825" i="6"/>
  <c r="C824" i="6"/>
  <c r="C823" i="6"/>
  <c r="C822" i="6"/>
  <c r="C821" i="6"/>
  <c r="C820" i="6"/>
  <c r="C819" i="6"/>
  <c r="C818" i="6"/>
  <c r="C817" i="6"/>
  <c r="C816" i="6"/>
  <c r="C815" i="6"/>
  <c r="C814" i="6"/>
  <c r="C813" i="6"/>
  <c r="C812" i="6"/>
  <c r="C811" i="6"/>
  <c r="C810" i="6"/>
  <c r="C809" i="6"/>
  <c r="C808" i="6"/>
  <c r="C807" i="6"/>
  <c r="C806" i="6"/>
  <c r="C805" i="6"/>
  <c r="C804" i="6"/>
  <c r="C803" i="6"/>
  <c r="C802" i="6"/>
  <c r="C801" i="6"/>
  <c r="C800" i="6"/>
  <c r="C799" i="6"/>
  <c r="C798" i="6"/>
  <c r="C797" i="6"/>
  <c r="C796" i="6"/>
  <c r="C795" i="6"/>
  <c r="C794" i="6"/>
  <c r="C793" i="6"/>
  <c r="C792" i="6"/>
  <c r="C791" i="6"/>
  <c r="C790" i="6"/>
  <c r="C789" i="6"/>
  <c r="C788" i="6"/>
  <c r="C787" i="6"/>
  <c r="C786" i="6"/>
  <c r="C785" i="6"/>
  <c r="C784" i="6"/>
  <c r="C783" i="6"/>
  <c r="C782" i="6"/>
  <c r="C781" i="6"/>
  <c r="C780" i="6"/>
  <c r="C779" i="6"/>
  <c r="C778" i="6"/>
  <c r="C777" i="6"/>
  <c r="C776" i="6"/>
  <c r="C775" i="6"/>
  <c r="C774" i="6"/>
  <c r="C773" i="6"/>
  <c r="C772" i="6"/>
  <c r="C771" i="6"/>
  <c r="C770" i="6"/>
  <c r="C769" i="6"/>
  <c r="C768" i="6"/>
  <c r="C767" i="6"/>
  <c r="C766" i="6"/>
  <c r="C765" i="6"/>
  <c r="C764" i="6"/>
  <c r="C763" i="6"/>
  <c r="C762" i="6"/>
  <c r="C761" i="6"/>
  <c r="C760" i="6"/>
  <c r="C759" i="6"/>
  <c r="C758" i="6"/>
  <c r="C757" i="6"/>
  <c r="C756" i="6"/>
  <c r="C755" i="6"/>
  <c r="C754" i="6"/>
  <c r="C753" i="6"/>
  <c r="C752" i="6"/>
  <c r="C751" i="6"/>
  <c r="C750" i="6"/>
  <c r="C749" i="6"/>
  <c r="C748" i="6"/>
  <c r="C747" i="6"/>
  <c r="C746" i="6"/>
  <c r="C745" i="6"/>
  <c r="C744" i="6"/>
  <c r="C743" i="6"/>
  <c r="C742" i="6"/>
  <c r="C741" i="6"/>
  <c r="C740" i="6"/>
  <c r="C739" i="6"/>
  <c r="C738" i="6"/>
  <c r="C737" i="6"/>
  <c r="C736" i="6"/>
  <c r="C735" i="6"/>
  <c r="C734" i="6"/>
  <c r="C733" i="6"/>
  <c r="C732" i="6"/>
  <c r="C731" i="6"/>
  <c r="C730" i="6"/>
  <c r="C729" i="6"/>
  <c r="C728" i="6"/>
  <c r="C727" i="6"/>
  <c r="C726" i="6"/>
  <c r="C725" i="6"/>
  <c r="C724" i="6"/>
  <c r="C723" i="6"/>
  <c r="C722" i="6"/>
  <c r="C721" i="6"/>
  <c r="C720" i="6"/>
  <c r="C719" i="6"/>
  <c r="C718" i="6"/>
  <c r="C717" i="6"/>
  <c r="C716" i="6"/>
  <c r="C715" i="6"/>
  <c r="C714" i="6"/>
  <c r="C713" i="6"/>
  <c r="C712" i="6"/>
  <c r="C711" i="6"/>
  <c r="C710" i="6"/>
  <c r="C709" i="6"/>
  <c r="C708" i="6"/>
  <c r="C707" i="6"/>
  <c r="C706" i="6"/>
  <c r="C705" i="6"/>
  <c r="C704" i="6"/>
  <c r="C703" i="6"/>
  <c r="C702" i="6"/>
  <c r="C701" i="6"/>
  <c r="C700" i="6"/>
  <c r="C699" i="6"/>
  <c r="C698" i="6"/>
  <c r="C697" i="6"/>
  <c r="C696" i="6"/>
  <c r="C695" i="6"/>
  <c r="C694" i="6"/>
  <c r="C693" i="6"/>
  <c r="C692" i="6"/>
  <c r="C691" i="6"/>
  <c r="C690" i="6"/>
  <c r="C689" i="6"/>
  <c r="C688" i="6"/>
  <c r="C687" i="6"/>
  <c r="C686" i="6"/>
  <c r="C685" i="6"/>
  <c r="C684" i="6"/>
  <c r="C683" i="6"/>
  <c r="C682" i="6"/>
  <c r="C681" i="6"/>
  <c r="C680" i="6"/>
  <c r="C679" i="6"/>
  <c r="C678" i="6"/>
  <c r="C677" i="6"/>
  <c r="C676" i="6"/>
  <c r="C675" i="6"/>
  <c r="C674" i="6"/>
  <c r="C673" i="6"/>
  <c r="C672" i="6"/>
  <c r="C671" i="6"/>
  <c r="C670" i="6"/>
  <c r="C669" i="6"/>
  <c r="C668" i="6"/>
  <c r="C667" i="6"/>
  <c r="C666" i="6"/>
  <c r="C665" i="6"/>
  <c r="C664" i="6"/>
  <c r="C663" i="6"/>
  <c r="C662" i="6"/>
  <c r="C661" i="6"/>
  <c r="C660" i="6"/>
  <c r="C659" i="6"/>
  <c r="C658" i="6"/>
  <c r="C657" i="6"/>
  <c r="C656" i="6"/>
  <c r="C655" i="6"/>
  <c r="C654" i="6"/>
  <c r="C653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B1006" i="6"/>
  <c r="B1005" i="6"/>
  <c r="B1004" i="6"/>
  <c r="B1003" i="6"/>
  <c r="B1002" i="6"/>
  <c r="B1001" i="6"/>
  <c r="B1000" i="6"/>
  <c r="B999" i="6"/>
  <c r="B998" i="6"/>
  <c r="B997" i="6"/>
  <c r="B996" i="6"/>
  <c r="B995" i="6"/>
  <c r="B994" i="6"/>
  <c r="B993" i="6"/>
  <c r="B992" i="6"/>
  <c r="B991" i="6"/>
  <c r="B990" i="6"/>
  <c r="B989" i="6"/>
  <c r="B988" i="6"/>
  <c r="B987" i="6"/>
  <c r="B986" i="6"/>
  <c r="B985" i="6"/>
  <c r="B984" i="6"/>
  <c r="B983" i="6"/>
  <c r="B982" i="6"/>
  <c r="B981" i="6"/>
  <c r="B980" i="6"/>
  <c r="B979" i="6"/>
  <c r="B978" i="6"/>
  <c r="B977" i="6"/>
  <c r="B976" i="6"/>
  <c r="B975" i="6"/>
  <c r="B974" i="6"/>
  <c r="B973" i="6"/>
  <c r="B972" i="6"/>
  <c r="B971" i="6"/>
  <c r="B970" i="6"/>
  <c r="B969" i="6"/>
  <c r="B968" i="6"/>
  <c r="B967" i="6"/>
  <c r="B966" i="6"/>
  <c r="B965" i="6"/>
  <c r="B964" i="6"/>
  <c r="B963" i="6"/>
  <c r="B962" i="6"/>
  <c r="B961" i="6"/>
  <c r="B960" i="6"/>
  <c r="B959" i="6"/>
  <c r="B958" i="6"/>
  <c r="B957" i="6"/>
  <c r="B956" i="6"/>
  <c r="B955" i="6"/>
  <c r="B954" i="6"/>
  <c r="B953" i="6"/>
  <c r="B952" i="6"/>
  <c r="B951" i="6"/>
  <c r="B950" i="6"/>
  <c r="B949" i="6"/>
  <c r="B948" i="6"/>
  <c r="B947" i="6"/>
  <c r="B946" i="6"/>
  <c r="B945" i="6"/>
  <c r="B944" i="6"/>
  <c r="B943" i="6"/>
  <c r="B942" i="6"/>
  <c r="B941" i="6"/>
  <c r="B940" i="6"/>
  <c r="B939" i="6"/>
  <c r="B938" i="6"/>
  <c r="B937" i="6"/>
  <c r="B936" i="6"/>
  <c r="B935" i="6"/>
  <c r="B934" i="6"/>
  <c r="B933" i="6"/>
  <c r="B932" i="6"/>
  <c r="B931" i="6"/>
  <c r="B930" i="6"/>
  <c r="B929" i="6"/>
  <c r="B928" i="6"/>
  <c r="B927" i="6"/>
  <c r="B926" i="6"/>
  <c r="B925" i="6"/>
  <c r="B924" i="6"/>
  <c r="B923" i="6"/>
  <c r="B922" i="6"/>
  <c r="B921" i="6"/>
  <c r="B920" i="6"/>
  <c r="B919" i="6"/>
  <c r="B918" i="6"/>
  <c r="B917" i="6"/>
  <c r="B916" i="6"/>
  <c r="B915" i="6"/>
  <c r="B914" i="6"/>
  <c r="B913" i="6"/>
  <c r="B912" i="6"/>
  <c r="B911" i="6"/>
  <c r="B910" i="6"/>
  <c r="B909" i="6"/>
  <c r="B908" i="6"/>
  <c r="B907" i="6"/>
  <c r="B906" i="6"/>
  <c r="B905" i="6"/>
  <c r="B904" i="6"/>
  <c r="B903" i="6"/>
  <c r="B902" i="6"/>
  <c r="B901" i="6"/>
  <c r="B900" i="6"/>
  <c r="B899" i="6"/>
  <c r="B898" i="6"/>
  <c r="B897" i="6"/>
  <c r="B896" i="6"/>
  <c r="B895" i="6"/>
  <c r="B894" i="6"/>
  <c r="B893" i="6"/>
  <c r="B892" i="6"/>
  <c r="B891" i="6"/>
  <c r="B890" i="6"/>
  <c r="B889" i="6"/>
  <c r="B888" i="6"/>
  <c r="B887" i="6"/>
  <c r="B886" i="6"/>
  <c r="B885" i="6"/>
  <c r="B884" i="6"/>
  <c r="B883" i="6"/>
  <c r="B882" i="6"/>
  <c r="B881" i="6"/>
  <c r="B880" i="6"/>
  <c r="B879" i="6"/>
  <c r="B878" i="6"/>
  <c r="B877" i="6"/>
  <c r="B876" i="6"/>
  <c r="B875" i="6"/>
  <c r="B874" i="6"/>
  <c r="B873" i="6"/>
  <c r="B872" i="6"/>
  <c r="B871" i="6"/>
  <c r="B870" i="6"/>
  <c r="B869" i="6"/>
  <c r="B868" i="6"/>
  <c r="B867" i="6"/>
  <c r="B866" i="6"/>
  <c r="B865" i="6"/>
  <c r="B864" i="6"/>
  <c r="B863" i="6"/>
  <c r="B862" i="6"/>
  <c r="B861" i="6"/>
  <c r="B860" i="6"/>
  <c r="B859" i="6"/>
  <c r="B858" i="6"/>
  <c r="B857" i="6"/>
  <c r="B856" i="6"/>
  <c r="B855" i="6"/>
  <c r="B854" i="6"/>
  <c r="B853" i="6"/>
  <c r="B852" i="6"/>
  <c r="B851" i="6"/>
  <c r="B850" i="6"/>
  <c r="B849" i="6"/>
  <c r="B848" i="6"/>
  <c r="B847" i="6"/>
  <c r="B846" i="6"/>
  <c r="B845" i="6"/>
  <c r="B844" i="6"/>
  <c r="B843" i="6"/>
  <c r="B842" i="6"/>
  <c r="B841" i="6"/>
  <c r="B840" i="6"/>
  <c r="B839" i="6"/>
  <c r="B838" i="6"/>
  <c r="B837" i="6"/>
  <c r="B836" i="6"/>
  <c r="B835" i="6"/>
  <c r="B834" i="6"/>
  <c r="B833" i="6"/>
  <c r="B832" i="6"/>
  <c r="B831" i="6"/>
  <c r="B830" i="6"/>
  <c r="B829" i="6"/>
  <c r="B828" i="6"/>
  <c r="B827" i="6"/>
  <c r="B826" i="6"/>
  <c r="B825" i="6"/>
  <c r="B824" i="6"/>
  <c r="B823" i="6"/>
  <c r="B822" i="6"/>
  <c r="B821" i="6"/>
  <c r="B820" i="6"/>
  <c r="B819" i="6"/>
  <c r="B818" i="6"/>
  <c r="B817" i="6"/>
  <c r="B816" i="6"/>
  <c r="B815" i="6"/>
  <c r="B814" i="6"/>
  <c r="B813" i="6"/>
  <c r="B812" i="6"/>
  <c r="B811" i="6"/>
  <c r="B810" i="6"/>
  <c r="B809" i="6"/>
  <c r="B808" i="6"/>
  <c r="B807" i="6"/>
  <c r="B806" i="6"/>
  <c r="B805" i="6"/>
  <c r="B804" i="6"/>
  <c r="B803" i="6"/>
  <c r="B802" i="6"/>
  <c r="B801" i="6"/>
  <c r="B800" i="6"/>
  <c r="B799" i="6"/>
  <c r="B798" i="6"/>
  <c r="B797" i="6"/>
  <c r="B796" i="6"/>
  <c r="B795" i="6"/>
  <c r="B794" i="6"/>
  <c r="B793" i="6"/>
  <c r="B792" i="6"/>
  <c r="B791" i="6"/>
  <c r="B790" i="6"/>
  <c r="B789" i="6"/>
  <c r="B788" i="6"/>
  <c r="B787" i="6"/>
  <c r="B786" i="6"/>
  <c r="B785" i="6"/>
  <c r="B784" i="6"/>
  <c r="B783" i="6"/>
  <c r="B782" i="6"/>
  <c r="B781" i="6"/>
  <c r="B780" i="6"/>
  <c r="B779" i="6"/>
  <c r="B778" i="6"/>
  <c r="B777" i="6"/>
  <c r="B776" i="6"/>
  <c r="B775" i="6"/>
  <c r="B774" i="6"/>
  <c r="B773" i="6"/>
  <c r="B772" i="6"/>
  <c r="B771" i="6"/>
  <c r="B770" i="6"/>
  <c r="B769" i="6"/>
  <c r="B768" i="6"/>
  <c r="B767" i="6"/>
  <c r="B766" i="6"/>
  <c r="B765" i="6"/>
  <c r="B764" i="6"/>
  <c r="B763" i="6"/>
  <c r="B762" i="6"/>
  <c r="B761" i="6"/>
  <c r="B760" i="6"/>
  <c r="B759" i="6"/>
  <c r="B758" i="6"/>
  <c r="B757" i="6"/>
  <c r="B756" i="6"/>
  <c r="B755" i="6"/>
  <c r="B754" i="6"/>
  <c r="B753" i="6"/>
  <c r="B752" i="6"/>
  <c r="B751" i="6"/>
  <c r="B750" i="6"/>
  <c r="B749" i="6"/>
  <c r="B748" i="6"/>
  <c r="B747" i="6"/>
  <c r="B746" i="6"/>
  <c r="B745" i="6"/>
  <c r="B744" i="6"/>
  <c r="B743" i="6"/>
  <c r="B742" i="6"/>
  <c r="B741" i="6"/>
  <c r="B740" i="6"/>
  <c r="B739" i="6"/>
  <c r="B738" i="6"/>
  <c r="B737" i="6"/>
  <c r="B736" i="6"/>
  <c r="B735" i="6"/>
  <c r="B734" i="6"/>
  <c r="B733" i="6"/>
  <c r="B732" i="6"/>
  <c r="B731" i="6"/>
  <c r="B730" i="6"/>
  <c r="B729" i="6"/>
  <c r="B728" i="6"/>
  <c r="B727" i="6"/>
  <c r="B726" i="6"/>
  <c r="B725" i="6"/>
  <c r="B724" i="6"/>
  <c r="B723" i="6"/>
  <c r="B722" i="6"/>
  <c r="B721" i="6"/>
  <c r="B720" i="6"/>
  <c r="B719" i="6"/>
  <c r="B718" i="6"/>
  <c r="B717" i="6"/>
  <c r="B716" i="6"/>
  <c r="B715" i="6"/>
  <c r="B714" i="6"/>
  <c r="B713" i="6"/>
  <c r="B712" i="6"/>
  <c r="B711" i="6"/>
  <c r="B710" i="6"/>
  <c r="B709" i="6"/>
  <c r="B708" i="6"/>
  <c r="B707" i="6"/>
  <c r="B706" i="6"/>
  <c r="B705" i="6"/>
  <c r="B704" i="6"/>
  <c r="B703" i="6"/>
  <c r="B702" i="6"/>
  <c r="B701" i="6"/>
  <c r="B700" i="6"/>
  <c r="B699" i="6"/>
  <c r="B698" i="6"/>
  <c r="B697" i="6"/>
  <c r="B696" i="6"/>
  <c r="B695" i="6"/>
  <c r="B694" i="6"/>
  <c r="B693" i="6"/>
  <c r="B692" i="6"/>
  <c r="B691" i="6"/>
  <c r="B690" i="6"/>
  <c r="B689" i="6"/>
  <c r="B688" i="6"/>
  <c r="B687" i="6"/>
  <c r="B686" i="6"/>
  <c r="B685" i="6"/>
  <c r="B684" i="6"/>
  <c r="B683" i="6"/>
  <c r="B682" i="6"/>
  <c r="B681" i="6"/>
  <c r="B680" i="6"/>
  <c r="B679" i="6"/>
  <c r="B678" i="6"/>
  <c r="B677" i="6"/>
  <c r="B676" i="6"/>
  <c r="B675" i="6"/>
  <c r="B674" i="6"/>
  <c r="B673" i="6"/>
  <c r="B672" i="6"/>
  <c r="B671" i="6"/>
  <c r="B670" i="6"/>
  <c r="B669" i="6"/>
  <c r="B668" i="6"/>
  <c r="B667" i="6"/>
  <c r="B666" i="6"/>
  <c r="B665" i="6"/>
  <c r="B664" i="6"/>
  <c r="B663" i="6"/>
  <c r="B662" i="6"/>
  <c r="B661" i="6"/>
  <c r="B660" i="6"/>
  <c r="B659" i="6"/>
  <c r="B658" i="6"/>
  <c r="B657" i="6"/>
  <c r="B656" i="6"/>
  <c r="B655" i="6"/>
  <c r="B654" i="6"/>
  <c r="B653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E27" i="1"/>
  <c r="D27" i="1"/>
  <c r="E26" i="1"/>
  <c r="D26" i="1"/>
  <c r="E25" i="1"/>
  <c r="D25" i="1"/>
  <c r="E24" i="1"/>
  <c r="D24" i="1"/>
  <c r="D23" i="1"/>
  <c r="D22" i="1"/>
  <c r="E21" i="1"/>
  <c r="D21" i="1"/>
  <c r="E20" i="1"/>
  <c r="D20" i="1"/>
  <c r="E19" i="1"/>
  <c r="D19" i="1"/>
  <c r="F24" i="1"/>
  <c r="E13" i="6"/>
  <c r="D13" i="6"/>
  <c r="E45" i="6"/>
  <c r="D45" i="6"/>
  <c r="E7" i="6"/>
  <c r="D7" i="6"/>
  <c r="E11" i="6"/>
  <c r="D11" i="6"/>
  <c r="E15" i="6"/>
  <c r="D15" i="6"/>
  <c r="E19" i="6"/>
  <c r="D19" i="6"/>
  <c r="E23" i="6"/>
  <c r="D23" i="6"/>
  <c r="E27" i="6"/>
  <c r="D27" i="6"/>
  <c r="E31" i="6"/>
  <c r="D31" i="6"/>
  <c r="E35" i="6"/>
  <c r="D35" i="6"/>
  <c r="E39" i="6"/>
  <c r="D39" i="6"/>
  <c r="E43" i="6"/>
  <c r="D43" i="6"/>
  <c r="E47" i="6"/>
  <c r="D47" i="6"/>
  <c r="E51" i="6"/>
  <c r="D51" i="6"/>
  <c r="E55" i="6"/>
  <c r="D55" i="6"/>
  <c r="E59" i="6"/>
  <c r="D59" i="6"/>
  <c r="E63" i="6"/>
  <c r="D63" i="6"/>
  <c r="E67" i="6"/>
  <c r="D67" i="6"/>
  <c r="E71" i="6"/>
  <c r="D71" i="6"/>
  <c r="E75" i="6"/>
  <c r="D75" i="6"/>
  <c r="E79" i="6"/>
  <c r="D79" i="6"/>
  <c r="E83" i="6"/>
  <c r="D83" i="6"/>
  <c r="E87" i="6"/>
  <c r="D87" i="6"/>
  <c r="E91" i="6"/>
  <c r="D91" i="6"/>
  <c r="E95" i="6"/>
  <c r="D95" i="6"/>
  <c r="E99" i="6"/>
  <c r="D99" i="6"/>
  <c r="E103" i="6"/>
  <c r="D103" i="6"/>
  <c r="E107" i="6"/>
  <c r="D107" i="6"/>
  <c r="E111" i="6"/>
  <c r="D111" i="6"/>
  <c r="E115" i="6"/>
  <c r="D115" i="6"/>
  <c r="E119" i="6"/>
  <c r="D119" i="6"/>
  <c r="E123" i="6"/>
  <c r="D123" i="6"/>
  <c r="E127" i="6"/>
  <c r="D127" i="6"/>
  <c r="E131" i="6"/>
  <c r="D131" i="6"/>
  <c r="E135" i="6"/>
  <c r="D135" i="6"/>
  <c r="E139" i="6"/>
  <c r="D139" i="6"/>
  <c r="E143" i="6"/>
  <c r="D143" i="6"/>
  <c r="E147" i="6"/>
  <c r="D147" i="6"/>
  <c r="E151" i="6"/>
  <c r="D151" i="6"/>
  <c r="E155" i="6"/>
  <c r="D155" i="6"/>
  <c r="E159" i="6"/>
  <c r="D159" i="6"/>
  <c r="E163" i="6"/>
  <c r="D163" i="6"/>
  <c r="E167" i="6"/>
  <c r="D167" i="6"/>
  <c r="E171" i="6"/>
  <c r="D171" i="6"/>
  <c r="E175" i="6"/>
  <c r="D175" i="6"/>
  <c r="E179" i="6"/>
  <c r="D179" i="6"/>
  <c r="E183" i="6"/>
  <c r="D183" i="6"/>
  <c r="E187" i="6"/>
  <c r="D187" i="6"/>
  <c r="E191" i="6"/>
  <c r="D191" i="6"/>
  <c r="E195" i="6"/>
  <c r="D195" i="6"/>
  <c r="E199" i="6"/>
  <c r="D199" i="6"/>
  <c r="E203" i="6"/>
  <c r="D203" i="6"/>
  <c r="E207" i="6"/>
  <c r="D207" i="6"/>
  <c r="E211" i="6"/>
  <c r="D211" i="6"/>
  <c r="E215" i="6"/>
  <c r="D215" i="6"/>
  <c r="E219" i="6"/>
  <c r="D219" i="6"/>
  <c r="E223" i="6"/>
  <c r="D223" i="6"/>
  <c r="E227" i="6"/>
  <c r="D227" i="6"/>
  <c r="E231" i="6"/>
  <c r="D231" i="6"/>
  <c r="E235" i="6"/>
  <c r="D235" i="6"/>
  <c r="D239" i="6"/>
  <c r="E239" i="6"/>
  <c r="E243" i="6"/>
  <c r="D243" i="6"/>
  <c r="D247" i="6"/>
  <c r="E247" i="6"/>
  <c r="E251" i="6"/>
  <c r="D251" i="6"/>
  <c r="D255" i="6"/>
  <c r="E255" i="6"/>
  <c r="E259" i="6"/>
  <c r="D259" i="6"/>
  <c r="D263" i="6"/>
  <c r="E263" i="6"/>
  <c r="E267" i="6"/>
  <c r="D267" i="6"/>
  <c r="D271" i="6"/>
  <c r="E271" i="6"/>
  <c r="E275" i="6"/>
  <c r="D275" i="6"/>
  <c r="D279" i="6"/>
  <c r="E279" i="6"/>
  <c r="E283" i="6"/>
  <c r="D283" i="6"/>
  <c r="D287" i="6"/>
  <c r="E287" i="6"/>
  <c r="E291" i="6"/>
  <c r="D291" i="6"/>
  <c r="D295" i="6"/>
  <c r="E295" i="6"/>
  <c r="E299" i="6"/>
  <c r="D299" i="6"/>
  <c r="D303" i="6"/>
  <c r="E303" i="6"/>
  <c r="E307" i="6"/>
  <c r="D307" i="6"/>
  <c r="D311" i="6"/>
  <c r="E311" i="6"/>
  <c r="E315" i="6"/>
  <c r="D315" i="6"/>
  <c r="D319" i="6"/>
  <c r="E319" i="6"/>
  <c r="E323" i="6"/>
  <c r="D323" i="6"/>
  <c r="D327" i="6"/>
  <c r="E327" i="6"/>
  <c r="E331" i="6"/>
  <c r="D331" i="6"/>
  <c r="E335" i="6"/>
  <c r="D335" i="6"/>
  <c r="E339" i="6"/>
  <c r="D339" i="6"/>
  <c r="E343" i="6"/>
  <c r="D343" i="6"/>
  <c r="E347" i="6"/>
  <c r="D347" i="6"/>
  <c r="E351" i="6"/>
  <c r="D351" i="6"/>
  <c r="E355" i="6"/>
  <c r="D355" i="6"/>
  <c r="E359" i="6"/>
  <c r="D359" i="6"/>
  <c r="E363" i="6"/>
  <c r="D363" i="6"/>
  <c r="E367" i="6"/>
  <c r="D367" i="6"/>
  <c r="E371" i="6"/>
  <c r="D371" i="6"/>
  <c r="E375" i="6"/>
  <c r="D375" i="6"/>
  <c r="E379" i="6"/>
  <c r="D379" i="6"/>
  <c r="E383" i="6"/>
  <c r="D383" i="6"/>
  <c r="E387" i="6"/>
  <c r="D387" i="6"/>
  <c r="E391" i="6"/>
  <c r="D391" i="6"/>
  <c r="E395" i="6"/>
  <c r="D395" i="6"/>
  <c r="E399" i="6"/>
  <c r="D399" i="6"/>
  <c r="E403" i="6"/>
  <c r="D403" i="6"/>
  <c r="E407" i="6"/>
  <c r="D407" i="6"/>
  <c r="E411" i="6"/>
  <c r="D411" i="6"/>
  <c r="E415" i="6"/>
  <c r="D415" i="6"/>
  <c r="E419" i="6"/>
  <c r="D419" i="6"/>
  <c r="E423" i="6"/>
  <c r="D423" i="6"/>
  <c r="D427" i="6"/>
  <c r="E427" i="6"/>
  <c r="E431" i="6"/>
  <c r="D431" i="6"/>
  <c r="D435" i="6"/>
  <c r="E435" i="6"/>
  <c r="E439" i="6"/>
  <c r="D439" i="6"/>
  <c r="D443" i="6"/>
  <c r="E443" i="6"/>
  <c r="E447" i="6"/>
  <c r="D447" i="6"/>
  <c r="D451" i="6"/>
  <c r="E451" i="6"/>
  <c r="E455" i="6"/>
  <c r="D455" i="6"/>
  <c r="D459" i="6"/>
  <c r="E459" i="6"/>
  <c r="E463" i="6"/>
  <c r="D463" i="6"/>
  <c r="D467" i="6"/>
  <c r="E467" i="6"/>
  <c r="E471" i="6"/>
  <c r="D471" i="6"/>
  <c r="D475" i="6"/>
  <c r="E475" i="6"/>
  <c r="E479" i="6"/>
  <c r="D479" i="6"/>
  <c r="D483" i="6"/>
  <c r="E483" i="6"/>
  <c r="E487" i="6"/>
  <c r="D487" i="6"/>
  <c r="D491" i="6"/>
  <c r="E491" i="6"/>
  <c r="E495" i="6"/>
  <c r="D495" i="6"/>
  <c r="D499" i="6"/>
  <c r="E499" i="6"/>
  <c r="E503" i="6"/>
  <c r="D503" i="6"/>
  <c r="D507" i="6"/>
  <c r="E507" i="6"/>
  <c r="E511" i="6"/>
  <c r="D511" i="6"/>
  <c r="D515" i="6"/>
  <c r="E515" i="6"/>
  <c r="E519" i="6"/>
  <c r="D519" i="6"/>
  <c r="D523" i="6"/>
  <c r="E523" i="6"/>
  <c r="E527" i="6"/>
  <c r="D527" i="6"/>
  <c r="E531" i="6"/>
  <c r="D531" i="6"/>
  <c r="E535" i="6"/>
  <c r="D535" i="6"/>
  <c r="E539" i="6"/>
  <c r="D539" i="6"/>
  <c r="E543" i="6"/>
  <c r="D543" i="6"/>
  <c r="E547" i="6"/>
  <c r="D547" i="6"/>
  <c r="E551" i="6"/>
  <c r="D551" i="6"/>
  <c r="E555" i="6"/>
  <c r="D555" i="6"/>
  <c r="E559" i="6"/>
  <c r="D559" i="6"/>
  <c r="E563" i="6"/>
  <c r="D563" i="6"/>
  <c r="E567" i="6"/>
  <c r="D567" i="6"/>
  <c r="E571" i="6"/>
  <c r="D571" i="6"/>
  <c r="E575" i="6"/>
  <c r="D575" i="6"/>
  <c r="E579" i="6"/>
  <c r="D579" i="6"/>
  <c r="E583" i="6"/>
  <c r="D583" i="6"/>
  <c r="E587" i="6"/>
  <c r="D587" i="6"/>
  <c r="E591" i="6"/>
  <c r="D591" i="6"/>
  <c r="E595" i="6"/>
  <c r="D595" i="6"/>
  <c r="E599" i="6"/>
  <c r="D599" i="6"/>
  <c r="E603" i="6"/>
  <c r="D603" i="6"/>
  <c r="E607" i="6"/>
  <c r="D607" i="6"/>
  <c r="E611" i="6"/>
  <c r="D611" i="6"/>
  <c r="E615" i="6"/>
  <c r="D615" i="6"/>
  <c r="E619" i="6"/>
  <c r="D619" i="6"/>
  <c r="E623" i="6"/>
  <c r="D623" i="6"/>
  <c r="E627" i="6"/>
  <c r="D627" i="6"/>
  <c r="E631" i="6"/>
  <c r="D631" i="6"/>
  <c r="E635" i="6"/>
  <c r="D635" i="6"/>
  <c r="E639" i="6"/>
  <c r="D639" i="6"/>
  <c r="E643" i="6"/>
  <c r="D643" i="6"/>
  <c r="E647" i="6"/>
  <c r="D647" i="6"/>
  <c r="E651" i="6"/>
  <c r="D651" i="6"/>
  <c r="E655" i="6"/>
  <c r="D655" i="6"/>
  <c r="E659" i="6"/>
  <c r="D659" i="6"/>
  <c r="E663" i="6"/>
  <c r="D663" i="6"/>
  <c r="E667" i="6"/>
  <c r="D667" i="6"/>
  <c r="E671" i="6"/>
  <c r="D671" i="6"/>
  <c r="E675" i="6"/>
  <c r="D675" i="6"/>
  <c r="E679" i="6"/>
  <c r="D679" i="6"/>
  <c r="E683" i="6"/>
  <c r="D683" i="6"/>
  <c r="E687" i="6"/>
  <c r="D687" i="6"/>
  <c r="D691" i="6"/>
  <c r="E691" i="6"/>
  <c r="D695" i="6"/>
  <c r="E695" i="6"/>
  <c r="D699" i="6"/>
  <c r="E699" i="6"/>
  <c r="D703" i="6"/>
  <c r="E703" i="6"/>
  <c r="D707" i="6"/>
  <c r="E707" i="6"/>
  <c r="D711" i="6"/>
  <c r="E711" i="6"/>
  <c r="D715" i="6"/>
  <c r="E715" i="6"/>
  <c r="D719" i="6"/>
  <c r="E719" i="6"/>
  <c r="D723" i="6"/>
  <c r="E723" i="6"/>
  <c r="D727" i="6"/>
  <c r="E727" i="6"/>
  <c r="D731" i="6"/>
  <c r="E731" i="6"/>
  <c r="D735" i="6"/>
  <c r="E735" i="6"/>
  <c r="D739" i="6"/>
  <c r="E739" i="6"/>
  <c r="D743" i="6"/>
  <c r="E743" i="6"/>
  <c r="D747" i="6"/>
  <c r="E747" i="6"/>
  <c r="D751" i="6"/>
  <c r="E751" i="6"/>
  <c r="D755" i="6"/>
  <c r="E755" i="6"/>
  <c r="D759" i="6"/>
  <c r="E759" i="6"/>
  <c r="D763" i="6"/>
  <c r="E763" i="6"/>
  <c r="D767" i="6"/>
  <c r="E767" i="6"/>
  <c r="D771" i="6"/>
  <c r="E771" i="6"/>
  <c r="D775" i="6"/>
  <c r="E775" i="6"/>
  <c r="D779" i="6"/>
  <c r="E779" i="6"/>
  <c r="D783" i="6"/>
  <c r="E783" i="6"/>
  <c r="D787" i="6"/>
  <c r="E787" i="6"/>
  <c r="D791" i="6"/>
  <c r="E791" i="6"/>
  <c r="D795" i="6"/>
  <c r="E795" i="6"/>
  <c r="D799" i="6"/>
  <c r="E799" i="6"/>
  <c r="D803" i="6"/>
  <c r="E803" i="6"/>
  <c r="D807" i="6"/>
  <c r="E807" i="6"/>
  <c r="D811" i="6"/>
  <c r="E811" i="6"/>
  <c r="D815" i="6"/>
  <c r="E815" i="6"/>
  <c r="D819" i="6"/>
  <c r="E819" i="6"/>
  <c r="D823" i="6"/>
  <c r="E823" i="6"/>
  <c r="D827" i="6"/>
  <c r="E827" i="6"/>
  <c r="D831" i="6"/>
  <c r="E831" i="6"/>
  <c r="D835" i="6"/>
  <c r="E835" i="6"/>
  <c r="D839" i="6"/>
  <c r="E839" i="6"/>
  <c r="D843" i="6"/>
  <c r="E843" i="6"/>
  <c r="D847" i="6"/>
  <c r="E847" i="6"/>
  <c r="D851" i="6"/>
  <c r="E851" i="6"/>
  <c r="D855" i="6"/>
  <c r="E855" i="6"/>
  <c r="D859" i="6"/>
  <c r="E859" i="6"/>
  <c r="D863" i="6"/>
  <c r="E863" i="6"/>
  <c r="D867" i="6"/>
  <c r="E867" i="6"/>
  <c r="D871" i="6"/>
  <c r="E871" i="6"/>
  <c r="D875" i="6"/>
  <c r="E875" i="6"/>
  <c r="D879" i="6"/>
  <c r="E879" i="6"/>
  <c r="E883" i="6"/>
  <c r="D883" i="6"/>
  <c r="E887" i="6"/>
  <c r="D887" i="6"/>
  <c r="E891" i="6"/>
  <c r="D891" i="6"/>
  <c r="E895" i="6"/>
  <c r="D895" i="6"/>
  <c r="E899" i="6"/>
  <c r="D899" i="6"/>
  <c r="E903" i="6"/>
  <c r="D903" i="6"/>
  <c r="E907" i="6"/>
  <c r="D907" i="6"/>
  <c r="E911" i="6"/>
  <c r="D911" i="6"/>
  <c r="E915" i="6"/>
  <c r="D915" i="6"/>
  <c r="E919" i="6"/>
  <c r="D919" i="6"/>
  <c r="E923" i="6"/>
  <c r="D923" i="6"/>
  <c r="E927" i="6"/>
  <c r="D927" i="6"/>
  <c r="E931" i="6"/>
  <c r="D931" i="6"/>
  <c r="E935" i="6"/>
  <c r="D935" i="6"/>
  <c r="E939" i="6"/>
  <c r="D939" i="6"/>
  <c r="E943" i="6"/>
  <c r="D943" i="6"/>
  <c r="E947" i="6"/>
  <c r="D947" i="6"/>
  <c r="E951" i="6"/>
  <c r="D951" i="6"/>
  <c r="E955" i="6"/>
  <c r="D955" i="6"/>
  <c r="E959" i="6"/>
  <c r="D959" i="6"/>
  <c r="E963" i="6"/>
  <c r="D963" i="6"/>
  <c r="E967" i="6"/>
  <c r="D967" i="6"/>
  <c r="E971" i="6"/>
  <c r="D971" i="6"/>
  <c r="E975" i="6"/>
  <c r="D975" i="6"/>
  <c r="E979" i="6"/>
  <c r="D979" i="6"/>
  <c r="E983" i="6"/>
  <c r="D983" i="6"/>
  <c r="E987" i="6"/>
  <c r="D987" i="6"/>
  <c r="E991" i="6"/>
  <c r="D991" i="6"/>
  <c r="E995" i="6"/>
  <c r="D995" i="6"/>
  <c r="E999" i="6"/>
  <c r="D999" i="6"/>
  <c r="D8" i="6"/>
  <c r="E8" i="6"/>
  <c r="D12" i="6"/>
  <c r="E12" i="6"/>
  <c r="D16" i="6"/>
  <c r="E16" i="6"/>
  <c r="D20" i="6"/>
  <c r="E20" i="6"/>
  <c r="D24" i="6"/>
  <c r="E24" i="6"/>
  <c r="D28" i="6"/>
  <c r="E28" i="6"/>
  <c r="D32" i="6"/>
  <c r="E32" i="6"/>
  <c r="D36" i="6"/>
  <c r="E36" i="6"/>
  <c r="D40" i="6"/>
  <c r="E40" i="6"/>
  <c r="D44" i="6"/>
  <c r="E44" i="6"/>
  <c r="D48" i="6"/>
  <c r="E48" i="6"/>
  <c r="D52" i="6"/>
  <c r="E52" i="6"/>
  <c r="D56" i="6"/>
  <c r="E56" i="6"/>
  <c r="D60" i="6"/>
  <c r="E60" i="6"/>
  <c r="D64" i="6"/>
  <c r="E64" i="6"/>
  <c r="D68" i="6"/>
  <c r="E68" i="6"/>
  <c r="D72" i="6"/>
  <c r="E72" i="6"/>
  <c r="D76" i="6"/>
  <c r="E76" i="6"/>
  <c r="D80" i="6"/>
  <c r="E80" i="6"/>
  <c r="D84" i="6"/>
  <c r="E84" i="6"/>
  <c r="D88" i="6"/>
  <c r="E88" i="6"/>
  <c r="D92" i="6"/>
  <c r="E92" i="6"/>
  <c r="D96" i="6"/>
  <c r="E96" i="6"/>
  <c r="D100" i="6"/>
  <c r="E100" i="6"/>
  <c r="D104" i="6"/>
  <c r="E104" i="6"/>
  <c r="D108" i="6"/>
  <c r="E108" i="6"/>
  <c r="D112" i="6"/>
  <c r="E112" i="6"/>
  <c r="D116" i="6"/>
  <c r="E116" i="6"/>
  <c r="D120" i="6"/>
  <c r="E120" i="6"/>
  <c r="D124" i="6"/>
  <c r="E124" i="6"/>
  <c r="D128" i="6"/>
  <c r="E128" i="6"/>
  <c r="D132" i="6"/>
  <c r="E132" i="6"/>
  <c r="D136" i="6"/>
  <c r="E136" i="6"/>
  <c r="D140" i="6"/>
  <c r="E140" i="6"/>
  <c r="D144" i="6"/>
  <c r="E144" i="6"/>
  <c r="D148" i="6"/>
  <c r="E148" i="6"/>
  <c r="D152" i="6"/>
  <c r="E152" i="6"/>
  <c r="D156" i="6"/>
  <c r="E156" i="6"/>
  <c r="D160" i="6"/>
  <c r="E160" i="6"/>
  <c r="D164" i="6"/>
  <c r="E164" i="6"/>
  <c r="D168" i="6"/>
  <c r="E168" i="6"/>
  <c r="D172" i="6"/>
  <c r="E172" i="6"/>
  <c r="D176" i="6"/>
  <c r="E176" i="6"/>
  <c r="D180" i="6"/>
  <c r="E180" i="6"/>
  <c r="D184" i="6"/>
  <c r="E184" i="6"/>
  <c r="D188" i="6"/>
  <c r="E188" i="6"/>
  <c r="D192" i="6"/>
  <c r="E192" i="6"/>
  <c r="D196" i="6"/>
  <c r="E196" i="6"/>
  <c r="D200" i="6"/>
  <c r="E200" i="6"/>
  <c r="D204" i="6"/>
  <c r="E204" i="6"/>
  <c r="D208" i="6"/>
  <c r="E208" i="6"/>
  <c r="D212" i="6"/>
  <c r="E212" i="6"/>
  <c r="D216" i="6"/>
  <c r="E216" i="6"/>
  <c r="D220" i="6"/>
  <c r="E220" i="6"/>
  <c r="D224" i="6"/>
  <c r="E224" i="6"/>
  <c r="D228" i="6"/>
  <c r="E228" i="6"/>
  <c r="D232" i="6"/>
  <c r="E232" i="6"/>
  <c r="E236" i="6"/>
  <c r="D236" i="6"/>
  <c r="E240" i="6"/>
  <c r="D240" i="6"/>
  <c r="E244" i="6"/>
  <c r="D244" i="6"/>
  <c r="E248" i="6"/>
  <c r="D248" i="6"/>
  <c r="E252" i="6"/>
  <c r="D252" i="6"/>
  <c r="E256" i="6"/>
  <c r="D256" i="6"/>
  <c r="E260" i="6"/>
  <c r="D260" i="6"/>
  <c r="E264" i="6"/>
  <c r="D264" i="6"/>
  <c r="E268" i="6"/>
  <c r="D268" i="6"/>
  <c r="E272" i="6"/>
  <c r="D272" i="6"/>
  <c r="E276" i="6"/>
  <c r="D276" i="6"/>
  <c r="E280" i="6"/>
  <c r="D280" i="6"/>
  <c r="E284" i="6"/>
  <c r="D284" i="6"/>
  <c r="E288" i="6"/>
  <c r="D288" i="6"/>
  <c r="E292" i="6"/>
  <c r="D292" i="6"/>
  <c r="E296" i="6"/>
  <c r="D296" i="6"/>
  <c r="E300" i="6"/>
  <c r="D300" i="6"/>
  <c r="E304" i="6"/>
  <c r="D304" i="6"/>
  <c r="E308" i="6"/>
  <c r="D308" i="6"/>
  <c r="E312" i="6"/>
  <c r="D312" i="6"/>
  <c r="E316" i="6"/>
  <c r="D316" i="6"/>
  <c r="E320" i="6"/>
  <c r="D320" i="6"/>
  <c r="E324" i="6"/>
  <c r="D324" i="6"/>
  <c r="E328" i="6"/>
  <c r="D328" i="6"/>
  <c r="E332" i="6"/>
  <c r="D332" i="6"/>
  <c r="D336" i="6"/>
  <c r="E336" i="6"/>
  <c r="D340" i="6"/>
  <c r="E340" i="6"/>
  <c r="D344" i="6"/>
  <c r="E344" i="6"/>
  <c r="D348" i="6"/>
  <c r="E348" i="6"/>
  <c r="D352" i="6"/>
  <c r="E352" i="6"/>
  <c r="D356" i="6"/>
  <c r="E356" i="6"/>
  <c r="D360" i="6"/>
  <c r="E360" i="6"/>
  <c r="D364" i="6"/>
  <c r="E364" i="6"/>
  <c r="D368" i="6"/>
  <c r="E368" i="6"/>
  <c r="D372" i="6"/>
  <c r="E372" i="6"/>
  <c r="D376" i="6"/>
  <c r="E376" i="6"/>
  <c r="D380" i="6"/>
  <c r="E380" i="6"/>
  <c r="D384" i="6"/>
  <c r="E384" i="6"/>
  <c r="D388" i="6"/>
  <c r="E388" i="6"/>
  <c r="D392" i="6"/>
  <c r="E392" i="6"/>
  <c r="D396" i="6"/>
  <c r="E396" i="6"/>
  <c r="D400" i="6"/>
  <c r="E400" i="6"/>
  <c r="D404" i="6"/>
  <c r="E404" i="6"/>
  <c r="D408" i="6"/>
  <c r="E408" i="6"/>
  <c r="D412" i="6"/>
  <c r="E412" i="6"/>
  <c r="D416" i="6"/>
  <c r="E416" i="6"/>
  <c r="D420" i="6"/>
  <c r="E420" i="6"/>
  <c r="D424" i="6"/>
  <c r="E424" i="6"/>
  <c r="D428" i="6"/>
  <c r="E428" i="6"/>
  <c r="D432" i="6"/>
  <c r="E432" i="6"/>
  <c r="D436" i="6"/>
  <c r="E436" i="6"/>
  <c r="D440" i="6"/>
  <c r="E440" i="6"/>
  <c r="D444" i="6"/>
  <c r="E444" i="6"/>
  <c r="D448" i="6"/>
  <c r="E448" i="6"/>
  <c r="D452" i="6"/>
  <c r="E452" i="6"/>
  <c r="D456" i="6"/>
  <c r="E456" i="6"/>
  <c r="D460" i="6"/>
  <c r="E460" i="6"/>
  <c r="D464" i="6"/>
  <c r="E464" i="6"/>
  <c r="D468" i="6"/>
  <c r="E468" i="6"/>
  <c r="D472" i="6"/>
  <c r="E472" i="6"/>
  <c r="D476" i="6"/>
  <c r="E476" i="6"/>
  <c r="D480" i="6"/>
  <c r="E480" i="6"/>
  <c r="D484" i="6"/>
  <c r="E484" i="6"/>
  <c r="D488" i="6"/>
  <c r="E488" i="6"/>
  <c r="D492" i="6"/>
  <c r="E492" i="6"/>
  <c r="D496" i="6"/>
  <c r="E496" i="6"/>
  <c r="D500" i="6"/>
  <c r="E500" i="6"/>
  <c r="D504" i="6"/>
  <c r="E504" i="6"/>
  <c r="D508" i="6"/>
  <c r="E508" i="6"/>
  <c r="D512" i="6"/>
  <c r="E512" i="6"/>
  <c r="D516" i="6"/>
  <c r="E516" i="6"/>
  <c r="D520" i="6"/>
  <c r="E520" i="6"/>
  <c r="D524" i="6"/>
  <c r="E524" i="6"/>
  <c r="D528" i="6"/>
  <c r="E528" i="6"/>
  <c r="D532" i="6"/>
  <c r="E532" i="6"/>
  <c r="D536" i="6"/>
  <c r="E536" i="6"/>
  <c r="E540" i="6"/>
  <c r="D540" i="6"/>
  <c r="E544" i="6"/>
  <c r="D544" i="6"/>
  <c r="E548" i="6"/>
  <c r="D548" i="6"/>
  <c r="E552" i="6"/>
  <c r="D552" i="6"/>
  <c r="E556" i="6"/>
  <c r="D556" i="6"/>
  <c r="E560" i="6"/>
  <c r="D560" i="6"/>
  <c r="E564" i="6"/>
  <c r="D564" i="6"/>
  <c r="E568" i="6"/>
  <c r="D568" i="6"/>
  <c r="E572" i="6"/>
  <c r="D572" i="6"/>
  <c r="E576" i="6"/>
  <c r="D576" i="6"/>
  <c r="E580" i="6"/>
  <c r="D580" i="6"/>
  <c r="E584" i="6"/>
  <c r="D584" i="6"/>
  <c r="E588" i="6"/>
  <c r="D588" i="6"/>
  <c r="E592" i="6"/>
  <c r="D592" i="6"/>
  <c r="E596" i="6"/>
  <c r="D596" i="6"/>
  <c r="E600" i="6"/>
  <c r="D600" i="6"/>
  <c r="E604" i="6"/>
  <c r="D604" i="6"/>
  <c r="E608" i="6"/>
  <c r="D608" i="6"/>
  <c r="E612" i="6"/>
  <c r="D612" i="6"/>
  <c r="E616" i="6"/>
  <c r="D616" i="6"/>
  <c r="E620" i="6"/>
  <c r="D620" i="6"/>
  <c r="E624" i="6"/>
  <c r="D624" i="6"/>
  <c r="E628" i="6"/>
  <c r="D628" i="6"/>
  <c r="E632" i="6"/>
  <c r="D632" i="6"/>
  <c r="E636" i="6"/>
  <c r="D636" i="6"/>
  <c r="E640" i="6"/>
  <c r="D640" i="6"/>
  <c r="E644" i="6"/>
  <c r="D644" i="6"/>
  <c r="E648" i="6"/>
  <c r="D648" i="6"/>
  <c r="E652" i="6"/>
  <c r="D652" i="6"/>
  <c r="E656" i="6"/>
  <c r="D656" i="6"/>
  <c r="D660" i="6"/>
  <c r="E660" i="6"/>
  <c r="E664" i="6"/>
  <c r="D664" i="6"/>
  <c r="D668" i="6"/>
  <c r="E668" i="6"/>
  <c r="E672" i="6"/>
  <c r="D672" i="6"/>
  <c r="D676" i="6"/>
  <c r="E676" i="6"/>
  <c r="E680" i="6"/>
  <c r="D680" i="6"/>
  <c r="D684" i="6"/>
  <c r="E684" i="6"/>
  <c r="E688" i="6"/>
  <c r="D688" i="6"/>
  <c r="E692" i="6"/>
  <c r="D692" i="6"/>
  <c r="E696" i="6"/>
  <c r="D696" i="6"/>
  <c r="E700" i="6"/>
  <c r="D700" i="6"/>
  <c r="E704" i="6"/>
  <c r="D704" i="6"/>
  <c r="E708" i="6"/>
  <c r="D708" i="6"/>
  <c r="E712" i="6"/>
  <c r="D712" i="6"/>
  <c r="E716" i="6"/>
  <c r="D716" i="6"/>
  <c r="E720" i="6"/>
  <c r="D720" i="6"/>
  <c r="E724" i="6"/>
  <c r="D724" i="6"/>
  <c r="E728" i="6"/>
  <c r="D728" i="6"/>
  <c r="E732" i="6"/>
  <c r="D732" i="6"/>
  <c r="E736" i="6"/>
  <c r="D736" i="6"/>
  <c r="E740" i="6"/>
  <c r="D740" i="6"/>
  <c r="E744" i="6"/>
  <c r="D744" i="6"/>
  <c r="E748" i="6"/>
  <c r="D748" i="6"/>
  <c r="E752" i="6"/>
  <c r="D752" i="6"/>
  <c r="E756" i="6"/>
  <c r="D756" i="6"/>
  <c r="E760" i="6"/>
  <c r="D760" i="6"/>
  <c r="E764" i="6"/>
  <c r="D764" i="6"/>
  <c r="E768" i="6"/>
  <c r="D768" i="6"/>
  <c r="E772" i="6"/>
  <c r="D772" i="6"/>
  <c r="E776" i="6"/>
  <c r="D776" i="6"/>
  <c r="E780" i="6"/>
  <c r="D780" i="6"/>
  <c r="E784" i="6"/>
  <c r="D784" i="6"/>
  <c r="E788" i="6"/>
  <c r="D788" i="6"/>
  <c r="E792" i="6"/>
  <c r="D792" i="6"/>
  <c r="E796" i="6"/>
  <c r="D796" i="6"/>
  <c r="E800" i="6"/>
  <c r="D800" i="6"/>
  <c r="E804" i="6"/>
  <c r="D804" i="6"/>
  <c r="E808" i="6"/>
  <c r="D808" i="6"/>
  <c r="E812" i="6"/>
  <c r="D812" i="6"/>
  <c r="E816" i="6"/>
  <c r="D816" i="6"/>
  <c r="E820" i="6"/>
  <c r="D820" i="6"/>
  <c r="E824" i="6"/>
  <c r="D824" i="6"/>
  <c r="E828" i="6"/>
  <c r="D828" i="6"/>
  <c r="E832" i="6"/>
  <c r="D832" i="6"/>
  <c r="E836" i="6"/>
  <c r="D836" i="6"/>
  <c r="D840" i="6"/>
  <c r="E840" i="6"/>
  <c r="E844" i="6"/>
  <c r="D844" i="6"/>
  <c r="E848" i="6"/>
  <c r="D848" i="6"/>
  <c r="E852" i="6"/>
  <c r="D852" i="6"/>
  <c r="E856" i="6"/>
  <c r="D856" i="6"/>
  <c r="E860" i="6"/>
  <c r="D860" i="6"/>
  <c r="E864" i="6"/>
  <c r="D864" i="6"/>
  <c r="E868" i="6"/>
  <c r="D868" i="6"/>
  <c r="E872" i="6"/>
  <c r="D872" i="6"/>
  <c r="E876" i="6"/>
  <c r="D876" i="6"/>
  <c r="E880" i="6"/>
  <c r="D880" i="6"/>
  <c r="E884" i="6"/>
  <c r="D884" i="6"/>
  <c r="E888" i="6"/>
  <c r="D888" i="6"/>
  <c r="E892" i="6"/>
  <c r="D892" i="6"/>
  <c r="E896" i="6"/>
  <c r="D896" i="6"/>
  <c r="E900" i="6"/>
  <c r="D900" i="6"/>
  <c r="E904" i="6"/>
  <c r="D904" i="6"/>
  <c r="E908" i="6"/>
  <c r="D908" i="6"/>
  <c r="E912" i="6"/>
  <c r="D912" i="6"/>
  <c r="E916" i="6"/>
  <c r="D916" i="6"/>
  <c r="E920" i="6"/>
  <c r="D920" i="6"/>
  <c r="E924" i="6"/>
  <c r="D924" i="6"/>
  <c r="E928" i="6"/>
  <c r="D928" i="6"/>
  <c r="E932" i="6"/>
  <c r="D932" i="6"/>
  <c r="E936" i="6"/>
  <c r="D936" i="6"/>
  <c r="E940" i="6"/>
  <c r="D940" i="6"/>
  <c r="E944" i="6"/>
  <c r="D944" i="6"/>
  <c r="E948" i="6"/>
  <c r="D948" i="6"/>
  <c r="E952" i="6"/>
  <c r="D952" i="6"/>
  <c r="E956" i="6"/>
  <c r="D956" i="6"/>
  <c r="E960" i="6"/>
  <c r="D960" i="6"/>
  <c r="E964" i="6"/>
  <c r="D964" i="6"/>
  <c r="E968" i="6"/>
  <c r="D968" i="6"/>
  <c r="E972" i="6"/>
  <c r="D972" i="6"/>
  <c r="E976" i="6"/>
  <c r="D976" i="6"/>
  <c r="E980" i="6"/>
  <c r="D980" i="6"/>
  <c r="E984" i="6"/>
  <c r="D984" i="6"/>
  <c r="E988" i="6"/>
  <c r="D988" i="6"/>
  <c r="E992" i="6"/>
  <c r="D992" i="6"/>
  <c r="E996" i="6"/>
  <c r="D996" i="6"/>
  <c r="E1000" i="6"/>
  <c r="D1000" i="6"/>
  <c r="E9" i="6"/>
  <c r="D9" i="6"/>
  <c r="E21" i="6"/>
  <c r="D21" i="6"/>
  <c r="E25" i="6"/>
  <c r="D25" i="6"/>
  <c r="E29" i="6"/>
  <c r="D29" i="6"/>
  <c r="E33" i="6"/>
  <c r="D33" i="6"/>
  <c r="E37" i="6"/>
  <c r="D37" i="6"/>
  <c r="E41" i="6"/>
  <c r="D41" i="6"/>
  <c r="E53" i="6"/>
  <c r="D53" i="6"/>
  <c r="E57" i="6"/>
  <c r="D57" i="6"/>
  <c r="E61" i="6"/>
  <c r="D61" i="6"/>
  <c r="E65" i="6"/>
  <c r="D65" i="6"/>
  <c r="E69" i="6"/>
  <c r="D69" i="6"/>
  <c r="E73" i="6"/>
  <c r="D73" i="6"/>
  <c r="E77" i="6"/>
  <c r="D77" i="6"/>
  <c r="E81" i="6"/>
  <c r="D81" i="6"/>
  <c r="E85" i="6"/>
  <c r="D85" i="6"/>
  <c r="E89" i="6"/>
  <c r="D89" i="6"/>
  <c r="E93" i="6"/>
  <c r="D93" i="6"/>
  <c r="E97" i="6"/>
  <c r="D97" i="6"/>
  <c r="E101" i="6"/>
  <c r="D101" i="6"/>
  <c r="E105" i="6"/>
  <c r="D105" i="6"/>
  <c r="E109" i="6"/>
  <c r="D109" i="6"/>
  <c r="E113" i="6"/>
  <c r="D113" i="6"/>
  <c r="E117" i="6"/>
  <c r="D117" i="6"/>
  <c r="E121" i="6"/>
  <c r="D121" i="6"/>
  <c r="E125" i="6"/>
  <c r="D125" i="6"/>
  <c r="E129" i="6"/>
  <c r="D129" i="6"/>
  <c r="E133" i="6"/>
  <c r="D133" i="6"/>
  <c r="E137" i="6"/>
  <c r="D137" i="6"/>
  <c r="E141" i="6"/>
  <c r="D141" i="6"/>
  <c r="E145" i="6"/>
  <c r="D145" i="6"/>
  <c r="E149" i="6"/>
  <c r="D149" i="6"/>
  <c r="E153" i="6"/>
  <c r="D153" i="6"/>
  <c r="E157" i="6"/>
  <c r="D157" i="6"/>
  <c r="E161" i="6"/>
  <c r="D161" i="6"/>
  <c r="E165" i="6"/>
  <c r="D165" i="6"/>
  <c r="E169" i="6"/>
  <c r="D169" i="6"/>
  <c r="E173" i="6"/>
  <c r="D173" i="6"/>
  <c r="E177" i="6"/>
  <c r="D177" i="6"/>
  <c r="E181" i="6"/>
  <c r="D181" i="6"/>
  <c r="E185" i="6"/>
  <c r="D185" i="6"/>
  <c r="E189" i="6"/>
  <c r="D189" i="6"/>
  <c r="E193" i="6"/>
  <c r="D193" i="6"/>
  <c r="E197" i="6"/>
  <c r="D197" i="6"/>
  <c r="E201" i="6"/>
  <c r="D201" i="6"/>
  <c r="E205" i="6"/>
  <c r="D205" i="6"/>
  <c r="E209" i="6"/>
  <c r="D209" i="6"/>
  <c r="E213" i="6"/>
  <c r="D213" i="6"/>
  <c r="E217" i="6"/>
  <c r="D217" i="6"/>
  <c r="E221" i="6"/>
  <c r="D221" i="6"/>
  <c r="E225" i="6"/>
  <c r="D225" i="6"/>
  <c r="E229" i="6"/>
  <c r="D229" i="6"/>
  <c r="E233" i="6"/>
  <c r="D233" i="6"/>
  <c r="E237" i="6"/>
  <c r="D237" i="6"/>
  <c r="E241" i="6"/>
  <c r="D241" i="6"/>
  <c r="E245" i="6"/>
  <c r="D245" i="6"/>
  <c r="E249" i="6"/>
  <c r="D249" i="6"/>
  <c r="E253" i="6"/>
  <c r="D253" i="6"/>
  <c r="E257" i="6"/>
  <c r="D257" i="6"/>
  <c r="E261" i="6"/>
  <c r="D261" i="6"/>
  <c r="E265" i="6"/>
  <c r="D265" i="6"/>
  <c r="E269" i="6"/>
  <c r="D269" i="6"/>
  <c r="E273" i="6"/>
  <c r="D273" i="6"/>
  <c r="E277" i="6"/>
  <c r="D277" i="6"/>
  <c r="E281" i="6"/>
  <c r="D281" i="6"/>
  <c r="E285" i="6"/>
  <c r="D285" i="6"/>
  <c r="E289" i="6"/>
  <c r="D289" i="6"/>
  <c r="E293" i="6"/>
  <c r="D293" i="6"/>
  <c r="E297" i="6"/>
  <c r="D297" i="6"/>
  <c r="E301" i="6"/>
  <c r="D301" i="6"/>
  <c r="E305" i="6"/>
  <c r="D305" i="6"/>
  <c r="E309" i="6"/>
  <c r="D309" i="6"/>
  <c r="E313" i="6"/>
  <c r="D313" i="6"/>
  <c r="E317" i="6"/>
  <c r="D317" i="6"/>
  <c r="E321" i="6"/>
  <c r="D321" i="6"/>
  <c r="E325" i="6"/>
  <c r="D325" i="6"/>
  <c r="E329" i="6"/>
  <c r="D329" i="6"/>
  <c r="E333" i="6"/>
  <c r="D333" i="6"/>
  <c r="E337" i="6"/>
  <c r="D337" i="6"/>
  <c r="E341" i="6"/>
  <c r="D341" i="6"/>
  <c r="E345" i="6"/>
  <c r="D345" i="6"/>
  <c r="E349" i="6"/>
  <c r="D349" i="6"/>
  <c r="E353" i="6"/>
  <c r="D353" i="6"/>
  <c r="E357" i="6"/>
  <c r="D357" i="6"/>
  <c r="E361" i="6"/>
  <c r="D361" i="6"/>
  <c r="E365" i="6"/>
  <c r="D365" i="6"/>
  <c r="E369" i="6"/>
  <c r="D369" i="6"/>
  <c r="E373" i="6"/>
  <c r="D373" i="6"/>
  <c r="E377" i="6"/>
  <c r="D377" i="6"/>
  <c r="E381" i="6"/>
  <c r="D381" i="6"/>
  <c r="E385" i="6"/>
  <c r="D385" i="6"/>
  <c r="E389" i="6"/>
  <c r="D389" i="6"/>
  <c r="E393" i="6"/>
  <c r="D393" i="6"/>
  <c r="E397" i="6"/>
  <c r="D397" i="6"/>
  <c r="E401" i="6"/>
  <c r="D401" i="6"/>
  <c r="E405" i="6"/>
  <c r="D405" i="6"/>
  <c r="E409" i="6"/>
  <c r="D409" i="6"/>
  <c r="E413" i="6"/>
  <c r="D413" i="6"/>
  <c r="E417" i="6"/>
  <c r="D417" i="6"/>
  <c r="E421" i="6"/>
  <c r="D421" i="6"/>
  <c r="E425" i="6"/>
  <c r="D425" i="6"/>
  <c r="E429" i="6"/>
  <c r="D429" i="6"/>
  <c r="E433" i="6"/>
  <c r="D433" i="6"/>
  <c r="E437" i="6"/>
  <c r="D437" i="6"/>
  <c r="E441" i="6"/>
  <c r="D441" i="6"/>
  <c r="E445" i="6"/>
  <c r="D445" i="6"/>
  <c r="E449" i="6"/>
  <c r="D449" i="6"/>
  <c r="E453" i="6"/>
  <c r="D453" i="6"/>
  <c r="E457" i="6"/>
  <c r="D457" i="6"/>
  <c r="E461" i="6"/>
  <c r="D461" i="6"/>
  <c r="E465" i="6"/>
  <c r="D465" i="6"/>
  <c r="E469" i="6"/>
  <c r="D469" i="6"/>
  <c r="E473" i="6"/>
  <c r="D473" i="6"/>
  <c r="E477" i="6"/>
  <c r="D477" i="6"/>
  <c r="E481" i="6"/>
  <c r="D481" i="6"/>
  <c r="E485" i="6"/>
  <c r="D485" i="6"/>
  <c r="E489" i="6"/>
  <c r="D489" i="6"/>
  <c r="E493" i="6"/>
  <c r="D493" i="6"/>
  <c r="E497" i="6"/>
  <c r="D497" i="6"/>
  <c r="E501" i="6"/>
  <c r="D501" i="6"/>
  <c r="E505" i="6"/>
  <c r="D505" i="6"/>
  <c r="E509" i="6"/>
  <c r="D509" i="6"/>
  <c r="E513" i="6"/>
  <c r="D513" i="6"/>
  <c r="E517" i="6"/>
  <c r="D517" i="6"/>
  <c r="E521" i="6"/>
  <c r="D521" i="6"/>
  <c r="E525" i="6"/>
  <c r="D525" i="6"/>
  <c r="E529" i="6"/>
  <c r="D529" i="6"/>
  <c r="E533" i="6"/>
  <c r="D533" i="6"/>
  <c r="E537" i="6"/>
  <c r="D537" i="6"/>
  <c r="E541" i="6"/>
  <c r="D541" i="6"/>
  <c r="E545" i="6"/>
  <c r="D545" i="6"/>
  <c r="E549" i="6"/>
  <c r="D549" i="6"/>
  <c r="E553" i="6"/>
  <c r="D553" i="6"/>
  <c r="E557" i="6"/>
  <c r="D557" i="6"/>
  <c r="E561" i="6"/>
  <c r="D561" i="6"/>
  <c r="E565" i="6"/>
  <c r="D565" i="6"/>
  <c r="E569" i="6"/>
  <c r="D569" i="6"/>
  <c r="E573" i="6"/>
  <c r="D573" i="6"/>
  <c r="E577" i="6"/>
  <c r="D577" i="6"/>
  <c r="E581" i="6"/>
  <c r="D581" i="6"/>
  <c r="E585" i="6"/>
  <c r="D585" i="6"/>
  <c r="E589" i="6"/>
  <c r="D589" i="6"/>
  <c r="E593" i="6"/>
  <c r="D593" i="6"/>
  <c r="E597" i="6"/>
  <c r="D597" i="6"/>
  <c r="E601" i="6"/>
  <c r="D601" i="6"/>
  <c r="E605" i="6"/>
  <c r="D605" i="6"/>
  <c r="E609" i="6"/>
  <c r="D609" i="6"/>
  <c r="E613" i="6"/>
  <c r="D613" i="6"/>
  <c r="E617" i="6"/>
  <c r="D617" i="6"/>
  <c r="E621" i="6"/>
  <c r="D621" i="6"/>
  <c r="E625" i="6"/>
  <c r="D625" i="6"/>
  <c r="E629" i="6"/>
  <c r="D629" i="6"/>
  <c r="E633" i="6"/>
  <c r="D633" i="6"/>
  <c r="E637" i="6"/>
  <c r="D637" i="6"/>
  <c r="E641" i="6"/>
  <c r="D641" i="6"/>
  <c r="E645" i="6"/>
  <c r="D645" i="6"/>
  <c r="E649" i="6"/>
  <c r="D649" i="6"/>
  <c r="E653" i="6"/>
  <c r="D653" i="6"/>
  <c r="E657" i="6"/>
  <c r="D657" i="6"/>
  <c r="E661" i="6"/>
  <c r="D661" i="6"/>
  <c r="E665" i="6"/>
  <c r="D665" i="6"/>
  <c r="E669" i="6"/>
  <c r="D669" i="6"/>
  <c r="E673" i="6"/>
  <c r="D673" i="6"/>
  <c r="E677" i="6"/>
  <c r="D677" i="6"/>
  <c r="E681" i="6"/>
  <c r="D681" i="6"/>
  <c r="E685" i="6"/>
  <c r="D685" i="6"/>
  <c r="D689" i="6"/>
  <c r="E689" i="6"/>
  <c r="D693" i="6"/>
  <c r="E693" i="6"/>
  <c r="D697" i="6"/>
  <c r="E697" i="6"/>
  <c r="D701" i="6"/>
  <c r="E701" i="6"/>
  <c r="D705" i="6"/>
  <c r="E705" i="6"/>
  <c r="D709" i="6"/>
  <c r="E709" i="6"/>
  <c r="D713" i="6"/>
  <c r="E713" i="6"/>
  <c r="D717" i="6"/>
  <c r="E717" i="6"/>
  <c r="D721" i="6"/>
  <c r="E721" i="6"/>
  <c r="D725" i="6"/>
  <c r="E725" i="6"/>
  <c r="D729" i="6"/>
  <c r="E729" i="6"/>
  <c r="D733" i="6"/>
  <c r="E733" i="6"/>
  <c r="D737" i="6"/>
  <c r="E737" i="6"/>
  <c r="D741" i="6"/>
  <c r="E741" i="6"/>
  <c r="D745" i="6"/>
  <c r="E745" i="6"/>
  <c r="D749" i="6"/>
  <c r="E749" i="6"/>
  <c r="D753" i="6"/>
  <c r="E753" i="6"/>
  <c r="D757" i="6"/>
  <c r="E757" i="6"/>
  <c r="D761" i="6"/>
  <c r="E761" i="6"/>
  <c r="D765" i="6"/>
  <c r="E765" i="6"/>
  <c r="D769" i="6"/>
  <c r="E769" i="6"/>
  <c r="D773" i="6"/>
  <c r="E773" i="6"/>
  <c r="D777" i="6"/>
  <c r="E777" i="6"/>
  <c r="D781" i="6"/>
  <c r="E781" i="6"/>
  <c r="D785" i="6"/>
  <c r="E785" i="6"/>
  <c r="D789" i="6"/>
  <c r="E789" i="6"/>
  <c r="D793" i="6"/>
  <c r="E793" i="6"/>
  <c r="D797" i="6"/>
  <c r="E797" i="6"/>
  <c r="D801" i="6"/>
  <c r="E801" i="6"/>
  <c r="D805" i="6"/>
  <c r="E805" i="6"/>
  <c r="D809" i="6"/>
  <c r="E809" i="6"/>
  <c r="D813" i="6"/>
  <c r="E813" i="6"/>
  <c r="D817" i="6"/>
  <c r="E817" i="6"/>
  <c r="D821" i="6"/>
  <c r="E821" i="6"/>
  <c r="D825" i="6"/>
  <c r="E825" i="6"/>
  <c r="D829" i="6"/>
  <c r="E829" i="6"/>
  <c r="D833" i="6"/>
  <c r="E833" i="6"/>
  <c r="D837" i="6"/>
  <c r="E837" i="6"/>
  <c r="D841" i="6"/>
  <c r="E841" i="6"/>
  <c r="D845" i="6"/>
  <c r="E845" i="6"/>
  <c r="D849" i="6"/>
  <c r="E849" i="6"/>
  <c r="D853" i="6"/>
  <c r="E853" i="6"/>
  <c r="D857" i="6"/>
  <c r="E857" i="6"/>
  <c r="D861" i="6"/>
  <c r="E861" i="6"/>
  <c r="D865" i="6"/>
  <c r="E865" i="6"/>
  <c r="D869" i="6"/>
  <c r="E869" i="6"/>
  <c r="D873" i="6"/>
  <c r="E873" i="6"/>
  <c r="D877" i="6"/>
  <c r="E877" i="6"/>
  <c r="E881" i="6"/>
  <c r="D881" i="6"/>
  <c r="E885" i="6"/>
  <c r="D885" i="6"/>
  <c r="E889" i="6"/>
  <c r="D889" i="6"/>
  <c r="E893" i="6"/>
  <c r="D893" i="6"/>
  <c r="E897" i="6"/>
  <c r="D897" i="6"/>
  <c r="E901" i="6"/>
  <c r="D901" i="6"/>
  <c r="E905" i="6"/>
  <c r="D905" i="6"/>
  <c r="E909" i="6"/>
  <c r="D909" i="6"/>
  <c r="E913" i="6"/>
  <c r="D913" i="6"/>
  <c r="E917" i="6"/>
  <c r="D917" i="6"/>
  <c r="E921" i="6"/>
  <c r="D921" i="6"/>
  <c r="E925" i="6"/>
  <c r="D925" i="6"/>
  <c r="E929" i="6"/>
  <c r="D929" i="6"/>
  <c r="E933" i="6"/>
  <c r="D933" i="6"/>
  <c r="E937" i="6"/>
  <c r="D937" i="6"/>
  <c r="E941" i="6"/>
  <c r="D941" i="6"/>
  <c r="E945" i="6"/>
  <c r="D945" i="6"/>
  <c r="E949" i="6"/>
  <c r="D949" i="6"/>
  <c r="E953" i="6"/>
  <c r="D953" i="6"/>
  <c r="E957" i="6"/>
  <c r="D957" i="6"/>
  <c r="E961" i="6"/>
  <c r="D961" i="6"/>
  <c r="E965" i="6"/>
  <c r="D965" i="6"/>
  <c r="E969" i="6"/>
  <c r="D969" i="6"/>
  <c r="E973" i="6"/>
  <c r="D973" i="6"/>
  <c r="E977" i="6"/>
  <c r="D977" i="6"/>
  <c r="E5" i="6"/>
  <c r="D5" i="6"/>
  <c r="E17" i="6"/>
  <c r="D17" i="6"/>
  <c r="E49" i="6"/>
  <c r="D49" i="6"/>
  <c r="D6" i="6"/>
  <c r="E6" i="6"/>
  <c r="D10" i="6"/>
  <c r="E10" i="6"/>
  <c r="D14" i="6"/>
  <c r="E14" i="6"/>
  <c r="D18" i="6"/>
  <c r="E18" i="6"/>
  <c r="D22" i="6"/>
  <c r="E22" i="6"/>
  <c r="D26" i="6"/>
  <c r="E26" i="6"/>
  <c r="D30" i="6"/>
  <c r="E30" i="6"/>
  <c r="D34" i="6"/>
  <c r="E34" i="6"/>
  <c r="D38" i="6"/>
  <c r="E38" i="6"/>
  <c r="D42" i="6"/>
  <c r="E42" i="6"/>
  <c r="D46" i="6"/>
  <c r="E46" i="6"/>
  <c r="D50" i="6"/>
  <c r="E50" i="6"/>
  <c r="D54" i="6"/>
  <c r="E54" i="6"/>
  <c r="D58" i="6"/>
  <c r="E58" i="6"/>
  <c r="D62" i="6"/>
  <c r="E62" i="6"/>
  <c r="D66" i="6"/>
  <c r="E66" i="6"/>
  <c r="D70" i="6"/>
  <c r="E70" i="6"/>
  <c r="D74" i="6"/>
  <c r="E74" i="6"/>
  <c r="D78" i="6"/>
  <c r="E78" i="6"/>
  <c r="D82" i="6"/>
  <c r="E82" i="6"/>
  <c r="D86" i="6"/>
  <c r="E86" i="6"/>
  <c r="D90" i="6"/>
  <c r="E90" i="6"/>
  <c r="D94" i="6"/>
  <c r="E94" i="6"/>
  <c r="D98" i="6"/>
  <c r="E98" i="6"/>
  <c r="D102" i="6"/>
  <c r="E102" i="6"/>
  <c r="D106" i="6"/>
  <c r="E106" i="6"/>
  <c r="D110" i="6"/>
  <c r="E110" i="6"/>
  <c r="D114" i="6"/>
  <c r="E114" i="6"/>
  <c r="D118" i="6"/>
  <c r="E118" i="6"/>
  <c r="D122" i="6"/>
  <c r="E122" i="6"/>
  <c r="D126" i="6"/>
  <c r="E126" i="6"/>
  <c r="D130" i="6"/>
  <c r="E130" i="6"/>
  <c r="D134" i="6"/>
  <c r="E134" i="6"/>
  <c r="D138" i="6"/>
  <c r="E138" i="6"/>
  <c r="D142" i="6"/>
  <c r="E142" i="6"/>
  <c r="D146" i="6"/>
  <c r="E146" i="6"/>
  <c r="D150" i="6"/>
  <c r="E150" i="6"/>
  <c r="D154" i="6"/>
  <c r="E154" i="6"/>
  <c r="D158" i="6"/>
  <c r="E158" i="6"/>
  <c r="D162" i="6"/>
  <c r="E162" i="6"/>
  <c r="D166" i="6"/>
  <c r="E166" i="6"/>
  <c r="D170" i="6"/>
  <c r="E170" i="6"/>
  <c r="D174" i="6"/>
  <c r="E174" i="6"/>
  <c r="D178" i="6"/>
  <c r="E178" i="6"/>
  <c r="D182" i="6"/>
  <c r="E182" i="6"/>
  <c r="D186" i="6"/>
  <c r="E186" i="6"/>
  <c r="D190" i="6"/>
  <c r="E190" i="6"/>
  <c r="D194" i="6"/>
  <c r="E194" i="6"/>
  <c r="D198" i="6"/>
  <c r="E198" i="6"/>
  <c r="D202" i="6"/>
  <c r="E202" i="6"/>
  <c r="D206" i="6"/>
  <c r="E206" i="6"/>
  <c r="D210" i="6"/>
  <c r="E210" i="6"/>
  <c r="D214" i="6"/>
  <c r="E214" i="6"/>
  <c r="D218" i="6"/>
  <c r="E218" i="6"/>
  <c r="D222" i="6"/>
  <c r="E222" i="6"/>
  <c r="D226" i="6"/>
  <c r="E226" i="6"/>
  <c r="D230" i="6"/>
  <c r="E230" i="6"/>
  <c r="D234" i="6"/>
  <c r="E234" i="6"/>
  <c r="E238" i="6"/>
  <c r="D238" i="6"/>
  <c r="E242" i="6"/>
  <c r="D242" i="6"/>
  <c r="E246" i="6"/>
  <c r="D246" i="6"/>
  <c r="E250" i="6"/>
  <c r="D250" i="6"/>
  <c r="E254" i="6"/>
  <c r="D254" i="6"/>
  <c r="E258" i="6"/>
  <c r="D258" i="6"/>
  <c r="E262" i="6"/>
  <c r="D262" i="6"/>
  <c r="E266" i="6"/>
  <c r="D266" i="6"/>
  <c r="E270" i="6"/>
  <c r="D270" i="6"/>
  <c r="E274" i="6"/>
  <c r="D274" i="6"/>
  <c r="E278" i="6"/>
  <c r="D278" i="6"/>
  <c r="E282" i="6"/>
  <c r="D282" i="6"/>
  <c r="E286" i="6"/>
  <c r="D286" i="6"/>
  <c r="E290" i="6"/>
  <c r="D290" i="6"/>
  <c r="E294" i="6"/>
  <c r="D294" i="6"/>
  <c r="E298" i="6"/>
  <c r="D298" i="6"/>
  <c r="E302" i="6"/>
  <c r="D302" i="6"/>
  <c r="E306" i="6"/>
  <c r="D306" i="6"/>
  <c r="E310" i="6"/>
  <c r="D310" i="6"/>
  <c r="E314" i="6"/>
  <c r="D314" i="6"/>
  <c r="E318" i="6"/>
  <c r="D318" i="6"/>
  <c r="E322" i="6"/>
  <c r="D322" i="6"/>
  <c r="E326" i="6"/>
  <c r="D326" i="6"/>
  <c r="E330" i="6"/>
  <c r="D330" i="6"/>
  <c r="D334" i="6"/>
  <c r="E334" i="6"/>
  <c r="D338" i="6"/>
  <c r="E338" i="6"/>
  <c r="D342" i="6"/>
  <c r="E342" i="6"/>
  <c r="D346" i="6"/>
  <c r="E346" i="6"/>
  <c r="D350" i="6"/>
  <c r="E350" i="6"/>
  <c r="D354" i="6"/>
  <c r="E354" i="6"/>
  <c r="D358" i="6"/>
  <c r="E358" i="6"/>
  <c r="D362" i="6"/>
  <c r="E362" i="6"/>
  <c r="D366" i="6"/>
  <c r="E366" i="6"/>
  <c r="D370" i="6"/>
  <c r="E370" i="6"/>
  <c r="D374" i="6"/>
  <c r="E374" i="6"/>
  <c r="D378" i="6"/>
  <c r="E378" i="6"/>
  <c r="D382" i="6"/>
  <c r="E382" i="6"/>
  <c r="D386" i="6"/>
  <c r="E386" i="6"/>
  <c r="D390" i="6"/>
  <c r="E390" i="6"/>
  <c r="D394" i="6"/>
  <c r="E394" i="6"/>
  <c r="D398" i="6"/>
  <c r="E398" i="6"/>
  <c r="D402" i="6"/>
  <c r="E402" i="6"/>
  <c r="D406" i="6"/>
  <c r="E406" i="6"/>
  <c r="D410" i="6"/>
  <c r="E410" i="6"/>
  <c r="D414" i="6"/>
  <c r="E414" i="6"/>
  <c r="D418" i="6"/>
  <c r="E418" i="6"/>
  <c r="D422" i="6"/>
  <c r="E422" i="6"/>
  <c r="D426" i="6"/>
  <c r="E426" i="6"/>
  <c r="D430" i="6"/>
  <c r="E430" i="6"/>
  <c r="D434" i="6"/>
  <c r="E434" i="6"/>
  <c r="D438" i="6"/>
  <c r="E438" i="6"/>
  <c r="D442" i="6"/>
  <c r="E442" i="6"/>
  <c r="D446" i="6"/>
  <c r="E446" i="6"/>
  <c r="D450" i="6"/>
  <c r="E450" i="6"/>
  <c r="D454" i="6"/>
  <c r="E454" i="6"/>
  <c r="D458" i="6"/>
  <c r="E458" i="6"/>
  <c r="D462" i="6"/>
  <c r="E462" i="6"/>
  <c r="D466" i="6"/>
  <c r="E466" i="6"/>
  <c r="D470" i="6"/>
  <c r="E470" i="6"/>
  <c r="D474" i="6"/>
  <c r="E474" i="6"/>
  <c r="D478" i="6"/>
  <c r="E478" i="6"/>
  <c r="D482" i="6"/>
  <c r="E482" i="6"/>
  <c r="D486" i="6"/>
  <c r="E486" i="6"/>
  <c r="D490" i="6"/>
  <c r="E490" i="6"/>
  <c r="D494" i="6"/>
  <c r="E494" i="6"/>
  <c r="D498" i="6"/>
  <c r="E498" i="6"/>
  <c r="D502" i="6"/>
  <c r="E502" i="6"/>
  <c r="D506" i="6"/>
  <c r="E506" i="6"/>
  <c r="D510" i="6"/>
  <c r="E510" i="6"/>
  <c r="D514" i="6"/>
  <c r="E514" i="6"/>
  <c r="D518" i="6"/>
  <c r="E518" i="6"/>
  <c r="D522" i="6"/>
  <c r="E522" i="6"/>
  <c r="D526" i="6"/>
  <c r="E526" i="6"/>
  <c r="D530" i="6"/>
  <c r="E530" i="6"/>
  <c r="D534" i="6"/>
  <c r="E534" i="6"/>
  <c r="D538" i="6"/>
  <c r="E538" i="6"/>
  <c r="E542" i="6"/>
  <c r="D542" i="6"/>
  <c r="E546" i="6"/>
  <c r="D546" i="6"/>
  <c r="E550" i="6"/>
  <c r="D550" i="6"/>
  <c r="E554" i="6"/>
  <c r="D554" i="6"/>
  <c r="E558" i="6"/>
  <c r="D558" i="6"/>
  <c r="E562" i="6"/>
  <c r="D562" i="6"/>
  <c r="E566" i="6"/>
  <c r="D566" i="6"/>
  <c r="E570" i="6"/>
  <c r="D570" i="6"/>
  <c r="E574" i="6"/>
  <c r="D574" i="6"/>
  <c r="E578" i="6"/>
  <c r="D578" i="6"/>
  <c r="E582" i="6"/>
  <c r="D582" i="6"/>
  <c r="E586" i="6"/>
  <c r="D586" i="6"/>
  <c r="E590" i="6"/>
  <c r="D590" i="6"/>
  <c r="E594" i="6"/>
  <c r="D594" i="6"/>
  <c r="E598" i="6"/>
  <c r="D598" i="6"/>
  <c r="E602" i="6"/>
  <c r="D602" i="6"/>
  <c r="E606" i="6"/>
  <c r="D606" i="6"/>
  <c r="E610" i="6"/>
  <c r="D610" i="6"/>
  <c r="E614" i="6"/>
  <c r="D614" i="6"/>
  <c r="E618" i="6"/>
  <c r="D618" i="6"/>
  <c r="E622" i="6"/>
  <c r="D622" i="6"/>
  <c r="E626" i="6"/>
  <c r="D626" i="6"/>
  <c r="E630" i="6"/>
  <c r="D630" i="6"/>
  <c r="E634" i="6"/>
  <c r="D634" i="6"/>
  <c r="E638" i="6"/>
  <c r="D638" i="6"/>
  <c r="E642" i="6"/>
  <c r="D642" i="6"/>
  <c r="E646" i="6"/>
  <c r="D646" i="6"/>
  <c r="E650" i="6"/>
  <c r="D650" i="6"/>
  <c r="E654" i="6"/>
  <c r="D654" i="6"/>
  <c r="E658" i="6"/>
  <c r="D658" i="6"/>
  <c r="E662" i="6"/>
  <c r="D662" i="6"/>
  <c r="E666" i="6"/>
  <c r="D666" i="6"/>
  <c r="E670" i="6"/>
  <c r="D670" i="6"/>
  <c r="E674" i="6"/>
  <c r="D674" i="6"/>
  <c r="E678" i="6"/>
  <c r="D678" i="6"/>
  <c r="E682" i="6"/>
  <c r="D682" i="6"/>
  <c r="E686" i="6"/>
  <c r="D686" i="6"/>
  <c r="D690" i="6"/>
  <c r="E690" i="6"/>
  <c r="D694" i="6"/>
  <c r="E694" i="6"/>
  <c r="D698" i="6"/>
  <c r="E698" i="6"/>
  <c r="D702" i="6"/>
  <c r="E702" i="6"/>
  <c r="D706" i="6"/>
  <c r="E706" i="6"/>
  <c r="D710" i="6"/>
  <c r="E710" i="6"/>
  <c r="D714" i="6"/>
  <c r="E714" i="6"/>
  <c r="D718" i="6"/>
  <c r="E718" i="6"/>
  <c r="D722" i="6"/>
  <c r="E722" i="6"/>
  <c r="D726" i="6"/>
  <c r="E726" i="6"/>
  <c r="D730" i="6"/>
  <c r="E730" i="6"/>
  <c r="D734" i="6"/>
  <c r="E734" i="6"/>
  <c r="D738" i="6"/>
  <c r="E738" i="6"/>
  <c r="D742" i="6"/>
  <c r="E742" i="6"/>
  <c r="D746" i="6"/>
  <c r="E746" i="6"/>
  <c r="E750" i="6"/>
  <c r="D750" i="6"/>
  <c r="E754" i="6"/>
  <c r="D754" i="6"/>
  <c r="E758" i="6"/>
  <c r="D758" i="6"/>
  <c r="E762" i="6"/>
  <c r="D762" i="6"/>
  <c r="E766" i="6"/>
  <c r="D766" i="6"/>
  <c r="E770" i="6"/>
  <c r="D770" i="6"/>
  <c r="E774" i="6"/>
  <c r="D774" i="6"/>
  <c r="E778" i="6"/>
  <c r="D778" i="6"/>
  <c r="E782" i="6"/>
  <c r="D782" i="6"/>
  <c r="E786" i="6"/>
  <c r="D786" i="6"/>
  <c r="E790" i="6"/>
  <c r="D790" i="6"/>
  <c r="E794" i="6"/>
  <c r="D794" i="6"/>
  <c r="E798" i="6"/>
  <c r="D798" i="6"/>
  <c r="E802" i="6"/>
  <c r="D802" i="6"/>
  <c r="E806" i="6"/>
  <c r="D806" i="6"/>
  <c r="E810" i="6"/>
  <c r="D810" i="6"/>
  <c r="E814" i="6"/>
  <c r="D814" i="6"/>
  <c r="E818" i="6"/>
  <c r="D818" i="6"/>
  <c r="E822" i="6"/>
  <c r="D822" i="6"/>
  <c r="E826" i="6"/>
  <c r="D826" i="6"/>
  <c r="E830" i="6"/>
  <c r="D830" i="6"/>
  <c r="E834" i="6"/>
  <c r="D834" i="6"/>
  <c r="E838" i="6"/>
  <c r="D838" i="6"/>
  <c r="E842" i="6"/>
  <c r="D842" i="6"/>
  <c r="E846" i="6"/>
  <c r="D846" i="6"/>
  <c r="E850" i="6"/>
  <c r="D850" i="6"/>
  <c r="E854" i="6"/>
  <c r="D854" i="6"/>
  <c r="E858" i="6"/>
  <c r="D858" i="6"/>
  <c r="E862" i="6"/>
  <c r="D862" i="6"/>
  <c r="E866" i="6"/>
  <c r="D866" i="6"/>
  <c r="E870" i="6"/>
  <c r="D870" i="6"/>
  <c r="E874" i="6"/>
  <c r="D874" i="6"/>
  <c r="E878" i="6"/>
  <c r="D878" i="6"/>
  <c r="E882" i="6"/>
  <c r="D882" i="6"/>
  <c r="E886" i="6"/>
  <c r="D886" i="6"/>
  <c r="E890" i="6"/>
  <c r="D890" i="6"/>
  <c r="E894" i="6"/>
  <c r="D894" i="6"/>
  <c r="E898" i="6"/>
  <c r="D898" i="6"/>
  <c r="E902" i="6"/>
  <c r="D902" i="6"/>
  <c r="E906" i="6"/>
  <c r="D906" i="6"/>
  <c r="E910" i="6"/>
  <c r="D910" i="6"/>
  <c r="E914" i="6"/>
  <c r="D914" i="6"/>
  <c r="E918" i="6"/>
  <c r="D918" i="6"/>
  <c r="E922" i="6"/>
  <c r="D922" i="6"/>
  <c r="E926" i="6"/>
  <c r="D926" i="6"/>
  <c r="E930" i="6"/>
  <c r="D930" i="6"/>
  <c r="E934" i="6"/>
  <c r="D934" i="6"/>
  <c r="E938" i="6"/>
  <c r="D938" i="6"/>
  <c r="E942" i="6"/>
  <c r="D942" i="6"/>
  <c r="E946" i="6"/>
  <c r="D946" i="6"/>
  <c r="E950" i="6"/>
  <c r="D950" i="6"/>
  <c r="E954" i="6"/>
  <c r="D954" i="6"/>
  <c r="E958" i="6"/>
  <c r="D958" i="6"/>
  <c r="E962" i="6"/>
  <c r="D962" i="6"/>
  <c r="E966" i="6"/>
  <c r="D966" i="6"/>
  <c r="E970" i="6"/>
  <c r="D970" i="6"/>
  <c r="E974" i="6"/>
  <c r="D974" i="6"/>
  <c r="E978" i="6"/>
  <c r="D978" i="6"/>
  <c r="E982" i="6"/>
  <c r="D982" i="6"/>
  <c r="E986" i="6"/>
  <c r="D986" i="6"/>
  <c r="E990" i="6"/>
  <c r="D990" i="6"/>
  <c r="E994" i="6"/>
  <c r="D994" i="6"/>
  <c r="E998" i="6"/>
  <c r="D998" i="6"/>
  <c r="E1002" i="6"/>
  <c r="D1002" i="6"/>
  <c r="E1006" i="6"/>
  <c r="D1006" i="6"/>
  <c r="E1003" i="6"/>
  <c r="D1003" i="6"/>
  <c r="E1004" i="6"/>
  <c r="D1004" i="6"/>
  <c r="E981" i="6"/>
  <c r="D981" i="6"/>
  <c r="E985" i="6"/>
  <c r="D985" i="6"/>
  <c r="E989" i="6"/>
  <c r="D989" i="6"/>
  <c r="E993" i="6"/>
  <c r="D993" i="6"/>
  <c r="E997" i="6"/>
  <c r="D997" i="6"/>
  <c r="E1001" i="6"/>
  <c r="D1001" i="6"/>
  <c r="E1005" i="6"/>
  <c r="D1005" i="6"/>
</calcChain>
</file>

<file path=xl/sharedStrings.xml><?xml version="1.0" encoding="utf-8"?>
<sst xmlns="http://schemas.openxmlformats.org/spreadsheetml/2006/main" count="64" uniqueCount="56">
  <si>
    <t>Target GOF:</t>
  </si>
  <si>
    <t>Max temperature:</t>
  </si>
  <si>
    <t>Min temperature:</t>
  </si>
  <si>
    <t>Target no.:</t>
  </si>
  <si>
    <t>Boltzmann constant:</t>
  </si>
  <si>
    <t>Target S(t)'s</t>
  </si>
  <si>
    <t>Current S(t)'s</t>
  </si>
  <si>
    <t>Current GOFi</t>
  </si>
  <si>
    <t>Current overall GOF</t>
  </si>
  <si>
    <t>Lambda</t>
  </si>
  <si>
    <t>Gamma</t>
  </si>
  <si>
    <t>Points</t>
  </si>
  <si>
    <t>Current lambda</t>
  </si>
  <si>
    <t>Current gamma</t>
  </si>
  <si>
    <t>Maximum iterations:</t>
  </si>
  <si>
    <t>Current value</t>
  </si>
  <si>
    <t>Iterations</t>
  </si>
  <si>
    <t>Iteration No</t>
  </si>
  <si>
    <t>Temperature (linear)</t>
  </si>
  <si>
    <t>Temperature (exponential)</t>
  </si>
  <si>
    <t>Mode of cooling</t>
  </si>
  <si>
    <t>Linear</t>
  </si>
  <si>
    <t>Exponential</t>
  </si>
  <si>
    <t>Cooling mode:</t>
  </si>
  <si>
    <t>High</t>
  </si>
  <si>
    <t>Low</t>
  </si>
  <si>
    <t>Probability of accepting increased (worse) GOF</t>
  </si>
  <si>
    <t>Exponential cooling constant</t>
  </si>
  <si>
    <t>*Note - if the fit is poor, try changing the bounds on lamda</t>
  </si>
  <si>
    <t>Lamda</t>
  </si>
  <si>
    <t>Iteration</t>
  </si>
  <si>
    <t>New GOF</t>
  </si>
  <si>
    <t>Old GOF</t>
  </si>
  <si>
    <t>pAcceptMove</t>
  </si>
  <si>
    <t>Enter up to 20 KM survival times and S(t) values here</t>
  </si>
  <si>
    <t>Time (months)</t>
  </si>
  <si>
    <t>Lower bound*</t>
  </si>
  <si>
    <t>Upper bound*</t>
  </si>
  <si>
    <t>Corresponding S(12)</t>
  </si>
  <si>
    <t>Enter KM survival points and then run the 'runAnalysis' macro (cntrl + s) for a simulated annealing estimation process of Weibull gamma and lambda parameters</t>
  </si>
  <si>
    <t>**Note - the lower the GOF value, the better</t>
  </si>
  <si>
    <t>Final GOF**</t>
  </si>
  <si>
    <t>Mean of the fitted Weibull distribution (months)</t>
  </si>
  <si>
    <t>pAcceptMoveCheck</t>
  </si>
  <si>
    <t>Temp</t>
  </si>
  <si>
    <t>NewGOF - OLdGOF</t>
  </si>
  <si>
    <t>1/(Boltzmann*Temp)</t>
  </si>
  <si>
    <t>Corresponding S(120)</t>
  </si>
  <si>
    <t>Average lambda</t>
  </si>
  <si>
    <t>Average gamma</t>
  </si>
  <si>
    <t>Final value</t>
  </si>
  <si>
    <t>FinalS(t)'s</t>
  </si>
  <si>
    <t>Start time</t>
  </si>
  <si>
    <t>Interval probability</t>
  </si>
  <si>
    <t>Interval survival</t>
  </si>
  <si>
    <t>S(t)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</si>
</sst>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0000"/>
  </numFmts>
  <fonts count="4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0" fontId="2" fillId="0" borderId="0" xfId="0" applyFont="1" applyAlignment="1">
      <alignment horizontal="left"/>
    </xf>
    <xf numFmtId="0" fontId="0" fillId="3" borderId="0" xfId="0" applyFill="1" applyAlignment="1">
      <alignment horizontal="left"/>
    </xf>
    <xf numFmtId="0" fontId="0" fillId="0" borderId="0" xfId="0" applyFill="1" applyAlignment="1">
      <alignment horizontal="left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Fill="1"/>
    <xf numFmtId="0" fontId="0" fillId="0" borderId="0" xfId="0" applyFill="1" applyAlignment="1">
      <alignment horizontal="right"/>
    </xf>
    <xf numFmtId="164" fontId="0" fillId="0" borderId="0" xfId="0" applyNumberFormat="1" applyAlignment="1">
      <alignment horizontal="left"/>
    </xf>
    <xf numFmtId="0" fontId="3" fillId="0" borderId="0" xfId="0" applyFont="1"/>
    <xf numFmtId="0" fontId="1" fillId="0" borderId="0" xfId="0" applyFont="1" applyAlignment="1">
      <alignment horizontal="left"/>
    </xf>
    <xf numFmtId="2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0" fontId="2" fillId="0" borderId="0" xfId="0" quotePrefix="1" applyFont="1" applyAlignment="1">
      <alignment horizontal="right"/>
    </xf>
    <xf numFmtId="0" fontId="0" fillId="3" borderId="0" xfId="0" applyFill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4.xml"/><Relationship Id="rId10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IterData!$C$1</c:f>
              <c:strCache>
                <c:ptCount val="1"/>
                <c:pt idx="0">
                  <c:v>Old GOF</c:v>
                </c:pt>
              </c:strCache>
            </c:strRef>
          </c:tx>
          <c:marker>
            <c:symbol val="none"/>
          </c:marker>
          <c:xVal>
            <c:numRef>
              <c:f>IterData!$A$2:$A$10001</c:f>
              <c:numCache>
                <c:formatCode>General</c:formatCode>
                <c:ptCount val="10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9999">
                  <c:v>10000</c:v>
                </c:pt>
              </c:numCache>
            </c:numRef>
          </c:xVal>
          <c:yVal>
            <c:numRef>
              <c:f>IterData!$C$2:$C$10001</c:f>
              <c:numCache>
                <c:formatCode>General</c:formatCode>
                <c:ptCount val="10000"/>
                <c:pt idx="0">
                  <c:v>1.4142135623730951</c:v>
                </c:pt>
                <c:pt idx="1">
                  <c:v>1.4637783003016935</c:v>
                </c:pt>
                <c:pt idx="2">
                  <c:v>1.4637783003016935</c:v>
                </c:pt>
                <c:pt idx="3">
                  <c:v>3.4731890687558362</c:v>
                </c:pt>
                <c:pt idx="4">
                  <c:v>5.1624408800153212</c:v>
                </c:pt>
                <c:pt idx="5">
                  <c:v>0.34165653404782498</c:v>
                </c:pt>
                <c:pt idx="6">
                  <c:v>0.79445301006073332</c:v>
                </c:pt>
                <c:pt idx="7">
                  <c:v>1.9965511085686274</c:v>
                </c:pt>
                <c:pt idx="8">
                  <c:v>4.5641382892100637</c:v>
                </c:pt>
                <c:pt idx="9">
                  <c:v>3.5258802789417496</c:v>
                </c:pt>
                <c:pt idx="10">
                  <c:v>3.2910791364211347</c:v>
                </c:pt>
                <c:pt idx="11">
                  <c:v>0.527283844186762</c:v>
                </c:pt>
                <c:pt idx="12">
                  <c:v>0.91560953630468067</c:v>
                </c:pt>
                <c:pt idx="13">
                  <c:v>0.83232510207551191</c:v>
                </c:pt>
                <c:pt idx="14">
                  <c:v>0.83232510207551191</c:v>
                </c:pt>
                <c:pt idx="15">
                  <c:v>4.498075494408881</c:v>
                </c:pt>
                <c:pt idx="16">
                  <c:v>5.0427832777781898</c:v>
                </c:pt>
                <c:pt idx="17">
                  <c:v>4.8542506121245204</c:v>
                </c:pt>
                <c:pt idx="18">
                  <c:v>3.1702925782644966</c:v>
                </c:pt>
                <c:pt idx="19">
                  <c:v>1.1775983019963205</c:v>
                </c:pt>
                <c:pt idx="20">
                  <c:v>4.450766768145602</c:v>
                </c:pt>
                <c:pt idx="21">
                  <c:v>2.0949030492444001</c:v>
                </c:pt>
                <c:pt idx="22">
                  <c:v>0.81644003888938799</c:v>
                </c:pt>
                <c:pt idx="23">
                  <c:v>1.4422760078498964</c:v>
                </c:pt>
                <c:pt idx="24">
                  <c:v>0.40203278483929489</c:v>
                </c:pt>
                <c:pt idx="25">
                  <c:v>1.3999023707220624</c:v>
                </c:pt>
                <c:pt idx="26">
                  <c:v>0.36517691115201834</c:v>
                </c:pt>
                <c:pt idx="27">
                  <c:v>3.8171764224743954</c:v>
                </c:pt>
                <c:pt idx="28">
                  <c:v>0.62014057570128478</c:v>
                </c:pt>
                <c:pt idx="29">
                  <c:v>0.62014057570128478</c:v>
                </c:pt>
                <c:pt idx="30">
                  <c:v>0.41786751418066642</c:v>
                </c:pt>
                <c:pt idx="31">
                  <c:v>1.1551999492204783</c:v>
                </c:pt>
                <c:pt idx="32">
                  <c:v>2.5483451212866832</c:v>
                </c:pt>
                <c:pt idx="33">
                  <c:v>0.36107210151953067</c:v>
                </c:pt>
                <c:pt idx="34">
                  <c:v>1.8761187376966686</c:v>
                </c:pt>
                <c:pt idx="35">
                  <c:v>1.7256863933697941</c:v>
                </c:pt>
                <c:pt idx="36">
                  <c:v>0.58187168453280935</c:v>
                </c:pt>
                <c:pt idx="37">
                  <c:v>0.3687951100067085</c:v>
                </c:pt>
                <c:pt idx="38">
                  <c:v>0.3687951100067085</c:v>
                </c:pt>
                <c:pt idx="39">
                  <c:v>0.30587767576577057</c:v>
                </c:pt>
                <c:pt idx="40">
                  <c:v>2.9089217509263516</c:v>
                </c:pt>
                <c:pt idx="41">
                  <c:v>3.8226730024250455</c:v>
                </c:pt>
                <c:pt idx="42">
                  <c:v>4.1289204037752034</c:v>
                </c:pt>
                <c:pt idx="43">
                  <c:v>0.45131961845568708</c:v>
                </c:pt>
                <c:pt idx="44">
                  <c:v>0.45131961845568708</c:v>
                </c:pt>
                <c:pt idx="45">
                  <c:v>1.3694849898519132</c:v>
                </c:pt>
                <c:pt idx="46">
                  <c:v>0.65913771003558574</c:v>
                </c:pt>
                <c:pt idx="47">
                  <c:v>0.36497945090226552</c:v>
                </c:pt>
                <c:pt idx="48">
                  <c:v>0.69683020696740172</c:v>
                </c:pt>
                <c:pt idx="49">
                  <c:v>2.91237213320571</c:v>
                </c:pt>
                <c:pt idx="50">
                  <c:v>0.28664098616110745</c:v>
                </c:pt>
                <c:pt idx="51">
                  <c:v>0.28664098616110745</c:v>
                </c:pt>
                <c:pt idx="52">
                  <c:v>0.89455532925122172</c:v>
                </c:pt>
                <c:pt idx="53">
                  <c:v>2.7453816703007035</c:v>
                </c:pt>
                <c:pt idx="54">
                  <c:v>0.28101940779618401</c:v>
                </c:pt>
                <c:pt idx="55">
                  <c:v>0.66118137673418031</c:v>
                </c:pt>
                <c:pt idx="56">
                  <c:v>2.6575459342381933</c:v>
                </c:pt>
                <c:pt idx="57">
                  <c:v>0.29550580912373609</c:v>
                </c:pt>
                <c:pt idx="58">
                  <c:v>0.85093867969061021</c:v>
                </c:pt>
                <c:pt idx="59">
                  <c:v>1.9250445293404965</c:v>
                </c:pt>
                <c:pt idx="60">
                  <c:v>0.63284838254594133</c:v>
                </c:pt>
                <c:pt idx="61">
                  <c:v>0.40843237314581954</c:v>
                </c:pt>
                <c:pt idx="62">
                  <c:v>0.66081629991808288</c:v>
                </c:pt>
                <c:pt idx="63">
                  <c:v>0.95414657817797455</c:v>
                </c:pt>
                <c:pt idx="64">
                  <c:v>0.29843188219091143</c:v>
                </c:pt>
                <c:pt idx="65">
                  <c:v>0.42994900421372173</c:v>
                </c:pt>
                <c:pt idx="66">
                  <c:v>0.4444257141658764</c:v>
                </c:pt>
                <c:pt idx="67">
                  <c:v>0.34926286310218746</c:v>
                </c:pt>
                <c:pt idx="68">
                  <c:v>0.27492260446471622</c:v>
                </c:pt>
                <c:pt idx="69">
                  <c:v>0.2706842182206825</c:v>
                </c:pt>
                <c:pt idx="70">
                  <c:v>0.6330150314339561</c:v>
                </c:pt>
                <c:pt idx="71">
                  <c:v>0.42561757890654212</c:v>
                </c:pt>
                <c:pt idx="72">
                  <c:v>0.47627657437264859</c:v>
                </c:pt>
                <c:pt idx="73">
                  <c:v>1.4185729798246556</c:v>
                </c:pt>
                <c:pt idx="74">
                  <c:v>1.3494569864785697</c:v>
                </c:pt>
                <c:pt idx="75">
                  <c:v>0.29371506651363183</c:v>
                </c:pt>
                <c:pt idx="76">
                  <c:v>0.31629220528729474</c:v>
                </c:pt>
                <c:pt idx="77">
                  <c:v>0.31874205301157793</c:v>
                </c:pt>
                <c:pt idx="78">
                  <c:v>0.31874205301157793</c:v>
                </c:pt>
                <c:pt idx="79">
                  <c:v>0.31874205301157793</c:v>
                </c:pt>
                <c:pt idx="80">
                  <c:v>0.59644703793251264</c:v>
                </c:pt>
                <c:pt idx="81">
                  <c:v>2.1468880137451229</c:v>
                </c:pt>
                <c:pt idx="82">
                  <c:v>0.30363323331967274</c:v>
                </c:pt>
                <c:pt idx="83">
                  <c:v>0.72872831123988213</c:v>
                </c:pt>
                <c:pt idx="84">
                  <c:v>0.46589658404385781</c:v>
                </c:pt>
                <c:pt idx="85">
                  <c:v>1.4580570133529371</c:v>
                </c:pt>
                <c:pt idx="86">
                  <c:v>1.796563735910006</c:v>
                </c:pt>
                <c:pt idx="87">
                  <c:v>1.1063825097647972</c:v>
                </c:pt>
                <c:pt idx="88">
                  <c:v>0.31550277242376285</c:v>
                </c:pt>
                <c:pt idx="89">
                  <c:v>0.74081404578212151</c:v>
                </c:pt>
                <c:pt idx="90">
                  <c:v>0.40680668904756356</c:v>
                </c:pt>
                <c:pt idx="91">
                  <c:v>0.60355857125744761</c:v>
                </c:pt>
                <c:pt idx="92">
                  <c:v>2.1895315090715397</c:v>
                </c:pt>
                <c:pt idx="93">
                  <c:v>0.28527807070422856</c:v>
                </c:pt>
                <c:pt idx="94">
                  <c:v>0.70172083254847095</c:v>
                </c:pt>
                <c:pt idx="95">
                  <c:v>0.99558363452148491</c:v>
                </c:pt>
                <c:pt idx="96">
                  <c:v>0.57076958107799103</c:v>
                </c:pt>
                <c:pt idx="97">
                  <c:v>0.42758629283088023</c:v>
                </c:pt>
                <c:pt idx="98">
                  <c:v>0.24495269683938267</c:v>
                </c:pt>
                <c:pt idx="99">
                  <c:v>0.36988586271915719</c:v>
                </c:pt>
                <c:pt idx="100">
                  <c:v>1.2255838052802404</c:v>
                </c:pt>
                <c:pt idx="101">
                  <c:v>1.1283381485415824</c:v>
                </c:pt>
                <c:pt idx="102">
                  <c:v>0.48879468681649707</c:v>
                </c:pt>
                <c:pt idx="103">
                  <c:v>0.593908895621446</c:v>
                </c:pt>
                <c:pt idx="104">
                  <c:v>0.6650785518329656</c:v>
                </c:pt>
                <c:pt idx="105">
                  <c:v>0.35010191234478177</c:v>
                </c:pt>
                <c:pt idx="106">
                  <c:v>0.32253301837358139</c:v>
                </c:pt>
                <c:pt idx="107">
                  <c:v>1.3352633034414403</c:v>
                </c:pt>
                <c:pt idx="108">
                  <c:v>1.2352904777715144</c:v>
                </c:pt>
                <c:pt idx="109">
                  <c:v>0.49815904333642208</c:v>
                </c:pt>
                <c:pt idx="110">
                  <c:v>0.33106915609771459</c:v>
                </c:pt>
                <c:pt idx="111">
                  <c:v>0.28210914397511633</c:v>
                </c:pt>
                <c:pt idx="112">
                  <c:v>0.28210914397511633</c:v>
                </c:pt>
                <c:pt idx="113">
                  <c:v>0.36028147126619148</c:v>
                </c:pt>
                <c:pt idx="114">
                  <c:v>0.31193783745912868</c:v>
                </c:pt>
                <c:pt idx="115">
                  <c:v>0.45882805917890374</c:v>
                </c:pt>
                <c:pt idx="116">
                  <c:v>0.806365429774068</c:v>
                </c:pt>
                <c:pt idx="117">
                  <c:v>0.806365429774068</c:v>
                </c:pt>
                <c:pt idx="118">
                  <c:v>0.40461979805064419</c:v>
                </c:pt>
                <c:pt idx="119">
                  <c:v>0.35205865426978494</c:v>
                </c:pt>
                <c:pt idx="120">
                  <c:v>1.1744808967133389</c:v>
                </c:pt>
                <c:pt idx="121">
                  <c:v>0.25775425712951644</c:v>
                </c:pt>
                <c:pt idx="122">
                  <c:v>0.65188213840979548</c:v>
                </c:pt>
                <c:pt idx="123">
                  <c:v>0.40793578229642002</c:v>
                </c:pt>
                <c:pt idx="124">
                  <c:v>0.39831538407687089</c:v>
                </c:pt>
                <c:pt idx="125">
                  <c:v>0.54668601384081705</c:v>
                </c:pt>
                <c:pt idx="126">
                  <c:v>0.33629488023072029</c:v>
                </c:pt>
                <c:pt idx="127">
                  <c:v>0.32302773837637627</c:v>
                </c:pt>
                <c:pt idx="128">
                  <c:v>0.37605348076173956</c:v>
                </c:pt>
                <c:pt idx="129">
                  <c:v>0.24176374368316303</c:v>
                </c:pt>
                <c:pt idx="130">
                  <c:v>0.25139154909064965</c:v>
                </c:pt>
                <c:pt idx="131">
                  <c:v>0.49412617621795302</c:v>
                </c:pt>
                <c:pt idx="132">
                  <c:v>0.5519571405542717</c:v>
                </c:pt>
                <c:pt idx="133">
                  <c:v>0.29938170778905554</c:v>
                </c:pt>
                <c:pt idx="134">
                  <c:v>0.89064556723094113</c:v>
                </c:pt>
                <c:pt idx="135">
                  <c:v>0.98722593549065829</c:v>
                </c:pt>
                <c:pt idx="136">
                  <c:v>1.1436979899709416</c:v>
                </c:pt>
                <c:pt idx="137">
                  <c:v>0.80990130262009485</c:v>
                </c:pt>
                <c:pt idx="138">
                  <c:v>1.4135418035168112</c:v>
                </c:pt>
                <c:pt idx="139">
                  <c:v>0.23792917669341596</c:v>
                </c:pt>
                <c:pt idx="140">
                  <c:v>0.3977499457101985</c:v>
                </c:pt>
                <c:pt idx="141">
                  <c:v>1.0354750712003986</c:v>
                </c:pt>
                <c:pt idx="142">
                  <c:v>0.55113851887904264</c:v>
                </c:pt>
                <c:pt idx="143">
                  <c:v>0.42560498213112424</c:v>
                </c:pt>
                <c:pt idx="144">
                  <c:v>0.42560498213112424</c:v>
                </c:pt>
                <c:pt idx="145">
                  <c:v>0.59061392088467513</c:v>
                </c:pt>
                <c:pt idx="146">
                  <c:v>0.23803664727416252</c:v>
                </c:pt>
                <c:pt idx="147">
                  <c:v>0.43637506342039695</c:v>
                </c:pt>
                <c:pt idx="148">
                  <c:v>0.23006829736639842</c:v>
                </c:pt>
                <c:pt idx="149">
                  <c:v>0.22636331205942312</c:v>
                </c:pt>
                <c:pt idx="150">
                  <c:v>0.29371164719969683</c:v>
                </c:pt>
                <c:pt idx="151">
                  <c:v>0.29371164719969683</c:v>
                </c:pt>
                <c:pt idx="152">
                  <c:v>0.25766771390579507</c:v>
                </c:pt>
                <c:pt idx="153">
                  <c:v>0.35411666469875441</c:v>
                </c:pt>
                <c:pt idx="154">
                  <c:v>1.0408634457605141</c:v>
                </c:pt>
                <c:pt idx="155">
                  <c:v>0.76609892343205588</c:v>
                </c:pt>
                <c:pt idx="156">
                  <c:v>0.38425504460084425</c:v>
                </c:pt>
                <c:pt idx="157">
                  <c:v>0.38425504460084425</c:v>
                </c:pt>
                <c:pt idx="158">
                  <c:v>0.40862588984455228</c:v>
                </c:pt>
                <c:pt idx="159">
                  <c:v>0.25531830839015496</c:v>
                </c:pt>
                <c:pt idx="160">
                  <c:v>0.27290663003355475</c:v>
                </c:pt>
                <c:pt idx="161">
                  <c:v>0.23297476423521277</c:v>
                </c:pt>
                <c:pt idx="162">
                  <c:v>0.32611830232868105</c:v>
                </c:pt>
                <c:pt idx="163">
                  <c:v>0.33741215993734391</c:v>
                </c:pt>
                <c:pt idx="164">
                  <c:v>0.34164775285147986</c:v>
                </c:pt>
                <c:pt idx="165">
                  <c:v>0.34164775285147986</c:v>
                </c:pt>
                <c:pt idx="166">
                  <c:v>0.25826518599583331</c:v>
                </c:pt>
                <c:pt idx="167">
                  <c:v>0.25805620756752579</c:v>
                </c:pt>
                <c:pt idx="168">
                  <c:v>0.25805620756752579</c:v>
                </c:pt>
                <c:pt idx="169">
                  <c:v>0.25805620756752579</c:v>
                </c:pt>
                <c:pt idx="170">
                  <c:v>0.23509010500889521</c:v>
                </c:pt>
                <c:pt idx="171">
                  <c:v>0.23509010500889521</c:v>
                </c:pt>
                <c:pt idx="172">
                  <c:v>0.23540966258555465</c:v>
                </c:pt>
                <c:pt idx="173">
                  <c:v>0.63590523381017861</c:v>
                </c:pt>
                <c:pt idx="174">
                  <c:v>0.38865820827164838</c:v>
                </c:pt>
                <c:pt idx="175">
                  <c:v>0.34819478844369356</c:v>
                </c:pt>
                <c:pt idx="176">
                  <c:v>0.34819478844369356</c:v>
                </c:pt>
                <c:pt idx="177">
                  <c:v>0.22996487812468322</c:v>
                </c:pt>
                <c:pt idx="178">
                  <c:v>0.22996487812468322</c:v>
                </c:pt>
                <c:pt idx="179">
                  <c:v>0.25963170948846115</c:v>
                </c:pt>
                <c:pt idx="180">
                  <c:v>0.25963170948846115</c:v>
                </c:pt>
                <c:pt idx="181">
                  <c:v>0.61352513002161502</c:v>
                </c:pt>
                <c:pt idx="182">
                  <c:v>0.39994013873117157</c:v>
                </c:pt>
                <c:pt idx="183">
                  <c:v>0.23890704228880996</c:v>
                </c:pt>
                <c:pt idx="184">
                  <c:v>0.23890704228880996</c:v>
                </c:pt>
                <c:pt idx="185">
                  <c:v>0.23890704228880996</c:v>
                </c:pt>
                <c:pt idx="186">
                  <c:v>0.23890704228880996</c:v>
                </c:pt>
                <c:pt idx="187">
                  <c:v>0.23890704228880996</c:v>
                </c:pt>
                <c:pt idx="188">
                  <c:v>0.81006216231765538</c:v>
                </c:pt>
                <c:pt idx="189">
                  <c:v>0.37071881295528347</c:v>
                </c:pt>
                <c:pt idx="190">
                  <c:v>0.29554850884172257</c:v>
                </c:pt>
                <c:pt idx="191">
                  <c:v>0.29554850884172257</c:v>
                </c:pt>
                <c:pt idx="192">
                  <c:v>0.33777458414172162</c:v>
                </c:pt>
                <c:pt idx="193">
                  <c:v>0.40536867009422606</c:v>
                </c:pt>
                <c:pt idx="194">
                  <c:v>0.3658517827657356</c:v>
                </c:pt>
                <c:pt idx="195">
                  <c:v>0.3658517827657356</c:v>
                </c:pt>
                <c:pt idx="196">
                  <c:v>0.3658517827657356</c:v>
                </c:pt>
                <c:pt idx="197">
                  <c:v>0.42070468209126971</c:v>
                </c:pt>
                <c:pt idx="198">
                  <c:v>0.37496368287423015</c:v>
                </c:pt>
                <c:pt idx="199">
                  <c:v>0.22776393438273435</c:v>
                </c:pt>
                <c:pt idx="200">
                  <c:v>0.39480376318100374</c:v>
                </c:pt>
                <c:pt idx="201">
                  <c:v>0.37149404345631026</c:v>
                </c:pt>
                <c:pt idx="202">
                  <c:v>0.43053057512891629</c:v>
                </c:pt>
                <c:pt idx="203">
                  <c:v>0.43053057512891629</c:v>
                </c:pt>
                <c:pt idx="204">
                  <c:v>0.6478431552010564</c:v>
                </c:pt>
                <c:pt idx="205">
                  <c:v>0.43131943228612196</c:v>
                </c:pt>
                <c:pt idx="206">
                  <c:v>0.65298791665443201</c:v>
                </c:pt>
                <c:pt idx="207">
                  <c:v>0.46848250189487695</c:v>
                </c:pt>
                <c:pt idx="208">
                  <c:v>0.22255721776512294</c:v>
                </c:pt>
                <c:pt idx="209">
                  <c:v>0.19912797019091544</c:v>
                </c:pt>
                <c:pt idx="210">
                  <c:v>0.19912797019091544</c:v>
                </c:pt>
                <c:pt idx="211">
                  <c:v>0.24035390098783049</c:v>
                </c:pt>
                <c:pt idx="212">
                  <c:v>0.21286265165116022</c:v>
                </c:pt>
                <c:pt idx="213">
                  <c:v>0.5874585120724497</c:v>
                </c:pt>
                <c:pt idx="214">
                  <c:v>0.39736060681893698</c:v>
                </c:pt>
                <c:pt idx="215">
                  <c:v>0.3109248456463175</c:v>
                </c:pt>
                <c:pt idx="216">
                  <c:v>0.29954596011331031</c:v>
                </c:pt>
                <c:pt idx="217">
                  <c:v>0.29954596011331031</c:v>
                </c:pt>
                <c:pt idx="218">
                  <c:v>0.2071317589953664</c:v>
                </c:pt>
                <c:pt idx="219">
                  <c:v>0.2071317589953664</c:v>
                </c:pt>
                <c:pt idx="220">
                  <c:v>0.2071317589953664</c:v>
                </c:pt>
                <c:pt idx="221">
                  <c:v>0.24578538975389558</c:v>
                </c:pt>
                <c:pt idx="222">
                  <c:v>0.35805172549300029</c:v>
                </c:pt>
                <c:pt idx="223">
                  <c:v>0.22927087717736222</c:v>
                </c:pt>
                <c:pt idx="224">
                  <c:v>0.22927087717736222</c:v>
                </c:pt>
                <c:pt idx="225">
                  <c:v>0.19258543478776632</c:v>
                </c:pt>
                <c:pt idx="226">
                  <c:v>0.38284862910950029</c:v>
                </c:pt>
                <c:pt idx="227">
                  <c:v>0.46616161059238054</c:v>
                </c:pt>
                <c:pt idx="228">
                  <c:v>0.20287515797358149</c:v>
                </c:pt>
                <c:pt idx="229">
                  <c:v>0.20287515797358149</c:v>
                </c:pt>
                <c:pt idx="230">
                  <c:v>0.20287515797358149</c:v>
                </c:pt>
                <c:pt idx="231">
                  <c:v>0.17636077592948032</c:v>
                </c:pt>
                <c:pt idx="232">
                  <c:v>0.23238027395669647</c:v>
                </c:pt>
                <c:pt idx="233">
                  <c:v>0.45433696354107478</c:v>
                </c:pt>
                <c:pt idx="234">
                  <c:v>0.45433696354107478</c:v>
                </c:pt>
                <c:pt idx="235">
                  <c:v>0.34194007223583128</c:v>
                </c:pt>
                <c:pt idx="236">
                  <c:v>0.23534348750262596</c:v>
                </c:pt>
                <c:pt idx="237">
                  <c:v>0.19539369570332912</c:v>
                </c:pt>
                <c:pt idx="238">
                  <c:v>0.19539369570332912</c:v>
                </c:pt>
                <c:pt idx="239">
                  <c:v>0.17368178910522999</c:v>
                </c:pt>
                <c:pt idx="240">
                  <c:v>0.18160342376646882</c:v>
                </c:pt>
                <c:pt idx="241">
                  <c:v>0.18160342376646882</c:v>
                </c:pt>
                <c:pt idx="242">
                  <c:v>0.19483396650891291</c:v>
                </c:pt>
                <c:pt idx="243">
                  <c:v>0.31009818360596042</c:v>
                </c:pt>
                <c:pt idx="244">
                  <c:v>0.23706930598290352</c:v>
                </c:pt>
                <c:pt idx="245">
                  <c:v>0.19929065825031614</c:v>
                </c:pt>
                <c:pt idx="246">
                  <c:v>0.73133667385102696</c:v>
                </c:pt>
                <c:pt idx="247">
                  <c:v>0.56731621090923567</c:v>
                </c:pt>
                <c:pt idx="248">
                  <c:v>0.30022326083024642</c:v>
                </c:pt>
                <c:pt idx="249">
                  <c:v>0.22655058400941189</c:v>
                </c:pt>
                <c:pt idx="250">
                  <c:v>0.22655058400941189</c:v>
                </c:pt>
                <c:pt idx="251">
                  <c:v>0.22655058400941189</c:v>
                </c:pt>
                <c:pt idx="252">
                  <c:v>0.36994680157854715</c:v>
                </c:pt>
                <c:pt idx="253">
                  <c:v>0.21703826290287637</c:v>
                </c:pt>
                <c:pt idx="254">
                  <c:v>0.49857188837701699</c:v>
                </c:pt>
                <c:pt idx="255">
                  <c:v>0.36223344160369442</c:v>
                </c:pt>
                <c:pt idx="256">
                  <c:v>0.19327396834142357</c:v>
                </c:pt>
                <c:pt idx="257">
                  <c:v>0.39030421928716602</c:v>
                </c:pt>
                <c:pt idx="258">
                  <c:v>0.57494033035627023</c:v>
                </c:pt>
                <c:pt idx="259">
                  <c:v>0.57494033035627023</c:v>
                </c:pt>
                <c:pt idx="260">
                  <c:v>0.23697175089151695</c:v>
                </c:pt>
                <c:pt idx="261">
                  <c:v>0.16746074690671153</c:v>
                </c:pt>
                <c:pt idx="262">
                  <c:v>0.17399752879649838</c:v>
                </c:pt>
                <c:pt idx="263">
                  <c:v>0.17399752879649838</c:v>
                </c:pt>
                <c:pt idx="264">
                  <c:v>0.17399752879649838</c:v>
                </c:pt>
                <c:pt idx="265">
                  <c:v>0.15591241554564628</c:v>
                </c:pt>
                <c:pt idx="266">
                  <c:v>0.15591241554564628</c:v>
                </c:pt>
                <c:pt idx="267">
                  <c:v>0.15591241554564628</c:v>
                </c:pt>
                <c:pt idx="268">
                  <c:v>0.21292644642305711</c:v>
                </c:pt>
                <c:pt idx="269">
                  <c:v>0.16186892794449068</c:v>
                </c:pt>
                <c:pt idx="270">
                  <c:v>0.15809126350807751</c:v>
                </c:pt>
                <c:pt idx="271">
                  <c:v>0.15809126350807751</c:v>
                </c:pt>
                <c:pt idx="272">
                  <c:v>0.15809126350807751</c:v>
                </c:pt>
                <c:pt idx="273">
                  <c:v>0.17128738131603019</c:v>
                </c:pt>
                <c:pt idx="274">
                  <c:v>0.17128738131603019</c:v>
                </c:pt>
                <c:pt idx="275">
                  <c:v>0.33066701698076767</c:v>
                </c:pt>
                <c:pt idx="276">
                  <c:v>0.33066701698076767</c:v>
                </c:pt>
                <c:pt idx="277">
                  <c:v>0.33066701698076767</c:v>
                </c:pt>
                <c:pt idx="278">
                  <c:v>0.33066701698076767</c:v>
                </c:pt>
                <c:pt idx="279">
                  <c:v>0.33066701698076767</c:v>
                </c:pt>
                <c:pt idx="280">
                  <c:v>0.34992512134678871</c:v>
                </c:pt>
                <c:pt idx="281">
                  <c:v>0.14073192181536454</c:v>
                </c:pt>
                <c:pt idx="282">
                  <c:v>0.14864991009180684</c:v>
                </c:pt>
                <c:pt idx="283">
                  <c:v>0.14864991009180684</c:v>
                </c:pt>
                <c:pt idx="284">
                  <c:v>0.13518757809058513</c:v>
                </c:pt>
                <c:pt idx="285">
                  <c:v>0.13518757809058513</c:v>
                </c:pt>
                <c:pt idx="286">
                  <c:v>0.13181660743608439</c:v>
                </c:pt>
                <c:pt idx="287">
                  <c:v>0.15347854558856697</c:v>
                </c:pt>
                <c:pt idx="288">
                  <c:v>0.15347854558856697</c:v>
                </c:pt>
                <c:pt idx="289">
                  <c:v>0.21436934224886314</c:v>
                </c:pt>
                <c:pt idx="290">
                  <c:v>0.21436934224886314</c:v>
                </c:pt>
                <c:pt idx="291">
                  <c:v>0.17270670441088076</c:v>
                </c:pt>
                <c:pt idx="292">
                  <c:v>0.1989835356121572</c:v>
                </c:pt>
                <c:pt idx="293">
                  <c:v>0.20060581100820996</c:v>
                </c:pt>
                <c:pt idx="294">
                  <c:v>0.14568495643481624</c:v>
                </c:pt>
                <c:pt idx="295">
                  <c:v>0.35985545408690833</c:v>
                </c:pt>
                <c:pt idx="296">
                  <c:v>0.15777419296864445</c:v>
                </c:pt>
                <c:pt idx="297">
                  <c:v>0.15777419296864445</c:v>
                </c:pt>
                <c:pt idx="298">
                  <c:v>0.15777419296864445</c:v>
                </c:pt>
                <c:pt idx="299">
                  <c:v>0.15777419296864445</c:v>
                </c:pt>
                <c:pt idx="300">
                  <c:v>0.19621232771192074</c:v>
                </c:pt>
                <c:pt idx="301">
                  <c:v>0.19621232771192074</c:v>
                </c:pt>
                <c:pt idx="302">
                  <c:v>0.19621232771192074</c:v>
                </c:pt>
                <c:pt idx="303">
                  <c:v>0.21224479207120098</c:v>
                </c:pt>
                <c:pt idx="304">
                  <c:v>0.21224479207120098</c:v>
                </c:pt>
                <c:pt idx="305">
                  <c:v>0.14579807926249447</c:v>
                </c:pt>
                <c:pt idx="306">
                  <c:v>0.15677927780019621</c:v>
                </c:pt>
                <c:pt idx="307">
                  <c:v>0.3685461027005652</c:v>
                </c:pt>
                <c:pt idx="308">
                  <c:v>0.3685461027005652</c:v>
                </c:pt>
                <c:pt idx="309">
                  <c:v>0.59092307445596537</c:v>
                </c:pt>
                <c:pt idx="310">
                  <c:v>0.42881561274370034</c:v>
                </c:pt>
                <c:pt idx="311">
                  <c:v>0.33744564592305171</c:v>
                </c:pt>
                <c:pt idx="312">
                  <c:v>0.33744564592305171</c:v>
                </c:pt>
                <c:pt idx="313">
                  <c:v>0.33744564592305171</c:v>
                </c:pt>
                <c:pt idx="314">
                  <c:v>0.21955246150649552</c:v>
                </c:pt>
                <c:pt idx="315">
                  <c:v>0.21955246150649552</c:v>
                </c:pt>
                <c:pt idx="316">
                  <c:v>0.21955246150649552</c:v>
                </c:pt>
                <c:pt idx="317">
                  <c:v>0.12796497978323523</c:v>
                </c:pt>
                <c:pt idx="318">
                  <c:v>0.12796497978323523</c:v>
                </c:pt>
                <c:pt idx="319">
                  <c:v>0.12796497978323523</c:v>
                </c:pt>
                <c:pt idx="320">
                  <c:v>0.12796497978323523</c:v>
                </c:pt>
                <c:pt idx="321">
                  <c:v>0.16210799753357283</c:v>
                </c:pt>
                <c:pt idx="322">
                  <c:v>0.16210799753357283</c:v>
                </c:pt>
                <c:pt idx="323">
                  <c:v>0.16210799753357283</c:v>
                </c:pt>
                <c:pt idx="324">
                  <c:v>0.16210799753357283</c:v>
                </c:pt>
                <c:pt idx="325">
                  <c:v>0.16210799753357283</c:v>
                </c:pt>
                <c:pt idx="326">
                  <c:v>0.2001000632475381</c:v>
                </c:pt>
                <c:pt idx="327">
                  <c:v>0.2001000632475381</c:v>
                </c:pt>
                <c:pt idx="328">
                  <c:v>0.2129617616974627</c:v>
                </c:pt>
                <c:pt idx="329">
                  <c:v>0.2129617616974627</c:v>
                </c:pt>
                <c:pt idx="330">
                  <c:v>0.22805237709377577</c:v>
                </c:pt>
                <c:pt idx="331">
                  <c:v>0.22805237709377577</c:v>
                </c:pt>
                <c:pt idx="332">
                  <c:v>0.14115429358611875</c:v>
                </c:pt>
                <c:pt idx="333">
                  <c:v>0.14115429358611875</c:v>
                </c:pt>
                <c:pt idx="334">
                  <c:v>0.14115429358611875</c:v>
                </c:pt>
                <c:pt idx="335">
                  <c:v>0.14115429358611875</c:v>
                </c:pt>
                <c:pt idx="336">
                  <c:v>0.15025871768621793</c:v>
                </c:pt>
                <c:pt idx="337">
                  <c:v>0.15025871768621793</c:v>
                </c:pt>
                <c:pt idx="338">
                  <c:v>0.15025871768621793</c:v>
                </c:pt>
                <c:pt idx="339">
                  <c:v>0.15025871768621793</c:v>
                </c:pt>
                <c:pt idx="340">
                  <c:v>0.28817942422344439</c:v>
                </c:pt>
                <c:pt idx="341">
                  <c:v>0.28817942422344439</c:v>
                </c:pt>
                <c:pt idx="342">
                  <c:v>0.1206598723195427</c:v>
                </c:pt>
                <c:pt idx="343">
                  <c:v>0.1206598723195427</c:v>
                </c:pt>
                <c:pt idx="344">
                  <c:v>0.1206598723195427</c:v>
                </c:pt>
                <c:pt idx="345">
                  <c:v>0.1206598723195427</c:v>
                </c:pt>
                <c:pt idx="346">
                  <c:v>0.1206598723195427</c:v>
                </c:pt>
                <c:pt idx="347">
                  <c:v>0.1206598723195427</c:v>
                </c:pt>
                <c:pt idx="348">
                  <c:v>0.1206598723195427</c:v>
                </c:pt>
                <c:pt idx="349">
                  <c:v>0.12531018224622953</c:v>
                </c:pt>
                <c:pt idx="350">
                  <c:v>0.12531018224622953</c:v>
                </c:pt>
                <c:pt idx="351">
                  <c:v>0.12531018224622953</c:v>
                </c:pt>
                <c:pt idx="352">
                  <c:v>0.12531018224622953</c:v>
                </c:pt>
                <c:pt idx="353">
                  <c:v>0.31361320459260039</c:v>
                </c:pt>
                <c:pt idx="354">
                  <c:v>0.19070233504227083</c:v>
                </c:pt>
                <c:pt idx="355">
                  <c:v>0.13159096623779415</c:v>
                </c:pt>
                <c:pt idx="356">
                  <c:v>0.13159096623779415</c:v>
                </c:pt>
                <c:pt idx="357">
                  <c:v>0.16298128908645851</c:v>
                </c:pt>
                <c:pt idx="358">
                  <c:v>0.16298128908645851</c:v>
                </c:pt>
                <c:pt idx="359">
                  <c:v>0.16298128908645851</c:v>
                </c:pt>
                <c:pt idx="360">
                  <c:v>0.15436562249652341</c:v>
                </c:pt>
                <c:pt idx="361">
                  <c:v>0.11364965974695858</c:v>
                </c:pt>
                <c:pt idx="362">
                  <c:v>0.12462103217283831</c:v>
                </c:pt>
                <c:pt idx="363">
                  <c:v>0.12462103217283831</c:v>
                </c:pt>
                <c:pt idx="364">
                  <c:v>0.12462103217283831</c:v>
                </c:pt>
                <c:pt idx="365">
                  <c:v>0.24660200286432624</c:v>
                </c:pt>
                <c:pt idx="366">
                  <c:v>0.24660200286432624</c:v>
                </c:pt>
                <c:pt idx="367">
                  <c:v>0.21772650957755052</c:v>
                </c:pt>
                <c:pt idx="368">
                  <c:v>0.11908730940421977</c:v>
                </c:pt>
                <c:pt idx="369">
                  <c:v>0.14002419954048215</c:v>
                </c:pt>
                <c:pt idx="370">
                  <c:v>0.13593450967403004</c:v>
                </c:pt>
                <c:pt idx="371">
                  <c:v>0.12579984043636389</c:v>
                </c:pt>
                <c:pt idx="372">
                  <c:v>0.12579984043636389</c:v>
                </c:pt>
                <c:pt idx="373">
                  <c:v>0.11172975843515418</c:v>
                </c:pt>
                <c:pt idx="374">
                  <c:v>0.11172975843515418</c:v>
                </c:pt>
                <c:pt idx="375">
                  <c:v>0.11172975843515418</c:v>
                </c:pt>
                <c:pt idx="376">
                  <c:v>0.11172975843515418</c:v>
                </c:pt>
                <c:pt idx="377">
                  <c:v>0.11172975843515418</c:v>
                </c:pt>
                <c:pt idx="378">
                  <c:v>0.11172975843515418</c:v>
                </c:pt>
                <c:pt idx="379">
                  <c:v>0.50292412509614914</c:v>
                </c:pt>
                <c:pt idx="380">
                  <c:v>0.40901664002110627</c:v>
                </c:pt>
                <c:pt idx="381">
                  <c:v>0.43370703930991628</c:v>
                </c:pt>
                <c:pt idx="382">
                  <c:v>0.44336925287823481</c:v>
                </c:pt>
                <c:pt idx="383">
                  <c:v>0.10418173531215758</c:v>
                </c:pt>
                <c:pt idx="384">
                  <c:v>0.1048762493029835</c:v>
                </c:pt>
                <c:pt idx="385">
                  <c:v>0.1048762493029835</c:v>
                </c:pt>
                <c:pt idx="386">
                  <c:v>0.27916439998642223</c:v>
                </c:pt>
                <c:pt idx="387">
                  <c:v>0.27916439998642223</c:v>
                </c:pt>
                <c:pt idx="388">
                  <c:v>0.10143070174423111</c:v>
                </c:pt>
                <c:pt idx="389">
                  <c:v>0.11600773664236576</c:v>
                </c:pt>
                <c:pt idx="390">
                  <c:v>0.20177682616836903</c:v>
                </c:pt>
                <c:pt idx="391">
                  <c:v>0.20177682616836903</c:v>
                </c:pt>
                <c:pt idx="392">
                  <c:v>0.17703811579928869</c:v>
                </c:pt>
                <c:pt idx="393">
                  <c:v>0.17703811579928869</c:v>
                </c:pt>
                <c:pt idx="394">
                  <c:v>0.16719468371527238</c:v>
                </c:pt>
                <c:pt idx="395">
                  <c:v>0.12136567598767614</c:v>
                </c:pt>
                <c:pt idx="396">
                  <c:v>0.12136567598767614</c:v>
                </c:pt>
                <c:pt idx="397">
                  <c:v>0.12136567598767614</c:v>
                </c:pt>
                <c:pt idx="398">
                  <c:v>0.12136567598767614</c:v>
                </c:pt>
                <c:pt idx="399">
                  <c:v>0.12136567598767614</c:v>
                </c:pt>
                <c:pt idx="400">
                  <c:v>0.19443721401937011</c:v>
                </c:pt>
                <c:pt idx="401">
                  <c:v>0.19443721401937011</c:v>
                </c:pt>
                <c:pt idx="402">
                  <c:v>9.7810628567429031E-2</c:v>
                </c:pt>
                <c:pt idx="403">
                  <c:v>9.7810628567429031E-2</c:v>
                </c:pt>
                <c:pt idx="404">
                  <c:v>9.7491288899526213E-2</c:v>
                </c:pt>
                <c:pt idx="405">
                  <c:v>0.15612000780956239</c:v>
                </c:pt>
                <c:pt idx="406">
                  <c:v>0.15612000780956239</c:v>
                </c:pt>
                <c:pt idx="407">
                  <c:v>0.26771707567980207</c:v>
                </c:pt>
                <c:pt idx="408">
                  <c:v>0.14276349661533716</c:v>
                </c:pt>
                <c:pt idx="409">
                  <c:v>0.14276349661533716</c:v>
                </c:pt>
                <c:pt idx="410">
                  <c:v>0.14276349661533716</c:v>
                </c:pt>
                <c:pt idx="411">
                  <c:v>0.14276349661533716</c:v>
                </c:pt>
                <c:pt idx="412">
                  <c:v>0.16728058845185798</c:v>
                </c:pt>
                <c:pt idx="413">
                  <c:v>0.16728058845185798</c:v>
                </c:pt>
                <c:pt idx="414">
                  <c:v>0.16728058845185798</c:v>
                </c:pt>
                <c:pt idx="415">
                  <c:v>0.16728058845185798</c:v>
                </c:pt>
                <c:pt idx="416">
                  <c:v>9.7341669169699482E-2</c:v>
                </c:pt>
                <c:pt idx="417">
                  <c:v>0.21840633655934344</c:v>
                </c:pt>
                <c:pt idx="418">
                  <c:v>0.21840633655934344</c:v>
                </c:pt>
                <c:pt idx="419">
                  <c:v>0.21840633655934344</c:v>
                </c:pt>
                <c:pt idx="420">
                  <c:v>0.28036708625303941</c:v>
                </c:pt>
                <c:pt idx="421">
                  <c:v>0.27951889961677545</c:v>
                </c:pt>
                <c:pt idx="422">
                  <c:v>8.9467855117964623E-2</c:v>
                </c:pt>
                <c:pt idx="423">
                  <c:v>8.9467855117964623E-2</c:v>
                </c:pt>
                <c:pt idx="424">
                  <c:v>8.0523272915453289E-2</c:v>
                </c:pt>
                <c:pt idx="425">
                  <c:v>8.0523272915453289E-2</c:v>
                </c:pt>
                <c:pt idx="426">
                  <c:v>0.28052779608657447</c:v>
                </c:pt>
                <c:pt idx="427">
                  <c:v>0.23634273130912498</c:v>
                </c:pt>
                <c:pt idx="428">
                  <c:v>7.2469778632103618E-2</c:v>
                </c:pt>
                <c:pt idx="429">
                  <c:v>8.0344211706759275E-2</c:v>
                </c:pt>
                <c:pt idx="430">
                  <c:v>8.0344211706759275E-2</c:v>
                </c:pt>
                <c:pt idx="431">
                  <c:v>8.0344211706759275E-2</c:v>
                </c:pt>
                <c:pt idx="432">
                  <c:v>8.0344211706759275E-2</c:v>
                </c:pt>
                <c:pt idx="433">
                  <c:v>8.0344211706759275E-2</c:v>
                </c:pt>
                <c:pt idx="434">
                  <c:v>8.0344211706759275E-2</c:v>
                </c:pt>
                <c:pt idx="435">
                  <c:v>8.0344211706759275E-2</c:v>
                </c:pt>
                <c:pt idx="436">
                  <c:v>8.3969248730216522E-2</c:v>
                </c:pt>
                <c:pt idx="437">
                  <c:v>8.3969248730216522E-2</c:v>
                </c:pt>
                <c:pt idx="438">
                  <c:v>8.3969248730216522E-2</c:v>
                </c:pt>
                <c:pt idx="439">
                  <c:v>8.3969248730216522E-2</c:v>
                </c:pt>
                <c:pt idx="440">
                  <c:v>0.27486140126077258</c:v>
                </c:pt>
                <c:pt idx="441">
                  <c:v>0.27486140126077258</c:v>
                </c:pt>
                <c:pt idx="442">
                  <c:v>0.27486140126077258</c:v>
                </c:pt>
                <c:pt idx="443">
                  <c:v>0.11193056271955079</c:v>
                </c:pt>
                <c:pt idx="444">
                  <c:v>0.10853761926164077</c:v>
                </c:pt>
                <c:pt idx="445">
                  <c:v>0.10853761926164077</c:v>
                </c:pt>
                <c:pt idx="446">
                  <c:v>0.10853761926164077</c:v>
                </c:pt>
                <c:pt idx="447">
                  <c:v>0.10853761926164077</c:v>
                </c:pt>
                <c:pt idx="448">
                  <c:v>7.9317638773567692E-2</c:v>
                </c:pt>
                <c:pt idx="449">
                  <c:v>7.9317638773567692E-2</c:v>
                </c:pt>
                <c:pt idx="450">
                  <c:v>7.9317638773567692E-2</c:v>
                </c:pt>
                <c:pt idx="451">
                  <c:v>7.9317638773567692E-2</c:v>
                </c:pt>
                <c:pt idx="452">
                  <c:v>0.15274777616137536</c:v>
                </c:pt>
                <c:pt idx="453">
                  <c:v>0.15274777616137536</c:v>
                </c:pt>
                <c:pt idx="454">
                  <c:v>7.9659153485867426E-2</c:v>
                </c:pt>
                <c:pt idx="455">
                  <c:v>7.9659153485867426E-2</c:v>
                </c:pt>
                <c:pt idx="456">
                  <c:v>7.9659153485867426E-2</c:v>
                </c:pt>
                <c:pt idx="457">
                  <c:v>0.26143358813575995</c:v>
                </c:pt>
                <c:pt idx="458">
                  <c:v>7.2656651876511671E-2</c:v>
                </c:pt>
                <c:pt idx="459">
                  <c:v>0.18071808842600462</c:v>
                </c:pt>
                <c:pt idx="460">
                  <c:v>0.18071808842600462</c:v>
                </c:pt>
                <c:pt idx="461">
                  <c:v>0.2747567287636411</c:v>
                </c:pt>
                <c:pt idx="462">
                  <c:v>0.111335191054034</c:v>
                </c:pt>
                <c:pt idx="463">
                  <c:v>0.12858005333696015</c:v>
                </c:pt>
                <c:pt idx="464">
                  <c:v>0.12858005333696015</c:v>
                </c:pt>
                <c:pt idx="465">
                  <c:v>9.044986617939807E-2</c:v>
                </c:pt>
                <c:pt idx="466">
                  <c:v>9.044986617939807E-2</c:v>
                </c:pt>
                <c:pt idx="467">
                  <c:v>9.044986617939807E-2</c:v>
                </c:pt>
                <c:pt idx="468">
                  <c:v>9.044986617939807E-2</c:v>
                </c:pt>
                <c:pt idx="469">
                  <c:v>9.044986617939807E-2</c:v>
                </c:pt>
                <c:pt idx="470">
                  <c:v>9.044986617939807E-2</c:v>
                </c:pt>
                <c:pt idx="471">
                  <c:v>9.044986617939807E-2</c:v>
                </c:pt>
                <c:pt idx="472">
                  <c:v>9.044986617939807E-2</c:v>
                </c:pt>
                <c:pt idx="473">
                  <c:v>0.10118370304193611</c:v>
                </c:pt>
                <c:pt idx="474">
                  <c:v>0.10118370304193611</c:v>
                </c:pt>
                <c:pt idx="475">
                  <c:v>0.10118370304193611</c:v>
                </c:pt>
                <c:pt idx="476">
                  <c:v>9.8190273825729785E-2</c:v>
                </c:pt>
                <c:pt idx="477">
                  <c:v>9.8190273825729785E-2</c:v>
                </c:pt>
                <c:pt idx="478">
                  <c:v>9.8190273825729785E-2</c:v>
                </c:pt>
                <c:pt idx="479">
                  <c:v>9.8190273825729785E-2</c:v>
                </c:pt>
                <c:pt idx="480">
                  <c:v>0.20562878916489272</c:v>
                </c:pt>
                <c:pt idx="481">
                  <c:v>0.20562878916489272</c:v>
                </c:pt>
                <c:pt idx="482">
                  <c:v>0.20562878916489272</c:v>
                </c:pt>
                <c:pt idx="483">
                  <c:v>0.2344376690649296</c:v>
                </c:pt>
                <c:pt idx="484">
                  <c:v>8.783219016958374E-2</c:v>
                </c:pt>
                <c:pt idx="485">
                  <c:v>7.3361976429797013E-2</c:v>
                </c:pt>
                <c:pt idx="486">
                  <c:v>7.3361976429797013E-2</c:v>
                </c:pt>
                <c:pt idx="487">
                  <c:v>7.3361976429797013E-2</c:v>
                </c:pt>
                <c:pt idx="488">
                  <c:v>7.3361976429797013E-2</c:v>
                </c:pt>
                <c:pt idx="489">
                  <c:v>7.3361976429797013E-2</c:v>
                </c:pt>
                <c:pt idx="490">
                  <c:v>0.1975708209495104</c:v>
                </c:pt>
                <c:pt idx="491">
                  <c:v>0.2936422109203819</c:v>
                </c:pt>
                <c:pt idx="492">
                  <c:v>0.18946735150801991</c:v>
                </c:pt>
                <c:pt idx="493">
                  <c:v>0.18946735150801991</c:v>
                </c:pt>
                <c:pt idx="494">
                  <c:v>0.13190751139949167</c:v>
                </c:pt>
                <c:pt idx="495">
                  <c:v>0.13190751139949167</c:v>
                </c:pt>
                <c:pt idx="496">
                  <c:v>7.012878734805221E-2</c:v>
                </c:pt>
                <c:pt idx="497">
                  <c:v>6.3035183141693235E-2</c:v>
                </c:pt>
                <c:pt idx="498">
                  <c:v>6.3035183141693235E-2</c:v>
                </c:pt>
                <c:pt idx="499">
                  <c:v>6.3035183141693235E-2</c:v>
                </c:pt>
                <c:pt idx="500">
                  <c:v>8.2462559314861919E-2</c:v>
                </c:pt>
                <c:pt idx="501">
                  <c:v>7.4430911275558509E-2</c:v>
                </c:pt>
                <c:pt idx="502">
                  <c:v>7.4430911275558509E-2</c:v>
                </c:pt>
                <c:pt idx="503">
                  <c:v>7.4430911275558509E-2</c:v>
                </c:pt>
                <c:pt idx="504">
                  <c:v>7.4430911275558509E-2</c:v>
                </c:pt>
                <c:pt idx="505">
                  <c:v>8.4740878892343635E-2</c:v>
                </c:pt>
                <c:pt idx="506">
                  <c:v>8.4740878892343635E-2</c:v>
                </c:pt>
                <c:pt idx="507">
                  <c:v>8.4740878892343635E-2</c:v>
                </c:pt>
                <c:pt idx="508">
                  <c:v>8.4740878892343635E-2</c:v>
                </c:pt>
                <c:pt idx="509">
                  <c:v>0.14125102203258</c:v>
                </c:pt>
                <c:pt idx="510">
                  <c:v>0.14125102203258</c:v>
                </c:pt>
                <c:pt idx="511">
                  <c:v>0.14125102203258</c:v>
                </c:pt>
                <c:pt idx="512">
                  <c:v>6.1643221295633613E-2</c:v>
                </c:pt>
                <c:pt idx="513">
                  <c:v>6.1643221295633613E-2</c:v>
                </c:pt>
                <c:pt idx="514">
                  <c:v>6.1643221295633613E-2</c:v>
                </c:pt>
                <c:pt idx="515">
                  <c:v>6.1643221295633613E-2</c:v>
                </c:pt>
                <c:pt idx="516">
                  <c:v>6.1643221295633613E-2</c:v>
                </c:pt>
                <c:pt idx="517">
                  <c:v>6.1643221295633613E-2</c:v>
                </c:pt>
                <c:pt idx="518">
                  <c:v>6.1643221295633613E-2</c:v>
                </c:pt>
                <c:pt idx="519">
                  <c:v>6.1643221295633613E-2</c:v>
                </c:pt>
                <c:pt idx="520">
                  <c:v>0.28339608830619512</c:v>
                </c:pt>
                <c:pt idx="521">
                  <c:v>0.16636767313051268</c:v>
                </c:pt>
                <c:pt idx="522">
                  <c:v>0.16636767313051268</c:v>
                </c:pt>
                <c:pt idx="523">
                  <c:v>0.26870380487984735</c:v>
                </c:pt>
                <c:pt idx="524">
                  <c:v>0.26870380487984735</c:v>
                </c:pt>
                <c:pt idx="525">
                  <c:v>0.26287559936342686</c:v>
                </c:pt>
                <c:pt idx="526">
                  <c:v>0.26287559936342686</c:v>
                </c:pt>
                <c:pt idx="527">
                  <c:v>0.31927630598480983</c:v>
                </c:pt>
                <c:pt idx="528">
                  <c:v>0.13993222351703874</c:v>
                </c:pt>
                <c:pt idx="529">
                  <c:v>0.28915564074171607</c:v>
                </c:pt>
                <c:pt idx="530">
                  <c:v>0.30502438609997362</c:v>
                </c:pt>
                <c:pt idx="531">
                  <c:v>0.28935241142806989</c:v>
                </c:pt>
                <c:pt idx="532">
                  <c:v>0.16266911605809981</c:v>
                </c:pt>
                <c:pt idx="533">
                  <c:v>0.13441593562836124</c:v>
                </c:pt>
                <c:pt idx="534">
                  <c:v>0.13441593562836124</c:v>
                </c:pt>
                <c:pt idx="535">
                  <c:v>0.13441593562836124</c:v>
                </c:pt>
                <c:pt idx="536">
                  <c:v>0.13441593562836124</c:v>
                </c:pt>
                <c:pt idx="537">
                  <c:v>0.13441593562836124</c:v>
                </c:pt>
                <c:pt idx="538">
                  <c:v>6.5856107212448847E-2</c:v>
                </c:pt>
                <c:pt idx="539">
                  <c:v>6.2356798463563394E-2</c:v>
                </c:pt>
                <c:pt idx="540">
                  <c:v>6.2356798463563394E-2</c:v>
                </c:pt>
                <c:pt idx="541">
                  <c:v>0.11692510714881127</c:v>
                </c:pt>
                <c:pt idx="542">
                  <c:v>0.11692510714881127</c:v>
                </c:pt>
                <c:pt idx="543">
                  <c:v>0.17012747314129312</c:v>
                </c:pt>
                <c:pt idx="544">
                  <c:v>0.17012747314129312</c:v>
                </c:pt>
                <c:pt idx="545">
                  <c:v>0.11600089758285244</c:v>
                </c:pt>
                <c:pt idx="546">
                  <c:v>0.11600089758285244</c:v>
                </c:pt>
                <c:pt idx="547">
                  <c:v>0.11600089758285244</c:v>
                </c:pt>
                <c:pt idx="548">
                  <c:v>8.5186937698172122E-2</c:v>
                </c:pt>
                <c:pt idx="549">
                  <c:v>9.8356195927314038E-2</c:v>
                </c:pt>
                <c:pt idx="550">
                  <c:v>9.8356195927314038E-2</c:v>
                </c:pt>
                <c:pt idx="551">
                  <c:v>6.0026625934562587E-2</c:v>
                </c:pt>
                <c:pt idx="552">
                  <c:v>6.0026625934562587E-2</c:v>
                </c:pt>
                <c:pt idx="553">
                  <c:v>9.3955011434066107E-2</c:v>
                </c:pt>
                <c:pt idx="554">
                  <c:v>9.3955011434066107E-2</c:v>
                </c:pt>
                <c:pt idx="555">
                  <c:v>9.3955011434066107E-2</c:v>
                </c:pt>
                <c:pt idx="556">
                  <c:v>9.3955011434066107E-2</c:v>
                </c:pt>
                <c:pt idx="557">
                  <c:v>9.3955011434066107E-2</c:v>
                </c:pt>
                <c:pt idx="558">
                  <c:v>9.3955011434066107E-2</c:v>
                </c:pt>
                <c:pt idx="559">
                  <c:v>9.3955011434066107E-2</c:v>
                </c:pt>
                <c:pt idx="560">
                  <c:v>9.3955011434066107E-2</c:v>
                </c:pt>
                <c:pt idx="561">
                  <c:v>5.7649472858059242E-2</c:v>
                </c:pt>
                <c:pt idx="562">
                  <c:v>5.7649472858059242E-2</c:v>
                </c:pt>
                <c:pt idx="563">
                  <c:v>5.7649472858059242E-2</c:v>
                </c:pt>
                <c:pt idx="564">
                  <c:v>5.7649472858059242E-2</c:v>
                </c:pt>
                <c:pt idx="565">
                  <c:v>6.6413066862594239E-2</c:v>
                </c:pt>
                <c:pt idx="566">
                  <c:v>0.10834477792914333</c:v>
                </c:pt>
                <c:pt idx="567">
                  <c:v>0.10834477792914333</c:v>
                </c:pt>
                <c:pt idx="568">
                  <c:v>6.37836229177106E-2</c:v>
                </c:pt>
                <c:pt idx="569">
                  <c:v>7.5939434641445966E-2</c:v>
                </c:pt>
                <c:pt idx="570">
                  <c:v>6.1236624818623436E-2</c:v>
                </c:pt>
                <c:pt idx="571">
                  <c:v>6.1236624818623436E-2</c:v>
                </c:pt>
                <c:pt idx="572">
                  <c:v>6.1236624818623436E-2</c:v>
                </c:pt>
                <c:pt idx="573">
                  <c:v>5.7294322677570869E-2</c:v>
                </c:pt>
                <c:pt idx="574">
                  <c:v>5.7294322677570869E-2</c:v>
                </c:pt>
                <c:pt idx="575">
                  <c:v>0.11273221570544291</c:v>
                </c:pt>
                <c:pt idx="576">
                  <c:v>0.11273221570544291</c:v>
                </c:pt>
                <c:pt idx="577">
                  <c:v>0.11273221570544291</c:v>
                </c:pt>
                <c:pt idx="578">
                  <c:v>0.11261013459378193</c:v>
                </c:pt>
                <c:pt idx="579">
                  <c:v>0.11261013459378193</c:v>
                </c:pt>
                <c:pt idx="580">
                  <c:v>0.11261013459378193</c:v>
                </c:pt>
                <c:pt idx="581">
                  <c:v>7.5327116822232768E-2</c:v>
                </c:pt>
                <c:pt idx="582">
                  <c:v>6.4163370665263855E-2</c:v>
                </c:pt>
                <c:pt idx="583">
                  <c:v>0.10345556367560343</c:v>
                </c:pt>
                <c:pt idx="584">
                  <c:v>0.10345556367560343</c:v>
                </c:pt>
                <c:pt idx="585">
                  <c:v>6.2982547005370981E-2</c:v>
                </c:pt>
                <c:pt idx="586">
                  <c:v>6.0763899620965872E-2</c:v>
                </c:pt>
                <c:pt idx="587">
                  <c:v>6.0763899620965872E-2</c:v>
                </c:pt>
                <c:pt idx="588">
                  <c:v>0.22485307844972202</c:v>
                </c:pt>
                <c:pt idx="589">
                  <c:v>7.2570894852805087E-2</c:v>
                </c:pt>
                <c:pt idx="590">
                  <c:v>6.7603279059944427E-2</c:v>
                </c:pt>
                <c:pt idx="591">
                  <c:v>6.7603279059944427E-2</c:v>
                </c:pt>
                <c:pt idx="592">
                  <c:v>6.7603279059944427E-2</c:v>
                </c:pt>
                <c:pt idx="593">
                  <c:v>6.7603279059944427E-2</c:v>
                </c:pt>
                <c:pt idx="594">
                  <c:v>6.7603279059944427E-2</c:v>
                </c:pt>
                <c:pt idx="595">
                  <c:v>6.7603279059944427E-2</c:v>
                </c:pt>
                <c:pt idx="596">
                  <c:v>6.7603279059944427E-2</c:v>
                </c:pt>
                <c:pt idx="597">
                  <c:v>6.7603279059944427E-2</c:v>
                </c:pt>
                <c:pt idx="598">
                  <c:v>0.12014513226762044</c:v>
                </c:pt>
                <c:pt idx="599">
                  <c:v>9.3338155961434383E-2</c:v>
                </c:pt>
                <c:pt idx="600">
                  <c:v>9.3338155961434383E-2</c:v>
                </c:pt>
                <c:pt idx="601">
                  <c:v>7.4123640605331317E-2</c:v>
                </c:pt>
                <c:pt idx="602">
                  <c:v>0.27523377597768967</c:v>
                </c:pt>
                <c:pt idx="603">
                  <c:v>0.26887958257074479</c:v>
                </c:pt>
                <c:pt idx="604">
                  <c:v>0.26887958257074479</c:v>
                </c:pt>
                <c:pt idx="605">
                  <c:v>0.18760229255235369</c:v>
                </c:pt>
                <c:pt idx="606">
                  <c:v>0.18760229255235369</c:v>
                </c:pt>
                <c:pt idx="607">
                  <c:v>0.18760229255235369</c:v>
                </c:pt>
                <c:pt idx="608">
                  <c:v>7.451836425473457E-2</c:v>
                </c:pt>
                <c:pt idx="609">
                  <c:v>7.451836425473457E-2</c:v>
                </c:pt>
                <c:pt idx="610">
                  <c:v>6.1715421647557646E-2</c:v>
                </c:pt>
                <c:pt idx="611">
                  <c:v>6.1715421647557646E-2</c:v>
                </c:pt>
                <c:pt idx="612">
                  <c:v>0.32529303512553642</c:v>
                </c:pt>
                <c:pt idx="613">
                  <c:v>0.25638974318051599</c:v>
                </c:pt>
                <c:pt idx="614">
                  <c:v>5.9357170918898056E-2</c:v>
                </c:pt>
                <c:pt idx="615">
                  <c:v>5.9357170918898056E-2</c:v>
                </c:pt>
                <c:pt idx="616">
                  <c:v>0.13414196804661704</c:v>
                </c:pt>
                <c:pt idx="617">
                  <c:v>6.3139962840982666E-2</c:v>
                </c:pt>
                <c:pt idx="618">
                  <c:v>6.3139962840982666E-2</c:v>
                </c:pt>
                <c:pt idx="619">
                  <c:v>0.11209947832065703</c:v>
                </c:pt>
                <c:pt idx="620">
                  <c:v>0.11209947832065703</c:v>
                </c:pt>
                <c:pt idx="621">
                  <c:v>0.11209947832065703</c:v>
                </c:pt>
                <c:pt idx="622">
                  <c:v>0.12009900851297391</c:v>
                </c:pt>
                <c:pt idx="623">
                  <c:v>0.22423675653548952</c:v>
                </c:pt>
                <c:pt idx="624">
                  <c:v>0.22423675653548952</c:v>
                </c:pt>
                <c:pt idx="625">
                  <c:v>0.22383448665452299</c:v>
                </c:pt>
                <c:pt idx="626">
                  <c:v>0.22383448665452299</c:v>
                </c:pt>
                <c:pt idx="627">
                  <c:v>0.11103978079735433</c:v>
                </c:pt>
                <c:pt idx="628">
                  <c:v>6.5401232301253873E-2</c:v>
                </c:pt>
                <c:pt idx="629">
                  <c:v>0.12664638892715258</c:v>
                </c:pt>
                <c:pt idx="630">
                  <c:v>0.12664638892715258</c:v>
                </c:pt>
                <c:pt idx="631">
                  <c:v>0.12664638892715258</c:v>
                </c:pt>
                <c:pt idx="632">
                  <c:v>0.12664638892715258</c:v>
                </c:pt>
                <c:pt idx="633">
                  <c:v>0.12664638892715258</c:v>
                </c:pt>
                <c:pt idx="634">
                  <c:v>0.29076988180079472</c:v>
                </c:pt>
                <c:pt idx="635">
                  <c:v>6.169059446314365E-2</c:v>
                </c:pt>
                <c:pt idx="636">
                  <c:v>0.21219688247735499</c:v>
                </c:pt>
                <c:pt idx="637">
                  <c:v>0.21219688247735499</c:v>
                </c:pt>
                <c:pt idx="638">
                  <c:v>8.2527424418409795E-2</c:v>
                </c:pt>
                <c:pt idx="639">
                  <c:v>6.0942851052476335E-2</c:v>
                </c:pt>
                <c:pt idx="640">
                  <c:v>6.0942851052476335E-2</c:v>
                </c:pt>
                <c:pt idx="641">
                  <c:v>6.0942851052476335E-2</c:v>
                </c:pt>
                <c:pt idx="642">
                  <c:v>7.97036116894803E-2</c:v>
                </c:pt>
                <c:pt idx="643">
                  <c:v>0.13734435028305403</c:v>
                </c:pt>
                <c:pt idx="644">
                  <c:v>0.13734435028305403</c:v>
                </c:pt>
                <c:pt idx="645">
                  <c:v>0.10548172940516461</c:v>
                </c:pt>
                <c:pt idx="646">
                  <c:v>0.10548172940516461</c:v>
                </c:pt>
                <c:pt idx="647">
                  <c:v>6.4757453683876046E-2</c:v>
                </c:pt>
                <c:pt idx="648">
                  <c:v>6.4757453683876046E-2</c:v>
                </c:pt>
                <c:pt idx="649">
                  <c:v>5.9168253730439699E-2</c:v>
                </c:pt>
                <c:pt idx="650">
                  <c:v>5.9168253730439699E-2</c:v>
                </c:pt>
                <c:pt idx="651">
                  <c:v>6.4121247151933056E-2</c:v>
                </c:pt>
                <c:pt idx="652">
                  <c:v>6.4121247151933056E-2</c:v>
                </c:pt>
                <c:pt idx="653">
                  <c:v>5.7026787645337904E-2</c:v>
                </c:pt>
                <c:pt idx="654">
                  <c:v>5.7026787645337904E-2</c:v>
                </c:pt>
                <c:pt idx="655">
                  <c:v>6.4787013273528996E-2</c:v>
                </c:pt>
                <c:pt idx="656">
                  <c:v>6.4787013273528996E-2</c:v>
                </c:pt>
                <c:pt idx="657">
                  <c:v>6.4787013273528996E-2</c:v>
                </c:pt>
                <c:pt idx="658">
                  <c:v>6.4787013273528996E-2</c:v>
                </c:pt>
                <c:pt idx="659">
                  <c:v>6.4787013273528996E-2</c:v>
                </c:pt>
                <c:pt idx="660">
                  <c:v>6.4787013273528996E-2</c:v>
                </c:pt>
                <c:pt idx="661">
                  <c:v>6.4787013273528996E-2</c:v>
                </c:pt>
                <c:pt idx="662">
                  <c:v>6.4787013273528996E-2</c:v>
                </c:pt>
                <c:pt idx="663">
                  <c:v>6.4787013273528996E-2</c:v>
                </c:pt>
                <c:pt idx="664">
                  <c:v>6.4787013273528996E-2</c:v>
                </c:pt>
                <c:pt idx="665">
                  <c:v>6.4787013273528996E-2</c:v>
                </c:pt>
                <c:pt idx="666">
                  <c:v>6.4787013273528996E-2</c:v>
                </c:pt>
                <c:pt idx="667">
                  <c:v>6.4787013273528996E-2</c:v>
                </c:pt>
                <c:pt idx="668">
                  <c:v>9.3894164880615194E-2</c:v>
                </c:pt>
                <c:pt idx="669">
                  <c:v>6.2238233372398796E-2</c:v>
                </c:pt>
                <c:pt idx="670">
                  <c:v>6.2238233372398796E-2</c:v>
                </c:pt>
                <c:pt idx="671">
                  <c:v>0.12180507431831362</c:v>
                </c:pt>
                <c:pt idx="672">
                  <c:v>6.9306472459194232E-2</c:v>
                </c:pt>
                <c:pt idx="673">
                  <c:v>6.9306472459194232E-2</c:v>
                </c:pt>
                <c:pt idx="674">
                  <c:v>6.3604848728094035E-2</c:v>
                </c:pt>
                <c:pt idx="675">
                  <c:v>6.3604848728094035E-2</c:v>
                </c:pt>
                <c:pt idx="676">
                  <c:v>6.3604848728094035E-2</c:v>
                </c:pt>
                <c:pt idx="677">
                  <c:v>0.40260029290294175</c:v>
                </c:pt>
                <c:pt idx="678">
                  <c:v>0.40260029290294175</c:v>
                </c:pt>
                <c:pt idx="679">
                  <c:v>0.22947278159898268</c:v>
                </c:pt>
                <c:pt idx="680">
                  <c:v>0.26495814965822506</c:v>
                </c:pt>
                <c:pt idx="681">
                  <c:v>0.30782701269944424</c:v>
                </c:pt>
                <c:pt idx="682">
                  <c:v>0.17018671938608981</c:v>
                </c:pt>
                <c:pt idx="683">
                  <c:v>0.17018671938608981</c:v>
                </c:pt>
                <c:pt idx="684">
                  <c:v>0.17018671938608981</c:v>
                </c:pt>
                <c:pt idx="685">
                  <c:v>0.13628182852355822</c:v>
                </c:pt>
                <c:pt idx="686">
                  <c:v>7.6753113162656553E-2</c:v>
                </c:pt>
                <c:pt idx="687">
                  <c:v>7.6753113162656553E-2</c:v>
                </c:pt>
                <c:pt idx="688">
                  <c:v>6.2051386734246206E-2</c:v>
                </c:pt>
                <c:pt idx="689">
                  <c:v>6.2051386734246206E-2</c:v>
                </c:pt>
                <c:pt idx="690">
                  <c:v>0.10652237936254484</c:v>
                </c:pt>
                <c:pt idx="691">
                  <c:v>0.10652237936254484</c:v>
                </c:pt>
                <c:pt idx="692">
                  <c:v>0.10652237936254484</c:v>
                </c:pt>
                <c:pt idx="693">
                  <c:v>0.10652237936254484</c:v>
                </c:pt>
                <c:pt idx="694">
                  <c:v>0.22024749810135241</c:v>
                </c:pt>
                <c:pt idx="695">
                  <c:v>0.22024749810135241</c:v>
                </c:pt>
                <c:pt idx="696">
                  <c:v>0.32000542317173503</c:v>
                </c:pt>
                <c:pt idx="697">
                  <c:v>0.32000542317173503</c:v>
                </c:pt>
                <c:pt idx="698">
                  <c:v>0.24364449872747071</c:v>
                </c:pt>
                <c:pt idx="699">
                  <c:v>0.13356410222933376</c:v>
                </c:pt>
                <c:pt idx="700">
                  <c:v>0.13356410222933376</c:v>
                </c:pt>
                <c:pt idx="701">
                  <c:v>0.17833168664080443</c:v>
                </c:pt>
                <c:pt idx="702">
                  <c:v>6.1534710158285523E-2</c:v>
                </c:pt>
                <c:pt idx="703">
                  <c:v>6.1534710158285523E-2</c:v>
                </c:pt>
                <c:pt idx="704">
                  <c:v>0.13669034875120673</c:v>
                </c:pt>
                <c:pt idx="705">
                  <c:v>7.013091393153148E-2</c:v>
                </c:pt>
                <c:pt idx="706">
                  <c:v>7.013091393153148E-2</c:v>
                </c:pt>
                <c:pt idx="707">
                  <c:v>7.013091393153148E-2</c:v>
                </c:pt>
                <c:pt idx="708">
                  <c:v>6.7615032586887072E-2</c:v>
                </c:pt>
                <c:pt idx="709">
                  <c:v>6.7615032586887072E-2</c:v>
                </c:pt>
                <c:pt idx="710">
                  <c:v>8.4904173274929176E-2</c:v>
                </c:pt>
                <c:pt idx="711">
                  <c:v>8.4904173274929176E-2</c:v>
                </c:pt>
                <c:pt idx="712">
                  <c:v>8.4904173274929176E-2</c:v>
                </c:pt>
                <c:pt idx="713">
                  <c:v>8.4904173274929176E-2</c:v>
                </c:pt>
                <c:pt idx="714">
                  <c:v>8.4904173274929176E-2</c:v>
                </c:pt>
                <c:pt idx="715">
                  <c:v>8.4904173274929176E-2</c:v>
                </c:pt>
                <c:pt idx="716">
                  <c:v>8.4904173274929176E-2</c:v>
                </c:pt>
                <c:pt idx="717">
                  <c:v>8.4904173274929176E-2</c:v>
                </c:pt>
                <c:pt idx="718">
                  <c:v>8.4904173274929176E-2</c:v>
                </c:pt>
                <c:pt idx="719">
                  <c:v>6.0266403893757564E-2</c:v>
                </c:pt>
                <c:pt idx="720">
                  <c:v>6.0266403893757564E-2</c:v>
                </c:pt>
                <c:pt idx="721">
                  <c:v>6.0266403893757564E-2</c:v>
                </c:pt>
                <c:pt idx="722">
                  <c:v>6.0266403893757564E-2</c:v>
                </c:pt>
                <c:pt idx="723">
                  <c:v>6.0266403893757564E-2</c:v>
                </c:pt>
                <c:pt idx="724">
                  <c:v>6.0266403893757564E-2</c:v>
                </c:pt>
                <c:pt idx="725">
                  <c:v>6.0266403893757564E-2</c:v>
                </c:pt>
                <c:pt idx="726">
                  <c:v>6.0266403893757564E-2</c:v>
                </c:pt>
                <c:pt idx="727">
                  <c:v>6.0266403893757564E-2</c:v>
                </c:pt>
                <c:pt idx="728">
                  <c:v>6.0266403893757564E-2</c:v>
                </c:pt>
                <c:pt idx="729">
                  <c:v>0.13368313204420154</c:v>
                </c:pt>
                <c:pt idx="730">
                  <c:v>7.2209643151414343E-2</c:v>
                </c:pt>
                <c:pt idx="731">
                  <c:v>7.2209643151414343E-2</c:v>
                </c:pt>
                <c:pt idx="732">
                  <c:v>7.2209643151414343E-2</c:v>
                </c:pt>
                <c:pt idx="733">
                  <c:v>7.2209643151414343E-2</c:v>
                </c:pt>
                <c:pt idx="734">
                  <c:v>7.8477909046993741E-2</c:v>
                </c:pt>
                <c:pt idx="735">
                  <c:v>7.8477909046993741E-2</c:v>
                </c:pt>
                <c:pt idx="736">
                  <c:v>7.8477909046993741E-2</c:v>
                </c:pt>
                <c:pt idx="737">
                  <c:v>7.8477909046993741E-2</c:v>
                </c:pt>
                <c:pt idx="738">
                  <c:v>7.8477909046993741E-2</c:v>
                </c:pt>
                <c:pt idx="739">
                  <c:v>7.8477909046993741E-2</c:v>
                </c:pt>
                <c:pt idx="740">
                  <c:v>5.6906722932390158E-2</c:v>
                </c:pt>
                <c:pt idx="741">
                  <c:v>0.1285481847388274</c:v>
                </c:pt>
                <c:pt idx="742">
                  <c:v>0.1285481847388274</c:v>
                </c:pt>
                <c:pt idx="743">
                  <c:v>0.1285481847388274</c:v>
                </c:pt>
                <c:pt idx="744">
                  <c:v>0.1285481847388274</c:v>
                </c:pt>
                <c:pt idx="745">
                  <c:v>0.1285481847388274</c:v>
                </c:pt>
                <c:pt idx="746">
                  <c:v>0.11064019301751876</c:v>
                </c:pt>
                <c:pt idx="747">
                  <c:v>0.11064019301751876</c:v>
                </c:pt>
                <c:pt idx="748">
                  <c:v>0.11064019301751876</c:v>
                </c:pt>
                <c:pt idx="749">
                  <c:v>0.11962047839297098</c:v>
                </c:pt>
                <c:pt idx="750">
                  <c:v>0.11962047839297098</c:v>
                </c:pt>
                <c:pt idx="751">
                  <c:v>5.6174938205319803E-2</c:v>
                </c:pt>
                <c:pt idx="752">
                  <c:v>5.6174938205319803E-2</c:v>
                </c:pt>
                <c:pt idx="753">
                  <c:v>8.7832100656031489E-2</c:v>
                </c:pt>
                <c:pt idx="754">
                  <c:v>6.0081303517716241E-2</c:v>
                </c:pt>
                <c:pt idx="755">
                  <c:v>6.0081303517716241E-2</c:v>
                </c:pt>
                <c:pt idx="756">
                  <c:v>6.0081303517716241E-2</c:v>
                </c:pt>
                <c:pt idx="757">
                  <c:v>6.0081303517716241E-2</c:v>
                </c:pt>
                <c:pt idx="758">
                  <c:v>6.0081303517716241E-2</c:v>
                </c:pt>
                <c:pt idx="759">
                  <c:v>0.17356833835456262</c:v>
                </c:pt>
                <c:pt idx="760">
                  <c:v>0.17356833835456262</c:v>
                </c:pt>
                <c:pt idx="761">
                  <c:v>0.17356833835456262</c:v>
                </c:pt>
                <c:pt idx="762">
                  <c:v>0.17356833835456262</c:v>
                </c:pt>
                <c:pt idx="763">
                  <c:v>6.989950410360074E-2</c:v>
                </c:pt>
                <c:pt idx="764">
                  <c:v>0.19338496233350555</c:v>
                </c:pt>
                <c:pt idx="765">
                  <c:v>5.3654020759232132E-2</c:v>
                </c:pt>
                <c:pt idx="766">
                  <c:v>4.8763594306102762E-2</c:v>
                </c:pt>
                <c:pt idx="767">
                  <c:v>5.0851991857667041E-2</c:v>
                </c:pt>
                <c:pt idx="768">
                  <c:v>5.0851991857667041E-2</c:v>
                </c:pt>
                <c:pt idx="769">
                  <c:v>0.42017969466991206</c:v>
                </c:pt>
                <c:pt idx="770">
                  <c:v>0.42017969466991206</c:v>
                </c:pt>
                <c:pt idx="771">
                  <c:v>4.8781029238686352E-2</c:v>
                </c:pt>
                <c:pt idx="772">
                  <c:v>4.8781029238686352E-2</c:v>
                </c:pt>
                <c:pt idx="773">
                  <c:v>4.8781029238686352E-2</c:v>
                </c:pt>
                <c:pt idx="774">
                  <c:v>4.3808912398295902E-2</c:v>
                </c:pt>
                <c:pt idx="775">
                  <c:v>4.3808912398295902E-2</c:v>
                </c:pt>
                <c:pt idx="776">
                  <c:v>4.3808912398295902E-2</c:v>
                </c:pt>
                <c:pt idx="777">
                  <c:v>4.3808912398295902E-2</c:v>
                </c:pt>
                <c:pt idx="778">
                  <c:v>4.3808912398295902E-2</c:v>
                </c:pt>
                <c:pt idx="779">
                  <c:v>4.3808912398295902E-2</c:v>
                </c:pt>
                <c:pt idx="780">
                  <c:v>4.3808912398295902E-2</c:v>
                </c:pt>
                <c:pt idx="781">
                  <c:v>4.3808912398295902E-2</c:v>
                </c:pt>
                <c:pt idx="782">
                  <c:v>4.3808912398295902E-2</c:v>
                </c:pt>
                <c:pt idx="783">
                  <c:v>0.14167346588269347</c:v>
                </c:pt>
                <c:pt idx="784">
                  <c:v>0.14167346588269347</c:v>
                </c:pt>
                <c:pt idx="785">
                  <c:v>0.14167346588269347</c:v>
                </c:pt>
                <c:pt idx="786">
                  <c:v>0.14167346588269347</c:v>
                </c:pt>
                <c:pt idx="787">
                  <c:v>0.14167346588269347</c:v>
                </c:pt>
                <c:pt idx="788">
                  <c:v>0.14167346588269347</c:v>
                </c:pt>
                <c:pt idx="789">
                  <c:v>0.14167346588269347</c:v>
                </c:pt>
                <c:pt idx="790">
                  <c:v>0.14167346588269347</c:v>
                </c:pt>
                <c:pt idx="791">
                  <c:v>0.12697704887019079</c:v>
                </c:pt>
                <c:pt idx="792">
                  <c:v>0.12697704887019079</c:v>
                </c:pt>
                <c:pt idx="793">
                  <c:v>0.10255002908691534</c:v>
                </c:pt>
                <c:pt idx="794">
                  <c:v>4.642528520685938E-2</c:v>
                </c:pt>
                <c:pt idx="795">
                  <c:v>4.642528520685938E-2</c:v>
                </c:pt>
                <c:pt idx="796">
                  <c:v>4.642528520685938E-2</c:v>
                </c:pt>
                <c:pt idx="797">
                  <c:v>0.11025928620567582</c:v>
                </c:pt>
                <c:pt idx="798">
                  <c:v>0.11025928620567582</c:v>
                </c:pt>
                <c:pt idx="799">
                  <c:v>0.11025928620567582</c:v>
                </c:pt>
                <c:pt idx="800">
                  <c:v>4.2431757831973074E-2</c:v>
                </c:pt>
                <c:pt idx="801">
                  <c:v>4.2431757831973074E-2</c:v>
                </c:pt>
                <c:pt idx="802">
                  <c:v>7.9697525008045458E-2</c:v>
                </c:pt>
                <c:pt idx="803">
                  <c:v>7.9697525008045458E-2</c:v>
                </c:pt>
                <c:pt idx="804">
                  <c:v>7.6232539332751148E-2</c:v>
                </c:pt>
                <c:pt idx="805">
                  <c:v>6.0339056770717839E-2</c:v>
                </c:pt>
                <c:pt idx="806">
                  <c:v>6.0339056770717839E-2</c:v>
                </c:pt>
                <c:pt idx="807">
                  <c:v>3.9684359106453203E-2</c:v>
                </c:pt>
                <c:pt idx="808">
                  <c:v>3.9684359106453203E-2</c:v>
                </c:pt>
                <c:pt idx="809">
                  <c:v>3.9684359106453203E-2</c:v>
                </c:pt>
                <c:pt idx="810">
                  <c:v>3.9684359106453203E-2</c:v>
                </c:pt>
                <c:pt idx="811">
                  <c:v>3.9684359106453203E-2</c:v>
                </c:pt>
                <c:pt idx="812">
                  <c:v>5.7659905430690654E-2</c:v>
                </c:pt>
                <c:pt idx="813">
                  <c:v>4.0082104601623716E-2</c:v>
                </c:pt>
                <c:pt idx="814">
                  <c:v>4.0082104601623716E-2</c:v>
                </c:pt>
                <c:pt idx="815">
                  <c:v>4.0082104601623716E-2</c:v>
                </c:pt>
                <c:pt idx="816">
                  <c:v>8.8169632170262538E-2</c:v>
                </c:pt>
                <c:pt idx="817">
                  <c:v>3.887991081797193E-2</c:v>
                </c:pt>
                <c:pt idx="818">
                  <c:v>3.887991081797193E-2</c:v>
                </c:pt>
                <c:pt idx="819">
                  <c:v>3.887991081797193E-2</c:v>
                </c:pt>
                <c:pt idx="820">
                  <c:v>3.887991081797193E-2</c:v>
                </c:pt>
                <c:pt idx="821">
                  <c:v>7.4329729388648486E-2</c:v>
                </c:pt>
                <c:pt idx="822">
                  <c:v>7.4329729388648486E-2</c:v>
                </c:pt>
                <c:pt idx="823">
                  <c:v>7.4329729388648486E-2</c:v>
                </c:pt>
                <c:pt idx="824">
                  <c:v>7.4329729388648486E-2</c:v>
                </c:pt>
                <c:pt idx="825">
                  <c:v>7.4329729388648486E-2</c:v>
                </c:pt>
                <c:pt idx="826">
                  <c:v>7.4329729388648486E-2</c:v>
                </c:pt>
                <c:pt idx="827">
                  <c:v>0.14439892623440084</c:v>
                </c:pt>
                <c:pt idx="828">
                  <c:v>0.14439892623440084</c:v>
                </c:pt>
                <c:pt idx="829">
                  <c:v>3.4170863509294928E-2</c:v>
                </c:pt>
                <c:pt idx="830">
                  <c:v>3.4170863509294928E-2</c:v>
                </c:pt>
                <c:pt idx="831">
                  <c:v>3.4170863509294928E-2</c:v>
                </c:pt>
                <c:pt idx="832">
                  <c:v>3.4170863509294928E-2</c:v>
                </c:pt>
                <c:pt idx="833">
                  <c:v>3.4170863509294928E-2</c:v>
                </c:pt>
                <c:pt idx="834">
                  <c:v>3.4170863509294928E-2</c:v>
                </c:pt>
                <c:pt idx="835">
                  <c:v>0.10423612628744933</c:v>
                </c:pt>
                <c:pt idx="836">
                  <c:v>0.10423612628744933</c:v>
                </c:pt>
                <c:pt idx="837">
                  <c:v>0.10423612628744933</c:v>
                </c:pt>
                <c:pt idx="838">
                  <c:v>0.10423612628744933</c:v>
                </c:pt>
                <c:pt idx="839">
                  <c:v>0.10423612628744933</c:v>
                </c:pt>
                <c:pt idx="840">
                  <c:v>0.10423612628744933</c:v>
                </c:pt>
                <c:pt idx="841">
                  <c:v>6.8438711703123961E-2</c:v>
                </c:pt>
                <c:pt idx="842">
                  <c:v>6.8438711703123961E-2</c:v>
                </c:pt>
                <c:pt idx="843">
                  <c:v>8.02692245780212E-2</c:v>
                </c:pt>
                <c:pt idx="844">
                  <c:v>7.2711851077850678E-2</c:v>
                </c:pt>
                <c:pt idx="845">
                  <c:v>7.2711851077850678E-2</c:v>
                </c:pt>
                <c:pt idx="846">
                  <c:v>7.2711851077850678E-2</c:v>
                </c:pt>
                <c:pt idx="847">
                  <c:v>5.0771303238138554E-2</c:v>
                </c:pt>
                <c:pt idx="848">
                  <c:v>5.0771303238138554E-2</c:v>
                </c:pt>
                <c:pt idx="849">
                  <c:v>6.1154632326744375E-2</c:v>
                </c:pt>
                <c:pt idx="850">
                  <c:v>3.9009727876104641E-2</c:v>
                </c:pt>
                <c:pt idx="851">
                  <c:v>3.9009727876104641E-2</c:v>
                </c:pt>
                <c:pt idx="852">
                  <c:v>3.9009727876104641E-2</c:v>
                </c:pt>
                <c:pt idx="853">
                  <c:v>3.9009727876104641E-2</c:v>
                </c:pt>
                <c:pt idx="854">
                  <c:v>3.9009727876104641E-2</c:v>
                </c:pt>
                <c:pt idx="855">
                  <c:v>8.1181882294296459E-2</c:v>
                </c:pt>
                <c:pt idx="856">
                  <c:v>8.1181882294296459E-2</c:v>
                </c:pt>
                <c:pt idx="857">
                  <c:v>8.1181882294296459E-2</c:v>
                </c:pt>
                <c:pt idx="858">
                  <c:v>8.1181882294296459E-2</c:v>
                </c:pt>
                <c:pt idx="859">
                  <c:v>8.1181882294296459E-2</c:v>
                </c:pt>
                <c:pt idx="860">
                  <c:v>8.1181882294296459E-2</c:v>
                </c:pt>
                <c:pt idx="861">
                  <c:v>8.1181882294296459E-2</c:v>
                </c:pt>
                <c:pt idx="862">
                  <c:v>4.011386749990048E-2</c:v>
                </c:pt>
                <c:pt idx="863">
                  <c:v>4.011386749990048E-2</c:v>
                </c:pt>
                <c:pt idx="864">
                  <c:v>4.011386749990048E-2</c:v>
                </c:pt>
                <c:pt idx="865">
                  <c:v>4.011386749990048E-2</c:v>
                </c:pt>
                <c:pt idx="866">
                  <c:v>4.011386749990048E-2</c:v>
                </c:pt>
                <c:pt idx="867">
                  <c:v>4.011386749990048E-2</c:v>
                </c:pt>
                <c:pt idx="868">
                  <c:v>4.011386749990048E-2</c:v>
                </c:pt>
                <c:pt idx="869">
                  <c:v>3.4267862001815898E-2</c:v>
                </c:pt>
                <c:pt idx="870">
                  <c:v>3.4267862001815898E-2</c:v>
                </c:pt>
                <c:pt idx="871">
                  <c:v>3.4267862001815898E-2</c:v>
                </c:pt>
                <c:pt idx="872">
                  <c:v>3.4267862001815898E-2</c:v>
                </c:pt>
                <c:pt idx="873">
                  <c:v>3.4267862001815898E-2</c:v>
                </c:pt>
                <c:pt idx="874">
                  <c:v>3.4267862001815898E-2</c:v>
                </c:pt>
                <c:pt idx="875">
                  <c:v>3.4267862001815898E-2</c:v>
                </c:pt>
                <c:pt idx="876">
                  <c:v>3.4267862001815898E-2</c:v>
                </c:pt>
                <c:pt idx="877">
                  <c:v>3.4267862001815898E-2</c:v>
                </c:pt>
                <c:pt idx="878">
                  <c:v>3.4267862001815898E-2</c:v>
                </c:pt>
                <c:pt idx="879">
                  <c:v>3.4267862001815898E-2</c:v>
                </c:pt>
                <c:pt idx="880">
                  <c:v>3.4267862001815898E-2</c:v>
                </c:pt>
                <c:pt idx="881">
                  <c:v>4.5262139015507852E-2</c:v>
                </c:pt>
                <c:pt idx="882">
                  <c:v>4.5262139015507852E-2</c:v>
                </c:pt>
                <c:pt idx="883">
                  <c:v>4.5262139015507852E-2</c:v>
                </c:pt>
                <c:pt idx="884">
                  <c:v>4.5262139015507852E-2</c:v>
                </c:pt>
                <c:pt idx="885">
                  <c:v>0.1729916035904453</c:v>
                </c:pt>
                <c:pt idx="886">
                  <c:v>8.8299221976782374E-2</c:v>
                </c:pt>
                <c:pt idx="887">
                  <c:v>8.8299221976782374E-2</c:v>
                </c:pt>
                <c:pt idx="888">
                  <c:v>8.8299221976782374E-2</c:v>
                </c:pt>
                <c:pt idx="889">
                  <c:v>8.8299221976782374E-2</c:v>
                </c:pt>
                <c:pt idx="890">
                  <c:v>8.8299221976782374E-2</c:v>
                </c:pt>
                <c:pt idx="891">
                  <c:v>8.8299221976782374E-2</c:v>
                </c:pt>
                <c:pt idx="892">
                  <c:v>8.8299221976782374E-2</c:v>
                </c:pt>
                <c:pt idx="893">
                  <c:v>8.8299221976782374E-2</c:v>
                </c:pt>
                <c:pt idx="894">
                  <c:v>0.18849447647034651</c:v>
                </c:pt>
                <c:pt idx="895">
                  <c:v>0.18849447647034651</c:v>
                </c:pt>
                <c:pt idx="896">
                  <c:v>5.3630592780545404E-2</c:v>
                </c:pt>
                <c:pt idx="897">
                  <c:v>5.3630592780545404E-2</c:v>
                </c:pt>
                <c:pt idx="898">
                  <c:v>5.3630592780545404E-2</c:v>
                </c:pt>
                <c:pt idx="899">
                  <c:v>5.3630592780545404E-2</c:v>
                </c:pt>
                <c:pt idx="900">
                  <c:v>5.3630592780545404E-2</c:v>
                </c:pt>
                <c:pt idx="901">
                  <c:v>0.13726063500312391</c:v>
                </c:pt>
                <c:pt idx="902">
                  <c:v>0.13726063500312391</c:v>
                </c:pt>
                <c:pt idx="903">
                  <c:v>0.38291487392677864</c:v>
                </c:pt>
                <c:pt idx="904">
                  <c:v>0.38291487392677864</c:v>
                </c:pt>
                <c:pt idx="905">
                  <c:v>0.24059347642526746</c:v>
                </c:pt>
                <c:pt idx="906">
                  <c:v>5.8065290861461512E-2</c:v>
                </c:pt>
                <c:pt idx="907">
                  <c:v>5.8065290861461512E-2</c:v>
                </c:pt>
                <c:pt idx="908">
                  <c:v>0.37141995605902584</c:v>
                </c:pt>
                <c:pt idx="909">
                  <c:v>0.26292977865167577</c:v>
                </c:pt>
                <c:pt idx="910">
                  <c:v>0.18457663431775453</c:v>
                </c:pt>
                <c:pt idx="911">
                  <c:v>0.18457663431775453</c:v>
                </c:pt>
                <c:pt idx="912">
                  <c:v>0.21890942553836656</c:v>
                </c:pt>
                <c:pt idx="913">
                  <c:v>0.24738943168881355</c:v>
                </c:pt>
                <c:pt idx="914">
                  <c:v>3.7064907540617857E-2</c:v>
                </c:pt>
                <c:pt idx="915">
                  <c:v>3.7064907540617857E-2</c:v>
                </c:pt>
                <c:pt idx="916">
                  <c:v>0.38953364509531502</c:v>
                </c:pt>
                <c:pt idx="917">
                  <c:v>0.38953364509531502</c:v>
                </c:pt>
                <c:pt idx="918">
                  <c:v>4.0918080496957263E-2</c:v>
                </c:pt>
                <c:pt idx="919">
                  <c:v>4.0918080496957263E-2</c:v>
                </c:pt>
                <c:pt idx="920">
                  <c:v>4.0918080496957263E-2</c:v>
                </c:pt>
                <c:pt idx="921">
                  <c:v>5.871205864440391E-2</c:v>
                </c:pt>
                <c:pt idx="922">
                  <c:v>5.871205864440391E-2</c:v>
                </c:pt>
                <c:pt idx="923">
                  <c:v>0.23387446174706406</c:v>
                </c:pt>
                <c:pt idx="924">
                  <c:v>3.5323169791830533E-2</c:v>
                </c:pt>
                <c:pt idx="925">
                  <c:v>3.5323169791830533E-2</c:v>
                </c:pt>
                <c:pt idx="926">
                  <c:v>3.8419654218850248E-2</c:v>
                </c:pt>
                <c:pt idx="927">
                  <c:v>3.8419654218850248E-2</c:v>
                </c:pt>
                <c:pt idx="928">
                  <c:v>3.8419654218850248E-2</c:v>
                </c:pt>
                <c:pt idx="929">
                  <c:v>3.4340818522697741E-2</c:v>
                </c:pt>
                <c:pt idx="930">
                  <c:v>3.4340818522697741E-2</c:v>
                </c:pt>
                <c:pt idx="931">
                  <c:v>3.4340818522697741E-2</c:v>
                </c:pt>
                <c:pt idx="932">
                  <c:v>3.4340818522697741E-2</c:v>
                </c:pt>
                <c:pt idx="933">
                  <c:v>3.4340818522697741E-2</c:v>
                </c:pt>
                <c:pt idx="934">
                  <c:v>3.4340818522697741E-2</c:v>
                </c:pt>
                <c:pt idx="935">
                  <c:v>3.4340818522697741E-2</c:v>
                </c:pt>
                <c:pt idx="936">
                  <c:v>3.4340818522697741E-2</c:v>
                </c:pt>
                <c:pt idx="937">
                  <c:v>0.14298477864987688</c:v>
                </c:pt>
                <c:pt idx="938">
                  <c:v>0.14298477864987688</c:v>
                </c:pt>
                <c:pt idx="939">
                  <c:v>9.9406242703182018E-2</c:v>
                </c:pt>
                <c:pt idx="940">
                  <c:v>9.9406242703182018E-2</c:v>
                </c:pt>
                <c:pt idx="941">
                  <c:v>9.9406242703182018E-2</c:v>
                </c:pt>
                <c:pt idx="942">
                  <c:v>9.9406242703182018E-2</c:v>
                </c:pt>
                <c:pt idx="943">
                  <c:v>0.14871249488130187</c:v>
                </c:pt>
                <c:pt idx="944">
                  <c:v>0.78395867323519053</c:v>
                </c:pt>
                <c:pt idx="945">
                  <c:v>5.7552857630566369E-2</c:v>
                </c:pt>
                <c:pt idx="946">
                  <c:v>0.17504686827594015</c:v>
                </c:pt>
                <c:pt idx="947">
                  <c:v>0.17504686827594015</c:v>
                </c:pt>
                <c:pt idx="948">
                  <c:v>0.17504686827594015</c:v>
                </c:pt>
                <c:pt idx="949">
                  <c:v>0.17504686827594015</c:v>
                </c:pt>
                <c:pt idx="950">
                  <c:v>0.31956410838406152</c:v>
                </c:pt>
                <c:pt idx="951">
                  <c:v>0.31956410838406152</c:v>
                </c:pt>
                <c:pt idx="952">
                  <c:v>0.31956410838406152</c:v>
                </c:pt>
                <c:pt idx="953">
                  <c:v>8.8704530548291194E-2</c:v>
                </c:pt>
                <c:pt idx="954">
                  <c:v>8.8704530548291194E-2</c:v>
                </c:pt>
                <c:pt idx="955">
                  <c:v>8.8704530548291194E-2</c:v>
                </c:pt>
                <c:pt idx="956">
                  <c:v>8.8704530548291194E-2</c:v>
                </c:pt>
                <c:pt idx="957">
                  <c:v>5.5388015799459123E-2</c:v>
                </c:pt>
                <c:pt idx="958">
                  <c:v>5.5388015799459123E-2</c:v>
                </c:pt>
                <c:pt idx="959">
                  <c:v>5.5388015799459123E-2</c:v>
                </c:pt>
                <c:pt idx="960">
                  <c:v>4.2756109430029242E-2</c:v>
                </c:pt>
                <c:pt idx="961">
                  <c:v>4.2756109430029242E-2</c:v>
                </c:pt>
                <c:pt idx="962">
                  <c:v>4.2756109430029242E-2</c:v>
                </c:pt>
                <c:pt idx="963">
                  <c:v>0.29141346495683396</c:v>
                </c:pt>
                <c:pt idx="964">
                  <c:v>0.21380657975616615</c:v>
                </c:pt>
                <c:pt idx="965">
                  <c:v>0.21380657975616615</c:v>
                </c:pt>
                <c:pt idx="966">
                  <c:v>0.20279591091815363</c:v>
                </c:pt>
                <c:pt idx="967">
                  <c:v>0.1714660618466079</c:v>
                </c:pt>
                <c:pt idx="968">
                  <c:v>0.1714660618466079</c:v>
                </c:pt>
                <c:pt idx="969">
                  <c:v>5.1995714801940103E-2</c:v>
                </c:pt>
                <c:pt idx="970">
                  <c:v>5.1995714801940103E-2</c:v>
                </c:pt>
                <c:pt idx="971">
                  <c:v>4.194393785196536E-2</c:v>
                </c:pt>
                <c:pt idx="972">
                  <c:v>4.194393785196536E-2</c:v>
                </c:pt>
                <c:pt idx="973">
                  <c:v>4.194393785196536E-2</c:v>
                </c:pt>
                <c:pt idx="974">
                  <c:v>4.194393785196536E-2</c:v>
                </c:pt>
                <c:pt idx="975">
                  <c:v>0.17483625536718878</c:v>
                </c:pt>
                <c:pt idx="976">
                  <c:v>0.17483625536718878</c:v>
                </c:pt>
                <c:pt idx="977">
                  <c:v>0.12531796523170072</c:v>
                </c:pt>
                <c:pt idx="978">
                  <c:v>0.12531796523170072</c:v>
                </c:pt>
                <c:pt idx="979">
                  <c:v>0.12531796523170072</c:v>
                </c:pt>
                <c:pt idx="980">
                  <c:v>3.3490195275550153E-2</c:v>
                </c:pt>
                <c:pt idx="981">
                  <c:v>3.3490195275550153E-2</c:v>
                </c:pt>
                <c:pt idx="982">
                  <c:v>3.3490195275550153E-2</c:v>
                </c:pt>
                <c:pt idx="983">
                  <c:v>3.3490195275550153E-2</c:v>
                </c:pt>
                <c:pt idx="984">
                  <c:v>3.3490195275550153E-2</c:v>
                </c:pt>
                <c:pt idx="985">
                  <c:v>3.3490195275550153E-2</c:v>
                </c:pt>
                <c:pt idx="986">
                  <c:v>3.3490195275550153E-2</c:v>
                </c:pt>
                <c:pt idx="987">
                  <c:v>3.3490195275550153E-2</c:v>
                </c:pt>
                <c:pt idx="988">
                  <c:v>3.3490195275550153E-2</c:v>
                </c:pt>
                <c:pt idx="989">
                  <c:v>3.3490195275550153E-2</c:v>
                </c:pt>
                <c:pt idx="990">
                  <c:v>3.3490195275550153E-2</c:v>
                </c:pt>
                <c:pt idx="991">
                  <c:v>4.9944021939130653E-2</c:v>
                </c:pt>
                <c:pt idx="992">
                  <c:v>4.0808771690729356E-2</c:v>
                </c:pt>
                <c:pt idx="993">
                  <c:v>4.0808771690729356E-2</c:v>
                </c:pt>
                <c:pt idx="994">
                  <c:v>4.0808771690729356E-2</c:v>
                </c:pt>
                <c:pt idx="995">
                  <c:v>4.0808771690729356E-2</c:v>
                </c:pt>
                <c:pt idx="996">
                  <c:v>3.4560831371537537E-2</c:v>
                </c:pt>
                <c:pt idx="997">
                  <c:v>3.4560831371537537E-2</c:v>
                </c:pt>
                <c:pt idx="998">
                  <c:v>3.4560831371537537E-2</c:v>
                </c:pt>
                <c:pt idx="999">
                  <c:v>0.13810965829051788</c:v>
                </c:pt>
                <c:pt idx="1000">
                  <c:v>0.13810965829051788</c:v>
                </c:pt>
                <c:pt idx="1001">
                  <c:v>3.4208909055491593E-2</c:v>
                </c:pt>
                <c:pt idx="1002">
                  <c:v>3.4208909055491593E-2</c:v>
                </c:pt>
                <c:pt idx="1003">
                  <c:v>3.4208909055491593E-2</c:v>
                </c:pt>
                <c:pt idx="1004">
                  <c:v>5.7028162696494293E-2</c:v>
                </c:pt>
                <c:pt idx="1005">
                  <c:v>5.7028162696494293E-2</c:v>
                </c:pt>
                <c:pt idx="1006">
                  <c:v>5.7028162696494293E-2</c:v>
                </c:pt>
                <c:pt idx="1007">
                  <c:v>5.7028162696494293E-2</c:v>
                </c:pt>
                <c:pt idx="1008">
                  <c:v>5.7028162696494293E-2</c:v>
                </c:pt>
                <c:pt idx="1009">
                  <c:v>5.7028162696494293E-2</c:v>
                </c:pt>
                <c:pt idx="1010">
                  <c:v>5.7028162696494293E-2</c:v>
                </c:pt>
                <c:pt idx="1011">
                  <c:v>5.7028162696494293E-2</c:v>
                </c:pt>
                <c:pt idx="1012">
                  <c:v>0.14259213113786967</c:v>
                </c:pt>
                <c:pt idx="1013">
                  <c:v>0.14259213113786967</c:v>
                </c:pt>
                <c:pt idx="1014">
                  <c:v>0.14259213113786967</c:v>
                </c:pt>
                <c:pt idx="1015">
                  <c:v>6.6912118440375187E-2</c:v>
                </c:pt>
                <c:pt idx="1016">
                  <c:v>2.9802323438446521E-2</c:v>
                </c:pt>
                <c:pt idx="1017">
                  <c:v>2.9802323438446521E-2</c:v>
                </c:pt>
                <c:pt idx="1018">
                  <c:v>2.9802323438446521E-2</c:v>
                </c:pt>
                <c:pt idx="1019">
                  <c:v>2.9802323438446521E-2</c:v>
                </c:pt>
                <c:pt idx="1020">
                  <c:v>2.9802323438446521E-2</c:v>
                </c:pt>
                <c:pt idx="1021">
                  <c:v>0.28954942876244982</c:v>
                </c:pt>
                <c:pt idx="1022">
                  <c:v>0.28954942876244982</c:v>
                </c:pt>
                <c:pt idx="1023">
                  <c:v>0.27235988827060542</c:v>
                </c:pt>
                <c:pt idx="1024">
                  <c:v>0.17373345421937997</c:v>
                </c:pt>
                <c:pt idx="1025">
                  <c:v>0.28492192805492106</c:v>
                </c:pt>
                <c:pt idx="1026">
                  <c:v>5.383961909985259E-2</c:v>
                </c:pt>
                <c:pt idx="1027">
                  <c:v>5.383961909985259E-2</c:v>
                </c:pt>
                <c:pt idx="1028">
                  <c:v>9.098484870446176E-2</c:v>
                </c:pt>
                <c:pt idx="1029">
                  <c:v>9.098484870446176E-2</c:v>
                </c:pt>
                <c:pt idx="1030">
                  <c:v>0.48748875359636185</c:v>
                </c:pt>
                <c:pt idx="1031">
                  <c:v>0.32514276590307312</c:v>
                </c:pt>
                <c:pt idx="1032">
                  <c:v>0.16632316280853932</c:v>
                </c:pt>
                <c:pt idx="1033">
                  <c:v>0.16632316280853932</c:v>
                </c:pt>
                <c:pt idx="1034">
                  <c:v>0.16632316280853932</c:v>
                </c:pt>
                <c:pt idx="1035">
                  <c:v>0.11381765218196481</c:v>
                </c:pt>
                <c:pt idx="1036">
                  <c:v>0.10911234672090049</c:v>
                </c:pt>
                <c:pt idx="1037">
                  <c:v>0.10911234672090049</c:v>
                </c:pt>
                <c:pt idx="1038">
                  <c:v>0.15657049205051823</c:v>
                </c:pt>
                <c:pt idx="1039">
                  <c:v>0.20292198206077475</c:v>
                </c:pt>
                <c:pt idx="1040">
                  <c:v>0.15430591251864897</c:v>
                </c:pt>
                <c:pt idx="1041">
                  <c:v>0.20149878076734914</c:v>
                </c:pt>
                <c:pt idx="1042">
                  <c:v>0.2426215821063282</c:v>
                </c:pt>
                <c:pt idx="1043">
                  <c:v>0.12288340755602166</c:v>
                </c:pt>
                <c:pt idx="1044">
                  <c:v>2.6618930963164724E-2</c:v>
                </c:pt>
                <c:pt idx="1045">
                  <c:v>2.9442832598674737E-2</c:v>
                </c:pt>
                <c:pt idx="1046">
                  <c:v>2.9442832598674737E-2</c:v>
                </c:pt>
                <c:pt idx="1047">
                  <c:v>2.7409033838033579E-2</c:v>
                </c:pt>
                <c:pt idx="1048">
                  <c:v>2.7409033838033579E-2</c:v>
                </c:pt>
                <c:pt idx="1049">
                  <c:v>2.7409033838033579E-2</c:v>
                </c:pt>
                <c:pt idx="1050">
                  <c:v>2.7409033838033579E-2</c:v>
                </c:pt>
                <c:pt idx="1051">
                  <c:v>6.5561033099659854E-2</c:v>
                </c:pt>
                <c:pt idx="1052">
                  <c:v>6.5561033099659854E-2</c:v>
                </c:pt>
                <c:pt idx="1053">
                  <c:v>6.5561033099659854E-2</c:v>
                </c:pt>
                <c:pt idx="1054">
                  <c:v>2.948800597720274E-2</c:v>
                </c:pt>
                <c:pt idx="1055">
                  <c:v>0.12548208764790031</c:v>
                </c:pt>
                <c:pt idx="1056">
                  <c:v>0.12548208764790031</c:v>
                </c:pt>
                <c:pt idx="1057">
                  <c:v>0.12548208764790031</c:v>
                </c:pt>
                <c:pt idx="1058">
                  <c:v>0.12548208764790031</c:v>
                </c:pt>
                <c:pt idx="1059">
                  <c:v>0.12548208764790031</c:v>
                </c:pt>
                <c:pt idx="1060">
                  <c:v>2.4074640002493885E-2</c:v>
                </c:pt>
                <c:pt idx="1061">
                  <c:v>2.4074640002493885E-2</c:v>
                </c:pt>
                <c:pt idx="1062">
                  <c:v>0.11546846939718319</c:v>
                </c:pt>
                <c:pt idx="1063">
                  <c:v>0.11546846939718319</c:v>
                </c:pt>
                <c:pt idx="1064">
                  <c:v>0.11546846939718319</c:v>
                </c:pt>
                <c:pt idx="1065">
                  <c:v>0.11546846939718319</c:v>
                </c:pt>
                <c:pt idx="1066">
                  <c:v>0.11546846939718319</c:v>
                </c:pt>
                <c:pt idx="1067">
                  <c:v>2.5883381963111615E-2</c:v>
                </c:pt>
                <c:pt idx="1068">
                  <c:v>2.5883381963111615E-2</c:v>
                </c:pt>
                <c:pt idx="1069">
                  <c:v>2.5883381963111615E-2</c:v>
                </c:pt>
                <c:pt idx="1070">
                  <c:v>2.5883381963111615E-2</c:v>
                </c:pt>
                <c:pt idx="1071">
                  <c:v>2.5883381963111615E-2</c:v>
                </c:pt>
                <c:pt idx="1072">
                  <c:v>2.5883381963111615E-2</c:v>
                </c:pt>
                <c:pt idx="1073">
                  <c:v>2.5883381963111615E-2</c:v>
                </c:pt>
                <c:pt idx="1074">
                  <c:v>0.37231311690917174</c:v>
                </c:pt>
                <c:pt idx="1075">
                  <c:v>2.5138567628272358E-2</c:v>
                </c:pt>
                <c:pt idx="1076">
                  <c:v>2.5138567628272358E-2</c:v>
                </c:pt>
                <c:pt idx="1077">
                  <c:v>2.5138567628272358E-2</c:v>
                </c:pt>
                <c:pt idx="1078">
                  <c:v>2.5138567628272358E-2</c:v>
                </c:pt>
                <c:pt idx="1079">
                  <c:v>9.374365214375982E-2</c:v>
                </c:pt>
                <c:pt idx="1080">
                  <c:v>0.14203735923479976</c:v>
                </c:pt>
                <c:pt idx="1081">
                  <c:v>0.14203735923479976</c:v>
                </c:pt>
                <c:pt idx="1082">
                  <c:v>2.0738747561799501E-2</c:v>
                </c:pt>
                <c:pt idx="1083">
                  <c:v>2.0738747561799501E-2</c:v>
                </c:pt>
                <c:pt idx="1084">
                  <c:v>2.0738747561799501E-2</c:v>
                </c:pt>
                <c:pt idx="1085">
                  <c:v>2.0738747561799501E-2</c:v>
                </c:pt>
                <c:pt idx="1086">
                  <c:v>2.0738747561799501E-2</c:v>
                </c:pt>
                <c:pt idx="1087">
                  <c:v>0.11912101805779522</c:v>
                </c:pt>
                <c:pt idx="1088">
                  <c:v>0.11912101805779522</c:v>
                </c:pt>
                <c:pt idx="1089">
                  <c:v>0.13461987578799342</c:v>
                </c:pt>
                <c:pt idx="1090">
                  <c:v>4.316791470399841E-2</c:v>
                </c:pt>
                <c:pt idx="1091">
                  <c:v>4.316791470399841E-2</c:v>
                </c:pt>
                <c:pt idx="1092">
                  <c:v>0.36034737868196448</c:v>
                </c:pt>
                <c:pt idx="1093">
                  <c:v>0.36034737868196448</c:v>
                </c:pt>
                <c:pt idx="1094">
                  <c:v>0.36034737868196448</c:v>
                </c:pt>
                <c:pt idx="1095">
                  <c:v>1.9970953546263184E-2</c:v>
                </c:pt>
                <c:pt idx="1096">
                  <c:v>1.9970953546263184E-2</c:v>
                </c:pt>
                <c:pt idx="1097">
                  <c:v>1.9970953546263184E-2</c:v>
                </c:pt>
                <c:pt idx="1098">
                  <c:v>1.9970953546263184E-2</c:v>
                </c:pt>
                <c:pt idx="1099">
                  <c:v>0.39653080790297662</c:v>
                </c:pt>
                <c:pt idx="1100">
                  <c:v>0.39653080790297662</c:v>
                </c:pt>
                <c:pt idx="1101">
                  <c:v>0.2030359593362035</c:v>
                </c:pt>
                <c:pt idx="1102">
                  <c:v>0.23782522938478137</c:v>
                </c:pt>
                <c:pt idx="1103">
                  <c:v>0.12162391040407644</c:v>
                </c:pt>
                <c:pt idx="1104">
                  <c:v>0.12162391040407644</c:v>
                </c:pt>
                <c:pt idx="1105">
                  <c:v>0.17313696473732967</c:v>
                </c:pt>
                <c:pt idx="1106">
                  <c:v>0.20084436324236857</c:v>
                </c:pt>
                <c:pt idx="1107">
                  <c:v>5.0279591650264001E-2</c:v>
                </c:pt>
                <c:pt idx="1108">
                  <c:v>0.18624731882442416</c:v>
                </c:pt>
                <c:pt idx="1109">
                  <c:v>0.18624731882442416</c:v>
                </c:pt>
                <c:pt idx="1110">
                  <c:v>9.3363141234652933E-2</c:v>
                </c:pt>
                <c:pt idx="1111">
                  <c:v>0.18364690576343023</c:v>
                </c:pt>
                <c:pt idx="1112">
                  <c:v>0.18364690576343023</c:v>
                </c:pt>
                <c:pt idx="1113">
                  <c:v>0.18364690576343023</c:v>
                </c:pt>
                <c:pt idx="1114">
                  <c:v>0.18364690576343023</c:v>
                </c:pt>
                <c:pt idx="1115">
                  <c:v>0.18364690576343023</c:v>
                </c:pt>
                <c:pt idx="1116">
                  <c:v>0.18364690576343023</c:v>
                </c:pt>
                <c:pt idx="1117">
                  <c:v>0.18364690576343023</c:v>
                </c:pt>
                <c:pt idx="1118">
                  <c:v>0.18364690576343023</c:v>
                </c:pt>
                <c:pt idx="1119">
                  <c:v>6.2238827189312694E-2</c:v>
                </c:pt>
                <c:pt idx="1120">
                  <c:v>6.2238827189312694E-2</c:v>
                </c:pt>
                <c:pt idx="1121">
                  <c:v>6.2238827189312694E-2</c:v>
                </c:pt>
                <c:pt idx="1122">
                  <c:v>6.2238827189312694E-2</c:v>
                </c:pt>
                <c:pt idx="1123">
                  <c:v>6.2238827189312694E-2</c:v>
                </c:pt>
                <c:pt idx="1124">
                  <c:v>6.2238827189312694E-2</c:v>
                </c:pt>
                <c:pt idx="1125">
                  <c:v>6.2238827189312694E-2</c:v>
                </c:pt>
                <c:pt idx="1126">
                  <c:v>0.13391900256517675</c:v>
                </c:pt>
                <c:pt idx="1127">
                  <c:v>3.0085511745610395E-2</c:v>
                </c:pt>
                <c:pt idx="1128">
                  <c:v>6.6111295596845879E-2</c:v>
                </c:pt>
                <c:pt idx="1129">
                  <c:v>6.6111295596845879E-2</c:v>
                </c:pt>
                <c:pt idx="1130">
                  <c:v>2.9117925885652478E-2</c:v>
                </c:pt>
                <c:pt idx="1131">
                  <c:v>2.9117925885652478E-2</c:v>
                </c:pt>
                <c:pt idx="1132">
                  <c:v>7.3008720234515156E-2</c:v>
                </c:pt>
                <c:pt idx="1133">
                  <c:v>7.3008720234515156E-2</c:v>
                </c:pt>
                <c:pt idx="1134">
                  <c:v>7.3008720234515156E-2</c:v>
                </c:pt>
                <c:pt idx="1135">
                  <c:v>1.7874696433343887E-2</c:v>
                </c:pt>
                <c:pt idx="1136">
                  <c:v>1.7874696433343887E-2</c:v>
                </c:pt>
                <c:pt idx="1137">
                  <c:v>3.5213615924523489E-2</c:v>
                </c:pt>
                <c:pt idx="1138">
                  <c:v>3.5213615924523489E-2</c:v>
                </c:pt>
                <c:pt idx="1139">
                  <c:v>3.5213615924523489E-2</c:v>
                </c:pt>
                <c:pt idx="1140">
                  <c:v>0.11229543320517263</c:v>
                </c:pt>
                <c:pt idx="1141">
                  <c:v>2.221004348234407E-2</c:v>
                </c:pt>
                <c:pt idx="1142">
                  <c:v>5.8074966622404176E-2</c:v>
                </c:pt>
                <c:pt idx="1143">
                  <c:v>6.131182501859609E-2</c:v>
                </c:pt>
                <c:pt idx="1144">
                  <c:v>6.131182501859609E-2</c:v>
                </c:pt>
                <c:pt idx="1145">
                  <c:v>1.4666130140763116E-2</c:v>
                </c:pt>
                <c:pt idx="1146">
                  <c:v>1.4666130140763116E-2</c:v>
                </c:pt>
                <c:pt idx="1147">
                  <c:v>2.0124610635672665E-2</c:v>
                </c:pt>
                <c:pt idx="1148">
                  <c:v>2.0124610635672665E-2</c:v>
                </c:pt>
                <c:pt idx="1149">
                  <c:v>2.0124610635672665E-2</c:v>
                </c:pt>
                <c:pt idx="1150">
                  <c:v>2.0124610635672665E-2</c:v>
                </c:pt>
                <c:pt idx="1151">
                  <c:v>2.0124610635672665E-2</c:v>
                </c:pt>
                <c:pt idx="1152">
                  <c:v>2.0124610635672665E-2</c:v>
                </c:pt>
                <c:pt idx="1153">
                  <c:v>2.0124610635672665E-2</c:v>
                </c:pt>
                <c:pt idx="1154">
                  <c:v>7.8259050705188876E-2</c:v>
                </c:pt>
                <c:pt idx="1155">
                  <c:v>7.8259050705188876E-2</c:v>
                </c:pt>
                <c:pt idx="1156">
                  <c:v>5.0364456975556172E-2</c:v>
                </c:pt>
                <c:pt idx="1157">
                  <c:v>5.0364456975556172E-2</c:v>
                </c:pt>
                <c:pt idx="1158">
                  <c:v>5.0364456975556172E-2</c:v>
                </c:pt>
                <c:pt idx="1159">
                  <c:v>3.3630336078725898E-2</c:v>
                </c:pt>
                <c:pt idx="1160">
                  <c:v>3.3630336078725898E-2</c:v>
                </c:pt>
                <c:pt idx="1161">
                  <c:v>3.3630336078725898E-2</c:v>
                </c:pt>
                <c:pt idx="1162">
                  <c:v>3.3630336078725898E-2</c:v>
                </c:pt>
                <c:pt idx="1163">
                  <c:v>3.3630336078725898E-2</c:v>
                </c:pt>
                <c:pt idx="1164">
                  <c:v>3.3630336078725898E-2</c:v>
                </c:pt>
                <c:pt idx="1165">
                  <c:v>3.3630336078725898E-2</c:v>
                </c:pt>
                <c:pt idx="1166">
                  <c:v>3.3630336078725898E-2</c:v>
                </c:pt>
                <c:pt idx="1167">
                  <c:v>3.3630336078725898E-2</c:v>
                </c:pt>
                <c:pt idx="1168">
                  <c:v>3.3630336078725898E-2</c:v>
                </c:pt>
                <c:pt idx="1169">
                  <c:v>3.3630336078725898E-2</c:v>
                </c:pt>
                <c:pt idx="1170">
                  <c:v>3.3630336078725898E-2</c:v>
                </c:pt>
                <c:pt idx="1171">
                  <c:v>3.3630336078725898E-2</c:v>
                </c:pt>
                <c:pt idx="1172">
                  <c:v>3.3630336078725898E-2</c:v>
                </c:pt>
                <c:pt idx="1173">
                  <c:v>3.3630336078725898E-2</c:v>
                </c:pt>
                <c:pt idx="1174">
                  <c:v>3.3630336078725898E-2</c:v>
                </c:pt>
                <c:pt idx="1175">
                  <c:v>3.3630336078725898E-2</c:v>
                </c:pt>
                <c:pt idx="1176">
                  <c:v>3.3630336078725898E-2</c:v>
                </c:pt>
                <c:pt idx="1177">
                  <c:v>3.3630336078725898E-2</c:v>
                </c:pt>
                <c:pt idx="1178">
                  <c:v>0.15020912659357688</c:v>
                </c:pt>
                <c:pt idx="1179">
                  <c:v>0.15020912659357688</c:v>
                </c:pt>
                <c:pt idx="1180">
                  <c:v>0.15020912659357688</c:v>
                </c:pt>
                <c:pt idx="1181">
                  <c:v>0.15020912659357688</c:v>
                </c:pt>
                <c:pt idx="1182">
                  <c:v>0.15020912659357688</c:v>
                </c:pt>
                <c:pt idx="1183">
                  <c:v>3.3999797719578131E-2</c:v>
                </c:pt>
                <c:pt idx="1184">
                  <c:v>3.3999797719578131E-2</c:v>
                </c:pt>
                <c:pt idx="1185">
                  <c:v>3.3999797719578131E-2</c:v>
                </c:pt>
                <c:pt idx="1186">
                  <c:v>1.8265485578935235E-2</c:v>
                </c:pt>
                <c:pt idx="1187">
                  <c:v>1.8265485578935235E-2</c:v>
                </c:pt>
                <c:pt idx="1188">
                  <c:v>1.8265485578935235E-2</c:v>
                </c:pt>
                <c:pt idx="1189">
                  <c:v>0.11822956830951832</c:v>
                </c:pt>
                <c:pt idx="1190">
                  <c:v>0.11822956830951832</c:v>
                </c:pt>
                <c:pt idx="1191">
                  <c:v>5.5876264970309286E-2</c:v>
                </c:pt>
                <c:pt idx="1192">
                  <c:v>6.1269410400583757E-2</c:v>
                </c:pt>
                <c:pt idx="1193">
                  <c:v>6.1269410400583757E-2</c:v>
                </c:pt>
                <c:pt idx="1194">
                  <c:v>6.1269410400583757E-2</c:v>
                </c:pt>
                <c:pt idx="1195">
                  <c:v>0.16575706733551684</c:v>
                </c:pt>
                <c:pt idx="1196">
                  <c:v>0.10126312791745617</c:v>
                </c:pt>
                <c:pt idx="1197">
                  <c:v>4.8989950678316317E-2</c:v>
                </c:pt>
                <c:pt idx="1198">
                  <c:v>4.8989950678316317E-2</c:v>
                </c:pt>
                <c:pt idx="1199">
                  <c:v>1.821613327412527E-2</c:v>
                </c:pt>
                <c:pt idx="1200">
                  <c:v>1.821613327412527E-2</c:v>
                </c:pt>
                <c:pt idx="1201">
                  <c:v>1.821613327412527E-2</c:v>
                </c:pt>
                <c:pt idx="1202">
                  <c:v>2.3233458774138096E-2</c:v>
                </c:pt>
                <c:pt idx="1203">
                  <c:v>2.3233458774138096E-2</c:v>
                </c:pt>
                <c:pt idx="1204">
                  <c:v>1.7766399241542427E-2</c:v>
                </c:pt>
                <c:pt idx="1205">
                  <c:v>1.7766399241542427E-2</c:v>
                </c:pt>
                <c:pt idx="1206">
                  <c:v>1.7766399241542427E-2</c:v>
                </c:pt>
                <c:pt idx="1207">
                  <c:v>1.7766399241542427E-2</c:v>
                </c:pt>
                <c:pt idx="1208">
                  <c:v>1.7766399241542427E-2</c:v>
                </c:pt>
                <c:pt idx="1209">
                  <c:v>1.7766399241542427E-2</c:v>
                </c:pt>
                <c:pt idx="1210">
                  <c:v>1.7766399241542427E-2</c:v>
                </c:pt>
                <c:pt idx="1211">
                  <c:v>1.7766399241542427E-2</c:v>
                </c:pt>
                <c:pt idx="1212">
                  <c:v>1.7766399241542427E-2</c:v>
                </c:pt>
                <c:pt idx="1213">
                  <c:v>3.0981952318257046E-2</c:v>
                </c:pt>
                <c:pt idx="1214">
                  <c:v>3.0981952318257046E-2</c:v>
                </c:pt>
                <c:pt idx="1215">
                  <c:v>3.0981952318257046E-2</c:v>
                </c:pt>
                <c:pt idx="1216">
                  <c:v>3.0981952318257046E-2</c:v>
                </c:pt>
                <c:pt idx="1217">
                  <c:v>6.5765960899856729E-2</c:v>
                </c:pt>
                <c:pt idx="1218">
                  <c:v>6.5765960899856729E-2</c:v>
                </c:pt>
                <c:pt idx="1219">
                  <c:v>0.19758239618969126</c:v>
                </c:pt>
                <c:pt idx="1220">
                  <c:v>0.19758239618969126</c:v>
                </c:pt>
                <c:pt idx="1221">
                  <c:v>0.19758239618969126</c:v>
                </c:pt>
                <c:pt idx="1222">
                  <c:v>4.1894291527100246E-2</c:v>
                </c:pt>
                <c:pt idx="1223">
                  <c:v>1.2953005334054798E-2</c:v>
                </c:pt>
                <c:pt idx="1224">
                  <c:v>4.4457492348026775E-2</c:v>
                </c:pt>
                <c:pt idx="1225">
                  <c:v>4.4457492348026775E-2</c:v>
                </c:pt>
                <c:pt idx="1226">
                  <c:v>4.4457492348026775E-2</c:v>
                </c:pt>
                <c:pt idx="1227">
                  <c:v>4.4457492348026775E-2</c:v>
                </c:pt>
                <c:pt idx="1228">
                  <c:v>4.2500213374967039E-2</c:v>
                </c:pt>
                <c:pt idx="1229">
                  <c:v>4.2500213374967039E-2</c:v>
                </c:pt>
                <c:pt idx="1230">
                  <c:v>4.2500213374967039E-2</c:v>
                </c:pt>
                <c:pt idx="1231">
                  <c:v>4.2500213374967039E-2</c:v>
                </c:pt>
                <c:pt idx="1232">
                  <c:v>4.2500213374967039E-2</c:v>
                </c:pt>
                <c:pt idx="1233">
                  <c:v>4.2500213374967039E-2</c:v>
                </c:pt>
                <c:pt idx="1234">
                  <c:v>2.0866875450921276E-2</c:v>
                </c:pt>
                <c:pt idx="1235">
                  <c:v>2.0866875450921276E-2</c:v>
                </c:pt>
                <c:pt idx="1236">
                  <c:v>2.0866875450921276E-2</c:v>
                </c:pt>
                <c:pt idx="1237">
                  <c:v>2.0866875450921276E-2</c:v>
                </c:pt>
                <c:pt idx="1238">
                  <c:v>2.0866875450921276E-2</c:v>
                </c:pt>
                <c:pt idx="1239">
                  <c:v>2.0866875450921276E-2</c:v>
                </c:pt>
                <c:pt idx="1240">
                  <c:v>4.0405690785291208E-2</c:v>
                </c:pt>
                <c:pt idx="1241">
                  <c:v>4.8706680394990702E-2</c:v>
                </c:pt>
                <c:pt idx="1242">
                  <c:v>4.8706680394990702E-2</c:v>
                </c:pt>
                <c:pt idx="1243">
                  <c:v>4.8706680394990702E-2</c:v>
                </c:pt>
                <c:pt idx="1244">
                  <c:v>0.16956212593978864</c:v>
                </c:pt>
                <c:pt idx="1245">
                  <c:v>0.15159866787824589</c:v>
                </c:pt>
                <c:pt idx="1246">
                  <c:v>0.14434237801182656</c:v>
                </c:pt>
                <c:pt idx="1247">
                  <c:v>0.14529992470669806</c:v>
                </c:pt>
                <c:pt idx="1248">
                  <c:v>3.7960594510911508E-2</c:v>
                </c:pt>
                <c:pt idx="1249">
                  <c:v>3.7960594510911508E-2</c:v>
                </c:pt>
                <c:pt idx="1250">
                  <c:v>3.7960594510911508E-2</c:v>
                </c:pt>
                <c:pt idx="1251">
                  <c:v>1.6675987936047538E-2</c:v>
                </c:pt>
                <c:pt idx="1252">
                  <c:v>4.6096024043957774E-2</c:v>
                </c:pt>
                <c:pt idx="1253">
                  <c:v>4.6096024043957774E-2</c:v>
                </c:pt>
                <c:pt idx="1254">
                  <c:v>4.6096024043957774E-2</c:v>
                </c:pt>
                <c:pt idx="1255">
                  <c:v>4.6096024043957774E-2</c:v>
                </c:pt>
                <c:pt idx="1256">
                  <c:v>0.11602536443682247</c:v>
                </c:pt>
                <c:pt idx="1257">
                  <c:v>0.11602536443682247</c:v>
                </c:pt>
                <c:pt idx="1258">
                  <c:v>1.4873386706134037E-2</c:v>
                </c:pt>
                <c:pt idx="1259">
                  <c:v>1.4873386706134037E-2</c:v>
                </c:pt>
                <c:pt idx="1260">
                  <c:v>1.4873386706134037E-2</c:v>
                </c:pt>
                <c:pt idx="1261">
                  <c:v>1.9527722451216641E-2</c:v>
                </c:pt>
                <c:pt idx="1262">
                  <c:v>1.9527722451216641E-2</c:v>
                </c:pt>
                <c:pt idx="1263">
                  <c:v>1.9527722451216641E-2</c:v>
                </c:pt>
                <c:pt idx="1264">
                  <c:v>1.9527722451216641E-2</c:v>
                </c:pt>
                <c:pt idx="1265">
                  <c:v>1.9527722451216641E-2</c:v>
                </c:pt>
                <c:pt idx="1266">
                  <c:v>1.9527722451216641E-2</c:v>
                </c:pt>
                <c:pt idx="1267">
                  <c:v>3.1402684616728273E-2</c:v>
                </c:pt>
                <c:pt idx="1268">
                  <c:v>3.1402684616728273E-2</c:v>
                </c:pt>
                <c:pt idx="1269">
                  <c:v>3.1402684616728273E-2</c:v>
                </c:pt>
                <c:pt idx="1270">
                  <c:v>3.1402684616728273E-2</c:v>
                </c:pt>
                <c:pt idx="1271">
                  <c:v>3.1402684616728273E-2</c:v>
                </c:pt>
                <c:pt idx="1272">
                  <c:v>3.1402684616728273E-2</c:v>
                </c:pt>
                <c:pt idx="1273">
                  <c:v>3.1402684616728273E-2</c:v>
                </c:pt>
                <c:pt idx="1274">
                  <c:v>3.1402684616728273E-2</c:v>
                </c:pt>
                <c:pt idx="1275">
                  <c:v>3.1402684616728273E-2</c:v>
                </c:pt>
                <c:pt idx="1276">
                  <c:v>0.16482134731803796</c:v>
                </c:pt>
                <c:pt idx="1277">
                  <c:v>0.16482134731803796</c:v>
                </c:pt>
                <c:pt idx="1278">
                  <c:v>0.16482134731803796</c:v>
                </c:pt>
                <c:pt idx="1279">
                  <c:v>0.16482134731803796</c:v>
                </c:pt>
                <c:pt idx="1280">
                  <c:v>0.23337399873172135</c:v>
                </c:pt>
                <c:pt idx="1281">
                  <c:v>0.23337399873172135</c:v>
                </c:pt>
                <c:pt idx="1282">
                  <c:v>7.7647605446479986E-2</c:v>
                </c:pt>
                <c:pt idx="1283">
                  <c:v>0.34419475666632976</c:v>
                </c:pt>
                <c:pt idx="1284">
                  <c:v>0.34419475666632976</c:v>
                </c:pt>
                <c:pt idx="1285">
                  <c:v>0.42216225811014751</c:v>
                </c:pt>
                <c:pt idx="1286">
                  <c:v>0.46940699234387878</c:v>
                </c:pt>
                <c:pt idx="1287">
                  <c:v>9.4294950988553825E-2</c:v>
                </c:pt>
                <c:pt idx="1288">
                  <c:v>9.4294950988553825E-2</c:v>
                </c:pt>
                <c:pt idx="1289">
                  <c:v>9.4294950988553825E-2</c:v>
                </c:pt>
                <c:pt idx="1290">
                  <c:v>1.3212495252243227E-2</c:v>
                </c:pt>
                <c:pt idx="1291">
                  <c:v>0.15006438089100735</c:v>
                </c:pt>
                <c:pt idx="1292">
                  <c:v>0.15006438089100735</c:v>
                </c:pt>
                <c:pt idx="1293">
                  <c:v>0.15006438089100735</c:v>
                </c:pt>
                <c:pt idx="1294">
                  <c:v>0.22632189557754279</c:v>
                </c:pt>
                <c:pt idx="1295">
                  <c:v>0.22632189557754279</c:v>
                </c:pt>
                <c:pt idx="1296">
                  <c:v>0.22632189557754279</c:v>
                </c:pt>
                <c:pt idx="1297">
                  <c:v>6.9105551274864938E-2</c:v>
                </c:pt>
                <c:pt idx="1298">
                  <c:v>6.9105551274864938E-2</c:v>
                </c:pt>
                <c:pt idx="1299">
                  <c:v>6.9105551274864938E-2</c:v>
                </c:pt>
                <c:pt idx="1300">
                  <c:v>6.9105551274864938E-2</c:v>
                </c:pt>
                <c:pt idx="1301">
                  <c:v>4.9629731112853688E-2</c:v>
                </c:pt>
                <c:pt idx="1302">
                  <c:v>4.9629731112853688E-2</c:v>
                </c:pt>
                <c:pt idx="1303">
                  <c:v>4.9629731112853688E-2</c:v>
                </c:pt>
                <c:pt idx="1304">
                  <c:v>4.9629731112853688E-2</c:v>
                </c:pt>
                <c:pt idx="1305">
                  <c:v>4.9629731112853688E-2</c:v>
                </c:pt>
                <c:pt idx="1306">
                  <c:v>4.9629731112853688E-2</c:v>
                </c:pt>
                <c:pt idx="1307">
                  <c:v>1.5077260812926428E-2</c:v>
                </c:pt>
                <c:pt idx="1308">
                  <c:v>1.5077260812926428E-2</c:v>
                </c:pt>
                <c:pt idx="1309">
                  <c:v>1.5077260812926428E-2</c:v>
                </c:pt>
                <c:pt idx="1310">
                  <c:v>1.5077260812926428E-2</c:v>
                </c:pt>
                <c:pt idx="1311">
                  <c:v>1.5077260812926428E-2</c:v>
                </c:pt>
                <c:pt idx="1312">
                  <c:v>1.5077260812926428E-2</c:v>
                </c:pt>
                <c:pt idx="1313">
                  <c:v>1.5077260812926428E-2</c:v>
                </c:pt>
                <c:pt idx="1314">
                  <c:v>1.5077260812926428E-2</c:v>
                </c:pt>
                <c:pt idx="1315">
                  <c:v>1.5077260812926428E-2</c:v>
                </c:pt>
                <c:pt idx="1316">
                  <c:v>8.5585996592904764E-2</c:v>
                </c:pt>
                <c:pt idx="1317">
                  <c:v>0.38914902127823703</c:v>
                </c:pt>
                <c:pt idx="1318">
                  <c:v>1.7143173503190827E-2</c:v>
                </c:pt>
                <c:pt idx="1319">
                  <c:v>1.7143173503190827E-2</c:v>
                </c:pt>
                <c:pt idx="1320">
                  <c:v>1.7143173503190827E-2</c:v>
                </c:pt>
                <c:pt idx="1321">
                  <c:v>3.3030100636256728E-2</c:v>
                </c:pt>
                <c:pt idx="1322">
                  <c:v>3.3030100636256728E-2</c:v>
                </c:pt>
                <c:pt idx="1323">
                  <c:v>3.3030100636256728E-2</c:v>
                </c:pt>
                <c:pt idx="1324">
                  <c:v>1.4990181003709888E-2</c:v>
                </c:pt>
                <c:pt idx="1325">
                  <c:v>1.4990181003709888E-2</c:v>
                </c:pt>
                <c:pt idx="1326">
                  <c:v>1.4990181003709888E-2</c:v>
                </c:pt>
                <c:pt idx="1327">
                  <c:v>1.4544988230323606E-2</c:v>
                </c:pt>
                <c:pt idx="1328">
                  <c:v>1.4544988230323606E-2</c:v>
                </c:pt>
                <c:pt idx="1329">
                  <c:v>1.4544988230323606E-2</c:v>
                </c:pt>
                <c:pt idx="1330">
                  <c:v>1.4811905044536484E-2</c:v>
                </c:pt>
                <c:pt idx="1331">
                  <c:v>1.4811905044536484E-2</c:v>
                </c:pt>
                <c:pt idx="1332">
                  <c:v>1.1372439958907084E-2</c:v>
                </c:pt>
                <c:pt idx="1333">
                  <c:v>1.1372439958907084E-2</c:v>
                </c:pt>
                <c:pt idx="1334">
                  <c:v>1.1372439958907084E-2</c:v>
                </c:pt>
                <c:pt idx="1335">
                  <c:v>1.1372439958907084E-2</c:v>
                </c:pt>
                <c:pt idx="1336">
                  <c:v>1.1372439958907084E-2</c:v>
                </c:pt>
                <c:pt idx="1337">
                  <c:v>1.1372439958907084E-2</c:v>
                </c:pt>
                <c:pt idx="1338">
                  <c:v>1.1372439958907084E-2</c:v>
                </c:pt>
                <c:pt idx="1339">
                  <c:v>1.1372439958907084E-2</c:v>
                </c:pt>
                <c:pt idx="1340">
                  <c:v>2.6517120187137064E-2</c:v>
                </c:pt>
                <c:pt idx="1341">
                  <c:v>2.6517120187137064E-2</c:v>
                </c:pt>
                <c:pt idx="1342">
                  <c:v>2.6517120187137064E-2</c:v>
                </c:pt>
                <c:pt idx="1343">
                  <c:v>2.6517120187137064E-2</c:v>
                </c:pt>
                <c:pt idx="1344">
                  <c:v>2.6517120187137064E-2</c:v>
                </c:pt>
                <c:pt idx="1345">
                  <c:v>2.6517120187137064E-2</c:v>
                </c:pt>
                <c:pt idx="1346">
                  <c:v>5.9021621030955956E-2</c:v>
                </c:pt>
                <c:pt idx="1347">
                  <c:v>1.3264423684394165E-2</c:v>
                </c:pt>
                <c:pt idx="1348">
                  <c:v>2.9503929084597938E-2</c:v>
                </c:pt>
                <c:pt idx="1349">
                  <c:v>2.9503929084597938E-2</c:v>
                </c:pt>
                <c:pt idx="1350">
                  <c:v>4.6908599465972145E-2</c:v>
                </c:pt>
                <c:pt idx="1351">
                  <c:v>4.6908599465972145E-2</c:v>
                </c:pt>
                <c:pt idx="1352">
                  <c:v>4.6908599465972145E-2</c:v>
                </c:pt>
                <c:pt idx="1353">
                  <c:v>0.29582089078605661</c:v>
                </c:pt>
                <c:pt idx="1354">
                  <c:v>0.16739737808825708</c:v>
                </c:pt>
                <c:pt idx="1355">
                  <c:v>0.16739737808825708</c:v>
                </c:pt>
                <c:pt idx="1356">
                  <c:v>0.28864344829396466</c:v>
                </c:pt>
                <c:pt idx="1357">
                  <c:v>1.2351300177815225E-2</c:v>
                </c:pt>
                <c:pt idx="1358">
                  <c:v>1.2703917484997851E-2</c:v>
                </c:pt>
                <c:pt idx="1359">
                  <c:v>1.2703917484997851E-2</c:v>
                </c:pt>
                <c:pt idx="1360">
                  <c:v>1.2703917484997851E-2</c:v>
                </c:pt>
                <c:pt idx="1361">
                  <c:v>1.2703917484997851E-2</c:v>
                </c:pt>
                <c:pt idx="1362">
                  <c:v>5.1180524544449831E-2</c:v>
                </c:pt>
                <c:pt idx="1363">
                  <c:v>5.1180524544449831E-2</c:v>
                </c:pt>
                <c:pt idx="1364">
                  <c:v>0.15858543829478006</c:v>
                </c:pt>
                <c:pt idx="1365">
                  <c:v>0.15858543829478006</c:v>
                </c:pt>
                <c:pt idx="1366">
                  <c:v>2.0422813857665943E-2</c:v>
                </c:pt>
                <c:pt idx="1367">
                  <c:v>2.5956138753207854E-2</c:v>
                </c:pt>
                <c:pt idx="1368">
                  <c:v>2.5956138753207854E-2</c:v>
                </c:pt>
                <c:pt idx="1369">
                  <c:v>2.5956138753207854E-2</c:v>
                </c:pt>
                <c:pt idx="1370">
                  <c:v>2.5956138753207854E-2</c:v>
                </c:pt>
                <c:pt idx="1371">
                  <c:v>1.4737776207995788E-2</c:v>
                </c:pt>
                <c:pt idx="1372">
                  <c:v>1.4737776207995788E-2</c:v>
                </c:pt>
                <c:pt idx="1373">
                  <c:v>1.3710194626208627E-2</c:v>
                </c:pt>
                <c:pt idx="1374">
                  <c:v>1.3710194626208627E-2</c:v>
                </c:pt>
                <c:pt idx="1375">
                  <c:v>1.3710194626208627E-2</c:v>
                </c:pt>
                <c:pt idx="1376">
                  <c:v>1.3710194626208627E-2</c:v>
                </c:pt>
                <c:pt idx="1377">
                  <c:v>1.3710194626208627E-2</c:v>
                </c:pt>
                <c:pt idx="1378">
                  <c:v>1.3648922632453094E-2</c:v>
                </c:pt>
                <c:pt idx="1379">
                  <c:v>2.461527886110856E-2</c:v>
                </c:pt>
                <c:pt idx="1380">
                  <c:v>2.461527886110856E-2</c:v>
                </c:pt>
                <c:pt idx="1381">
                  <c:v>2.461527886110856E-2</c:v>
                </c:pt>
                <c:pt idx="1382">
                  <c:v>2.461527886110856E-2</c:v>
                </c:pt>
                <c:pt idx="1383">
                  <c:v>2.5492405297366971E-2</c:v>
                </c:pt>
                <c:pt idx="1384">
                  <c:v>2.5492405297366971E-2</c:v>
                </c:pt>
                <c:pt idx="1385">
                  <c:v>2.5492405297366971E-2</c:v>
                </c:pt>
                <c:pt idx="1386">
                  <c:v>2.5492405297366971E-2</c:v>
                </c:pt>
                <c:pt idx="1387">
                  <c:v>2.5492405297366971E-2</c:v>
                </c:pt>
                <c:pt idx="1388">
                  <c:v>2.5492405297366971E-2</c:v>
                </c:pt>
                <c:pt idx="1389">
                  <c:v>2.5492405297366971E-2</c:v>
                </c:pt>
                <c:pt idx="1390">
                  <c:v>3.3304594186473656E-2</c:v>
                </c:pt>
                <c:pt idx="1391">
                  <c:v>3.3304594186473656E-2</c:v>
                </c:pt>
                <c:pt idx="1392">
                  <c:v>3.3304594186473656E-2</c:v>
                </c:pt>
                <c:pt idx="1393">
                  <c:v>3.3304594186473656E-2</c:v>
                </c:pt>
                <c:pt idx="1394">
                  <c:v>3.3304594186473656E-2</c:v>
                </c:pt>
                <c:pt idx="1395">
                  <c:v>3.3304594186473656E-2</c:v>
                </c:pt>
                <c:pt idx="1396">
                  <c:v>0.11363463753305551</c:v>
                </c:pt>
                <c:pt idx="1397">
                  <c:v>0.11363463753305551</c:v>
                </c:pt>
                <c:pt idx="1398">
                  <c:v>0.11363463753305551</c:v>
                </c:pt>
                <c:pt idx="1399">
                  <c:v>1.1215199151601461E-2</c:v>
                </c:pt>
                <c:pt idx="1400">
                  <c:v>1.1215199151601461E-2</c:v>
                </c:pt>
                <c:pt idx="1401">
                  <c:v>1.1215199151601461E-2</c:v>
                </c:pt>
                <c:pt idx="1402">
                  <c:v>1.1215199151601461E-2</c:v>
                </c:pt>
                <c:pt idx="1403">
                  <c:v>5.2682534020922475E-2</c:v>
                </c:pt>
                <c:pt idx="1404">
                  <c:v>5.2682534020922475E-2</c:v>
                </c:pt>
                <c:pt idx="1405">
                  <c:v>5.2682534020922475E-2</c:v>
                </c:pt>
                <c:pt idx="1406">
                  <c:v>1.2197689001773581E-2</c:v>
                </c:pt>
                <c:pt idx="1407">
                  <c:v>1.2197689001773581E-2</c:v>
                </c:pt>
                <c:pt idx="1408">
                  <c:v>1.2197689001773581E-2</c:v>
                </c:pt>
                <c:pt idx="1409">
                  <c:v>1.4897308861458547E-2</c:v>
                </c:pt>
                <c:pt idx="1410">
                  <c:v>1.4897308861458547E-2</c:v>
                </c:pt>
                <c:pt idx="1411">
                  <c:v>1.4897308861458547E-2</c:v>
                </c:pt>
                <c:pt idx="1412">
                  <c:v>1.4897308861458547E-2</c:v>
                </c:pt>
                <c:pt idx="1413">
                  <c:v>1.4897308861458547E-2</c:v>
                </c:pt>
                <c:pt idx="1414">
                  <c:v>1.4897308861458547E-2</c:v>
                </c:pt>
                <c:pt idx="1415">
                  <c:v>1.4897308861458547E-2</c:v>
                </c:pt>
                <c:pt idx="1416">
                  <c:v>1.1269462348667573E-2</c:v>
                </c:pt>
                <c:pt idx="1417">
                  <c:v>1.1269462348667573E-2</c:v>
                </c:pt>
                <c:pt idx="1418">
                  <c:v>1.1269462348667573E-2</c:v>
                </c:pt>
                <c:pt idx="1419">
                  <c:v>1.0738685170298601E-2</c:v>
                </c:pt>
                <c:pt idx="1420">
                  <c:v>1.0738685170298601E-2</c:v>
                </c:pt>
                <c:pt idx="1421">
                  <c:v>0.13262315157697019</c:v>
                </c:pt>
                <c:pt idx="1422">
                  <c:v>4.292176921521066E-2</c:v>
                </c:pt>
                <c:pt idx="1423">
                  <c:v>4.292176921521066E-2</c:v>
                </c:pt>
                <c:pt idx="1424">
                  <c:v>4.292176921521066E-2</c:v>
                </c:pt>
                <c:pt idx="1425">
                  <c:v>4.292176921521066E-2</c:v>
                </c:pt>
                <c:pt idx="1426">
                  <c:v>4.292176921521066E-2</c:v>
                </c:pt>
                <c:pt idx="1427">
                  <c:v>4.292176921521066E-2</c:v>
                </c:pt>
                <c:pt idx="1428">
                  <c:v>4.292176921521066E-2</c:v>
                </c:pt>
                <c:pt idx="1429">
                  <c:v>4.292176921521066E-2</c:v>
                </c:pt>
                <c:pt idx="1430">
                  <c:v>2.4586046980859838E-2</c:v>
                </c:pt>
                <c:pt idx="1431">
                  <c:v>2.4586046980859838E-2</c:v>
                </c:pt>
                <c:pt idx="1432">
                  <c:v>1.7646660551903864E-2</c:v>
                </c:pt>
                <c:pt idx="1433">
                  <c:v>1.7646660551903864E-2</c:v>
                </c:pt>
                <c:pt idx="1434">
                  <c:v>1.7646660551903864E-2</c:v>
                </c:pt>
                <c:pt idx="1435">
                  <c:v>1.7646660551903864E-2</c:v>
                </c:pt>
                <c:pt idx="1436">
                  <c:v>1.7646660551903864E-2</c:v>
                </c:pt>
                <c:pt idx="1437">
                  <c:v>1.7646660551903864E-2</c:v>
                </c:pt>
                <c:pt idx="1438">
                  <c:v>8.5840954092436916E-2</c:v>
                </c:pt>
                <c:pt idx="1439">
                  <c:v>8.5840954092436916E-2</c:v>
                </c:pt>
                <c:pt idx="1440">
                  <c:v>8.5840954092436916E-2</c:v>
                </c:pt>
                <c:pt idx="1441">
                  <c:v>0.20570841914445931</c:v>
                </c:pt>
                <c:pt idx="1442">
                  <c:v>0.11397453696322495</c:v>
                </c:pt>
                <c:pt idx="1443">
                  <c:v>0.11397453696322495</c:v>
                </c:pt>
                <c:pt idx="1444">
                  <c:v>0.1136072788803154</c:v>
                </c:pt>
                <c:pt idx="1445">
                  <c:v>0.1161510553208553</c:v>
                </c:pt>
                <c:pt idx="1446">
                  <c:v>1.3510671958540114E-2</c:v>
                </c:pt>
                <c:pt idx="1447">
                  <c:v>1.3510671958540114E-2</c:v>
                </c:pt>
                <c:pt idx="1448">
                  <c:v>1.3510671958540114E-2</c:v>
                </c:pt>
                <c:pt idx="1449">
                  <c:v>1.3510671958540114E-2</c:v>
                </c:pt>
                <c:pt idx="1450">
                  <c:v>1.3510671958540114E-2</c:v>
                </c:pt>
                <c:pt idx="1451">
                  <c:v>2.9396823141612401E-2</c:v>
                </c:pt>
                <c:pt idx="1452">
                  <c:v>2.9396823141612401E-2</c:v>
                </c:pt>
                <c:pt idx="1453">
                  <c:v>2.9396823141612401E-2</c:v>
                </c:pt>
                <c:pt idx="1454">
                  <c:v>2.9396823141612401E-2</c:v>
                </c:pt>
                <c:pt idx="1455">
                  <c:v>0.1085797653043212</c:v>
                </c:pt>
                <c:pt idx="1456">
                  <c:v>0.1085797653043212</c:v>
                </c:pt>
                <c:pt idx="1457">
                  <c:v>0.1085797653043212</c:v>
                </c:pt>
                <c:pt idx="1458">
                  <c:v>0.1085797653043212</c:v>
                </c:pt>
                <c:pt idx="1459">
                  <c:v>0.20337584796269942</c:v>
                </c:pt>
                <c:pt idx="1460">
                  <c:v>0.45707339504716654</c:v>
                </c:pt>
                <c:pt idx="1461">
                  <c:v>1.2301636040788391E-2</c:v>
                </c:pt>
                <c:pt idx="1462">
                  <c:v>1.2301636040788391E-2</c:v>
                </c:pt>
                <c:pt idx="1463">
                  <c:v>1.5427651702181522E-2</c:v>
                </c:pt>
                <c:pt idx="1464">
                  <c:v>1.5427651702181522E-2</c:v>
                </c:pt>
                <c:pt idx="1465">
                  <c:v>1.5427651702181522E-2</c:v>
                </c:pt>
                <c:pt idx="1466">
                  <c:v>1.5427651702181522E-2</c:v>
                </c:pt>
                <c:pt idx="1467">
                  <c:v>1.5427651702181522E-2</c:v>
                </c:pt>
                <c:pt idx="1468">
                  <c:v>1.5427651702181522E-2</c:v>
                </c:pt>
                <c:pt idx="1469">
                  <c:v>1.5427651702181522E-2</c:v>
                </c:pt>
                <c:pt idx="1470">
                  <c:v>1.5427651702181522E-2</c:v>
                </c:pt>
                <c:pt idx="1471">
                  <c:v>1.5427651702181522E-2</c:v>
                </c:pt>
                <c:pt idx="1472">
                  <c:v>2.7910613507433703E-2</c:v>
                </c:pt>
                <c:pt idx="1473">
                  <c:v>2.7910613507433703E-2</c:v>
                </c:pt>
                <c:pt idx="1474">
                  <c:v>2.7910613507433703E-2</c:v>
                </c:pt>
                <c:pt idx="1475">
                  <c:v>2.7910613507433703E-2</c:v>
                </c:pt>
                <c:pt idx="1476">
                  <c:v>2.7910613507433703E-2</c:v>
                </c:pt>
                <c:pt idx="1477">
                  <c:v>2.7910613507433703E-2</c:v>
                </c:pt>
                <c:pt idx="1478">
                  <c:v>2.7910613507433703E-2</c:v>
                </c:pt>
                <c:pt idx="1479">
                  <c:v>2.7910613507433703E-2</c:v>
                </c:pt>
                <c:pt idx="1480">
                  <c:v>2.7910613507433703E-2</c:v>
                </c:pt>
                <c:pt idx="1481">
                  <c:v>2.7910613507433703E-2</c:v>
                </c:pt>
                <c:pt idx="1482">
                  <c:v>0.1581562943012175</c:v>
                </c:pt>
                <c:pt idx="1483">
                  <c:v>0.1581562943012175</c:v>
                </c:pt>
                <c:pt idx="1484">
                  <c:v>0.1581562943012175</c:v>
                </c:pt>
                <c:pt idx="1485">
                  <c:v>0.1581562943012175</c:v>
                </c:pt>
                <c:pt idx="1486">
                  <c:v>0.1581562943012175</c:v>
                </c:pt>
                <c:pt idx="1487">
                  <c:v>0.1581562943012175</c:v>
                </c:pt>
                <c:pt idx="1488">
                  <c:v>0.1581562943012175</c:v>
                </c:pt>
                <c:pt idx="1489">
                  <c:v>0.1581562943012175</c:v>
                </c:pt>
                <c:pt idx="1490">
                  <c:v>0.1581562943012175</c:v>
                </c:pt>
                <c:pt idx="1491">
                  <c:v>2.5283438469370926E-2</c:v>
                </c:pt>
                <c:pt idx="1492">
                  <c:v>2.5283438469370926E-2</c:v>
                </c:pt>
                <c:pt idx="1493">
                  <c:v>1.9006127375277116E-2</c:v>
                </c:pt>
                <c:pt idx="1494">
                  <c:v>1.7120938905356233E-2</c:v>
                </c:pt>
                <c:pt idx="1495">
                  <c:v>1.7120938905356233E-2</c:v>
                </c:pt>
                <c:pt idx="1496">
                  <c:v>1.7120938905356233E-2</c:v>
                </c:pt>
                <c:pt idx="1497">
                  <c:v>1.7120938905356233E-2</c:v>
                </c:pt>
                <c:pt idx="1498">
                  <c:v>1.7120938905356233E-2</c:v>
                </c:pt>
                <c:pt idx="1499">
                  <c:v>1.7120938905356233E-2</c:v>
                </c:pt>
                <c:pt idx="1500">
                  <c:v>1.7120938905356233E-2</c:v>
                </c:pt>
                <c:pt idx="1501">
                  <c:v>1.7120938905356233E-2</c:v>
                </c:pt>
                <c:pt idx="1502">
                  <c:v>1.7120938905356233E-2</c:v>
                </c:pt>
                <c:pt idx="1503">
                  <c:v>1.7120938905356233E-2</c:v>
                </c:pt>
                <c:pt idx="1504">
                  <c:v>1.8529403185285238E-2</c:v>
                </c:pt>
                <c:pt idx="1505">
                  <c:v>1.8529403185285238E-2</c:v>
                </c:pt>
                <c:pt idx="1506">
                  <c:v>1.8529403185285238E-2</c:v>
                </c:pt>
                <c:pt idx="1507">
                  <c:v>1.8529403185285238E-2</c:v>
                </c:pt>
                <c:pt idx="1508">
                  <c:v>1.8529403185285238E-2</c:v>
                </c:pt>
                <c:pt idx="1509">
                  <c:v>1.8529403185285238E-2</c:v>
                </c:pt>
                <c:pt idx="1510">
                  <c:v>1.8529403185285238E-2</c:v>
                </c:pt>
                <c:pt idx="1511">
                  <c:v>1.9911702826913034E-2</c:v>
                </c:pt>
                <c:pt idx="1512">
                  <c:v>1.9911702826913034E-2</c:v>
                </c:pt>
                <c:pt idx="1513">
                  <c:v>1.9911702826913034E-2</c:v>
                </c:pt>
                <c:pt idx="1514">
                  <c:v>9.9676394650782249E-2</c:v>
                </c:pt>
                <c:pt idx="1515">
                  <c:v>9.9676394650782249E-2</c:v>
                </c:pt>
                <c:pt idx="1516">
                  <c:v>9.9676394650782249E-2</c:v>
                </c:pt>
                <c:pt idx="1517">
                  <c:v>0.20944012212722135</c:v>
                </c:pt>
                <c:pt idx="1518">
                  <c:v>0.20944012212722135</c:v>
                </c:pt>
                <c:pt idx="1519">
                  <c:v>8.9957449199499218E-2</c:v>
                </c:pt>
                <c:pt idx="1520">
                  <c:v>8.9957449199499218E-2</c:v>
                </c:pt>
                <c:pt idx="1521">
                  <c:v>8.7982222741034843E-2</c:v>
                </c:pt>
                <c:pt idx="1522">
                  <c:v>2.269987658041648E-2</c:v>
                </c:pt>
                <c:pt idx="1523">
                  <c:v>2.269987658041648E-2</c:v>
                </c:pt>
                <c:pt idx="1524">
                  <c:v>2.269987658041648E-2</c:v>
                </c:pt>
                <c:pt idx="1525">
                  <c:v>1.3685272323800887E-2</c:v>
                </c:pt>
                <c:pt idx="1526">
                  <c:v>1.0911004415164367E-2</c:v>
                </c:pt>
                <c:pt idx="1527">
                  <c:v>9.711454021662877E-2</c:v>
                </c:pt>
                <c:pt idx="1528">
                  <c:v>9.711454021662877E-2</c:v>
                </c:pt>
                <c:pt idx="1529">
                  <c:v>4.0830320008626318E-2</c:v>
                </c:pt>
                <c:pt idx="1530">
                  <c:v>4.0830320008626318E-2</c:v>
                </c:pt>
                <c:pt idx="1531">
                  <c:v>0.12032127918922725</c:v>
                </c:pt>
                <c:pt idx="1532">
                  <c:v>0.12032127918922725</c:v>
                </c:pt>
                <c:pt idx="1533">
                  <c:v>0.12032127918922725</c:v>
                </c:pt>
                <c:pt idx="1534">
                  <c:v>0.12032127918922725</c:v>
                </c:pt>
                <c:pt idx="1535">
                  <c:v>0.12032127918922725</c:v>
                </c:pt>
                <c:pt idx="1536">
                  <c:v>0.12032127918922725</c:v>
                </c:pt>
                <c:pt idx="1537">
                  <c:v>0.12032127918922725</c:v>
                </c:pt>
                <c:pt idx="1538">
                  <c:v>1.5956470316516497E-2</c:v>
                </c:pt>
                <c:pt idx="1539">
                  <c:v>1.314746448461991E-2</c:v>
                </c:pt>
                <c:pt idx="1540">
                  <c:v>1.314746448461991E-2</c:v>
                </c:pt>
                <c:pt idx="1541">
                  <c:v>1.314746448461991E-2</c:v>
                </c:pt>
                <c:pt idx="1542">
                  <c:v>1.314746448461991E-2</c:v>
                </c:pt>
                <c:pt idx="1543">
                  <c:v>1.314746448461991E-2</c:v>
                </c:pt>
                <c:pt idx="1544">
                  <c:v>1.314746448461991E-2</c:v>
                </c:pt>
                <c:pt idx="1545">
                  <c:v>1.314746448461991E-2</c:v>
                </c:pt>
                <c:pt idx="1546">
                  <c:v>1.314746448461991E-2</c:v>
                </c:pt>
                <c:pt idx="1547">
                  <c:v>1.314746448461991E-2</c:v>
                </c:pt>
                <c:pt idx="1548">
                  <c:v>1.314746448461991E-2</c:v>
                </c:pt>
                <c:pt idx="1549">
                  <c:v>1.314746448461991E-2</c:v>
                </c:pt>
                <c:pt idx="1550">
                  <c:v>1.314746448461991E-2</c:v>
                </c:pt>
                <c:pt idx="1551">
                  <c:v>1.314746448461991E-2</c:v>
                </c:pt>
                <c:pt idx="1552">
                  <c:v>1.314746448461991E-2</c:v>
                </c:pt>
                <c:pt idx="1553">
                  <c:v>1.314746448461991E-2</c:v>
                </c:pt>
                <c:pt idx="1554">
                  <c:v>1.314746448461991E-2</c:v>
                </c:pt>
                <c:pt idx="1555">
                  <c:v>5.0731703403105462E-2</c:v>
                </c:pt>
                <c:pt idx="1556">
                  <c:v>5.0731703403105462E-2</c:v>
                </c:pt>
                <c:pt idx="1557">
                  <c:v>5.0731703403105462E-2</c:v>
                </c:pt>
                <c:pt idx="1558">
                  <c:v>5.0731703403105462E-2</c:v>
                </c:pt>
                <c:pt idx="1559">
                  <c:v>5.0731703403105462E-2</c:v>
                </c:pt>
                <c:pt idx="1560">
                  <c:v>5.0731703403105462E-2</c:v>
                </c:pt>
                <c:pt idx="1561">
                  <c:v>5.0731703403105462E-2</c:v>
                </c:pt>
                <c:pt idx="1562">
                  <c:v>4.1920313769105905E-2</c:v>
                </c:pt>
                <c:pt idx="1563">
                  <c:v>6.5231616673183085E-2</c:v>
                </c:pt>
                <c:pt idx="1564">
                  <c:v>6.5231616673183085E-2</c:v>
                </c:pt>
                <c:pt idx="1565">
                  <c:v>6.5231616673183085E-2</c:v>
                </c:pt>
                <c:pt idx="1566">
                  <c:v>6.5231616673183085E-2</c:v>
                </c:pt>
                <c:pt idx="1567">
                  <c:v>1.2420454477111853E-2</c:v>
                </c:pt>
                <c:pt idx="1568">
                  <c:v>1.2420454477111853E-2</c:v>
                </c:pt>
                <c:pt idx="1569">
                  <c:v>1.2420454477111853E-2</c:v>
                </c:pt>
                <c:pt idx="1570">
                  <c:v>1.2420454477111853E-2</c:v>
                </c:pt>
                <c:pt idx="1571">
                  <c:v>1.2420454477111853E-2</c:v>
                </c:pt>
                <c:pt idx="1572">
                  <c:v>1.2420454477111853E-2</c:v>
                </c:pt>
                <c:pt idx="1573">
                  <c:v>0.16519564126993527</c:v>
                </c:pt>
                <c:pt idx="1574">
                  <c:v>0.16519564126993527</c:v>
                </c:pt>
                <c:pt idx="1575">
                  <c:v>0.16519564126993527</c:v>
                </c:pt>
                <c:pt idx="1576">
                  <c:v>0.16519564126993527</c:v>
                </c:pt>
                <c:pt idx="1577">
                  <c:v>0.16519564126993527</c:v>
                </c:pt>
                <c:pt idx="1578">
                  <c:v>0.16519564126993527</c:v>
                </c:pt>
                <c:pt idx="1579">
                  <c:v>0.16848236307034475</c:v>
                </c:pt>
                <c:pt idx="1580">
                  <c:v>0.16848236307034475</c:v>
                </c:pt>
                <c:pt idx="1581">
                  <c:v>0.16848236307034475</c:v>
                </c:pt>
                <c:pt idx="9999">
                  <c:v>1.3557630233978438E-2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45-47A3-B497-C8B9F20BE7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267776"/>
        <c:axId val="128269696"/>
      </c:scatterChart>
      <c:valAx>
        <c:axId val="128267776"/>
        <c:scaling>
          <c:orientation val="minMax"/>
          <c:max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aseline="0"/>
                  <a:t>Iterations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8269696"/>
        <c:crosses val="autoZero"/>
        <c:crossBetween val="midCat"/>
      </c:valAx>
      <c:valAx>
        <c:axId val="12826969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Goodness of fit (GOF) metric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8267776"/>
        <c:crosses val="autoZero"/>
        <c:crossBetween val="midCat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Main!$C$7</c:f>
              <c:strCache>
                <c:ptCount val="1"/>
                <c:pt idx="0">
                  <c:v>Target S(t)'s</c:v>
                </c:pt>
              </c:strCache>
            </c:strRef>
          </c:tx>
          <c:marker>
            <c:symbol val="none"/>
          </c:marker>
          <c:xVal>
            <c:numRef>
              <c:f>Main!$B$8:$B$18</c:f>
              <c:numCache>
                <c:formatCode>General</c:formatCode>
                <c:ptCount val="11"/>
                <c:pt idx="0">
                  <c:v>0</c:v>
                </c:pt>
                <c:pt idx="1">
                  <c:v>12</c:v>
                </c:pt>
                <c:pt idx="2">
                  <c:v>24</c:v>
                </c:pt>
                <c:pt idx="3">
                  <c:v>36</c:v>
                </c:pt>
                <c:pt idx="4">
                  <c:v>48</c:v>
                </c:pt>
                <c:pt idx="5">
                  <c:v>60</c:v>
                </c:pt>
                <c:pt idx="6">
                  <c:v>72</c:v>
                </c:pt>
                <c:pt idx="7">
                  <c:v>84</c:v>
                </c:pt>
                <c:pt idx="8">
                  <c:v>96</c:v>
                </c:pt>
                <c:pt idx="9">
                  <c:v>108</c:v>
                </c:pt>
                <c:pt idx="10">
                  <c:v>120</c:v>
                </c:pt>
              </c:numCache>
            </c:numRef>
          </c:xVal>
          <c:yVal>
            <c:numRef>
              <c:f>Main!$C$8:$C$18</c:f>
              <c:numCache>
                <c:formatCode>General</c:formatCode>
                <c:ptCount val="11"/>
                <c:pt idx="0">
                  <c:v>1</c:v>
                </c:pt>
                <c:pt idx="1">
                  <c:v>0.9</c:v>
                </c:pt>
                <c:pt idx="2">
                  <c:v>0.81</c:v>
                </c:pt>
                <c:pt idx="3">
                  <c:v>0.64800000000000013</c:v>
                </c:pt>
                <c:pt idx="4">
                  <c:v>0.38880000000000009</c:v>
                </c:pt>
                <c:pt idx="5">
                  <c:v>0.19440000000000004</c:v>
                </c:pt>
                <c:pt idx="6">
                  <c:v>3.8879999999999998E-2</c:v>
                </c:pt>
                <c:pt idx="7">
                  <c:v>7.7759999999999982E-3</c:v>
                </c:pt>
                <c:pt idx="8">
                  <c:v>1.5551999999999992E-3</c:v>
                </c:pt>
                <c:pt idx="9">
                  <c:v>3.1103999999999979E-4</c:v>
                </c:pt>
                <c:pt idx="10">
                  <c:v>6.2207999999999944E-5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06-492F-BDD7-458500F97CE8}"/>
            </c:ext>
          </c:extLst>
        </c:ser>
        <c:ser>
          <c:idx val="1"/>
          <c:order val="1"/>
          <c:tx>
            <c:strRef>
              <c:f>Main!$H$7</c:f>
              <c:strCache>
                <c:ptCount val="1"/>
                <c:pt idx="0">
                  <c:v>FinalS(t)'s</c:v>
                </c:pt>
              </c:strCache>
            </c:strRef>
          </c:tx>
          <c:marker>
            <c:symbol val="none"/>
          </c:marker>
          <c:xVal>
            <c:numRef>
              <c:f>Main!$B$8:$B$18</c:f>
              <c:numCache>
                <c:formatCode>General</c:formatCode>
                <c:ptCount val="11"/>
                <c:pt idx="0">
                  <c:v>0</c:v>
                </c:pt>
                <c:pt idx="1">
                  <c:v>12</c:v>
                </c:pt>
                <c:pt idx="2">
                  <c:v>24</c:v>
                </c:pt>
                <c:pt idx="3">
                  <c:v>36</c:v>
                </c:pt>
                <c:pt idx="4">
                  <c:v>48</c:v>
                </c:pt>
                <c:pt idx="5">
                  <c:v>60</c:v>
                </c:pt>
                <c:pt idx="6">
                  <c:v>72</c:v>
                </c:pt>
                <c:pt idx="7">
                  <c:v>84</c:v>
                </c:pt>
                <c:pt idx="8">
                  <c:v>96</c:v>
                </c:pt>
                <c:pt idx="9">
                  <c:v>108</c:v>
                </c:pt>
                <c:pt idx="10">
                  <c:v>120</c:v>
                </c:pt>
              </c:numCache>
            </c:numRef>
          </c:xVal>
          <c:yVal>
            <c:numRef>
              <c:f>Main!$H$8:$H$18</c:f>
              <c:numCache>
                <c:formatCode>General</c:formatCode>
                <c:ptCount val="11"/>
                <c:pt idx="0">
                  <c:v>1</c:v>
                </c:pt>
                <c:pt idx="1">
                  <c:v>0.9564802233665386</c:v>
                </c:pt>
                <c:pt idx="2">
                  <c:v>0.81376250429932695</c:v>
                </c:pt>
                <c:pt idx="3">
                  <c:v>0.60337229125185943</c:v>
                </c:pt>
                <c:pt idx="4">
                  <c:v>0.38499508440928448</c:v>
                </c:pt>
                <c:pt idx="5">
                  <c:v>0.2093952538861503</c:v>
                </c:pt>
                <c:pt idx="6">
                  <c:v>9.6326288976090066E-2</c:v>
                </c:pt>
                <c:pt idx="7">
                  <c:v>3.7231993206827477E-2</c:v>
                </c:pt>
                <c:pt idx="8">
                  <c:v>1.2021735012325318E-2</c:v>
                </c:pt>
                <c:pt idx="9">
                  <c:v>3.2259229452515346E-3</c:v>
                </c:pt>
                <c:pt idx="10">
                  <c:v>7.1605375599010181E-4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06-492F-BDD7-458500F97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635264"/>
        <c:axId val="128636800"/>
      </c:scatterChart>
      <c:valAx>
        <c:axId val="128635264"/>
        <c:scaling>
          <c:orientation val="minMax"/>
          <c:max val="120"/>
        </c:scaling>
        <c:delete val="0"/>
        <c:axPos val="b"/>
        <c:numFmt formatCode="General" sourceLinked="1"/>
        <c:majorTickMark val="out"/>
        <c:minorTickMark val="none"/>
        <c:tickLblPos val="nextTo"/>
        <c:crossAx val="128636800"/>
        <c:crosses val="autoZero"/>
        <c:crossBetween val="midCat"/>
      </c:valAx>
      <c:valAx>
        <c:axId val="128636800"/>
        <c:scaling>
          <c:orientation val="minMax"/>
          <c:max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86352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CoolingFunction!$D$4</c:f>
              <c:strCache>
                <c:ptCount val="1"/>
                <c:pt idx="0">
                  <c:v>Low</c:v>
                </c:pt>
              </c:strCache>
            </c:strRef>
          </c:tx>
          <c:marker>
            <c:symbol val="none"/>
          </c:marker>
          <c:xVal>
            <c:numRef>
              <c:f>CoolingFunction!$A$5:$A$1006</c:f>
              <c:numCache>
                <c:formatCode>General</c:formatCode>
                <c:ptCount val="10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</c:numCache>
            </c:numRef>
          </c:xVal>
          <c:yVal>
            <c:numRef>
              <c:f>CoolingFunction!$D$5:$D$1006</c:f>
              <c:numCache>
                <c:formatCode>General</c:formatCode>
                <c:ptCount val="1002"/>
                <c:pt idx="0">
                  <c:v>0.89302823095863271</c:v>
                </c:pt>
                <c:pt idx="1">
                  <c:v>0.89101029823896982</c:v>
                </c:pt>
                <c:pt idx="2">
                  <c:v>0.8889571363747516</c:v>
                </c:pt>
                <c:pt idx="3">
                  <c:v>0.88686824177529766</c:v>
                </c:pt>
                <c:pt idx="4">
                  <c:v>0.88474310813207391</c:v>
                </c:pt>
                <c:pt idx="5">
                  <c:v>0.88258122660916283</c:v>
                </c:pt>
                <c:pt idx="6">
                  <c:v>0.88038208604436352</c:v>
                </c:pt>
                <c:pt idx="7">
                  <c:v>0.87814517316124108</c:v>
                </c:pt>
                <c:pt idx="8">
                  <c:v>0.87586997279245227</c:v>
                </c:pt>
                <c:pt idx="9">
                  <c:v>0.87355596811467595</c:v>
                </c:pt>
                <c:pt idx="10">
                  <c:v>0.87120264089547605</c:v>
                </c:pt>
                <c:pt idx="11">
                  <c:v>0.86880947175242951</c:v>
                </c:pt>
                <c:pt idx="12">
                  <c:v>0.866375940424851</c:v>
                </c:pt>
                <c:pt idx="13">
                  <c:v>0.86390152605844617</c:v>
                </c:pt>
                <c:pt idx="14">
                  <c:v>0.86138570750322641</c:v>
                </c:pt>
                <c:pt idx="15">
                  <c:v>0.8588279636250139</c:v>
                </c:pt>
                <c:pt idx="16">
                  <c:v>0.85622777363086766</c:v>
                </c:pt>
                <c:pt idx="17">
                  <c:v>0.85358461740875735</c:v>
                </c:pt>
                <c:pt idx="18">
                  <c:v>0.8508979758818056</c:v>
                </c:pt>
                <c:pt idx="19">
                  <c:v>0.84816733137741995</c:v>
                </c:pt>
                <c:pt idx="20">
                  <c:v>0.84539216801162675</c:v>
                </c:pt>
                <c:pt idx="21">
                  <c:v>0.8425719720889141</c:v>
                </c:pt>
                <c:pt idx="22">
                  <c:v>0.83970623251788479</c:v>
                </c:pt>
                <c:pt idx="23">
                  <c:v>0.83679444124300895</c:v>
                </c:pt>
                <c:pt idx="24">
                  <c:v>0.83383609369276057</c:v>
                </c:pt>
                <c:pt idx="25">
                  <c:v>0.83083068924440651</c:v>
                </c:pt>
                <c:pt idx="26">
                  <c:v>0.82777773170570779</c:v>
                </c:pt>
                <c:pt idx="27">
                  <c:v>0.82467672981377937</c:v>
                </c:pt>
                <c:pt idx="28">
                  <c:v>0.82152719775133587</c:v>
                </c:pt>
                <c:pt idx="29">
                  <c:v>0.81832865568053959</c:v>
                </c:pt>
                <c:pt idx="30">
                  <c:v>0.81508063029464384</c:v>
                </c:pt>
                <c:pt idx="31">
                  <c:v>0.81178265538760819</c:v>
                </c:pt>
                <c:pt idx="32">
                  <c:v>0.8084342724418393</c:v>
                </c:pt>
                <c:pt idx="33">
                  <c:v>0.80503503123418751</c:v>
                </c:pt>
                <c:pt idx="34">
                  <c:v>0.80158449046030456</c:v>
                </c:pt>
                <c:pt idx="35">
                  <c:v>0.79808221837743964</c:v>
                </c:pt>
                <c:pt idx="36">
                  <c:v>0.79452779346572355</c:v>
                </c:pt>
                <c:pt idx="37">
                  <c:v>0.79092080510795582</c:v>
                </c:pt>
                <c:pt idx="38">
                  <c:v>0.7872608542878814</c:v>
                </c:pt>
                <c:pt idx="39">
                  <c:v>0.78354755430690148</c:v>
                </c:pt>
                <c:pt idx="40">
                  <c:v>0.77978053151913018</c:v>
                </c:pt>
                <c:pt idx="41">
                  <c:v>0.77595942608466517</c:v>
                </c:pt>
                <c:pt idx="42">
                  <c:v>0.77208389274089828</c:v>
                </c:pt>
                <c:pt idx="43">
                  <c:v>0.76815360159164758</c:v>
                </c:pt>
                <c:pt idx="44">
                  <c:v>0.76416823891384256</c:v>
                </c:pt>
                <c:pt idx="45">
                  <c:v>0.76012750798144557</c:v>
                </c:pt>
                <c:pt idx="46">
                  <c:v>0.75603112990623778</c:v>
                </c:pt>
                <c:pt idx="47">
                  <c:v>0.75187884449504361</c:v>
                </c:pt>
                <c:pt idx="48">
                  <c:v>0.74767041112290722</c:v>
                </c:pt>
                <c:pt idx="49">
                  <c:v>0.74340560962167623</c:v>
                </c:pt>
                <c:pt idx="50">
                  <c:v>0.73908424118337923</c:v>
                </c:pt>
                <c:pt idx="51">
                  <c:v>0.73470612927772394</c:v>
                </c:pt>
                <c:pt idx="52">
                  <c:v>0.73027112058296484</c:v>
                </c:pt>
                <c:pt idx="53">
                  <c:v>0.72577908592932538</c:v>
                </c:pt>
                <c:pt idx="54">
                  <c:v>0.72122992125407903</c:v>
                </c:pt>
                <c:pt idx="55">
                  <c:v>0.71662354856731802</c:v>
                </c:pt>
                <c:pt idx="56">
                  <c:v>0.71195991692736094</c:v>
                </c:pt>
                <c:pt idx="57">
                  <c:v>0.70723900342466306</c:v>
                </c:pt>
                <c:pt idx="58">
                  <c:v>0.70246081417301309</c:v>
                </c:pt>
                <c:pt idx="59">
                  <c:v>0.6976253853067087</c:v>
                </c:pt>
                <c:pt idx="60">
                  <c:v>0.69273278398231852</c:v>
                </c:pt>
                <c:pt idx="61">
                  <c:v>0.68778310938354081</c:v>
                </c:pt>
                <c:pt idx="62">
                  <c:v>0.68277649372758153</c:v>
                </c:pt>
                <c:pt idx="63">
                  <c:v>0.67771310327137535</c:v>
                </c:pt>
                <c:pt idx="64">
                  <c:v>0.67259313931587827</c:v>
                </c:pt>
                <c:pt idx="65">
                  <c:v>0.66741683920656336</c:v>
                </c:pt>
                <c:pt idx="66">
                  <c:v>0.66218447732814922</c:v>
                </c:pt>
                <c:pt idx="67">
                  <c:v>0.65689636609149549</c:v>
                </c:pt>
                <c:pt idx="68">
                  <c:v>0.6515528569104958</c:v>
                </c:pt>
                <c:pt idx="69">
                  <c:v>0.64615434116669979</c:v>
                </c:pt>
                <c:pt idx="70">
                  <c:v>0.64070125115929788</c:v>
                </c:pt>
                <c:pt idx="71">
                  <c:v>0.63519406103799769</c:v>
                </c:pt>
                <c:pt idx="72">
                  <c:v>0.62963328771622962</c:v>
                </c:pt>
                <c:pt idx="73">
                  <c:v>0.62401949176201577</c:v>
                </c:pt>
                <c:pt idx="74">
                  <c:v>0.61835327826374675</c:v>
                </c:pt>
                <c:pt idx="75">
                  <c:v>0.61263529766801361</c:v>
                </c:pt>
                <c:pt idx="76">
                  <c:v>0.60686624658655708</c:v>
                </c:pt>
                <c:pt idx="77">
                  <c:v>0.60104686856930611</c:v>
                </c:pt>
                <c:pt idx="78">
                  <c:v>0.59517795484039937</c:v>
                </c:pt>
                <c:pt idx="79">
                  <c:v>0.58926034499400248</c:v>
                </c:pt>
                <c:pt idx="80">
                  <c:v>0.58329492764666568</c:v>
                </c:pt>
                <c:pt idx="81">
                  <c:v>0.5772826410428965</c:v>
                </c:pt>
                <c:pt idx="82">
                  <c:v>0.57122447361056705</c:v>
                </c:pt>
                <c:pt idx="83">
                  <c:v>0.5651214644627196</c:v>
                </c:pt>
                <c:pt idx="84">
                  <c:v>0.55897470384229275</c:v>
                </c:pt>
                <c:pt idx="85">
                  <c:v>0.55278533350625536</c:v>
                </c:pt>
                <c:pt idx="86">
                  <c:v>0.54655454704560913</c:v>
                </c:pt>
                <c:pt idx="87">
                  <c:v>0.54028359013770577</c:v>
                </c:pt>
                <c:pt idx="88">
                  <c:v>0.53397376072732228</c:v>
                </c:pt>
                <c:pt idx="89">
                  <c:v>0.52762640913294456</c:v>
                </c:pt>
                <c:pt idx="90">
                  <c:v>0.52124293807472954</c:v>
                </c:pt>
                <c:pt idx="91">
                  <c:v>0.51482480262065333</c:v>
                </c:pt>
                <c:pt idx="92">
                  <c:v>0.50837351004739773</c:v>
                </c:pt>
                <c:pt idx="93">
                  <c:v>0.50189061961259418</c:v>
                </c:pt>
                <c:pt idx="94">
                  <c:v>0.49537774223512016</c:v>
                </c:pt>
                <c:pt idx="95">
                  <c:v>0.48883654008024119</c:v>
                </c:pt>
                <c:pt idx="96">
                  <c:v>0.48226872604650406</c:v>
                </c:pt>
                <c:pt idx="97">
                  <c:v>0.47567606315141342</c:v>
                </c:pt>
                <c:pt idx="98">
                  <c:v>0.46906036381308019</c:v>
                </c:pt>
                <c:pt idx="99">
                  <c:v>0.46242348902518754</c:v>
                </c:pt>
                <c:pt idx="100">
                  <c:v>0.45576734742281672</c:v>
                </c:pt>
                <c:pt idx="101">
                  <c:v>0.44909389423687301</c:v>
                </c:pt>
                <c:pt idx="102">
                  <c:v>0.44240513013508376</c:v>
                </c:pt>
                <c:pt idx="103">
                  <c:v>0.43570309994778389</c:v>
                </c:pt>
                <c:pt idx="104">
                  <c:v>0.42898989127697118</c:v>
                </c:pt>
                <c:pt idx="105">
                  <c:v>0.42226763298740144</c:v>
                </c:pt>
                <c:pt idx="106">
                  <c:v>0.41553849357879863</c:v>
                </c:pt>
                <c:pt idx="107">
                  <c:v>0.40880467943858384</c:v>
                </c:pt>
                <c:pt idx="108">
                  <c:v>0.40206843297487249</c:v>
                </c:pt>
                <c:pt idx="109">
                  <c:v>0.39533203062985328</c:v>
                </c:pt>
                <c:pt idx="110">
                  <c:v>0.38859778077405061</c:v>
                </c:pt>
                <c:pt idx="111">
                  <c:v>0.38186802148236781</c:v>
                </c:pt>
                <c:pt idx="112">
                  <c:v>0.37514511819323332</c:v>
                </c:pt>
                <c:pt idx="113">
                  <c:v>0.36843146125260101</c:v>
                </c:pt>
                <c:pt idx="114">
                  <c:v>0.36172946334500811</c:v>
                </c:pt>
                <c:pt idx="115">
                  <c:v>0.35504155681435312</c:v>
                </c:pt>
                <c:pt idx="116">
                  <c:v>0.34837019087753185</c:v>
                </c:pt>
                <c:pt idx="117">
                  <c:v>0.34171782873454931</c:v>
                </c:pt>
                <c:pt idx="118">
                  <c:v>0.33508694457921978</c:v>
                </c:pt>
                <c:pt idx="119">
                  <c:v>0.32848002051505926</c:v>
                </c:pt>
                <c:pt idx="120">
                  <c:v>0.32189954338147631</c:v>
                </c:pt>
                <c:pt idx="121">
                  <c:v>0.31534800149586967</c:v>
                </c:pt>
                <c:pt idx="122">
                  <c:v>0.30882788131773609</c:v>
                </c:pt>
                <c:pt idx="123">
                  <c:v>0.30234166404138896</c:v>
                </c:pt>
                <c:pt idx="124">
                  <c:v>0.29589182212437748</c:v>
                </c:pt>
                <c:pt idx="125">
                  <c:v>0.28948081575917017</c:v>
                </c:pt>
                <c:pt idx="126">
                  <c:v>0.28311108929613438</c:v>
                </c:pt>
                <c:pt idx="127">
                  <c:v>0.27678506762629057</c:v>
                </c:pt>
                <c:pt idx="128">
                  <c:v>0.27050515253274826</c:v>
                </c:pt>
                <c:pt idx="129">
                  <c:v>0.26427371902013969</c:v>
                </c:pt>
                <c:pt idx="130">
                  <c:v>0.2580931116317437</c:v>
                </c:pt>
                <c:pt idx="131">
                  <c:v>0.25196564076434758</c:v>
                </c:pt>
                <c:pt idx="132">
                  <c:v>0.24589357899121006</c:v>
                </c:pt>
                <c:pt idx="133">
                  <c:v>0.23987915740377308</c:v>
                </c:pt>
                <c:pt idx="134">
                  <c:v>0.23392456198301426</c:v>
                </c:pt>
                <c:pt idx="135">
                  <c:v>0.22803193001153405</c:v>
                </c:pt>
                <c:pt idx="136">
                  <c:v>0.22220334653762855</c:v>
                </c:pt>
                <c:pt idx="137">
                  <c:v>0.21644084090270971</c:v>
                </c:pt>
                <c:pt idx="138">
                  <c:v>0.21074638334349505</c:v>
                </c:pt>
                <c:pt idx="139">
                  <c:v>0.205121881680396</c:v>
                </c:pt>
                <c:pt idx="140">
                  <c:v>0.19956917810348884</c:v>
                </c:pt>
                <c:pt idx="141">
                  <c:v>0.19409004606734809</c:v>
                </c:pt>
                <c:pt idx="142">
                  <c:v>0.18868618730586365</c:v>
                </c:pt>
                <c:pt idx="143">
                  <c:v>0.18335922897794565</c:v>
                </c:pt>
                <c:pt idx="144">
                  <c:v>0.17811072095473904</c:v>
                </c:pt>
                <c:pt idx="145">
                  <c:v>0.17294213325863816</c:v>
                </c:pt>
                <c:pt idx="146">
                  <c:v>0.16785485366399094</c:v>
                </c:pt>
                <c:pt idx="147">
                  <c:v>0.16285018546892877</c:v>
                </c:pt>
                <c:pt idx="148">
                  <c:v>0.15792934544724305</c:v>
                </c:pt>
                <c:pt idx="149">
                  <c:v>0.15309346198866178</c:v>
                </c:pt>
                <c:pt idx="150">
                  <c:v>0.14834357343525115</c:v>
                </c:pt>
                <c:pt idx="151">
                  <c:v>0.14368062662099404</c:v>
                </c:pt>
                <c:pt idx="152">
                  <c:v>0.13910547562086781</c:v>
                </c:pt>
                <c:pt idx="153">
                  <c:v>0.13461888071497322</c:v>
                </c:pt>
                <c:pt idx="154">
                  <c:v>0.13022150757244957</c:v>
                </c:pt>
                <c:pt idx="155">
                  <c:v>0.12591392665905871</c:v>
                </c:pt>
                <c:pt idx="156">
                  <c:v>0.12169661287143303</c:v>
                </c:pt>
                <c:pt idx="157">
                  <c:v>0.11756994540006618</c:v>
                </c:pt>
                <c:pt idx="158">
                  <c:v>0.11353420782218525</c:v>
                </c:pt>
                <c:pt idx="159">
                  <c:v>0.10958958842468546</c:v>
                </c:pt>
                <c:pt idx="160">
                  <c:v>0.1057361807563385</c:v>
                </c:pt>
                <c:pt idx="161">
                  <c:v>0.10197398440750825</c:v>
                </c:pt>
                <c:pt idx="162">
                  <c:v>9.8302906014632319E-2</c:v>
                </c:pt>
                <c:pt idx="163">
                  <c:v>9.472276048575648E-2</c:v>
                </c:pt>
                <c:pt idx="164">
                  <c:v>9.1233272442453189E-2</c:v>
                </c:pt>
                <c:pt idx="165">
                  <c:v>8.7834077872515473E-2</c:v>
                </c:pt>
                <c:pt idx="166">
                  <c:v>8.4524725986905955E-2</c:v>
                </c:pt>
                <c:pt idx="167">
                  <c:v>8.1304681273558679E-2</c:v>
                </c:pt>
                <c:pt idx="168">
                  <c:v>7.8173325739789454E-2</c:v>
                </c:pt>
                <c:pt idx="169">
                  <c:v>7.5129961334269274E-2</c:v>
                </c:pt>
                <c:pt idx="170">
                  <c:v>7.2173812538765592E-2</c:v>
                </c:pt>
                <c:pt idx="171">
                  <c:v>6.930402911916049E-2</c:v>
                </c:pt>
                <c:pt idx="172">
                  <c:v>6.6519689024616538E-2</c:v>
                </c:pt>
                <c:pt idx="173">
                  <c:v>6.3819801423190742E-2</c:v>
                </c:pt>
                <c:pt idx="174">
                  <c:v>6.1203309861685873E-2</c:v>
                </c:pt>
                <c:pt idx="175">
                  <c:v>5.8669095537099196E-2</c:v>
                </c:pt>
                <c:pt idx="176">
                  <c:v>5.6215980666662939E-2</c:v>
                </c:pt>
                <c:pt idx="177">
                  <c:v>5.3842731943185847E-2</c:v>
                </c:pt>
                <c:pt idx="178">
                  <c:v>5.1548064062197758E-2</c:v>
                </c:pt>
                <c:pt idx="179">
                  <c:v>4.9330643307266886E-2</c:v>
                </c:pt>
                <c:pt idx="180">
                  <c:v>4.7189091179808684E-2</c:v>
                </c:pt>
                <c:pt idx="181">
                  <c:v>4.5121988059731104E-2</c:v>
                </c:pt>
                <c:pt idx="182">
                  <c:v>4.3127876883363586E-2</c:v>
                </c:pt>
                <c:pt idx="183">
                  <c:v>4.1205266825296641E-2</c:v>
                </c:pt>
                <c:pt idx="184">
                  <c:v>3.9352636971010421E-2</c:v>
                </c:pt>
                <c:pt idx="185">
                  <c:v>3.7568439967492734E-2</c:v>
                </c:pt>
                <c:pt idx="186">
                  <c:v>3.5851105639436713E-2</c:v>
                </c:pt>
                <c:pt idx="187">
                  <c:v>3.4199044559060539E-2</c:v>
                </c:pt>
                <c:pt idx="188">
                  <c:v>3.261065155810277E-2</c:v>
                </c:pt>
                <c:pt idx="189">
                  <c:v>3.1084309171112597E-2</c:v>
                </c:pt>
                <c:pt idx="190">
                  <c:v>2.961839099976786E-2</c:v>
                </c:pt>
                <c:pt idx="191">
                  <c:v>2.8211264988611876E-2</c:v>
                </c:pt>
                <c:pt idx="192">
                  <c:v>2.6861296603295157E-2</c:v>
                </c:pt>
                <c:pt idx="193">
                  <c:v>2.5566851903135512E-2</c:v>
                </c:pt>
                <c:pt idx="194">
                  <c:v>2.4326300500563742E-2</c:v>
                </c:pt>
                <c:pt idx="195">
                  <c:v>2.3138018400794123E-2</c:v>
                </c:pt>
                <c:pt idx="196">
                  <c:v>2.2000390715846828E-2</c:v>
                </c:pt>
                <c:pt idx="197">
                  <c:v>2.0911814247843601E-2</c:v>
                </c:pt>
                <c:pt idx="198">
                  <c:v>1.9870699937294425E-2</c:v>
                </c:pt>
                <c:pt idx="199">
                  <c:v>1.8875475172885934E-2</c:v>
                </c:pt>
                <c:pt idx="200">
                  <c:v>1.7924585960065624E-2</c:v>
                </c:pt>
                <c:pt idx="201">
                  <c:v>1.7016498946484812E-2</c:v>
                </c:pt>
                <c:pt idx="202">
                  <c:v>1.6149703303112554E-2</c:v>
                </c:pt>
                <c:pt idx="203">
                  <c:v>1.5322712460558677E-2</c:v>
                </c:pt>
                <c:pt idx="204">
                  <c:v>1.4534065700841148E-2</c:v>
                </c:pt>
                <c:pt idx="205">
                  <c:v>1.378232960549796E-2</c:v>
                </c:pt>
                <c:pt idx="206">
                  <c:v>1.30660993615747E-2</c:v>
                </c:pt>
                <c:pt idx="207">
                  <c:v>1.2383999927610341E-2</c:v>
                </c:pt>
                <c:pt idx="208">
                  <c:v>1.1734687062294937E-2</c:v>
                </c:pt>
                <c:pt idx="209">
                  <c:v>1.111684821898304E-2</c:v>
                </c:pt>
                <c:pt idx="210">
                  <c:v>1.0529203309709294E-2</c:v>
                </c:pt>
                <c:pt idx="211">
                  <c:v>9.9705053427746899E-3</c:v>
                </c:pt>
                <c:pt idx="212">
                  <c:v>9.4395409383435051E-3</c:v>
                </c:pt>
                <c:pt idx="213">
                  <c:v>8.9351307268208582E-3</c:v>
                </c:pt>
                <c:pt idx="214">
                  <c:v>8.4561296350608509E-3</c:v>
                </c:pt>
                <c:pt idx="215">
                  <c:v>8.001427065693947E-3</c:v>
                </c:pt>
                <c:pt idx="216">
                  <c:v>7.5699469750530437E-3</c:v>
                </c:pt>
                <c:pt idx="217">
                  <c:v>7.1606478553285008E-3</c:v>
                </c:pt>
                <c:pt idx="218">
                  <c:v>6.7725226266888809E-3</c:v>
                </c:pt>
                <c:pt idx="219">
                  <c:v>6.4045984451734954E-3</c:v>
                </c:pt>
                <c:pt idx="220">
                  <c:v>6.0559364321918835E-3</c:v>
                </c:pt>
                <c:pt idx="221">
                  <c:v>5.7256313314611867E-3</c:v>
                </c:pt>
                <c:pt idx="222">
                  <c:v>5.4128110991726553E-3</c:v>
                </c:pt>
                <c:pt idx="223">
                  <c:v>5.1166364331105343E-3</c:v>
                </c:pt>
                <c:pt idx="224">
                  <c:v>4.836300246347772E-3</c:v>
                </c:pt>
                <c:pt idx="225">
                  <c:v>4.5710270910210753E-3</c:v>
                </c:pt>
                <c:pt idx="226">
                  <c:v>4.3200725375407284E-3</c:v>
                </c:pt>
                <c:pt idx="227">
                  <c:v>4.0827225144254922E-3</c:v>
                </c:pt>
                <c:pt idx="228">
                  <c:v>3.858292613767752E-3</c:v>
                </c:pt>
                <c:pt idx="229">
                  <c:v>3.6461273671359669E-3</c:v>
                </c:pt>
                <c:pt idx="230">
                  <c:v>3.4455994965091985E-3</c:v>
                </c:pt>
                <c:pt idx="231">
                  <c:v>3.2561091446171551E-3</c:v>
                </c:pt>
                <c:pt idx="232">
                  <c:v>3.0770830888289416E-3</c:v>
                </c:pt>
                <c:pt idx="233">
                  <c:v>2.9079739424989447E-3</c:v>
                </c:pt>
                <c:pt idx="234">
                  <c:v>2.748259347438743E-3</c:v>
                </c:pt>
                <c:pt idx="235">
                  <c:v>2.5974411609433834E-3</c:v>
                </c:pt>
                <c:pt idx="236">
                  <c:v>2.4550446405599167E-3</c:v>
                </c:pt>
                <c:pt idx="237">
                  <c:v>2.3206176295466566E-3</c:v>
                </c:pt>
                <c:pt idx="238">
                  <c:v>2.1937297457362941E-3</c:v>
                </c:pt>
                <c:pt idx="239">
                  <c:v>2.073971576284213E-3</c:v>
                </c:pt>
                <c:pt idx="240">
                  <c:v>1.9609538805580237E-3</c:v>
                </c:pt>
                <c:pt idx="241">
                  <c:v>1.8543068032049381E-3</c:v>
                </c:pt>
                <c:pt idx="242">
                  <c:v>1.7536790992224291E-3</c:v>
                </c:pt>
                <c:pt idx="243">
                  <c:v>1.6587373726540261E-3</c:v>
                </c:pt>
                <c:pt idx="244">
                  <c:v>1.5691653303380388E-3</c:v>
                </c:pt>
                <c:pt idx="245">
                  <c:v>1.4846630519516741E-3</c:v>
                </c:pt>
                <c:pt idx="246">
                  <c:v>1.4049462774179029E-3</c:v>
                </c:pt>
                <c:pt idx="247">
                  <c:v>1.3297457125768344E-3</c:v>
                </c:pt>
                <c:pt idx="248">
                  <c:v>1.2588063538682738E-3</c:v>
                </c:pt>
                <c:pt idx="249">
                  <c:v>1.191886832626732E-3</c:v>
                </c:pt>
                <c:pt idx="250">
                  <c:v>1.1287587794554057E-3</c:v>
                </c:pt>
                <c:pt idx="251">
                  <c:v>1.0692062090203491E-3</c:v>
                </c:pt>
                <c:pt idx="252">
                  <c:v>1.013024925491152E-3</c:v>
                </c:pt>
                <c:pt idx="253">
                  <c:v>9.6002194874865389E-4</c:v>
                </c:pt>
                <c:pt idx="254">
                  <c:v>9.1001496138421194E-4</c:v>
                </c:pt>
                <c:pt idx="255">
                  <c:v>8.6283177642765762E-4</c:v>
                </c:pt>
                <c:pt idx="256">
                  <c:v>8.1830982566275033E-4</c:v>
                </c:pt>
                <c:pt idx="257">
                  <c:v>7.7629566831851585E-4</c:v>
                </c:pt>
                <c:pt idx="258">
                  <c:v>7.3664451986263271E-4</c:v>
                </c:pt>
                <c:pt idx="259">
                  <c:v>6.99219800568075E-4</c:v>
                </c:pt>
                <c:pt idx="260">
                  <c:v>6.6389270347634382E-4</c:v>
                </c:pt>
                <c:pt idx="261">
                  <c:v>6.3054178133944917E-4</c:v>
                </c:pt>
                <c:pt idx="262">
                  <c:v>5.9905255208759546E-4</c:v>
                </c:pt>
                <c:pt idx="263">
                  <c:v>5.6931712234027155E-4</c:v>
                </c:pt>
                <c:pt idx="264">
                  <c:v>5.4123382845430712E-4</c:v>
                </c:pt>
                <c:pt idx="265">
                  <c:v>5.1470689458336808E-4</c:v>
                </c:pt>
                <c:pt idx="266">
                  <c:v>4.8964610720860391E-4</c:v>
                </c:pt>
                <c:pt idx="267">
                  <c:v>4.6596650558966389E-4</c:v>
                </c:pt>
                <c:pt idx="268">
                  <c:v>4.4358808757831929E-4</c:v>
                </c:pt>
                <c:pt idx="269">
                  <c:v>4.2243553023350947E-4</c:v>
                </c:pt>
                <c:pt idx="270">
                  <c:v>4.0243792467601768E-4</c:v>
                </c:pt>
                <c:pt idx="271">
                  <c:v>3.8352852462325527E-4</c:v>
                </c:pt>
                <c:pt idx="272">
                  <c:v>3.6564450804909106E-4</c:v>
                </c:pt>
                <c:pt idx="273">
                  <c:v>3.4872675142038554E-4</c:v>
                </c:pt>
                <c:pt idx="274">
                  <c:v>3.3271961597030106E-4</c:v>
                </c:pt>
                <c:pt idx="275">
                  <c:v>3.1757074547855214E-4</c:v>
                </c:pt>
                <c:pt idx="276">
                  <c:v>3.0323087504010362E-4</c:v>
                </c:pt>
                <c:pt idx="277">
                  <c:v>2.8965365031637721E-4</c:v>
                </c:pt>
                <c:pt idx="278">
                  <c:v>2.767954567764676E-4</c:v>
                </c:pt>
                <c:pt idx="279">
                  <c:v>2.6461525845009336E-4</c:v>
                </c:pt>
                <c:pt idx="280">
                  <c:v>2.5307444572878878E-4</c:v>
                </c:pt>
                <c:pt idx="281">
                  <c:v>2.421366917671488E-4</c:v>
                </c:pt>
                <c:pt idx="282">
                  <c:v>2.3176781705145556E-4</c:v>
                </c:pt>
                <c:pt idx="283">
                  <c:v>2.2193566171883167E-4</c:v>
                </c:pt>
                <c:pt idx="284">
                  <c:v>2.1260996522589823E-4</c:v>
                </c:pt>
                <c:pt idx="285">
                  <c:v>2.0376225298178845E-4</c:v>
                </c:pt>
                <c:pt idx="286">
                  <c:v>1.9536572957614019E-4</c:v>
                </c:pt>
                <c:pt idx="287">
                  <c:v>1.8739517824830794E-4</c:v>
                </c:pt>
                <c:pt idx="288">
                  <c:v>1.7982686625944816E-4</c:v>
                </c:pt>
                <c:pt idx="289">
                  <c:v>1.7263845584424126E-4</c:v>
                </c:pt>
                <c:pt idx="290">
                  <c:v>1.6580892043384959E-4</c:v>
                </c:pt>
                <c:pt idx="291">
                  <c:v>1.5931846585615623E-4</c:v>
                </c:pt>
                <c:pt idx="292">
                  <c:v>1.5314845623340729E-4</c:v>
                </c:pt>
                <c:pt idx="293">
                  <c:v>1.4728134431104024E-4</c:v>
                </c:pt>
                <c:pt idx="294">
                  <c:v>1.4170060596472664E-4</c:v>
                </c:pt>
                <c:pt idx="295">
                  <c:v>1.3639067864542641E-4</c:v>
                </c:pt>
                <c:pt idx="296">
                  <c:v>1.3133690353460113E-4</c:v>
                </c:pt>
                <c:pt idx="297">
                  <c:v>1.2652547119360345E-4</c:v>
                </c:pt>
                <c:pt idx="298">
                  <c:v>1.2194337050266122E-4</c:v>
                </c:pt>
                <c:pt idx="299">
                  <c:v>1.175783406958296E-4</c:v>
                </c:pt>
                <c:pt idx="300">
                  <c:v>1.1341882630876409E-4</c:v>
                </c:pt>
                <c:pt idx="301">
                  <c:v>1.0945393486619345E-4</c:v>
                </c:pt>
                <c:pt idx="302">
                  <c:v>1.0567339714555566E-4</c:v>
                </c:pt>
                <c:pt idx="303">
                  <c:v>1.0206752986239041E-4</c:v>
                </c:pt>
                <c:pt idx="304">
                  <c:v>9.8627200631794113E-5</c:v>
                </c:pt>
                <c:pt idx="305">
                  <c:v>9.5343795068528441E-5</c:v>
                </c:pt>
                <c:pt idx="306">
                  <c:v>9.2209185896251596E-5</c:v>
                </c:pt>
                <c:pt idx="307">
                  <c:v>8.9215703943823987E-5</c:v>
                </c:pt>
                <c:pt idx="308">
                  <c:v>8.6356110913744319E-5</c:v>
                </c:pt>
                <c:pt idx="309">
                  <c:v>8.3623573814501661E-5</c:v>
                </c:pt>
                <c:pt idx="310">
                  <c:v>8.1011640955007278E-5</c:v>
                </c:pt>
                <c:pt idx="311">
                  <c:v>7.8514219405307359E-5</c:v>
                </c:pt>
                <c:pt idx="312">
                  <c:v>7.6125553833487203E-5</c:v>
                </c:pt>
                <c:pt idx="313">
                  <c:v>7.3840206634072819E-5</c:v>
                </c:pt>
                <c:pt idx="314">
                  <c:v>7.1653039268334041E-5</c:v>
                </c:pt>
                <c:pt idx="315">
                  <c:v>6.9559194741705959E-5</c:v>
                </c:pt>
                <c:pt idx="316">
                  <c:v>6.7554081148081172E-5</c:v>
                </c:pt>
                <c:pt idx="317">
                  <c:v>6.5633356215010044E-5</c:v>
                </c:pt>
                <c:pt idx="318">
                  <c:v>6.3792912787872022E-5</c:v>
                </c:pt>
                <c:pt idx="319">
                  <c:v>6.2028865194888874E-5</c:v>
                </c:pt>
                <c:pt idx="320">
                  <c:v>6.0337536438419051E-5</c:v>
                </c:pt>
                <c:pt idx="321">
                  <c:v>5.8715446161342141E-5</c:v>
                </c:pt>
                <c:pt idx="322">
                  <c:v>5.7159299340506646E-5</c:v>
                </c:pt>
                <c:pt idx="323">
                  <c:v>5.5665975662190724E-5</c:v>
                </c:pt>
                <c:pt idx="324">
                  <c:v>5.4232519537325174E-5</c:v>
                </c:pt>
                <c:pt idx="325">
                  <c:v>5.2856130716854892E-5</c:v>
                </c:pt>
                <c:pt idx="326">
                  <c:v>5.153415547008384E-5</c:v>
                </c:pt>
                <c:pt idx="327">
                  <c:v>5.0264078291170739E-5</c:v>
                </c:pt>
                <c:pt idx="328">
                  <c:v>4.9043514101116724E-5</c:v>
                </c:pt>
                <c:pt idx="329">
                  <c:v>4.7870200914629166E-5</c:v>
                </c:pt>
                <c:pt idx="330">
                  <c:v>4.6741992943164064E-5</c:v>
                </c:pt>
                <c:pt idx="331">
                  <c:v>4.5656854107248751E-5</c:v>
                </c:pt>
                <c:pt idx="332">
                  <c:v>4.4612851932869071E-5</c:v>
                </c:pt>
                <c:pt idx="333">
                  <c:v>4.3608151808292072E-5</c:v>
                </c:pt>
                <c:pt idx="334">
                  <c:v>4.2641011579173893E-5</c:v>
                </c:pt>
                <c:pt idx="335">
                  <c:v>4.1709776461194416E-5</c:v>
                </c:pt>
                <c:pt idx="336">
                  <c:v>4.0812874250763324E-5</c:v>
                </c:pt>
                <c:pt idx="337">
                  <c:v>3.9948810815561492E-5</c:v>
                </c:pt>
                <c:pt idx="338">
                  <c:v>3.9116165847827235E-5</c:v>
                </c:pt>
                <c:pt idx="339">
                  <c:v>3.8313588864367428E-5</c:v>
                </c:pt>
                <c:pt idx="340">
                  <c:v>3.7539795438279406E-5</c:v>
                </c:pt>
                <c:pt idx="341">
                  <c:v>3.679356364830751E-5</c:v>
                </c:pt>
                <c:pt idx="342">
                  <c:v>3.6073730732642884E-5</c:v>
                </c:pt>
                <c:pt idx="343">
                  <c:v>3.5379189934795825E-5</c:v>
                </c:pt>
                <c:pt idx="344">
                  <c:v>3.4708887529948434E-5</c:v>
                </c:pt>
                <c:pt idx="345">
                  <c:v>3.4061820020913197E-5</c:v>
                </c:pt>
                <c:pt idx="346">
                  <c:v>3.3437031493506654E-5</c:v>
                </c:pt>
                <c:pt idx="347">
                  <c:v>3.2833611121777819E-5</c:v>
                </c:pt>
                <c:pt idx="348">
                  <c:v>3.2250690814129212E-5</c:v>
                </c:pt>
                <c:pt idx="349">
                  <c:v>3.1687442991922316E-5</c:v>
                </c:pt>
                <c:pt idx="350">
                  <c:v>3.1143078492682131E-5</c:v>
                </c:pt>
                <c:pt idx="351">
                  <c:v>3.0616844590504643E-5</c:v>
                </c:pt>
                <c:pt idx="352">
                  <c:v>3.0108023126726222E-5</c:v>
                </c:pt>
                <c:pt idx="353">
                  <c:v>2.9615928744345031E-5</c:v>
                </c:pt>
                <c:pt idx="354">
                  <c:v>2.9139907220083704E-5</c:v>
                </c:pt>
                <c:pt idx="355">
                  <c:v>2.8679333888358779E-5</c:v>
                </c:pt>
                <c:pt idx="356">
                  <c:v>2.82336121517755E-5</c:v>
                </c:pt>
                <c:pt idx="357">
                  <c:v>2.780217207309544E-5</c:v>
                </c:pt>
                <c:pt idx="358">
                  <c:v>2.7384469043932835E-5</c:v>
                </c:pt>
                <c:pt idx="359">
                  <c:v>2.6979982525726567E-5</c:v>
                </c:pt>
                <c:pt idx="360">
                  <c:v>2.6588214858804265E-5</c:v>
                </c:pt>
                <c:pt idx="361">
                  <c:v>2.620869013561039E-5</c:v>
                </c:pt>
                <c:pt idx="362">
                  <c:v>2.5840953134406656E-5</c:v>
                </c:pt>
                <c:pt idx="363">
                  <c:v>2.5484568309979316E-5</c:v>
                </c:pt>
                <c:pt idx="364">
                  <c:v>2.5139118838092583E-5</c:v>
                </c:pt>
                <c:pt idx="365">
                  <c:v>2.4804205710628529E-5</c:v>
                </c:pt>
                <c:pt idx="366">
                  <c:v>2.4479446878533107E-5</c:v>
                </c:pt>
                <c:pt idx="367">
                  <c:v>2.4164476439863698E-5</c:v>
                </c:pt>
                <c:pt idx="368">
                  <c:v>2.3858943870393398E-5</c:v>
                </c:pt>
                <c:pt idx="369">
                  <c:v>2.3562513294378626E-5</c:v>
                </c:pt>
                <c:pt idx="370">
                  <c:v>2.3274862793240388E-5</c:v>
                </c:pt>
                <c:pt idx="371">
                  <c:v>2.2995683750041685E-5</c:v>
                </c:pt>
                <c:pt idx="372">
                  <c:v>2.2724680227768144E-5</c:v>
                </c:pt>
                <c:pt idx="373">
                  <c:v>2.2461568379537904E-5</c:v>
                </c:pt>
                <c:pt idx="374">
                  <c:v>2.2206075888975633E-5</c:v>
                </c:pt>
                <c:pt idx="375">
                  <c:v>2.1957941439089819E-5</c:v>
                </c:pt>
                <c:pt idx="376">
                  <c:v>2.1716914208088223E-5</c:v>
                </c:pt>
                <c:pt idx="377">
                  <c:v>2.1482753390659549E-5</c:v>
                </c:pt>
                <c:pt idx="378">
                  <c:v>2.1255227743332648E-5</c:v>
                </c:pt>
                <c:pt idx="379">
                  <c:v>2.1034115152606901E-5</c:v>
                </c:pt>
                <c:pt idx="380">
                  <c:v>2.081920222462108E-5</c:v>
                </c:pt>
                <c:pt idx="381">
                  <c:v>2.0610283895200884E-5</c:v>
                </c:pt>
                <c:pt idx="382">
                  <c:v>2.0407163059189303E-5</c:v>
                </c:pt>
                <c:pt idx="383">
                  <c:v>2.0209650218029896E-5</c:v>
                </c:pt>
                <c:pt idx="384">
                  <c:v>2.0017563144628516E-5</c:v>
                </c:pt>
                <c:pt idx="385">
                  <c:v>1.9830726564576534E-5</c:v>
                </c:pt>
                <c:pt idx="386">
                  <c:v>1.9648971852869823E-5</c:v>
                </c:pt>
                <c:pt idx="387">
                  <c:v>1.9472136745306917E-5</c:v>
                </c:pt>
                <c:pt idx="388">
                  <c:v>1.9300065063794967E-5</c:v>
                </c:pt>
                <c:pt idx="389">
                  <c:v>1.9132606454836191E-5</c:v>
                </c:pt>
                <c:pt idx="390">
                  <c:v>1.8969616140508494E-5</c:v>
                </c:pt>
                <c:pt idx="391">
                  <c:v>1.8810954681290278E-5</c:v>
                </c:pt>
                <c:pt idx="392">
                  <c:v>1.8656487750118549E-5</c:v>
                </c:pt>
                <c:pt idx="393">
                  <c:v>1.850608591709987E-5</c:v>
                </c:pt>
                <c:pt idx="394">
                  <c:v>1.8359624444328837E-5</c:v>
                </c:pt>
                <c:pt idx="395">
                  <c:v>1.8216983090296476E-5</c:v>
                </c:pt>
                <c:pt idx="396">
                  <c:v>1.8078045923400582E-5</c:v>
                </c:pt>
                <c:pt idx="397">
                  <c:v>1.7942701144095954E-5</c:v>
                </c:pt>
                <c:pt idx="398">
                  <c:v>1.7810840915248307E-5</c:v>
                </c:pt>
                <c:pt idx="399">
                  <c:v>1.7682361200278601E-5</c:v>
                </c:pt>
                <c:pt idx="400">
                  <c:v>1.75571616087073E-5</c:v>
                </c:pt>
                <c:pt idx="401">
                  <c:v>1.7435145248728845E-5</c:v>
                </c:pt>
                <c:pt idx="402">
                  <c:v>1.7316218586466962E-5</c:v>
                </c:pt>
                <c:pt idx="403">
                  <c:v>1.7200291311579302E-5</c:v>
                </c:pt>
                <c:pt idx="404">
                  <c:v>1.7087276208898348E-5</c:v>
                </c:pt>
                <c:pt idx="405">
                  <c:v>1.6977089035811506E-5</c:v>
                </c:pt>
                <c:pt idx="406">
                  <c:v>1.6869648405099734E-5</c:v>
                </c:pt>
                <c:pt idx="407">
                  <c:v>1.6764875672968003E-5</c:v>
                </c:pt>
                <c:pt idx="408">
                  <c:v>1.6662694832015882E-5</c:v>
                </c:pt>
                <c:pt idx="409">
                  <c:v>1.6563032408908531E-5</c:v>
                </c:pt>
                <c:pt idx="410">
                  <c:v>1.646581736652206E-5</c:v>
                </c:pt>
                <c:pt idx="411">
                  <c:v>1.6370981010348474E-5</c:v>
                </c:pt>
                <c:pt idx="412">
                  <c:v>1.6278456898955938E-5</c:v>
                </c:pt>
                <c:pt idx="413">
                  <c:v>1.6188180758311735E-5</c:v>
                </c:pt>
                <c:pt idx="414">
                  <c:v>1.6100090399784706E-5</c:v>
                </c:pt>
                <c:pt idx="415">
                  <c:v>1.6014125641652914E-5</c:v>
                </c:pt>
                <c:pt idx="416">
                  <c:v>1.5930228233951942E-5</c:v>
                </c:pt>
                <c:pt idx="417">
                  <c:v>1.5848341786506881E-5</c:v>
                </c:pt>
                <c:pt idx="418">
                  <c:v>1.5768411699999933E-5</c:v>
                </c:pt>
                <c:pt idx="419">
                  <c:v>1.5690385099931758E-5</c:v>
                </c:pt>
                <c:pt idx="420">
                  <c:v>1.5614210773343294E-5</c:v>
                </c:pt>
                <c:pt idx="421">
                  <c:v>1.5539839108169787E-5</c:v>
                </c:pt>
                <c:pt idx="422">
                  <c:v>1.54672220351071E-5</c:v>
                </c:pt>
                <c:pt idx="423">
                  <c:v>1.5396312971874731E-5</c:v>
                </c:pt>
                <c:pt idx="424">
                  <c:v>1.532706676976639E-5</c:v>
                </c:pt>
                <c:pt idx="425">
                  <c:v>1.5259439662384269E-5</c:v>
                </c:pt>
                <c:pt idx="426">
                  <c:v>1.5193389216458535E-5</c:v>
                </c:pt>
                <c:pt idx="427">
                  <c:v>1.5128874284657771E-5</c:v>
                </c:pt>
                <c:pt idx="428">
                  <c:v>1.5065854960301374E-5</c:v>
                </c:pt>
                <c:pt idx="429">
                  <c:v>1.5004292533888707E-5</c:v>
                </c:pt>
                <c:pt idx="430">
                  <c:v>1.4944149451364532E-5</c:v>
                </c:pt>
                <c:pt idx="431">
                  <c:v>1.4885389274043112E-5</c:v>
                </c:pt>
                <c:pt idx="432">
                  <c:v>1.4827976640118613E-5</c:v>
                </c:pt>
                <c:pt idx="433">
                  <c:v>1.4771877227691605E-5</c:v>
                </c:pt>
                <c:pt idx="434">
                  <c:v>1.4717057719245158E-5</c:v>
                </c:pt>
                <c:pt idx="435">
                  <c:v>1.4663485767507523E-5</c:v>
                </c:pt>
                <c:pt idx="436">
                  <c:v>1.4611129962641476E-5</c:v>
                </c:pt>
                <c:pt idx="437">
                  <c:v>1.4559959800702404E-5</c:v>
                </c:pt>
                <c:pt idx="438">
                  <c:v>1.4509945653310698E-5</c:v>
                </c:pt>
                <c:pt idx="439">
                  <c:v>1.4461058738486393E-5</c:v>
                </c:pt>
                <c:pt idx="440">
                  <c:v>1.4413271092596404E-5</c:v>
                </c:pt>
                <c:pt idx="441">
                  <c:v>1.4366555543367002E-5</c:v>
                </c:pt>
                <c:pt idx="442">
                  <c:v>1.4320885683916154E-5</c:v>
                </c:pt>
                <c:pt idx="443">
                  <c:v>1.4276235847763027E-5</c:v>
                </c:pt>
                <c:pt idx="444">
                  <c:v>1.4232581084773334E-5</c:v>
                </c:pt>
                <c:pt idx="445">
                  <c:v>1.418989713800123E-5</c:v>
                </c:pt>
                <c:pt idx="446">
                  <c:v>1.414816042139088E-5</c:v>
                </c:pt>
                <c:pt idx="447">
                  <c:v>1.410734799830127E-5</c:v>
                </c:pt>
                <c:pt idx="448">
                  <c:v>1.4067437560820582E-5</c:v>
                </c:pt>
                <c:pt idx="449">
                  <c:v>1.4028407409837996E-5</c:v>
                </c:pt>
                <c:pt idx="450">
                  <c:v>1.3990236435840819E-5</c:v>
                </c:pt>
                <c:pt idx="451">
                  <c:v>1.3952904100408254E-5</c:v>
                </c:pt>
                <c:pt idx="452">
                  <c:v>1.3916390418373165E-5</c:v>
                </c:pt>
                <c:pt idx="453">
                  <c:v>1.3880675940624312E-5</c:v>
                </c:pt>
                <c:pt idx="454">
                  <c:v>1.3845741737523916E-5</c:v>
                </c:pt>
                <c:pt idx="455">
                  <c:v>1.3811569382915357E-5</c:v>
                </c:pt>
                <c:pt idx="456">
                  <c:v>1.377814093869741E-5</c:v>
                </c:pt>
                <c:pt idx="457">
                  <c:v>1.3745438939942451E-5</c:v>
                </c:pt>
                <c:pt idx="458">
                  <c:v>1.3713446380537309E-5</c:v>
                </c:pt>
                <c:pt idx="459">
                  <c:v>1.3682146699325587E-5</c:v>
                </c:pt>
                <c:pt idx="460">
                  <c:v>1.365152376673205E-5</c:v>
                </c:pt>
                <c:pt idx="461">
                  <c:v>1.3621561871850045E-5</c:v>
                </c:pt>
                <c:pt idx="462">
                  <c:v>1.359224570997395E-5</c:v>
                </c:pt>
                <c:pt idx="463">
                  <c:v>1.3563560370559209E-5</c:v>
                </c:pt>
                <c:pt idx="464">
                  <c:v>1.353549132559322E-5</c:v>
                </c:pt>
                <c:pt idx="465">
                  <c:v>1.3508024418361988E-5</c:v>
                </c:pt>
                <c:pt idx="466">
                  <c:v>1.3481145852596126E-5</c:v>
                </c:pt>
                <c:pt idx="467">
                  <c:v>1.3454842181982825E-5</c:v>
                </c:pt>
                <c:pt idx="468">
                  <c:v>1.3429100300029031E-5</c:v>
                </c:pt>
                <c:pt idx="469">
                  <c:v>1.3403907430262909E-5</c:v>
                </c:pt>
                <c:pt idx="470">
                  <c:v>1.3379251116760783E-5</c:v>
                </c:pt>
                <c:pt idx="471">
                  <c:v>1.3355119214987112E-5</c:v>
                </c:pt>
                <c:pt idx="472">
                  <c:v>1.3331499882935919E-5</c:v>
                </c:pt>
                <c:pt idx="473">
                  <c:v>1.3308381572562303E-5</c:v>
                </c:pt>
                <c:pt idx="474">
                  <c:v>1.3285753021493365E-5</c:v>
                </c:pt>
                <c:pt idx="475">
                  <c:v>1.3263603245008098E-5</c:v>
                </c:pt>
                <c:pt idx="476">
                  <c:v>1.324192152827636E-5</c:v>
                </c:pt>
                <c:pt idx="477">
                  <c:v>1.3220697418847544E-5</c:v>
                </c:pt>
                <c:pt idx="478">
                  <c:v>1.3199920719379444E-5</c:v>
                </c:pt>
                <c:pt idx="479">
                  <c:v>1.3179581480598971E-5</c:v>
                </c:pt>
                <c:pt idx="480">
                  <c:v>1.3159669994486264E-5</c:v>
                </c:pt>
                <c:pt idx="481">
                  <c:v>1.3140176787673571E-5</c:v>
                </c:pt>
                <c:pt idx="482">
                  <c:v>1.3121092615052273E-5</c:v>
                </c:pt>
                <c:pt idx="483">
                  <c:v>1.310240845357923E-5</c:v>
                </c:pt>
                <c:pt idx="484">
                  <c:v>1.3084115496276577E-5</c:v>
                </c:pt>
                <c:pt idx="485">
                  <c:v>1.3066205146417428E-5</c:v>
                </c:pt>
                <c:pt idx="486">
                  <c:v>1.3048669011890789E-5</c:v>
                </c:pt>
                <c:pt idx="487">
                  <c:v>1.3031498899740096E-5</c:v>
                </c:pt>
                <c:pt idx="488">
                  <c:v>1.3014686810868384E-5</c:v>
                </c:pt>
                <c:pt idx="489">
                  <c:v>1.2998224934904992E-5</c:v>
                </c:pt>
                <c:pt idx="490">
                  <c:v>1.2982105645227736E-5</c:v>
                </c:pt>
                <c:pt idx="491">
                  <c:v>1.2966321494135615E-5</c:v>
                </c:pt>
                <c:pt idx="492">
                  <c:v>1.2950865208165934E-5</c:v>
                </c:pt>
                <c:pt idx="493">
                  <c:v>1.2935729683552503E-5</c:v>
                </c:pt>
                <c:pt idx="494">
                  <c:v>1.2920907981818096E-5</c:v>
                </c:pt>
                <c:pt idx="495">
                  <c:v>1.2906393325498383E-5</c:v>
                </c:pt>
                <c:pt idx="496">
                  <c:v>1.2892179093991579E-5</c:v>
                </c:pt>
                <c:pt idx="497">
                  <c:v>1.287825881953053E-5</c:v>
                </c:pt>
                <c:pt idx="498">
                  <c:v>1.2864626183272321E-5</c:v>
                </c:pt>
                <c:pt idx="499">
                  <c:v>1.285127501150213E-5</c:v>
                </c:pt>
                <c:pt idx="500">
                  <c:v>1.283819927194691E-5</c:v>
                </c:pt>
                <c:pt idx="501">
                  <c:v>1.2825393070195911E-5</c:v>
                </c:pt>
                <c:pt idx="502">
                  <c:v>1.2812850646223899E-5</c:v>
                </c:pt>
                <c:pt idx="503">
                  <c:v>1.2800566371014154E-5</c:v>
                </c:pt>
                <c:pt idx="504">
                  <c:v>1.2788534743277521E-5</c:v>
                </c:pt>
                <c:pt idx="505">
                  <c:v>1.2776750386265057E-5</c:v>
                </c:pt>
                <c:pt idx="506">
                  <c:v>1.2765208044670457E-5</c:v>
                </c:pt>
                <c:pt idx="507">
                  <c:v>1.2753902581619768E-5</c:v>
                </c:pt>
                <c:pt idx="508">
                  <c:v>1.274282897574579E-5</c:v>
                </c:pt>
                <c:pt idx="509">
                  <c:v>1.2731982318343803E-5</c:v>
                </c:pt>
                <c:pt idx="510">
                  <c:v>1.2721357810606731E-5</c:v>
                </c:pt>
                <c:pt idx="511">
                  <c:v>1.2710950760936772E-5</c:v>
                </c:pt>
                <c:pt idx="512">
                  <c:v>1.2700756582330948E-5</c:v>
                </c:pt>
                <c:pt idx="513">
                  <c:v>1.2690770789839109E-5</c:v>
                </c:pt>
                <c:pt idx="514">
                  <c:v>1.2680988998090714E-5</c:v>
                </c:pt>
                <c:pt idx="515">
                  <c:v>1.2671406918889605E-5</c:v>
                </c:pt>
                <c:pt idx="516">
                  <c:v>1.2662020358873877E-5</c:v>
                </c:pt>
                <c:pt idx="517">
                  <c:v>1.2652825217238877E-5</c:v>
                </c:pt>
                <c:pt idx="518">
                  <c:v>1.2643817483521767E-5</c:v>
                </c:pt>
                <c:pt idx="519">
                  <c:v>1.2634993235445411E-5</c:v>
                </c:pt>
                <c:pt idx="520">
                  <c:v>1.2626348636819701E-5</c:v>
                </c:pt>
                <c:pt idx="521">
                  <c:v>1.2617879935499119E-5</c:v>
                </c:pt>
                <c:pt idx="522">
                  <c:v>1.2609583461394077E-5</c:v>
                </c:pt>
                <c:pt idx="523">
                  <c:v>1.2601455624535049E-5</c:v>
                </c:pt>
                <c:pt idx="524">
                  <c:v>1.2593492913187571E-5</c:v>
                </c:pt>
                <c:pt idx="525">
                  <c:v>1.2585691892016418E-5</c:v>
                </c:pt>
                <c:pt idx="526">
                  <c:v>1.2578049200298186E-5</c:v>
                </c:pt>
                <c:pt idx="527">
                  <c:v>1.2570561550179996E-5</c:v>
                </c:pt>
                <c:pt idx="528">
                  <c:v>1.256322572498353E-5</c:v>
                </c:pt>
                <c:pt idx="529">
                  <c:v>1.2556038577552744E-5</c:v>
                </c:pt>
                <c:pt idx="530">
                  <c:v>1.254899702864426E-5</c:v>
                </c:pt>
                <c:pt idx="531">
                  <c:v>1.2542098065358923E-5</c:v>
                </c:pt>
                <c:pt idx="532">
                  <c:v>1.2535338739613437E-5</c:v>
                </c:pt>
                <c:pt idx="533">
                  <c:v>1.2528716166651008E-5</c:v>
                </c:pt>
                <c:pt idx="534">
                  <c:v>1.2522227523589685E-5</c:v>
                </c:pt>
                <c:pt idx="535">
                  <c:v>1.2515870048007394E-5</c:v>
                </c:pt>
                <c:pt idx="536">
                  <c:v>1.2509641036562762E-5</c:v>
                </c:pt>
                <c:pt idx="537">
                  <c:v>1.2503537843650334E-5</c:v>
                </c:pt>
                <c:pt idx="538">
                  <c:v>1.2497557880089803E-5</c:v>
                </c:pt>
                <c:pt idx="539">
                  <c:v>1.2491698611847464E-5</c:v>
                </c:pt>
                <c:pt idx="540">
                  <c:v>1.2485957558789984E-5</c:v>
                </c:pt>
                <c:pt idx="541">
                  <c:v>1.2480332293468546E-5</c:v>
                </c:pt>
                <c:pt idx="542">
                  <c:v>1.2474820439933493E-5</c:v>
                </c:pt>
                <c:pt idx="543">
                  <c:v>1.2469419672577648E-5</c:v>
                </c:pt>
                <c:pt idx="544">
                  <c:v>1.2464127715008499E-5</c:v>
                </c:pt>
                <c:pt idx="545">
                  <c:v>1.245894233894774E-5</c:v>
                </c:pt>
                <c:pt idx="546">
                  <c:v>1.2453861363157563E-5</c:v>
                </c:pt>
                <c:pt idx="547">
                  <c:v>1.2448882652393242E-5</c:v>
                </c:pt>
                <c:pt idx="548">
                  <c:v>1.2444004116381044E-5</c:v>
                </c:pt>
                <c:pt idx="549">
                  <c:v>1.2439223708820683E-5</c:v>
                </c:pt>
                <c:pt idx="550">
                  <c:v>1.2434539426412157E-5</c:v>
                </c:pt>
                <c:pt idx="551">
                  <c:v>1.2429949307905501E-5</c:v>
                </c:pt>
                <c:pt idx="552">
                  <c:v>1.2425451433173695E-5</c:v>
                </c:pt>
                <c:pt idx="553">
                  <c:v>1.2421043922307408E-5</c:v>
                </c:pt>
                <c:pt idx="554">
                  <c:v>1.241672493473162E-5</c:v>
                </c:pt>
                <c:pt idx="555">
                  <c:v>1.2412492668342765E-5</c:v>
                </c:pt>
                <c:pt idx="556">
                  <c:v>1.2408345358666868E-5</c:v>
                </c:pt>
                <c:pt idx="557">
                  <c:v>1.2404281278037054E-5</c:v>
                </c:pt>
                <c:pt idx="558">
                  <c:v>1.2400298734790646E-5</c:v>
                </c:pt>
                <c:pt idx="559">
                  <c:v>1.2396396072485173E-5</c:v>
                </c:pt>
                <c:pt idx="560">
                  <c:v>1.2392571669132577E-5</c:v>
                </c:pt>
                <c:pt idx="561">
                  <c:v>1.2388823936451483E-5</c:v>
                </c:pt>
                <c:pt idx="562">
                  <c:v>1.238515131913664E-5</c:v>
                </c:pt>
                <c:pt idx="563">
                  <c:v>1.2381552294145688E-5</c:v>
                </c:pt>
                <c:pt idx="564">
                  <c:v>1.2378025370002075E-5</c:v>
                </c:pt>
                <c:pt idx="565">
                  <c:v>1.2374569086114394E-5</c:v>
                </c:pt>
                <c:pt idx="566">
                  <c:v>1.2371182012111206E-5</c:v>
                </c:pt>
                <c:pt idx="567">
                  <c:v>1.236786274719128E-5</c:v>
                </c:pt>
                <c:pt idx="568">
                  <c:v>1.2364609919488713E-5</c:v>
                </c:pt>
                <c:pt idx="569">
                  <c:v>1.2361422185452592E-5</c:v>
                </c:pt>
                <c:pt idx="570">
                  <c:v>1.2358298229240739E-5</c:v>
                </c:pt>
                <c:pt idx="571">
                  <c:v>1.2355236762127525E-5</c:v>
                </c:pt>
                <c:pt idx="572">
                  <c:v>1.2352236521924667E-5</c:v>
                </c:pt>
                <c:pt idx="573">
                  <c:v>1.2349296272415772E-5</c:v>
                </c:pt>
                <c:pt idx="574">
                  <c:v>1.2346414802803141E-5</c:v>
                </c:pt>
                <c:pt idx="575">
                  <c:v>1.2343590927167389E-5</c:v>
                </c:pt>
                <c:pt idx="576">
                  <c:v>1.2340823483939091E-5</c:v>
                </c:pt>
                <c:pt idx="577">
                  <c:v>1.2338111335382302E-5</c:v>
                </c:pt>
                <c:pt idx="578">
                  <c:v>1.2335453367089914E-5</c:v>
                </c:pt>
                <c:pt idx="579">
                  <c:v>1.2332848487489833E-5</c:v>
                </c:pt>
                <c:pt idx="580">
                  <c:v>1.2330295627362683E-5</c:v>
                </c:pt>
                <c:pt idx="581">
                  <c:v>1.2327793739369847E-5</c:v>
                </c:pt>
                <c:pt idx="582">
                  <c:v>1.2325341797592477E-5</c:v>
                </c:pt>
                <c:pt idx="583">
                  <c:v>1.2322938797080151E-5</c:v>
                </c:pt>
                <c:pt idx="584">
                  <c:v>1.2320583753410078E-5</c:v>
                </c:pt>
                <c:pt idx="585">
                  <c:v>1.2318275702255723E-5</c:v>
                </c:pt>
                <c:pt idx="586">
                  <c:v>1.2316013698965101E-5</c:v>
                </c:pt>
                <c:pt idx="587">
                  <c:v>1.2313796818148315E-5</c:v>
                </c:pt>
                <c:pt idx="588">
                  <c:v>1.2311624153274159E-5</c:v>
                </c:pt>
                <c:pt idx="589">
                  <c:v>1.2309494816275605E-5</c:v>
                </c:pt>
                <c:pt idx="590">
                  <c:v>1.2307407937163928E-5</c:v>
                </c:pt>
                <c:pt idx="591">
                  <c:v>1.2305362663651251E-5</c:v>
                </c:pt>
                <c:pt idx="592">
                  <c:v>1.2303358160781343E-5</c:v>
                </c:pt>
                <c:pt idx="593">
                  <c:v>1.2301393610568528E-5</c:v>
                </c:pt>
                <c:pt idx="594">
                  <c:v>1.2299468211644354E-5</c:v>
                </c:pt>
                <c:pt idx="595">
                  <c:v>1.2297581178912085E-5</c:v>
                </c:pt>
                <c:pt idx="596">
                  <c:v>1.2295731743208405E-5</c:v>
                </c:pt>
                <c:pt idx="597">
                  <c:v>1.2293919150972828E-5</c:v>
                </c:pt>
                <c:pt idx="598">
                  <c:v>1.2292142663923937E-5</c:v>
                </c:pt>
                <c:pt idx="599">
                  <c:v>1.2290401558742884E-5</c:v>
                </c:pt>
                <c:pt idx="600">
                  <c:v>1.2288695126763364E-5</c:v>
                </c:pt>
                <c:pt idx="601">
                  <c:v>1.2287022673668725E-5</c:v>
                </c:pt>
                <c:pt idx="602">
                  <c:v>1.2285383519195099E-5</c:v>
                </c:pt>
                <c:pt idx="603">
                  <c:v>1.2283776996841366E-5</c:v>
                </c:pt>
                <c:pt idx="604">
                  <c:v>1.2282202453584843E-5</c:v>
                </c:pt>
                <c:pt idx="605">
                  <c:v>1.228065924960361E-5</c:v>
                </c:pt>
                <c:pt idx="606">
                  <c:v>1.2279146758004313E-5</c:v>
                </c:pt>
                <c:pt idx="607">
                  <c:v>1.2277664364556012E-5</c:v>
                </c:pt>
                <c:pt idx="608">
                  <c:v>1.2276211467429587E-5</c:v>
                </c:pt>
                <c:pt idx="609">
                  <c:v>1.2274787476942761E-5</c:v>
                </c:pt>
                <c:pt idx="610">
                  <c:v>1.2273391815310678E-5</c:v>
                </c:pt>
                <c:pt idx="611">
                  <c:v>1.2272023916401327E-5</c:v>
                </c:pt>
                <c:pt idx="612">
                  <c:v>1.2270683225496735E-5</c:v>
                </c:pt>
                <c:pt idx="613">
                  <c:v>1.2269369199058762E-5</c:v>
                </c:pt>
                <c:pt idx="614">
                  <c:v>1.2268081304500061E-5</c:v>
                </c:pt>
                <c:pt idx="615">
                  <c:v>1.2266819019959953E-5</c:v>
                </c:pt>
                <c:pt idx="616">
                  <c:v>1.2265581834084701E-5</c:v>
                </c:pt>
                <c:pt idx="617">
                  <c:v>1.2264369245812754E-5</c:v>
                </c:pt>
                <c:pt idx="618">
                  <c:v>1.2263180764164472E-5</c:v>
                </c:pt>
                <c:pt idx="619">
                  <c:v>1.2262015908036048E-5</c:v>
                </c:pt>
                <c:pt idx="620">
                  <c:v>1.2260874205997934E-5</c:v>
                </c:pt>
                <c:pt idx="621">
                  <c:v>1.2259755196097541E-5</c:v>
                </c:pt>
                <c:pt idx="622">
                  <c:v>1.2258658425665817E-5</c:v>
                </c:pt>
                <c:pt idx="623">
                  <c:v>1.2257583451128314E-5</c:v>
                </c:pt>
                <c:pt idx="624">
                  <c:v>1.2256529837819808E-5</c:v>
                </c:pt>
                <c:pt idx="625">
                  <c:v>1.2255497159802791E-5</c:v>
                </c:pt>
                <c:pt idx="626">
                  <c:v>1.2254484999690248E-5</c:v>
                </c:pt>
                <c:pt idx="627">
                  <c:v>1.2253492948471389E-5</c:v>
                </c:pt>
                <c:pt idx="628">
                  <c:v>1.2252520605341752E-5</c:v>
                </c:pt>
                <c:pt idx="629">
                  <c:v>1.2251567577536221E-5</c:v>
                </c:pt>
                <c:pt idx="630">
                  <c:v>1.2250633480165893E-5</c:v>
                </c:pt>
                <c:pt idx="631">
                  <c:v>1.2249717936058284E-5</c:v>
                </c:pt>
                <c:pt idx="632">
                  <c:v>1.2248820575600706E-5</c:v>
                </c:pt>
                <c:pt idx="633">
                  <c:v>1.2247941036586974E-5</c:v>
                </c:pt>
                <c:pt idx="634">
                  <c:v>1.2247078964067488E-5</c:v>
                </c:pt>
                <c:pt idx="635">
                  <c:v>1.2246234010201888E-5</c:v>
                </c:pt>
                <c:pt idx="636">
                  <c:v>1.2245405834115442E-5</c:v>
                </c:pt>
                <c:pt idx="637">
                  <c:v>1.2244594101757859E-5</c:v>
                </c:pt>
                <c:pt idx="638">
                  <c:v>1.2243798485765275E-5</c:v>
                </c:pt>
                <c:pt idx="639">
                  <c:v>1.2243018665325044E-5</c:v>
                </c:pt>
                <c:pt idx="640">
                  <c:v>1.2242254326043272E-5</c:v>
                </c:pt>
                <c:pt idx="641">
                  <c:v>1.2241505159815176E-5</c:v>
                </c:pt>
                <c:pt idx="642">
                  <c:v>1.2240770864697936E-5</c:v>
                </c:pt>
                <c:pt idx="643">
                  <c:v>1.2240051144786431E-5</c:v>
                </c:pt>
                <c:pt idx="644">
                  <c:v>1.2239345710091248E-5</c:v>
                </c:pt>
                <c:pt idx="645">
                  <c:v>1.2238654276419369E-5</c:v>
                </c:pt>
                <c:pt idx="646">
                  <c:v>1.2237976565257264E-5</c:v>
                </c:pt>
                <c:pt idx="647">
                  <c:v>1.2237312303656417E-5</c:v>
                </c:pt>
                <c:pt idx="648">
                  <c:v>1.2236661224121083E-5</c:v>
                </c:pt>
                <c:pt idx="649">
                  <c:v>1.2236023064498548E-5</c:v>
                </c:pt>
                <c:pt idx="650">
                  <c:v>1.2235397567871347E-5</c:v>
                </c:pt>
                <c:pt idx="651">
                  <c:v>1.2234784482452109E-5</c:v>
                </c:pt>
                <c:pt idx="652">
                  <c:v>1.2234183561479996E-5</c:v>
                </c:pt>
                <c:pt idx="653">
                  <c:v>1.2233594563119742E-5</c:v>
                </c:pt>
                <c:pt idx="654">
                  <c:v>1.22330172503626E-5</c:v>
                </c:pt>
                <c:pt idx="655">
                  <c:v>1.2232451390929206E-5</c:v>
                </c:pt>
                <c:pt idx="656">
                  <c:v>1.2231896757174491E-5</c:v>
                </c:pt>
                <c:pt idx="657">
                  <c:v>1.2231353125994639E-5</c:v>
                </c:pt>
                <c:pt idx="658">
                  <c:v>1.2230820278735751E-5</c:v>
                </c:pt>
                <c:pt idx="659">
                  <c:v>1.2230298001104534E-5</c:v>
                </c:pt>
                <c:pt idx="660">
                  <c:v>1.2229786083080667E-5</c:v>
                </c:pt>
                <c:pt idx="661">
                  <c:v>1.2229284318831166E-5</c:v>
                </c:pt>
                <c:pt idx="662">
                  <c:v>1.2228792506626129E-5</c:v>
                </c:pt>
                <c:pt idx="663">
                  <c:v>1.2228310448756607E-5</c:v>
                </c:pt>
                <c:pt idx="664">
                  <c:v>1.222783795145389E-5</c:v>
                </c:pt>
                <c:pt idx="665">
                  <c:v>1.2227374824810374E-5</c:v>
                </c:pt>
                <c:pt idx="666">
                  <c:v>1.2226920882702392E-5</c:v>
                </c:pt>
                <c:pt idx="667">
                  <c:v>1.2226475942714142E-5</c:v>
                </c:pt>
                <c:pt idx="668">
                  <c:v>1.2226039826063474E-5</c:v>
                </c:pt>
                <c:pt idx="669">
                  <c:v>1.2225612357529148E-5</c:v>
                </c:pt>
                <c:pt idx="670">
                  <c:v>1.2225193365379368E-5</c:v>
                </c:pt>
                <c:pt idx="671">
                  <c:v>1.2224782681302068E-5</c:v>
                </c:pt>
                <c:pt idx="672">
                  <c:v>1.2224380140336349E-5</c:v>
                </c:pt>
                <c:pt idx="673">
                  <c:v>1.222398558080536E-5</c:v>
                </c:pt>
                <c:pt idx="674">
                  <c:v>1.2223598844250719E-5</c:v>
                </c:pt>
                <c:pt idx="675">
                  <c:v>1.2223219775367918E-5</c:v>
                </c:pt>
                <c:pt idx="676">
                  <c:v>1.2222848221943492E-5</c:v>
                </c:pt>
                <c:pt idx="677">
                  <c:v>1.2222484034792934E-5</c:v>
                </c:pt>
                <c:pt idx="678">
                  <c:v>1.2222127067700311E-5</c:v>
                </c:pt>
                <c:pt idx="679">
                  <c:v>1.2221777177358786E-5</c:v>
                </c:pt>
                <c:pt idx="680">
                  <c:v>1.222143422331255E-5</c:v>
                </c:pt>
                <c:pt idx="681">
                  <c:v>1.2221098067899908E-5</c:v>
                </c:pt>
                <c:pt idx="682">
                  <c:v>1.2220768576197265E-5</c:v>
                </c:pt>
                <c:pt idx="683">
                  <c:v>1.2220445615964559E-5</c:v>
                </c:pt>
                <c:pt idx="684">
                  <c:v>1.2220129057591625E-5</c:v>
                </c:pt>
                <c:pt idx="685">
                  <c:v>1.2219818774045667E-5</c:v>
                </c:pt>
                <c:pt idx="686">
                  <c:v>1.2219514640819834E-5</c:v>
                </c:pt>
                <c:pt idx="687">
                  <c:v>1.2219216535882709E-5</c:v>
                </c:pt>
                <c:pt idx="688">
                  <c:v>1.2218924339628975E-5</c:v>
                </c:pt>
                <c:pt idx="689">
                  <c:v>1.2218637934830966E-5</c:v>
                </c:pt>
                <c:pt idx="690">
                  <c:v>1.2218357206591192E-5</c:v>
                </c:pt>
                <c:pt idx="691">
                  <c:v>1.2218082042295926E-5</c:v>
                </c:pt>
                <c:pt idx="692">
                  <c:v>1.2217812331569549E-5</c:v>
                </c:pt>
                <c:pt idx="693">
                  <c:v>1.2217547966229998E-5</c:v>
                </c:pt>
                <c:pt idx="694">
                  <c:v>1.2217288840244918E-5</c:v>
                </c:pt>
                <c:pt idx="695">
                  <c:v>1.2217034849688895E-5</c:v>
                </c:pt>
                <c:pt idx="696">
                  <c:v>1.2216785892701415E-5</c:v>
                </c:pt>
                <c:pt idx="697">
                  <c:v>1.2216541869445679E-5</c:v>
                </c:pt>
                <c:pt idx="698">
                  <c:v>1.2216302682068265E-5</c:v>
                </c:pt>
                <c:pt idx="699">
                  <c:v>1.2216068234659615E-5</c:v>
                </c:pt>
                <c:pt idx="700">
                  <c:v>1.2215838433215353E-5</c:v>
                </c:pt>
                <c:pt idx="701">
                  <c:v>1.2215613185598215E-5</c:v>
                </c:pt>
                <c:pt idx="702">
                  <c:v>1.2215392401500913E-5</c:v>
                </c:pt>
                <c:pt idx="703">
                  <c:v>1.2215175992409693E-5</c:v>
                </c:pt>
                <c:pt idx="704">
                  <c:v>1.221496387156862E-5</c:v>
                </c:pt>
                <c:pt idx="705">
                  <c:v>1.2214755953944499E-5</c:v>
                </c:pt>
                <c:pt idx="706">
                  <c:v>1.2214552156192605E-5</c:v>
                </c:pt>
                <c:pt idx="707">
                  <c:v>1.221435239662316E-5</c:v>
                </c:pt>
                <c:pt idx="708">
                  <c:v>1.2214156595168192E-5</c:v>
                </c:pt>
                <c:pt idx="709">
                  <c:v>1.2213964673349458E-5</c:v>
                </c:pt>
                <c:pt idx="710">
                  <c:v>1.2213776554246655E-5</c:v>
                </c:pt>
                <c:pt idx="711">
                  <c:v>1.2213592162466483E-5</c:v>
                </c:pt>
                <c:pt idx="712">
                  <c:v>1.2213411424112184E-5</c:v>
                </c:pt>
                <c:pt idx="713">
                  <c:v>1.2213234266753923E-5</c:v>
                </c:pt>
                <c:pt idx="714">
                  <c:v>1.2213060619399342E-5</c:v>
                </c:pt>
                <c:pt idx="715">
                  <c:v>1.2212890412465273E-5</c:v>
                </c:pt>
                <c:pt idx="716">
                  <c:v>1.2212723577749385E-5</c:v>
                </c:pt>
                <c:pt idx="717">
                  <c:v>1.2212560048403001E-5</c:v>
                </c:pt>
                <c:pt idx="718">
                  <c:v>1.2212399758904052E-5</c:v>
                </c:pt>
                <c:pt idx="719">
                  <c:v>1.2212242645030585E-5</c:v>
                </c:pt>
                <c:pt idx="720">
                  <c:v>1.221208864383513E-5</c:v>
                </c:pt>
                <c:pt idx="721">
                  <c:v>1.2211937693619162E-5</c:v>
                </c:pt>
                <c:pt idx="722">
                  <c:v>1.2211789733908421E-5</c:v>
                </c:pt>
                <c:pt idx="723">
                  <c:v>1.2211644705428475E-5</c:v>
                </c:pt>
                <c:pt idx="724">
                  <c:v>1.2211502550080889E-5</c:v>
                </c:pt>
                <c:pt idx="725">
                  <c:v>1.2211363210919839E-5</c:v>
                </c:pt>
                <c:pt idx="726">
                  <c:v>1.2211226632129322E-5</c:v>
                </c:pt>
                <c:pt idx="727">
                  <c:v>1.2211092759000443E-5</c:v>
                </c:pt>
                <c:pt idx="728">
                  <c:v>1.221096153790967E-5</c:v>
                </c:pt>
                <c:pt idx="729">
                  <c:v>1.221083291629718E-5</c:v>
                </c:pt>
                <c:pt idx="730">
                  <c:v>1.2210706842645662E-5</c:v>
                </c:pt>
                <c:pt idx="731">
                  <c:v>1.2210583266459618E-5</c:v>
                </c:pt>
                <c:pt idx="732">
                  <c:v>1.22104621382452E-5</c:v>
                </c:pt>
                <c:pt idx="733">
                  <c:v>1.2210343409490094E-5</c:v>
                </c:pt>
                <c:pt idx="734">
                  <c:v>1.2210227032644188E-5</c:v>
                </c:pt>
                <c:pt idx="735">
                  <c:v>1.2210112961100363E-5</c:v>
                </c:pt>
                <c:pt idx="736">
                  <c:v>1.2210001149175905E-5</c:v>
                </c:pt>
                <c:pt idx="737">
                  <c:v>1.2209891552093871E-5</c:v>
                </c:pt>
                <c:pt idx="738">
                  <c:v>1.2209784125965425E-5</c:v>
                </c:pt>
                <c:pt idx="739">
                  <c:v>1.220967882777193E-5</c:v>
                </c:pt>
                <c:pt idx="740">
                  <c:v>1.22095756153479E-5</c:v>
                </c:pt>
                <c:pt idx="741">
                  <c:v>1.2209474447363859E-5</c:v>
                </c:pt>
                <c:pt idx="742">
                  <c:v>1.2209375283309826E-5</c:v>
                </c:pt>
                <c:pt idx="743">
                  <c:v>1.2209278083479092E-5</c:v>
                </c:pt>
                <c:pt idx="744">
                  <c:v>1.2209182808952163E-5</c:v>
                </c:pt>
                <c:pt idx="745">
                  <c:v>1.2209089421581276E-5</c:v>
                </c:pt>
                <c:pt idx="746">
                  <c:v>1.2208997883974874E-5</c:v>
                </c:pt>
                <c:pt idx="747">
                  <c:v>1.2208908159482856E-5</c:v>
                </c:pt>
                <c:pt idx="748">
                  <c:v>1.2208820212181644E-5</c:v>
                </c:pt>
                <c:pt idx="749">
                  <c:v>1.22087340068598E-5</c:v>
                </c:pt>
                <c:pt idx="750">
                  <c:v>1.2208649509003981E-5</c:v>
                </c:pt>
                <c:pt idx="751">
                  <c:v>1.2208566684785073E-5</c:v>
                </c:pt>
                <c:pt idx="752">
                  <c:v>1.2208485501044431E-5</c:v>
                </c:pt>
                <c:pt idx="753">
                  <c:v>1.2208405925280896E-5</c:v>
                </c:pt>
                <c:pt idx="754">
                  <c:v>1.2208327925637451E-5</c:v>
                </c:pt>
                <c:pt idx="755">
                  <c:v>1.2208251470888559E-5</c:v>
                </c:pt>
                <c:pt idx="756">
                  <c:v>1.220817653042766E-5</c:v>
                </c:pt>
                <c:pt idx="757">
                  <c:v>1.220810307425481E-5</c:v>
                </c:pt>
                <c:pt idx="758">
                  <c:v>1.2208031072964774E-5</c:v>
                </c:pt>
                <c:pt idx="759">
                  <c:v>1.2207960497735072E-5</c:v>
                </c:pt>
                <c:pt idx="760">
                  <c:v>1.2207891320314478E-5</c:v>
                </c:pt>
                <c:pt idx="761">
                  <c:v>1.2207823513011808E-5</c:v>
                </c:pt>
                <c:pt idx="762">
                  <c:v>1.2207757048684556E-5</c:v>
                </c:pt>
                <c:pt idx="763">
                  <c:v>1.2207691900728274E-5</c:v>
                </c:pt>
                <c:pt idx="764">
                  <c:v>1.2207628043065742E-5</c:v>
                </c:pt>
                <c:pt idx="765">
                  <c:v>1.2207565450136519E-5</c:v>
                </c:pt>
                <c:pt idx="766">
                  <c:v>1.2207504096886719E-5</c:v>
                </c:pt>
                <c:pt idx="767">
                  <c:v>1.2207443958759007E-5</c:v>
                </c:pt>
                <c:pt idx="768">
                  <c:v>1.2207385011682704E-5</c:v>
                </c:pt>
                <c:pt idx="769">
                  <c:v>1.2207327232064161E-5</c:v>
                </c:pt>
                <c:pt idx="770">
                  <c:v>1.2207270596777189E-5</c:v>
                </c:pt>
                <c:pt idx="771">
                  <c:v>1.2207215083153958E-5</c:v>
                </c:pt>
                <c:pt idx="772">
                  <c:v>1.2207160668975796E-5</c:v>
                </c:pt>
                <c:pt idx="773">
                  <c:v>1.2207107332464351E-5</c:v>
                </c:pt>
                <c:pt idx="774">
                  <c:v>1.2207055052272781E-5</c:v>
                </c:pt>
                <c:pt idx="775">
                  <c:v>1.2207003807477251E-5</c:v>
                </c:pt>
                <c:pt idx="776">
                  <c:v>1.2206953577568533E-5</c:v>
                </c:pt>
                <c:pt idx="777">
                  <c:v>1.2206904342443758E-5</c:v>
                </c:pt>
                <c:pt idx="778">
                  <c:v>1.2206856082398421E-5</c:v>
                </c:pt>
                <c:pt idx="779">
                  <c:v>1.2206808778118477E-5</c:v>
                </c:pt>
                <c:pt idx="780">
                  <c:v>1.2206762410672455E-5</c:v>
                </c:pt>
                <c:pt idx="781">
                  <c:v>1.2206716961504097E-5</c:v>
                </c:pt>
                <c:pt idx="782">
                  <c:v>1.2206672412424799E-5</c:v>
                </c:pt>
                <c:pt idx="783">
                  <c:v>1.2206628745606216E-5</c:v>
                </c:pt>
                <c:pt idx="784">
                  <c:v>1.2206585943573388E-5</c:v>
                </c:pt>
                <c:pt idx="785">
                  <c:v>1.2206543989197509E-5</c:v>
                </c:pt>
                <c:pt idx="786">
                  <c:v>1.2206502865689171E-5</c:v>
                </c:pt>
                <c:pt idx="787">
                  <c:v>1.2206462556591513E-5</c:v>
                </c:pt>
                <c:pt idx="788">
                  <c:v>1.2206423045773818E-5</c:v>
                </c:pt>
                <c:pt idx="789">
                  <c:v>1.2206384317424909E-5</c:v>
                </c:pt>
                <c:pt idx="790">
                  <c:v>1.2206346356046848E-5</c:v>
                </c:pt>
                <c:pt idx="791">
                  <c:v>1.2206309146448756E-5</c:v>
                </c:pt>
                <c:pt idx="792">
                  <c:v>1.2206272673740691E-5</c:v>
                </c:pt>
                <c:pt idx="793">
                  <c:v>1.2206236923327734E-5</c:v>
                </c:pt>
                <c:pt idx="794">
                  <c:v>1.2206201880903995E-5</c:v>
                </c:pt>
                <c:pt idx="795">
                  <c:v>1.2206167532447128E-5</c:v>
                </c:pt>
                <c:pt idx="796">
                  <c:v>1.2206133864212519E-5</c:v>
                </c:pt>
                <c:pt idx="797">
                  <c:v>1.2206100862727799E-5</c:v>
                </c:pt>
                <c:pt idx="798">
                  <c:v>1.2206068514787532E-5</c:v>
                </c:pt>
                <c:pt idx="799">
                  <c:v>1.2206036807447926E-5</c:v>
                </c:pt>
                <c:pt idx="800">
                  <c:v>1.2206005728021472E-5</c:v>
                </c:pt>
                <c:pt idx="801">
                  <c:v>1.2205975264072142E-5</c:v>
                </c:pt>
                <c:pt idx="802">
                  <c:v>1.2205945403410176E-5</c:v>
                </c:pt>
                <c:pt idx="803">
                  <c:v>1.2205916134087277E-5</c:v>
                </c:pt>
                <c:pt idx="804">
                  <c:v>1.2205887444391882E-5</c:v>
                </c:pt>
                <c:pt idx="805">
                  <c:v>1.2205859322844401E-5</c:v>
                </c:pt>
                <c:pt idx="806">
                  <c:v>1.2205831758192633E-5</c:v>
                </c:pt>
                <c:pt idx="807">
                  <c:v>1.2205804739407254E-5</c:v>
                </c:pt>
                <c:pt idx="808">
                  <c:v>1.2205778255677465E-5</c:v>
                </c:pt>
                <c:pt idx="809">
                  <c:v>1.2205752296406571E-5</c:v>
                </c:pt>
                <c:pt idx="810">
                  <c:v>1.220572685120778E-5</c:v>
                </c:pt>
                <c:pt idx="811">
                  <c:v>1.2205701909900105E-5</c:v>
                </c:pt>
                <c:pt idx="812">
                  <c:v>1.2205677462504088E-5</c:v>
                </c:pt>
                <c:pt idx="813">
                  <c:v>1.2205653499238077E-5</c:v>
                </c:pt>
                <c:pt idx="814">
                  <c:v>1.2205630010514131E-5</c:v>
                </c:pt>
                <c:pt idx="815">
                  <c:v>1.2205606986934154E-5</c:v>
                </c:pt>
                <c:pt idx="816">
                  <c:v>1.2205584419286349E-5</c:v>
                </c:pt>
                <c:pt idx="817">
                  <c:v>1.2205562298541209E-5</c:v>
                </c:pt>
                <c:pt idx="818">
                  <c:v>1.2205540615848214E-5</c:v>
                </c:pt>
                <c:pt idx="819">
                  <c:v>1.2205519362532077E-5</c:v>
                </c:pt>
                <c:pt idx="820">
                  <c:v>1.2205498530089371E-5</c:v>
                </c:pt>
                <c:pt idx="821">
                  <c:v>1.2205478110185065E-5</c:v>
                </c:pt>
                <c:pt idx="822">
                  <c:v>1.2205458094649286E-5</c:v>
                </c:pt>
                <c:pt idx="823">
                  <c:v>1.2205438475473845E-5</c:v>
                </c:pt>
                <c:pt idx="824">
                  <c:v>1.2205419244809326E-5</c:v>
                </c:pt>
                <c:pt idx="825">
                  <c:v>1.2205400394961684E-5</c:v>
                </c:pt>
                <c:pt idx="826">
                  <c:v>1.2205381918389264E-5</c:v>
                </c:pt>
                <c:pt idx="827">
                  <c:v>1.2205363807699897E-5</c:v>
                </c:pt>
                <c:pt idx="828">
                  <c:v>1.2205346055647602E-5</c:v>
                </c:pt>
                <c:pt idx="829">
                  <c:v>1.2205328655130172E-5</c:v>
                </c:pt>
                <c:pt idx="830">
                  <c:v>1.2205311599185876E-5</c:v>
                </c:pt>
                <c:pt idx="831">
                  <c:v>1.2205294880990964E-5</c:v>
                </c:pt>
                <c:pt idx="832">
                  <c:v>1.2205278493856786E-5</c:v>
                </c:pt>
                <c:pt idx="833">
                  <c:v>1.2205262431227156E-5</c:v>
                </c:pt>
                <c:pt idx="834">
                  <c:v>1.2205246686675814E-5</c:v>
                </c:pt>
                <c:pt idx="835">
                  <c:v>1.2205231253903682E-5</c:v>
                </c:pt>
                <c:pt idx="836">
                  <c:v>1.2205216126736546E-5</c:v>
                </c:pt>
                <c:pt idx="837">
                  <c:v>1.2205201299122335E-5</c:v>
                </c:pt>
                <c:pt idx="838">
                  <c:v>1.2205186765128923E-5</c:v>
                </c:pt>
                <c:pt idx="839">
                  <c:v>1.2205172518941745E-5</c:v>
                </c:pt>
                <c:pt idx="840">
                  <c:v>1.2205158554861209E-5</c:v>
                </c:pt>
                <c:pt idx="841">
                  <c:v>1.2205144867300775E-5</c:v>
                </c:pt>
                <c:pt idx="842">
                  <c:v>1.2205131450784471E-5</c:v>
                </c:pt>
                <c:pt idx="843">
                  <c:v>1.2205118299944791E-5</c:v>
                </c:pt>
                <c:pt idx="844">
                  <c:v>1.2205105409520465E-5</c:v>
                </c:pt>
                <c:pt idx="845">
                  <c:v>1.2205092774354523E-5</c:v>
                </c:pt>
                <c:pt idx="846">
                  <c:v>1.2205080389392103E-5</c:v>
                </c:pt>
                <c:pt idx="847">
                  <c:v>1.2205068249678394E-5</c:v>
                </c:pt>
                <c:pt idx="848">
                  <c:v>1.2205056350356765E-5</c:v>
                </c:pt>
                <c:pt idx="849">
                  <c:v>1.2205044686666796E-5</c:v>
                </c:pt>
                <c:pt idx="850">
                  <c:v>1.2205033253942212E-5</c:v>
                </c:pt>
                <c:pt idx="851">
                  <c:v>1.2205022047609345E-5</c:v>
                </c:pt>
                <c:pt idx="852">
                  <c:v>1.220501106318494E-5</c:v>
                </c:pt>
                <c:pt idx="853">
                  <c:v>1.2205000296274601E-5</c:v>
                </c:pt>
                <c:pt idx="854">
                  <c:v>1.2204989742570956E-5</c:v>
                </c:pt>
                <c:pt idx="855">
                  <c:v>1.2204979397851934E-5</c:v>
                </c:pt>
                <c:pt idx="856">
                  <c:v>1.2204969257979106E-5</c:v>
                </c:pt>
                <c:pt idx="857">
                  <c:v>1.2204959318895936E-5</c:v>
                </c:pt>
                <c:pt idx="858">
                  <c:v>1.2204949576626234E-5</c:v>
                </c:pt>
                <c:pt idx="859">
                  <c:v>1.220494002727264E-5</c:v>
                </c:pt>
                <c:pt idx="860">
                  <c:v>1.2204930667014893E-5</c:v>
                </c:pt>
                <c:pt idx="861">
                  <c:v>1.220492149210839E-5</c:v>
                </c:pt>
                <c:pt idx="862">
                  <c:v>1.2204912498882719E-5</c:v>
                </c:pt>
                <c:pt idx="863">
                  <c:v>1.2204903683740141E-5</c:v>
                </c:pt>
                <c:pt idx="864">
                  <c:v>1.2204895043154145E-5</c:v>
                </c:pt>
                <c:pt idx="865">
                  <c:v>1.2204886573668146E-5</c:v>
                </c:pt>
                <c:pt idx="866">
                  <c:v>1.2204878271893882E-5</c:v>
                </c:pt>
                <c:pt idx="867">
                  <c:v>1.2204870134510255E-5</c:v>
                </c:pt>
                <c:pt idx="868">
                  <c:v>1.2204862158261958E-5</c:v>
                </c:pt>
                <c:pt idx="869">
                  <c:v>1.2204854339958159E-5</c:v>
                </c:pt>
                <c:pt idx="870">
                  <c:v>1.2204846676471099E-5</c:v>
                </c:pt>
                <c:pt idx="871">
                  <c:v>1.2204839164735134E-5</c:v>
                </c:pt>
                <c:pt idx="872">
                  <c:v>1.2204831801745157E-5</c:v>
                </c:pt>
                <c:pt idx="873">
                  <c:v>1.2204824584555764E-5</c:v>
                </c:pt>
                <c:pt idx="874">
                  <c:v>1.2204817510279666E-5</c:v>
                </c:pt>
                <c:pt idx="875">
                  <c:v>1.2204810576086905E-5</c:v>
                </c:pt>
                <c:pt idx="876">
                  <c:v>1.2204803779203491E-5</c:v>
                </c:pt>
                <c:pt idx="877">
                  <c:v>1.2204797116910427E-5</c:v>
                </c:pt>
                <c:pt idx="878">
                  <c:v>1.2204790586542494E-5</c:v>
                </c:pt>
                <c:pt idx="879">
                  <c:v>1.2204784185487313E-5</c:v>
                </c:pt>
                <c:pt idx="880">
                  <c:v>1.2204777911184227E-5</c:v>
                </c:pt>
                <c:pt idx="881">
                  <c:v>1.2204771761123208E-5</c:v>
                </c:pt>
                <c:pt idx="882">
                  <c:v>1.2204765732844034E-5</c:v>
                </c:pt>
                <c:pt idx="883">
                  <c:v>1.2204759823935168E-5</c:v>
                </c:pt>
                <c:pt idx="884">
                  <c:v>1.2204754032032819E-5</c:v>
                </c:pt>
                <c:pt idx="885">
                  <c:v>1.2204748354820009E-5</c:v>
                </c:pt>
                <c:pt idx="886">
                  <c:v>1.2204742790025665E-5</c:v>
                </c:pt>
                <c:pt idx="887">
                  <c:v>1.2204737335423663E-5</c:v>
                </c:pt>
                <c:pt idx="888">
                  <c:v>1.2204731988831965E-5</c:v>
                </c:pt>
                <c:pt idx="889">
                  <c:v>1.2204726748111764E-5</c:v>
                </c:pt>
                <c:pt idx="890">
                  <c:v>1.2204721611166541E-5</c:v>
                </c:pt>
                <c:pt idx="891">
                  <c:v>1.2204716575941405E-5</c:v>
                </c:pt>
                <c:pt idx="892">
                  <c:v>1.2204711640422059E-5</c:v>
                </c:pt>
                <c:pt idx="893">
                  <c:v>1.2204706802634096E-5</c:v>
                </c:pt>
                <c:pt idx="894">
                  <c:v>1.2204702060642342E-5</c:v>
                </c:pt>
                <c:pt idx="895">
                  <c:v>1.2204697412549759E-5</c:v>
                </c:pt>
                <c:pt idx="896">
                  <c:v>1.2204692856496992E-5</c:v>
                </c:pt>
                <c:pt idx="897">
                  <c:v>1.2204688390661486E-5</c:v>
                </c:pt>
                <c:pt idx="898">
                  <c:v>1.220468401325674E-5</c:v>
                </c:pt>
                <c:pt idx="899">
                  <c:v>1.2204679722531685E-5</c:v>
                </c:pt>
                <c:pt idx="900">
                  <c:v>1.2204675516769858E-5</c:v>
                </c:pt>
                <c:pt idx="901">
                  <c:v>1.2204671394288901E-5</c:v>
                </c:pt>
                <c:pt idx="902">
                  <c:v>1.2204667353439608E-5</c:v>
                </c:pt>
                <c:pt idx="903">
                  <c:v>1.2204663392605559E-5</c:v>
                </c:pt>
                <c:pt idx="904">
                  <c:v>1.2204659510202333E-5</c:v>
                </c:pt>
                <c:pt idx="905">
                  <c:v>1.2204655704676782E-5</c:v>
                </c:pt>
                <c:pt idx="906">
                  <c:v>1.2204651974506669E-5</c:v>
                </c:pt>
                <c:pt idx="907">
                  <c:v>1.2204648318199769E-5</c:v>
                </c:pt>
                <c:pt idx="908">
                  <c:v>1.2204644734293476E-5</c:v>
                </c:pt>
                <c:pt idx="909">
                  <c:v>1.2204641221354148E-5</c:v>
                </c:pt>
                <c:pt idx="910">
                  <c:v>1.2204637777976461E-5</c:v>
                </c:pt>
                <c:pt idx="911">
                  <c:v>1.2204634402782999E-5</c:v>
                </c:pt>
                <c:pt idx="912">
                  <c:v>1.2204631094423594E-5</c:v>
                </c:pt>
                <c:pt idx="913">
                  <c:v>1.2204627851574815E-5</c:v>
                </c:pt>
                <c:pt idx="914">
                  <c:v>1.2204624672939424E-5</c:v>
                </c:pt>
                <c:pt idx="915">
                  <c:v>1.2204621557245918E-5</c:v>
                </c:pt>
                <c:pt idx="916">
                  <c:v>1.2204618503247877E-5</c:v>
                </c:pt>
                <c:pt idx="917">
                  <c:v>1.220461550972369E-5</c:v>
                </c:pt>
                <c:pt idx="918">
                  <c:v>1.220461257547583E-5</c:v>
                </c:pt>
                <c:pt idx="919">
                  <c:v>1.2204609699330515E-5</c:v>
                </c:pt>
                <c:pt idx="920">
                  <c:v>1.2204606880137222E-5</c:v>
                </c:pt>
                <c:pt idx="921">
                  <c:v>1.2204604116768265E-5</c:v>
                </c:pt>
                <c:pt idx="922">
                  <c:v>1.2204601408118136E-5</c:v>
                </c:pt>
                <c:pt idx="923">
                  <c:v>1.2204598753103393E-5</c:v>
                </c:pt>
                <c:pt idx="924">
                  <c:v>1.2204596150661895E-5</c:v>
                </c:pt>
                <c:pt idx="925">
                  <c:v>1.2204593599752675E-5</c:v>
                </c:pt>
                <c:pt idx="926">
                  <c:v>1.2204591099355239E-5</c:v>
                </c:pt>
                <c:pt idx="927">
                  <c:v>1.2204588648469384E-5</c:v>
                </c:pt>
                <c:pt idx="928">
                  <c:v>1.2204586246114723E-5</c:v>
                </c:pt>
                <c:pt idx="929">
                  <c:v>1.2204583891330253E-5</c:v>
                </c:pt>
                <c:pt idx="930">
                  <c:v>1.220458158317401E-5</c:v>
                </c:pt>
                <c:pt idx="931">
                  <c:v>1.220457932072267E-5</c:v>
                </c:pt>
                <c:pt idx="932">
                  <c:v>1.2204577103071193E-5</c:v>
                </c:pt>
                <c:pt idx="933">
                  <c:v>1.2204574929332482E-5</c:v>
                </c:pt>
                <c:pt idx="934">
                  <c:v>1.220457279863701E-5</c:v>
                </c:pt>
                <c:pt idx="935">
                  <c:v>1.2204570710132395E-5</c:v>
                </c:pt>
                <c:pt idx="936">
                  <c:v>1.2204568662983277E-5</c:v>
                </c:pt>
                <c:pt idx="937">
                  <c:v>1.2204566656370664E-5</c:v>
                </c:pt>
                <c:pt idx="938">
                  <c:v>1.220456468949191E-5</c:v>
                </c:pt>
                <c:pt idx="939">
                  <c:v>1.2204562761560222E-5</c:v>
                </c:pt>
                <c:pt idx="940">
                  <c:v>1.2204560871804393E-5</c:v>
                </c:pt>
                <c:pt idx="941">
                  <c:v>1.2204559019468454E-5</c:v>
                </c:pt>
                <c:pt idx="942">
                  <c:v>1.2204557203811466E-5</c:v>
                </c:pt>
                <c:pt idx="943">
                  <c:v>1.2204555424107081E-5</c:v>
                </c:pt>
                <c:pt idx="944">
                  <c:v>1.2204553679643431E-5</c:v>
                </c:pt>
                <c:pt idx="945">
                  <c:v>1.2204551969722698E-5</c:v>
                </c:pt>
                <c:pt idx="946">
                  <c:v>1.2204550293660832E-5</c:v>
                </c:pt>
                <c:pt idx="947">
                  <c:v>1.2204548650787419E-5</c:v>
                </c:pt>
                <c:pt idx="948">
                  <c:v>1.2204547040445229E-5</c:v>
                </c:pt>
                <c:pt idx="949">
                  <c:v>1.2204545461990124E-5</c:v>
                </c:pt>
                <c:pt idx="950">
                  <c:v>1.2204543914790696E-5</c:v>
                </c:pt>
                <c:pt idx="951">
                  <c:v>1.2204542398228001E-5</c:v>
                </c:pt>
                <c:pt idx="952">
                  <c:v>1.2204540911695454E-5</c:v>
                </c:pt>
                <c:pt idx="953">
                  <c:v>1.2204539454598325E-5</c:v>
                </c:pt>
                <c:pt idx="954">
                  <c:v>1.2204538026353818E-5</c:v>
                </c:pt>
                <c:pt idx="955">
                  <c:v>1.2204536626390575E-5</c:v>
                </c:pt>
                <c:pt idx="956">
                  <c:v>1.2204535254148581E-5</c:v>
                </c:pt>
                <c:pt idx="957">
                  <c:v>1.2204533909078941E-5</c:v>
                </c:pt>
                <c:pt idx="958">
                  <c:v>1.2204532590643559E-5</c:v>
                </c:pt>
                <c:pt idx="959">
                  <c:v>1.2204531298315071E-5</c:v>
                </c:pt>
                <c:pt idx="960">
                  <c:v>1.2204530031576518E-5</c:v>
                </c:pt>
                <c:pt idx="961">
                  <c:v>1.2204528789921197E-5</c:v>
                </c:pt>
                <c:pt idx="962">
                  <c:v>1.2204527572852353E-5</c:v>
                </c:pt>
                <c:pt idx="963">
                  <c:v>1.220452637988321E-5</c:v>
                </c:pt>
                <c:pt idx="964">
                  <c:v>1.2204525210536529E-5</c:v>
                </c:pt>
                <c:pt idx="965">
                  <c:v>1.220452406434454E-5</c:v>
                </c:pt>
                <c:pt idx="966">
                  <c:v>1.220452294084876E-5</c:v>
                </c:pt>
                <c:pt idx="967">
                  <c:v>1.2204521839599786E-5</c:v>
                </c:pt>
                <c:pt idx="968">
                  <c:v>1.2204520760157082E-5</c:v>
                </c:pt>
                <c:pt idx="969">
                  <c:v>1.2204519702088829E-5</c:v>
                </c:pt>
                <c:pt idx="970">
                  <c:v>1.2204518664971812E-5</c:v>
                </c:pt>
                <c:pt idx="971">
                  <c:v>1.2204517648391191E-5</c:v>
                </c:pt>
                <c:pt idx="972">
                  <c:v>1.2204516651940248E-5</c:v>
                </c:pt>
                <c:pt idx="973">
                  <c:v>1.2204515675220424E-5</c:v>
                </c:pt>
                <c:pt idx="974">
                  <c:v>1.2204514717841027E-5</c:v>
                </c:pt>
                <c:pt idx="975">
                  <c:v>1.2204513779419058E-5</c:v>
                </c:pt>
                <c:pt idx="976">
                  <c:v>1.2204512859579153E-5</c:v>
                </c:pt>
                <c:pt idx="977">
                  <c:v>1.2204511957953343E-5</c:v>
                </c:pt>
                <c:pt idx="978">
                  <c:v>1.2204511074180982E-5</c:v>
                </c:pt>
                <c:pt idx="979">
                  <c:v>1.2204510207908518E-5</c:v>
                </c:pt>
                <c:pt idx="980">
                  <c:v>1.2204509358789485E-5</c:v>
                </c:pt>
                <c:pt idx="981">
                  <c:v>1.2204508526484159E-5</c:v>
                </c:pt>
                <c:pt idx="982">
                  <c:v>1.2204507710659627E-5</c:v>
                </c:pt>
                <c:pt idx="983">
                  <c:v>1.2204506910989543E-5</c:v>
                </c:pt>
                <c:pt idx="984">
                  <c:v>1.2204506127154044E-5</c:v>
                </c:pt>
                <c:pt idx="985">
                  <c:v>1.2204505358839555E-5</c:v>
                </c:pt>
                <c:pt idx="986">
                  <c:v>1.2204504605738784E-5</c:v>
                </c:pt>
                <c:pt idx="987">
                  <c:v>1.2204503867550406E-5</c:v>
                </c:pt>
                <c:pt idx="988">
                  <c:v>1.2204503143979207E-5</c:v>
                </c:pt>
                <c:pt idx="989">
                  <c:v>1.2204502434735656E-5</c:v>
                </c:pt>
                <c:pt idx="990">
                  <c:v>1.2204501739536158E-5</c:v>
                </c:pt>
                <c:pt idx="991">
                  <c:v>1.2204501058102541E-5</c:v>
                </c:pt>
                <c:pt idx="992">
                  <c:v>1.2204500390162247E-5</c:v>
                </c:pt>
                <c:pt idx="993">
                  <c:v>1.2204499735448097E-5</c:v>
                </c:pt>
                <c:pt idx="994">
                  <c:v>1.2204499093698153E-5</c:v>
                </c:pt>
                <c:pt idx="995">
                  <c:v>1.2204498464655752E-5</c:v>
                </c:pt>
                <c:pt idx="996">
                  <c:v>1.2204497848069258E-5</c:v>
                </c:pt>
                <c:pt idx="997">
                  <c:v>1.2204497243692018E-5</c:v>
                </c:pt>
                <c:pt idx="998">
                  <c:v>1.2204496651282261E-5</c:v>
                </c:pt>
                <c:pt idx="999">
                  <c:v>1.2204496070603029E-5</c:v>
                </c:pt>
                <c:pt idx="1000">
                  <c:v>1.2204495501422068E-5</c:v>
                </c:pt>
                <c:pt idx="1001">
                  <c:v>1.220449494351163E-5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35-4638-8B52-8C4BB1405C7C}"/>
            </c:ext>
          </c:extLst>
        </c:ser>
        <c:ser>
          <c:idx val="1"/>
          <c:order val="1"/>
          <c:tx>
            <c:strRef>
              <c:f>CoolingFunction!$E$4</c:f>
              <c:strCache>
                <c:ptCount val="1"/>
                <c:pt idx="0">
                  <c:v>High</c:v>
                </c:pt>
              </c:strCache>
            </c:strRef>
          </c:tx>
          <c:marker>
            <c:symbol val="none"/>
          </c:marker>
          <c:xVal>
            <c:numRef>
              <c:f>CoolingFunction!$A$5:$A$1006</c:f>
              <c:numCache>
                <c:formatCode>General</c:formatCode>
                <c:ptCount val="10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</c:numCache>
            </c:numRef>
          </c:xVal>
          <c:yVal>
            <c:numRef>
              <c:f>CoolingFunction!$E$5:$E$1006</c:f>
              <c:numCache>
                <c:formatCode>General</c:formatCode>
                <c:ptCount val="1002"/>
                <c:pt idx="0">
                  <c:v>0.97501909722239444</c:v>
                </c:pt>
                <c:pt idx="1">
                  <c:v>0.97452601321186971</c:v>
                </c:pt>
                <c:pt idx="2">
                  <c:v>0.97402343026591398</c:v>
                </c:pt>
                <c:pt idx="3">
                  <c:v>0.97351117474872106</c:v>
                </c:pt>
                <c:pt idx="4">
                  <c:v>0.97298907022571601</c:v>
                </c:pt>
                <c:pt idx="5">
                  <c:v>0.97245693743379513</c:v>
                </c:pt>
                <c:pt idx="6">
                  <c:v>0.97191459425193105</c:v>
                </c:pt>
                <c:pt idx="7">
                  <c:v>0.97136185567218281</c:v>
                </c:pt>
                <c:pt idx="8">
                  <c:v>0.97079853377115155</c:v>
                </c:pt>
                <c:pt idx="9">
                  <c:v>0.97022443768192534</c:v>
                </c:pt>
                <c:pt idx="10">
                  <c:v>0.96963937356655672</c:v>
                </c:pt>
                <c:pt idx="11">
                  <c:v>0.96904314458912144</c:v>
                </c:pt>
                <c:pt idx="12">
                  <c:v>0.96843555088940547</c:v>
                </c:pt>
                <c:pt idx="13">
                  <c:v>0.96781638955727101</c:v>
                </c:pt>
                <c:pt idx="14">
                  <c:v>0.96718545460775407</c:v>
                </c:pt>
                <c:pt idx="15">
                  <c:v>0.96654253695694825</c:v>
                </c:pt>
                <c:pt idx="16">
                  <c:v>0.96588742439873165</c:v>
                </c:pt>
                <c:pt idx="17">
                  <c:v>0.9652199015823939</c:v>
                </c:pt>
                <c:pt idx="18">
                  <c:v>0.96453974999122705</c:v>
                </c:pt>
                <c:pt idx="19">
                  <c:v>0.96384674792214131</c:v>
                </c:pt>
                <c:pt idx="20">
                  <c:v>0.96314067046637142</c:v>
                </c:pt>
                <c:pt idx="21">
                  <c:v>0.96242128949134298</c:v>
                </c:pt>
                <c:pt idx="22">
                  <c:v>0.96168837362376758</c:v>
                </c:pt>
                <c:pt idx="23">
                  <c:v>0.96094168823403903</c:v>
                </c:pt>
                <c:pt idx="24">
                  <c:v>0.96018099542200774</c:v>
                </c:pt>
                <c:pt idx="25">
                  <c:v>0.95940605400420942</c:v>
                </c:pt>
                <c:pt idx="26">
                  <c:v>0.95861661950262889</c:v>
                </c:pt>
                <c:pt idx="27">
                  <c:v>0.9578124441350816</c:v>
                </c:pt>
                <c:pt idx="28">
                  <c:v>0.95699327680729951</c:v>
                </c:pt>
                <c:pt idx="29">
                  <c:v>0.95615886310680809</c:v>
                </c:pt>
                <c:pt idx="30">
                  <c:v>0.9553089452986866</c:v>
                </c:pt>
                <c:pt idx="31">
                  <c:v>0.95444326232330468</c:v>
                </c:pt>
                <c:pt idx="32">
                  <c:v>0.95356154979613317</c:v>
                </c:pt>
                <c:pt idx="33">
                  <c:v>0.95266354000972586</c:v>
                </c:pt>
                <c:pt idx="34">
                  <c:v>0.95174896193797831</c:v>
                </c:pt>
                <c:pt idx="35">
                  <c:v>0.95081754124276441</c:v>
                </c:pt>
                <c:pt idx="36">
                  <c:v>0.9498690002830632</c:v>
                </c:pt>
                <c:pt idx="37">
                  <c:v>0.94890305812668241</c:v>
                </c:pt>
                <c:pt idx="38">
                  <c:v>0.94791943056469652</c:v>
                </c:pt>
                <c:pt idx="39">
                  <c:v>0.946917830128713</c:v>
                </c:pt>
                <c:pt idx="40">
                  <c:v>0.9458979661110879</c:v>
                </c:pt>
                <c:pt idx="41">
                  <c:v>0.94485954458821286</c:v>
                </c:pt>
                <c:pt idx="42">
                  <c:v>0.94380226844699877</c:v>
                </c:pt>
                <c:pt idx="43">
                  <c:v>0.94272583741468352</c:v>
                </c:pt>
                <c:pt idx="44">
                  <c:v>0.94162994809209744</c:v>
                </c:pt>
                <c:pt idx="45">
                  <c:v>0.94051429399051556</c:v>
                </c:pt>
                <c:pt idx="46">
                  <c:v>0.93937856557223853</c:v>
                </c:pt>
                <c:pt idx="47">
                  <c:v>0.93822245029503659</c:v>
                </c:pt>
                <c:pt idx="48">
                  <c:v>0.93704563266060092</c:v>
                </c:pt>
                <c:pt idx="49">
                  <c:v>0.93584779426714648</c:v>
                </c:pt>
                <c:pt idx="50">
                  <c:v>0.9346286138663118</c:v>
                </c:pt>
                <c:pt idx="51">
                  <c:v>0.93338776742450535</c:v>
                </c:pt>
                <c:pt idx="52">
                  <c:v>0.93212492818884962</c:v>
                </c:pt>
                <c:pt idx="53">
                  <c:v>0.93083976675787683</c:v>
                </c:pt>
                <c:pt idx="54">
                  <c:v>0.92953195115712994</c:v>
                </c:pt>
                <c:pt idx="55">
                  <c:v>0.92820114691982747</c:v>
                </c:pt>
                <c:pt idx="56">
                  <c:v>0.92684701717275086</c:v>
                </c:pt>
                <c:pt idx="57">
                  <c:v>0.92546922272751231</c:v>
                </c:pt>
                <c:pt idx="58">
                  <c:v>0.92406742217736848</c:v>
                </c:pt>
                <c:pt idx="59">
                  <c:v>0.92264127199973789</c:v>
                </c:pt>
                <c:pt idx="60">
                  <c:v>0.92119042666459017</c:v>
                </c:pt>
                <c:pt idx="61">
                  <c:v>0.919714538748866</c:v>
                </c:pt>
                <c:pt idx="62">
                  <c:v>0.91821325905709739</c:v>
                </c:pt>
                <c:pt idx="63">
                  <c:v>0.9166862367483869</c:v>
                </c:pt>
                <c:pt idx="64">
                  <c:v>0.91513311946991549</c:v>
                </c:pt>
                <c:pt idx="65">
                  <c:v>0.9135535534971374</c:v>
                </c:pt>
                <c:pt idx="66">
                  <c:v>0.91194718388082763</c:v>
                </c:pt>
                <c:pt idx="67">
                  <c:v>0.910313654601143</c:v>
                </c:pt>
                <c:pt idx="68">
                  <c:v>0.90865260872885412</c:v>
                </c:pt>
                <c:pt idx="69">
                  <c:v>0.9069636885939083</c:v>
                </c:pt>
                <c:pt idx="70">
                  <c:v>0.90524653596147708</c:v>
                </c:pt>
                <c:pt idx="71">
                  <c:v>0.90350079221563928</c:v>
                </c:pt>
                <c:pt idx="72">
                  <c:v>0.90172609855085017</c:v>
                </c:pt>
                <c:pt idx="73">
                  <c:v>0.89992209617133923</c:v>
                </c:pt>
                <c:pt idx="74">
                  <c:v>0.89808842649857723</c:v>
                </c:pt>
                <c:pt idx="75">
                  <c:v>0.89622473138694725</c:v>
                </c:pt>
                <c:pt idx="76">
                  <c:v>0.89433065334774953</c:v>
                </c:pt>
                <c:pt idx="77">
                  <c:v>0.89240583578166066</c:v>
                </c:pt>
                <c:pt idx="78">
                  <c:v>0.89044992321976679</c:v>
                </c:pt>
                <c:pt idx="79">
                  <c:v>0.88846256157327552</c:v>
                </c:pt>
                <c:pt idx="80">
                  <c:v>0.88644339839200958</c:v>
                </c:pt>
                <c:pt idx="81">
                  <c:v>0.88439208313177087</c:v>
                </c:pt>
                <c:pt idx="82">
                  <c:v>0.88230826743065882</c:v>
                </c:pt>
                <c:pt idx="83">
                  <c:v>0.88019160539441199</c:v>
                </c:pt>
                <c:pt idx="84">
                  <c:v>0.87804175389083394</c:v>
                </c:pt>
                <c:pt idx="85">
                  <c:v>0.87585837285334978</c:v>
                </c:pt>
                <c:pt idx="86">
                  <c:v>0.87364112559373019</c:v>
                </c:pt>
                <c:pt idx="87">
                  <c:v>0.871389679124001</c:v>
                </c:pt>
                <c:pt idx="88">
                  <c:v>0.86910370448754692</c:v>
                </c:pt>
                <c:pt idx="89">
                  <c:v>0.86678287709939927</c:v>
                </c:pt>
                <c:pt idx="90">
                  <c:v>0.86442687709568256</c:v>
                </c:pt>
                <c:pt idx="91">
                  <c:v>0.86203538969217519</c:v>
                </c:pt>
                <c:pt idx="92">
                  <c:v>0.85960810555192557</c:v>
                </c:pt>
                <c:pt idx="93">
                  <c:v>0.85714472116184004</c:v>
                </c:pt>
                <c:pt idx="94">
                  <c:v>0.85464493921814422</c:v>
                </c:pt>
                <c:pt idx="95">
                  <c:v>0.85210846902059356</c:v>
                </c:pt>
                <c:pt idx="96">
                  <c:v>0.84953502687528992</c:v>
                </c:pt>
                <c:pt idx="97">
                  <c:v>0.84692433650593602</c:v>
                </c:pt>
                <c:pt idx="98">
                  <c:v>0.84427612947333641</c:v>
                </c:pt>
                <c:pt idx="99">
                  <c:v>0.84159014560292789</c:v>
                </c:pt>
                <c:pt idx="100">
                  <c:v>0.83886613342009619</c:v>
                </c:pt>
                <c:pt idx="101">
                  <c:v>0.83610385059300996</c:v>
                </c:pt>
                <c:pt idx="102">
                  <c:v>0.83330306438267243</c:v>
                </c:pt>
                <c:pt idx="103">
                  <c:v>0.83046355209986611</c:v>
                </c:pt>
                <c:pt idx="104">
                  <c:v>0.82758510156863208</c:v>
                </c:pt>
                <c:pt idx="105">
                  <c:v>0.82466751159589802</c:v>
                </c:pt>
                <c:pt idx="106">
                  <c:v>0.82171059244683653</c:v>
                </c:pt>
                <c:pt idx="107">
                  <c:v>0.81871416632550253</c:v>
                </c:pt>
                <c:pt idx="108">
                  <c:v>0.81567806786026698</c:v>
                </c:pt>
                <c:pt idx="109">
                  <c:v>0.81260214459352975</c:v>
                </c:pt>
                <c:pt idx="110">
                  <c:v>0.80948625747516134</c:v>
                </c:pt>
                <c:pt idx="111">
                  <c:v>0.80633028135908713</c:v>
                </c:pt>
                <c:pt idx="112">
                  <c:v>0.80313410550239428</c:v>
                </c:pt>
                <c:pt idx="113">
                  <c:v>0.79989763406630598</c:v>
                </c:pt>
                <c:pt idx="114">
                  <c:v>0.79662078661832958</c:v>
                </c:pt>
                <c:pt idx="115">
                  <c:v>0.79330349863485505</c:v>
                </c:pt>
                <c:pt idx="116">
                  <c:v>0.78994572200343616</c:v>
                </c:pt>
                <c:pt idx="117">
                  <c:v>0.78654742552395962</c:v>
                </c:pt>
                <c:pt idx="118">
                  <c:v>0.78310859540786559</c:v>
                </c:pt>
                <c:pt idx="119">
                  <c:v>0.77962923577455001</c:v>
                </c:pt>
                <c:pt idx="120">
                  <c:v>0.77610936914404571</c:v>
                </c:pt>
                <c:pt idx="121">
                  <c:v>0.77254903692504118</c:v>
                </c:pt>
                <c:pt idx="122">
                  <c:v>0.76894829989726632</c:v>
                </c:pt>
                <c:pt idx="123">
                  <c:v>0.76530723868724093</c:v>
                </c:pt>
                <c:pt idx="124">
                  <c:v>0.7616259542363466</c:v>
                </c:pt>
                <c:pt idx="125">
                  <c:v>0.75790456826015884</c:v>
                </c:pt>
                <c:pt idx="126">
                  <c:v>0.75414322369794062</c:v>
                </c:pt>
                <c:pt idx="127">
                  <c:v>0.75034208515117595</c:v>
                </c:pt>
                <c:pt idx="128">
                  <c:v>0.74650133930999507</c:v>
                </c:pt>
                <c:pt idx="129">
                  <c:v>0.74262119536631721</c:v>
                </c:pt>
                <c:pt idx="130">
                  <c:v>0.73870188541251947</c:v>
                </c:pt>
                <c:pt idx="131">
                  <c:v>0.73474366482441766</c:v>
                </c:pt>
                <c:pt idx="132">
                  <c:v>0.73074681262733032</c:v>
                </c:pt>
                <c:pt idx="133">
                  <c:v>0.72671163184398258</c:v>
                </c:pt>
                <c:pt idx="134">
                  <c:v>0.7226384498229963</c:v>
                </c:pt>
                <c:pt idx="135">
                  <c:v>0.7185276185467051</c:v>
                </c:pt>
                <c:pt idx="136">
                  <c:v>0.71437951491702778</c:v>
                </c:pt>
                <c:pt idx="137">
                  <c:v>0.71019454101813417</c:v>
                </c:pt>
                <c:pt idx="138">
                  <c:v>0.70597312435463977</c:v>
                </c:pt>
                <c:pt idx="139">
                  <c:v>0.70171571806407151</c:v>
                </c:pt>
                <c:pt idx="140">
                  <c:v>0.69742280110236121</c:v>
                </c:pt>
                <c:pt idx="141">
                  <c:v>0.6930948784011336</c:v>
                </c:pt>
                <c:pt idx="142">
                  <c:v>0.68873248099557927</c:v>
                </c:pt>
                <c:pt idx="143">
                  <c:v>0.68433616612172798</c:v>
                </c:pt>
                <c:pt idx="144">
                  <c:v>0.67990651728196128</c:v>
                </c:pt>
                <c:pt idx="145">
                  <c:v>0.67544414427764399</c:v>
                </c:pt>
                <c:pt idx="146">
                  <c:v>0.67094968320778736</c:v>
                </c:pt>
                <c:pt idx="147">
                  <c:v>0.66642379643270566</c:v>
                </c:pt>
                <c:pt idx="148">
                  <c:v>0.66186717250167038</c:v>
                </c:pt>
                <c:pt idx="149">
                  <c:v>0.65728052604362663</c:v>
                </c:pt>
                <c:pt idx="150">
                  <c:v>0.65266459762009232</c:v>
                </c:pt>
                <c:pt idx="151">
                  <c:v>0.64802015353942366</c:v>
                </c:pt>
                <c:pt idx="152">
                  <c:v>0.64334798563170414</c:v>
                </c:pt>
                <c:pt idx="153">
                  <c:v>0.63864891098358456</c:v>
                </c:pt>
                <c:pt idx="154">
                  <c:v>0.63392377163248359</c:v>
                </c:pt>
                <c:pt idx="155">
                  <c:v>0.62917343421964267</c:v>
                </c:pt>
                <c:pt idx="156">
                  <c:v>0.62439878960161688</c:v>
                </c:pt>
                <c:pt idx="157">
                  <c:v>0.61960075241987922</c:v>
                </c:pt>
                <c:pt idx="158">
                  <c:v>0.61478026062831248</c:v>
                </c:pt>
                <c:pt idx="159">
                  <c:v>0.60993827497846587</c:v>
                </c:pt>
                <c:pt idx="160">
                  <c:v>0.60507577846256044</c:v>
                </c:pt>
                <c:pt idx="161">
                  <c:v>0.60019377571433596</c:v>
                </c:pt>
                <c:pt idx="162">
                  <c:v>0.59529329236794781</c:v>
                </c:pt>
                <c:pt idx="163">
                  <c:v>0.59037537437523546</c:v>
                </c:pt>
                <c:pt idx="164">
                  <c:v>0.58544108728180588</c:v>
                </c:pt>
                <c:pt idx="165">
                  <c:v>0.580491515462495</c:v>
                </c:pt>
                <c:pt idx="166">
                  <c:v>0.57552776131689332</c:v>
                </c:pt>
                <c:pt idx="167">
                  <c:v>0.57055094442574594</c:v>
                </c:pt>
                <c:pt idx="168">
                  <c:v>0.56556220066916318</c:v>
                </c:pt>
                <c:pt idx="169">
                  <c:v>0.56056268130770215</c:v>
                </c:pt>
                <c:pt idx="170">
                  <c:v>0.55555355202750401</c:v>
                </c:pt>
                <c:pt idx="171">
                  <c:v>0.55053599195079872</c:v>
                </c:pt>
                <c:pt idx="172">
                  <c:v>0.54551119261320857</c:v>
                </c:pt>
                <c:pt idx="173">
                  <c:v>0.54048035690940732</c:v>
                </c:pt>
                <c:pt idx="174">
                  <c:v>0.53544469800880312</c:v>
                </c:pt>
                <c:pt idx="175">
                  <c:v>0.53040543824303765</c:v>
                </c:pt>
                <c:pt idx="176">
                  <c:v>0.52536380796719939</c:v>
                </c:pt>
                <c:pt idx="177">
                  <c:v>0.52032104439675875</c:v>
                </c:pt>
                <c:pt idx="178">
                  <c:v>0.51527839042233425</c:v>
                </c:pt>
                <c:pt idx="179">
                  <c:v>0.51023709340450019</c:v>
                </c:pt>
                <c:pt idx="180">
                  <c:v>0.50519840395093063</c:v>
                </c:pt>
                <c:pt idx="181">
                  <c:v>0.50016357467826722</c:v>
                </c:pt>
                <c:pt idx="182">
                  <c:v>0.49513385896116907</c:v>
                </c:pt>
                <c:pt idx="183">
                  <c:v>0.49011050967107844</c:v>
                </c:pt>
                <c:pt idx="184">
                  <c:v>0.48509477790729522</c:v>
                </c:pt>
                <c:pt idx="185">
                  <c:v>0.48008791172300769</c:v>
                </c:pt>
                <c:pt idx="186">
                  <c:v>0.47509115484897263</c:v>
                </c:pt>
                <c:pt idx="187">
                  <c:v>0.47010574541757388</c:v>
                </c:pt>
                <c:pt idx="188">
                  <c:v>0.465132914690011</c:v>
                </c:pt>
                <c:pt idx="189">
                  <c:v>0.4601738857893935</c:v>
                </c:pt>
                <c:pt idx="190">
                  <c:v>0.45522987244251423</c:v>
                </c:pt>
                <c:pt idx="191">
                  <c:v>0.45030207773307868</c:v>
                </c:pt>
                <c:pt idx="192">
                  <c:v>0.44539169286914843</c:v>
                </c:pt>
                <c:pt idx="193">
                  <c:v>0.44049989596753442</c:v>
                </c:pt>
                <c:pt idx="194">
                  <c:v>0.43562785085784345</c:v>
                </c:pt>
                <c:pt idx="195">
                  <c:v>0.43077670590883077</c:v>
                </c:pt>
                <c:pt idx="196">
                  <c:v>0.42594759287966211</c:v>
                </c:pt>
                <c:pt idx="197">
                  <c:v>0.42114162579862136</c:v>
                </c:pt>
                <c:pt idx="198">
                  <c:v>0.41635989987172378</c:v>
                </c:pt>
                <c:pt idx="199">
                  <c:v>0.41160349042361399</c:v>
                </c:pt>
                <c:pt idx="200">
                  <c:v>0.40687345187303159</c:v>
                </c:pt>
                <c:pt idx="201">
                  <c:v>0.40217081674502614</c:v>
                </c:pt>
                <c:pt idx="202">
                  <c:v>0.39749659472199395</c:v>
                </c:pt>
                <c:pt idx="203">
                  <c:v>0.39285177173548919</c:v>
                </c:pt>
                <c:pt idx="204">
                  <c:v>0.38823730910063992</c:v>
                </c:pt>
                <c:pt idx="205">
                  <c:v>0.38365414269486159</c:v>
                </c:pt>
                <c:pt idx="206">
                  <c:v>0.37910318218243116</c:v>
                </c:pt>
                <c:pt idx="207">
                  <c:v>0.37458531028633385</c:v>
                </c:pt>
                <c:pt idx="208">
                  <c:v>0.3701013821086499</c:v>
                </c:pt>
                <c:pt idx="209">
                  <c:v>0.36565222450060064</c:v>
                </c:pt>
                <c:pt idx="210">
                  <c:v>0.361238635483208</c:v>
                </c:pt>
                <c:pt idx="211">
                  <c:v>0.3568613837193772</c:v>
                </c:pt>
                <c:pt idx="212">
                  <c:v>0.3525212080380396</c:v>
                </c:pt>
                <c:pt idx="213">
                  <c:v>0.348218817010846</c:v>
                </c:pt>
                <c:pt idx="214">
                  <c:v>0.34395488858172624</c:v>
                </c:pt>
                <c:pt idx="215">
                  <c:v>0.33973006974948466</c:v>
                </c:pt>
                <c:pt idx="216">
                  <c:v>0.33554497630343083</c:v>
                </c:pt>
                <c:pt idx="217">
                  <c:v>0.33140019261189885</c:v>
                </c:pt>
                <c:pt idx="218">
                  <c:v>0.32729627146334311</c:v>
                </c:pt>
                <c:pt idx="219">
                  <c:v>0.32323373395956329</c:v>
                </c:pt>
                <c:pt idx="220">
                  <c:v>0.3192130694604467</c:v>
                </c:pt>
                <c:pt idx="221">
                  <c:v>0.31523473557949394</c:v>
                </c:pt>
                <c:pt idx="222">
                  <c:v>0.31129915822923937</c:v>
                </c:pt>
                <c:pt idx="223">
                  <c:v>0.30740673171556399</c:v>
                </c:pt>
                <c:pt idx="224">
                  <c:v>0.30355781887975952</c:v>
                </c:pt>
                <c:pt idx="225">
                  <c:v>0.29975275128709916</c:v>
                </c:pt>
                <c:pt idx="226">
                  <c:v>0.29599182946054503</c:v>
                </c:pt>
                <c:pt idx="227">
                  <c:v>0.29227532315813681</c:v>
                </c:pt>
                <c:pt idx="228">
                  <c:v>0.28860347169249606</c:v>
                </c:pt>
                <c:pt idx="229">
                  <c:v>0.2849764842908038</c:v>
                </c:pt>
                <c:pt idx="230">
                  <c:v>0.2813945404935263</c:v>
                </c:pt>
                <c:pt idx="231">
                  <c:v>0.27785779059009641</c:v>
                </c:pt>
                <c:pt idx="232">
                  <c:v>0.27436635608969256</c:v>
                </c:pt>
                <c:pt idx="233">
                  <c:v>0.27092033022521128</c:v>
                </c:pt>
                <c:pt idx="234">
                  <c:v>0.26751977848847808</c:v>
                </c:pt>
                <c:pt idx="235">
                  <c:v>0.26416473919470873</c:v>
                </c:pt>
                <c:pt idx="236">
                  <c:v>0.2608552240742088</c:v>
                </c:pt>
                <c:pt idx="237">
                  <c:v>0.25759121888927272</c:v>
                </c:pt>
                <c:pt idx="238">
                  <c:v>0.25437268407424196</c:v>
                </c:pt>
                <c:pt idx="239">
                  <c:v>0.2511995553966696</c:v>
                </c:pt>
                <c:pt idx="240">
                  <c:v>0.24807174463755266</c:v>
                </c:pt>
                <c:pt idx="241">
                  <c:v>0.24498914028859556</c:v>
                </c:pt>
                <c:pt idx="242">
                  <c:v>0.24195160826449622</c:v>
                </c:pt>
                <c:pt idx="243">
                  <c:v>0.23895899262826459</c:v>
                </c:pt>
                <c:pt idx="244">
                  <c:v>0.23601111632762078</c:v>
                </c:pt>
                <c:pt idx="245">
                  <c:v>0.23310778194055226</c:v>
                </c:pt>
                <c:pt idx="246">
                  <c:v>0.23024877242815939</c:v>
                </c:pt>
                <c:pt idx="247">
                  <c:v>0.22743385189295928</c:v>
                </c:pt>
                <c:pt idx="248">
                  <c:v>0.22466276634087853</c:v>
                </c:pt>
                <c:pt idx="249">
                  <c:v>0.22193524444521556</c:v>
                </c:pt>
                <c:pt idx="250">
                  <c:v>0.21925099831092049</c:v>
                </c:pt>
                <c:pt idx="251">
                  <c:v>0.21660972423759844</c:v>
                </c:pt>
                <c:pt idx="252">
                  <c:v>0.21401110347971605</c:v>
                </c:pt>
                <c:pt idx="253">
                  <c:v>0.2114548030025534</c:v>
                </c:pt>
                <c:pt idx="254">
                  <c:v>0.20894047623252326</c:v>
                </c:pt>
                <c:pt idx="255">
                  <c:v>0.2064677638005431</c:v>
                </c:pt>
                <c:pt idx="256">
                  <c:v>0.20403629427723088</c:v>
                </c:pt>
                <c:pt idx="257">
                  <c:v>0.20164568489876086</c:v>
                </c:pt>
                <c:pt idx="258">
                  <c:v>0.19929554228229912</c:v>
                </c:pt>
                <c:pt idx="259">
                  <c:v>0.19698546313001</c:v>
                </c:pt>
                <c:pt idx="260">
                  <c:v>0.19471503492070183</c:v>
                </c:pt>
                <c:pt idx="261">
                  <c:v>0.19248383658825693</c:v>
                </c:pt>
                <c:pt idx="262">
                  <c:v>0.19029143918606278</c:v>
                </c:pt>
                <c:pt idx="263">
                  <c:v>0.18813740653673761</c:v>
                </c:pt>
                <c:pt idx="264">
                  <c:v>0.18602129586651198</c:v>
                </c:pt>
                <c:pt idx="265">
                  <c:v>0.18394265842370375</c:v>
                </c:pt>
                <c:pt idx="266">
                  <c:v>0.18190104008078586</c:v>
                </c:pt>
                <c:pt idx="267">
                  <c:v>0.17989598191962067</c:v>
                </c:pt>
                <c:pt idx="268">
                  <c:v>0.17792702079949138</c:v>
                </c:pt>
                <c:pt idx="269">
                  <c:v>0.1759936899076312</c:v>
                </c:pt>
                <c:pt idx="270">
                  <c:v>0.17409551929200404</c:v>
                </c:pt>
                <c:pt idx="271">
                  <c:v>0.17223203637615367</c:v>
                </c:pt>
                <c:pt idx="272">
                  <c:v>0.17040276645598851</c:v>
                </c:pt>
                <c:pt idx="273">
                  <c:v>0.16860723317842574</c:v>
                </c:pt>
                <c:pt idx="274">
                  <c:v>0.16684495900186364</c:v>
                </c:pt>
                <c:pt idx="275">
                  <c:v>0.16511546563850255</c:v>
                </c:pt>
                <c:pt idx="276">
                  <c:v>0.16341827447857443</c:v>
                </c:pt>
                <c:pt idx="277">
                  <c:v>0.16175290699658565</c:v>
                </c:pt>
                <c:pt idx="278">
                  <c:v>0.16011888513971431</c:v>
                </c:pt>
                <c:pt idx="279">
                  <c:v>0.15851573169854066</c:v>
                </c:pt>
                <c:pt idx="280">
                  <c:v>0.15694297066032012</c:v>
                </c:pt>
                <c:pt idx="281">
                  <c:v>0.15540012754504196</c:v>
                </c:pt>
                <c:pt idx="282">
                  <c:v>0.15388672972454143</c:v>
                </c:pt>
                <c:pt idx="283">
                  <c:v>0.15240230672496174</c:v>
                </c:pt>
                <c:pt idx="284">
                  <c:v>0.1509463905128817</c:v>
                </c:pt>
                <c:pt idx="285">
                  <c:v>0.14951851576544825</c:v>
                </c:pt>
                <c:pt idx="286">
                  <c:v>0.14811822012487053</c:v>
                </c:pt>
                <c:pt idx="287">
                  <c:v>0.14674504443764635</c:v>
                </c:pt>
                <c:pt idx="288">
                  <c:v>0.14539853297890976</c:v>
                </c:pt>
                <c:pt idx="289">
                  <c:v>0.14407823366229508</c:v>
                </c:pt>
                <c:pt idx="290">
                  <c:v>0.14278369823572776</c:v>
                </c:pt>
                <c:pt idx="291">
                  <c:v>0.14151448246355686</c:v>
                </c:pt>
                <c:pt idx="292">
                  <c:v>0.14027014629545262</c:v>
                </c:pt>
                <c:pt idx="293">
                  <c:v>0.13905025402249457</c:v>
                </c:pt>
                <c:pt idx="294">
                  <c:v>0.13785437442088333</c:v>
                </c:pt>
                <c:pt idx="295">
                  <c:v>0.13668208088370512</c:v>
                </c:pt>
                <c:pt idx="296">
                  <c:v>0.13553295154118369</c:v>
                </c:pt>
                <c:pt idx="297">
                  <c:v>0.13440656936984993</c:v>
                </c:pt>
                <c:pt idx="298">
                  <c:v>0.1333025222910596</c:v>
                </c:pt>
                <c:pt idx="299">
                  <c:v>0.132220403259284</c:v>
                </c:pt>
                <c:pt idx="300">
                  <c:v>0.13115981034059851</c:v>
                </c:pt>
                <c:pt idx="301">
                  <c:v>0.13012034678178291</c:v>
                </c:pt>
                <c:pt idx="302">
                  <c:v>0.12910162107044834</c:v>
                </c:pt>
                <c:pt idx="303">
                  <c:v>0.12810324698659342</c:v>
                </c:pt>
                <c:pt idx="304">
                  <c:v>0.12712484364598844</c:v>
                </c:pt>
                <c:pt idx="305">
                  <c:v>0.12616603553577718</c:v>
                </c:pt>
                <c:pt idx="306">
                  <c:v>0.125226452542679</c:v>
                </c:pt>
                <c:pt idx="307">
                  <c:v>0.12430572997416231</c:v>
                </c:pt>
                <c:pt idx="308">
                  <c:v>0.12340350857295587</c:v>
                </c:pt>
                <c:pt idx="309">
                  <c:v>0.12251943452524959</c:v>
                </c:pt>
                <c:pt idx="310">
                  <c:v>0.12165315946293186</c:v>
                </c:pt>
                <c:pt idx="311">
                  <c:v>0.12080434046019697</c:v>
                </c:pt>
                <c:pt idx="312">
                  <c:v>0.11997264002484731</c:v>
                </c:pt>
                <c:pt idx="313">
                  <c:v>0.11915772608460566</c:v>
                </c:pt>
                <c:pt idx="314">
                  <c:v>0.11835927196874046</c:v>
                </c:pt>
                <c:pt idx="315">
                  <c:v>0.11757695638529936</c:v>
                </c:pt>
                <c:pt idx="316">
                  <c:v>0.11681046339423262</c:v>
                </c:pt>
                <c:pt idx="317">
                  <c:v>0.11605948237668214</c:v>
                </c:pt>
                <c:pt idx="318">
                  <c:v>0.11532370800069559</c:v>
                </c:pt>
                <c:pt idx="319">
                  <c:v>0.11460284018362139</c:v>
                </c:pt>
                <c:pt idx="320">
                  <c:v>0.11389658405142519</c:v>
                </c:pt>
                <c:pt idx="321">
                  <c:v>0.11320464989516134</c:v>
                </c:pt>
                <c:pt idx="322">
                  <c:v>0.11252675312482181</c:v>
                </c:pt>
                <c:pt idx="323">
                  <c:v>0.11186261422077551</c:v>
                </c:pt>
                <c:pt idx="324">
                  <c:v>0.11121195868300264</c:v>
                </c:pt>
                <c:pt idx="325">
                  <c:v>0.11057451697831756</c:v>
                </c:pt>
                <c:pt idx="326">
                  <c:v>0.10995002448576595</c:v>
                </c:pt>
                <c:pt idx="327">
                  <c:v>0.10933822144037307</c:v>
                </c:pt>
                <c:pt idx="328">
                  <c:v>0.1087388528754111</c:v>
                </c:pt>
                <c:pt idx="329">
                  <c:v>0.10815166856334467</c:v>
                </c:pt>
                <c:pt idx="330">
                  <c:v>0.10757642295560702</c:v>
                </c:pt>
                <c:pt idx="331">
                  <c:v>0.10701287512134931</c:v>
                </c:pt>
                <c:pt idx="332">
                  <c:v>0.10646078868530043</c:v>
                </c:pt>
                <c:pt idx="333">
                  <c:v>0.10591993176486474</c:v>
                </c:pt>
                <c:pt idx="334">
                  <c:v>0.10539007690657987</c:v>
                </c:pt>
                <c:pt idx="335">
                  <c:v>0.10487100102204908</c:v>
                </c:pt>
                <c:pt idx="336">
                  <c:v>0.10436248532345614</c:v>
                </c:pt>
                <c:pt idx="337">
                  <c:v>0.10386431525876469</c:v>
                </c:pt>
                <c:pt idx="338">
                  <c:v>0.10337628044669661</c:v>
                </c:pt>
                <c:pt idx="339">
                  <c:v>0.10289817461158007</c:v>
                </c:pt>
                <c:pt idx="340">
                  <c:v>0.10242979551815086</c:v>
                </c:pt>
                <c:pt idx="341">
                  <c:v>0.10197094490638436</c:v>
                </c:pt>
                <c:pt idx="342">
                  <c:v>0.10152142842643411</c:v>
                </c:pt>
                <c:pt idx="343">
                  <c:v>0.10108105557374145</c:v>
                </c:pt>
                <c:pt idx="344">
                  <c:v>0.10064963962438432</c:v>
                </c:pt>
                <c:pt idx="345">
                  <c:v>0.10022699757071997</c:v>
                </c:pt>
                <c:pt idx="346">
                  <c:v>9.9812950057379668E-2</c:v>
                </c:pt>
                <c:pt idx="347">
                  <c:v>9.94073213176635E-2</c:v>
                </c:pt>
                <c:pt idx="348">
                  <c:v>9.9009939110384235E-2</c:v>
                </c:pt>
                <c:pt idx="349">
                  <c:v>9.862063465720132E-2</c:v>
                </c:pt>
                <c:pt idx="350">
                  <c:v>9.8239242580485317E-2</c:v>
                </c:pt>
                <c:pt idx="351">
                  <c:v>9.7865600841748959E-2</c:v>
                </c:pt>
                <c:pt idx="352">
                  <c:v>9.749955068067738E-2</c:v>
                </c:pt>
                <c:pt idx="353">
                  <c:v>9.7140936554787186E-2</c:v>
                </c:pt>
                <c:pt idx="354">
                  <c:v>9.678960607974238E-2</c:v>
                </c:pt>
                <c:pt idx="355">
                  <c:v>9.6445409970349977E-2</c:v>
                </c:pt>
                <c:pt idx="356">
                  <c:v>9.6108201982258168E-2</c:v>
                </c:pt>
                <c:pt idx="357">
                  <c:v>9.5777838854376143E-2</c:v>
                </c:pt>
                <c:pt idx="358">
                  <c:v>9.5454180252032339E-2</c:v>
                </c:pt>
                <c:pt idx="359">
                  <c:v>9.5137088710886386E-2</c:v>
                </c:pt>
                <c:pt idx="360">
                  <c:v>9.4826429581607558E-2</c:v>
                </c:pt>
                <c:pt idx="361">
                  <c:v>9.4522070975330913E-2</c:v>
                </c:pt>
                <c:pt idx="362">
                  <c:v>9.4223883709899842E-2</c:v>
                </c:pt>
                <c:pt idx="363">
                  <c:v>9.3931741256903928E-2</c:v>
                </c:pt>
                <c:pt idx="364">
                  <c:v>9.3645519689516454E-2</c:v>
                </c:pt>
                <c:pt idx="365">
                  <c:v>9.3365097631137706E-2</c:v>
                </c:pt>
                <c:pt idx="366">
                  <c:v>9.3090356204846292E-2</c:v>
                </c:pt>
                <c:pt idx="367">
                  <c:v>9.282117898366149E-2</c:v>
                </c:pt>
                <c:pt idx="368">
                  <c:v>9.2557451941615951E-2</c:v>
                </c:pt>
                <c:pt idx="369">
                  <c:v>9.2299063405640341E-2</c:v>
                </c:pt>
                <c:pt idx="370">
                  <c:v>9.2045904008256837E-2</c:v>
                </c:pt>
                <c:pt idx="371">
                  <c:v>9.1797866641080694E-2</c:v>
                </c:pt>
                <c:pt idx="372">
                  <c:v>9.1554846409125937E-2</c:v>
                </c:pt>
                <c:pt idx="373">
                  <c:v>9.1316740585911521E-2</c:v>
                </c:pt>
                <c:pt idx="374">
                  <c:v>9.1083448569363248E-2</c:v>
                </c:pt>
                <c:pt idx="375">
                  <c:v>9.0854871838506643E-2</c:v>
                </c:pt>
                <c:pt idx="376">
                  <c:v>9.0630913910943536E-2</c:v>
                </c:pt>
                <c:pt idx="377">
                  <c:v>9.0411480301107919E-2</c:v>
                </c:pt>
                <c:pt idx="378">
                  <c:v>9.0196478479291686E-2</c:v>
                </c:pt>
                <c:pt idx="379">
                  <c:v>8.9985817831434722E-2</c:v>
                </c:pt>
                <c:pt idx="380">
                  <c:v>8.9779409619670375E-2</c:v>
                </c:pt>
                <c:pt idx="381">
                  <c:v>8.9577166943618308E-2</c:v>
                </c:pt>
                <c:pt idx="382">
                  <c:v>8.9379004702415762E-2</c:v>
                </c:pt>
                <c:pt idx="383">
                  <c:v>8.9184839557479412E-2</c:v>
                </c:pt>
                <c:pt idx="384">
                  <c:v>8.8994589895986811E-2</c:v>
                </c:pt>
                <c:pt idx="385">
                  <c:v>8.8808175795069388E-2</c:v>
                </c:pt>
                <c:pt idx="386">
                  <c:v>8.8625518986706939E-2</c:v>
                </c:pt>
                <c:pt idx="387">
                  <c:v>8.8446542823313684E-2</c:v>
                </c:pt>
                <c:pt idx="388">
                  <c:v>8.8271172244005561E-2</c:v>
                </c:pt>
                <c:pt idx="389">
                  <c:v>8.809933374153954E-2</c:v>
                </c:pt>
                <c:pt idx="390">
                  <c:v>8.7930955329913962E-2</c:v>
                </c:pt>
                <c:pt idx="391">
                  <c:v>8.7765966512619628E-2</c:v>
                </c:pt>
                <c:pt idx="392">
                  <c:v>8.7604298251532015E-2</c:v>
                </c:pt>
                <c:pt idx="393">
                  <c:v>8.7445882936433059E-2</c:v>
                </c:pt>
                <c:pt idx="394">
                  <c:v>8.7290654355153374E-2</c:v>
                </c:pt>
                <c:pt idx="395">
                  <c:v>8.7138547664323399E-2</c:v>
                </c:pt>
                <c:pt idx="396">
                  <c:v>8.6989499360723546E-2</c:v>
                </c:pt>
                <c:pt idx="397">
                  <c:v>8.6843447253222933E-2</c:v>
                </c:pt>
                <c:pt idx="398">
                  <c:v>8.6700330435296208E-2</c:v>
                </c:pt>
                <c:pt idx="399">
                  <c:v>8.6560089258108319E-2</c:v>
                </c:pt>
                <c:pt idx="400">
                  <c:v>8.6422665304156862E-2</c:v>
                </c:pt>
                <c:pt idx="401">
                  <c:v>8.6288001361461281E-2</c:v>
                </c:pt>
                <c:pt idx="402">
                  <c:v>8.615604139829007E-2</c:v>
                </c:pt>
                <c:pt idx="403">
                  <c:v>8.6026730538414642E-2</c:v>
                </c:pt>
                <c:pt idx="404">
                  <c:v>8.5900015036880648E-2</c:v>
                </c:pt>
                <c:pt idx="405">
                  <c:v>8.5775842256286372E-2</c:v>
                </c:pt>
                <c:pt idx="406">
                  <c:v>8.5654160643559088E-2</c:v>
                </c:pt>
                <c:pt idx="407">
                  <c:v>8.5534919707219187E-2</c:v>
                </c:pt>
                <c:pt idx="408">
                  <c:v>8.5418069995122858E-2</c:v>
                </c:pt>
                <c:pt idx="409">
                  <c:v>8.5303563072673672E-2</c:v>
                </c:pt>
                <c:pt idx="410">
                  <c:v>8.51913515014939E-2</c:v>
                </c:pt>
                <c:pt idx="411">
                  <c:v>8.5081388818546613E-2</c:v>
                </c:pt>
                <c:pt idx="412">
                  <c:v>8.4973629515699076E-2</c:v>
                </c:pt>
                <c:pt idx="413">
                  <c:v>8.4868029019718738E-2</c:v>
                </c:pt>
                <c:pt idx="414">
                  <c:v>8.4764543672693288E-2</c:v>
                </c:pt>
                <c:pt idx="415">
                  <c:v>8.4663130712865825E-2</c:v>
                </c:pt>
                <c:pt idx="416">
                  <c:v>8.456374825587662E-2</c:v>
                </c:pt>
                <c:pt idx="417">
                  <c:v>8.4466355276403143E-2</c:v>
                </c:pt>
                <c:pt idx="418">
                  <c:v>8.4370911590190709E-2</c:v>
                </c:pt>
                <c:pt idx="419">
                  <c:v>8.4277377836464273E-2</c:v>
                </c:pt>
                <c:pt idx="420">
                  <c:v>8.4185715460715196E-2</c:v>
                </c:pt>
                <c:pt idx="421">
                  <c:v>8.4095886697853436E-2</c:v>
                </c:pt>
                <c:pt idx="422">
                  <c:v>8.4007854555718658E-2</c:v>
                </c:pt>
                <c:pt idx="423">
                  <c:v>8.392158279894267E-2</c:v>
                </c:pt>
                <c:pt idx="424">
                  <c:v>8.3837035933154766E-2</c:v>
                </c:pt>
                <c:pt idx="425">
                  <c:v>8.3754179189523881E-2</c:v>
                </c:pt>
                <c:pt idx="426">
                  <c:v>8.3672978509629944E-2</c:v>
                </c:pt>
                <c:pt idx="427">
                  <c:v>8.3593400530657239E-2</c:v>
                </c:pt>
                <c:pt idx="428">
                  <c:v>8.3515412570903266E-2</c:v>
                </c:pt>
                <c:pt idx="429">
                  <c:v>8.3438982615595958E-2</c:v>
                </c:pt>
                <c:pt idx="430">
                  <c:v>8.3364079303013636E-2</c:v>
                </c:pt>
                <c:pt idx="431">
                  <c:v>8.3290671910899283E-2</c:v>
                </c:pt>
                <c:pt idx="432">
                  <c:v>8.321873034316539E-2</c:v>
                </c:pt>
                <c:pt idx="433">
                  <c:v>8.3148225116880733E-2</c:v>
                </c:pt>
                <c:pt idx="434">
                  <c:v>8.3079127349534779E-2</c:v>
                </c:pt>
                <c:pt idx="435">
                  <c:v>8.3011408746572271E-2</c:v>
                </c:pt>
                <c:pt idx="436">
                  <c:v>8.2945041589193844E-2</c:v>
                </c:pt>
                <c:pt idx="437">
                  <c:v>8.2879998722415249E-2</c:v>
                </c:pt>
                <c:pt idx="438">
                  <c:v>8.2816253543380638E-2</c:v>
                </c:pt>
                <c:pt idx="439">
                  <c:v>8.2753779989924212E-2</c:v>
                </c:pt>
                <c:pt idx="440">
                  <c:v>8.2692552529374491E-2</c:v>
                </c:pt>
                <c:pt idx="441">
                  <c:v>8.2632546147596714E-2</c:v>
                </c:pt>
                <c:pt idx="442">
                  <c:v>8.257373633826702E-2</c:v>
                </c:pt>
                <c:pt idx="443">
                  <c:v>8.2516099092374853E-2</c:v>
                </c:pt>
                <c:pt idx="444">
                  <c:v>8.2459610887947371E-2</c:v>
                </c:pt>
                <c:pt idx="445">
                  <c:v>8.2404248679991701E-2</c:v>
                </c:pt>
                <c:pt idx="446">
                  <c:v>8.2349989890650274E-2</c:v>
                </c:pt>
                <c:pt idx="447">
                  <c:v>8.2296812399564309E-2</c:v>
                </c:pt>
                <c:pt idx="448">
                  <c:v>8.2244694534441234E-2</c:v>
                </c:pt>
                <c:pt idx="449">
                  <c:v>8.2193615061821698E-2</c:v>
                </c:pt>
                <c:pt idx="450">
                  <c:v>8.2143553178041118E-2</c:v>
                </c:pt>
                <c:pt idx="451">
                  <c:v>8.2094488500382631E-2</c:v>
                </c:pt>
                <c:pt idx="452">
                  <c:v>8.2046401058416596E-2</c:v>
                </c:pt>
                <c:pt idx="453">
                  <c:v>8.199927128552241E-2</c:v>
                </c:pt>
                <c:pt idx="454">
                  <c:v>8.1953080010589402E-2</c:v>
                </c:pt>
                <c:pt idx="455">
                  <c:v>8.1907808449892469E-2</c:v>
                </c:pt>
                <c:pt idx="456">
                  <c:v>8.1863438199138633E-2</c:v>
                </c:pt>
                <c:pt idx="457">
                  <c:v>8.1819951225680615E-2</c:v>
                </c:pt>
                <c:pt idx="458">
                  <c:v>8.1777329860894837E-2</c:v>
                </c:pt>
                <c:pt idx="459">
                  <c:v>8.1735556792718878E-2</c:v>
                </c:pt>
                <c:pt idx="460">
                  <c:v>8.1694615058345826E-2</c:v>
                </c:pt>
                <c:pt idx="461">
                  <c:v>8.1654488037072023E-2</c:v>
                </c:pt>
                <c:pt idx="462">
                  <c:v>8.1615159443294713E-2</c:v>
                </c:pt>
                <c:pt idx="463">
                  <c:v>8.1576613319656183E-2</c:v>
                </c:pt>
                <c:pt idx="464">
                  <c:v>8.1538834030331658E-2</c:v>
                </c:pt>
                <c:pt idx="465">
                  <c:v>8.1501806254457868E-2</c:v>
                </c:pt>
                <c:pt idx="466">
                  <c:v>8.1465514979698575E-2</c:v>
                </c:pt>
                <c:pt idx="467">
                  <c:v>8.1429945495944775E-2</c:v>
                </c:pt>
                <c:pt idx="468">
                  <c:v>8.1395083389146555E-2</c:v>
                </c:pt>
                <c:pt idx="469">
                  <c:v>8.1360914535273415E-2</c:v>
                </c:pt>
                <c:pt idx="470">
                  <c:v>8.132742509440076E-2</c:v>
                </c:pt>
                <c:pt idx="471">
                  <c:v>8.1294601504919586E-2</c:v>
                </c:pt>
                <c:pt idx="472">
                  <c:v>8.1262430477866701E-2</c:v>
                </c:pt>
                <c:pt idx="473">
                  <c:v>8.1230898991372924E-2</c:v>
                </c:pt>
                <c:pt idx="474">
                  <c:v>8.1199994285226923E-2</c:v>
                </c:pt>
                <c:pt idx="475">
                  <c:v>8.1169703855551736E-2</c:v>
                </c:pt>
                <c:pt idx="476">
                  <c:v>8.1140015449592151E-2</c:v>
                </c:pt>
                <c:pt idx="477">
                  <c:v>8.1110917060610258E-2</c:v>
                </c:pt>
                <c:pt idx="478">
                  <c:v>8.108239692288656E-2</c:v>
                </c:pt>
                <c:pt idx="479">
                  <c:v>8.1054443506825197E-2</c:v>
                </c:pt>
                <c:pt idx="480">
                  <c:v>8.1027045514160317E-2</c:v>
                </c:pt>
                <c:pt idx="481">
                  <c:v>8.1000191873261421E-2</c:v>
                </c:pt>
                <c:pt idx="482">
                  <c:v>8.0973871734536518E-2</c:v>
                </c:pt>
                <c:pt idx="483">
                  <c:v>8.0948074465929484E-2</c:v>
                </c:pt>
                <c:pt idx="484">
                  <c:v>8.0922789648511309E-2</c:v>
                </c:pt>
                <c:pt idx="485">
                  <c:v>8.0898007072161909E-2</c:v>
                </c:pt>
                <c:pt idx="486">
                  <c:v>8.0873716731340708E-2</c:v>
                </c:pt>
                <c:pt idx="487">
                  <c:v>8.0849908820945462E-2</c:v>
                </c:pt>
                <c:pt idx="488">
                  <c:v>8.082657373225545E-2</c:v>
                </c:pt>
                <c:pt idx="489">
                  <c:v>8.080370204895887E-2</c:v>
                </c:pt>
                <c:pt idx="490">
                  <c:v>8.0781284543261458E-2</c:v>
                </c:pt>
                <c:pt idx="491">
                  <c:v>8.0759312172075992E-2</c:v>
                </c:pt>
                <c:pt idx="492">
                  <c:v>8.0737776073289066E-2</c:v>
                </c:pt>
                <c:pt idx="493">
                  <c:v>8.0716667562105757E-2</c:v>
                </c:pt>
                <c:pt idx="494">
                  <c:v>8.0695978127468301E-2</c:v>
                </c:pt>
                <c:pt idx="495">
                  <c:v>8.0675699428549186E-2</c:v>
                </c:pt>
                <c:pt idx="496">
                  <c:v>8.0655823291315265E-2</c:v>
                </c:pt>
                <c:pt idx="497">
                  <c:v>8.0636341705163414E-2</c:v>
                </c:pt>
                <c:pt idx="498">
                  <c:v>8.0617246819624067E-2</c:v>
                </c:pt>
                <c:pt idx="499">
                  <c:v>8.0598530941133048E-2</c:v>
                </c:pt>
                <c:pt idx="500">
                  <c:v>8.0580186529869036E-2</c:v>
                </c:pt>
                <c:pt idx="501">
                  <c:v>8.0562206196655842E-2</c:v>
                </c:pt>
                <c:pt idx="502">
                  <c:v>8.0544582699928202E-2</c:v>
                </c:pt>
                <c:pt idx="503">
                  <c:v>8.0527308942759487E-2</c:v>
                </c:pt>
                <c:pt idx="504">
                  <c:v>8.0510377969949726E-2</c:v>
                </c:pt>
                <c:pt idx="505">
                  <c:v>8.0493782965173927E-2</c:v>
                </c:pt>
                <c:pt idx="506">
                  <c:v>8.0477517248187774E-2</c:v>
                </c:pt>
                <c:pt idx="507">
                  <c:v>8.0461574272090816E-2</c:v>
                </c:pt>
                <c:pt idx="508">
                  <c:v>8.0445947620645233E-2</c:v>
                </c:pt>
                <c:pt idx="509">
                  <c:v>8.043063100564922E-2</c:v>
                </c:pt>
                <c:pt idx="510">
                  <c:v>8.041561826436408E-2</c:v>
                </c:pt>
                <c:pt idx="511">
                  <c:v>8.0400903356993444E-2</c:v>
                </c:pt>
                <c:pt idx="512">
                  <c:v>8.0386480364213739E-2</c:v>
                </c:pt>
                <c:pt idx="513">
                  <c:v>8.0372343484755512E-2</c:v>
                </c:pt>
                <c:pt idx="514">
                  <c:v>8.0358487033032805E-2</c:v>
                </c:pt>
                <c:pt idx="515">
                  <c:v>8.034490543682174E-2</c:v>
                </c:pt>
                <c:pt idx="516">
                  <c:v>8.0331593234985899E-2</c:v>
                </c:pt>
                <c:pt idx="517">
                  <c:v>8.0318545075247452E-2</c:v>
                </c:pt>
                <c:pt idx="518">
                  <c:v>8.0305755712004198E-2</c:v>
                </c:pt>
                <c:pt idx="519">
                  <c:v>8.0293220004190619E-2</c:v>
                </c:pt>
                <c:pt idx="520">
                  <c:v>8.0280932913181918E-2</c:v>
                </c:pt>
                <c:pt idx="521">
                  <c:v>8.0268889500741292E-2</c:v>
                </c:pt>
                <c:pt idx="522">
                  <c:v>8.0257084927008102E-2</c:v>
                </c:pt>
                <c:pt idx="523">
                  <c:v>8.0245514448527275E-2</c:v>
                </c:pt>
                <c:pt idx="524">
                  <c:v>8.023417341631818E-2</c:v>
                </c:pt>
                <c:pt idx="525">
                  <c:v>8.0223057273982934E-2</c:v>
                </c:pt>
                <c:pt idx="526">
                  <c:v>8.021216155585284E-2</c:v>
                </c:pt>
                <c:pt idx="527">
                  <c:v>8.0201481885172177E-2</c:v>
                </c:pt>
                <c:pt idx="528">
                  <c:v>8.0191013972318981E-2</c:v>
                </c:pt>
                <c:pt idx="529">
                  <c:v>8.0180753613061401E-2</c:v>
                </c:pt>
                <c:pt idx="530">
                  <c:v>8.017069668684966E-2</c:v>
                </c:pt>
                <c:pt idx="531">
                  <c:v>8.016083915514241E-2</c:v>
                </c:pt>
                <c:pt idx="532">
                  <c:v>8.0151177059766404E-2</c:v>
                </c:pt>
                <c:pt idx="533">
                  <c:v>8.0141706521310099E-2</c:v>
                </c:pt>
                <c:pt idx="534">
                  <c:v>8.0132423737548905E-2</c:v>
                </c:pt>
                <c:pt idx="535">
                  <c:v>8.0123324981902652E-2</c:v>
                </c:pt>
                <c:pt idx="536">
                  <c:v>8.0114406601923871E-2</c:v>
                </c:pt>
                <c:pt idx="537">
                  <c:v>8.0105665017816796E-2</c:v>
                </c:pt>
                <c:pt idx="538">
                  <c:v>8.0097096720985861E-2</c:v>
                </c:pt>
                <c:pt idx="539">
                  <c:v>8.0088698272613834E-2</c:v>
                </c:pt>
                <c:pt idx="540">
                  <c:v>8.0080466302268241E-2</c:v>
                </c:pt>
                <c:pt idx="541">
                  <c:v>8.0072397506535956E-2</c:v>
                </c:pt>
                <c:pt idx="542">
                  <c:v>8.0064488647685367E-2</c:v>
                </c:pt>
                <c:pt idx="543">
                  <c:v>8.005673655235522E-2</c:v>
                </c:pt>
                <c:pt idx="544">
                  <c:v>8.0049138110270091E-2</c:v>
                </c:pt>
                <c:pt idx="545">
                  <c:v>8.0041690272981442E-2</c:v>
                </c:pt>
                <c:pt idx="546">
                  <c:v>8.0034390052634186E-2</c:v>
                </c:pt>
                <c:pt idx="547">
                  <c:v>8.0027234520757759E-2</c:v>
                </c:pt>
                <c:pt idx="548">
                  <c:v>8.0020220807081904E-2</c:v>
                </c:pt>
                <c:pt idx="549">
                  <c:v>8.0013346098375709E-2</c:v>
                </c:pt>
                <c:pt idx="550">
                  <c:v>8.0006607637310531E-2</c:v>
                </c:pt>
                <c:pt idx="551">
                  <c:v>8.0000002721345095E-2</c:v>
                </c:pt>
                <c:pt idx="552">
                  <c:v>7.9993528701633537E-2</c:v>
                </c:pt>
                <c:pt idx="553">
                  <c:v>7.9987182981955007E-2</c:v>
                </c:pt>
                <c:pt idx="554">
                  <c:v>7.9980963017664941E-2</c:v>
                </c:pt>
                <c:pt idx="555">
                  <c:v>7.9974866314667159E-2</c:v>
                </c:pt>
                <c:pt idx="556">
                  <c:v>7.9968890428406839E-2</c:v>
                </c:pt>
                <c:pt idx="557">
                  <c:v>7.996303296288329E-2</c:v>
                </c:pt>
                <c:pt idx="558">
                  <c:v>7.9957291569682884E-2</c:v>
                </c:pt>
                <c:pt idx="559">
                  <c:v>7.9951663947031265E-2</c:v>
                </c:pt>
                <c:pt idx="560">
                  <c:v>7.9946147838864362E-2</c:v>
                </c:pt>
                <c:pt idx="561">
                  <c:v>7.9940741033918072E-2</c:v>
                </c:pt>
                <c:pt idx="562">
                  <c:v>7.9935441364836407E-2</c:v>
                </c:pt>
                <c:pt idx="563">
                  <c:v>7.9930246707297176E-2</c:v>
                </c:pt>
                <c:pt idx="564">
                  <c:v>7.9925154979155352E-2</c:v>
                </c:pt>
                <c:pt idx="565">
                  <c:v>7.9920164139603497E-2</c:v>
                </c:pt>
                <c:pt idx="566">
                  <c:v>7.9915272188348971E-2</c:v>
                </c:pt>
                <c:pt idx="567">
                  <c:v>7.9910477164807703E-2</c:v>
                </c:pt>
                <c:pt idx="568">
                  <c:v>7.9905777147313922E-2</c:v>
                </c:pt>
                <c:pt idx="569">
                  <c:v>7.9901170252345971E-2</c:v>
                </c:pt>
                <c:pt idx="570">
                  <c:v>7.9896654633766995E-2</c:v>
                </c:pt>
                <c:pt idx="571">
                  <c:v>7.9892228482081842E-2</c:v>
                </c:pt>
                <c:pt idx="572">
                  <c:v>7.9887890023707483E-2</c:v>
                </c:pt>
                <c:pt idx="573">
                  <c:v>7.9883637520259232E-2</c:v>
                </c:pt>
                <c:pt idx="574">
                  <c:v>7.9879469267850542E-2</c:v>
                </c:pt>
                <c:pt idx="575">
                  <c:v>7.9875383596406752E-2</c:v>
                </c:pt>
                <c:pt idx="576">
                  <c:v>7.9871378868993037E-2</c:v>
                </c:pt>
                <c:pt idx="577">
                  <c:v>7.9867453481155232E-2</c:v>
                </c:pt>
                <c:pt idx="578">
                  <c:v>7.9863605860274176E-2</c:v>
                </c:pt>
                <c:pt idx="579">
                  <c:v>7.9859834464932805E-2</c:v>
                </c:pt>
                <c:pt idx="580">
                  <c:v>7.985613778429583E-2</c:v>
                </c:pt>
                <c:pt idx="581">
                  <c:v>7.9852514337501776E-2</c:v>
                </c:pt>
                <c:pt idx="582">
                  <c:v>7.9848962673067583E-2</c:v>
                </c:pt>
                <c:pt idx="583">
                  <c:v>7.9845481368304147E-2</c:v>
                </c:pt>
                <c:pt idx="584">
                  <c:v>7.9842069028744675E-2</c:v>
                </c:pt>
                <c:pt idx="585">
                  <c:v>7.9838724287583512E-2</c:v>
                </c:pt>
                <c:pt idx="586">
                  <c:v>7.9835445805126484E-2</c:v>
                </c:pt>
                <c:pt idx="587">
                  <c:v>7.9832232268252451E-2</c:v>
                </c:pt>
                <c:pt idx="588">
                  <c:v>7.9829082389885259E-2</c:v>
                </c:pt>
                <c:pt idx="589">
                  <c:v>7.982599490847625E-2</c:v>
                </c:pt>
                <c:pt idx="590">
                  <c:v>7.9822968587497142E-2</c:v>
                </c:pt>
                <c:pt idx="591">
                  <c:v>7.9820002214943189E-2</c:v>
                </c:pt>
                <c:pt idx="592">
                  <c:v>7.9817094602845903E-2</c:v>
                </c:pt>
                <c:pt idx="593">
                  <c:v>7.9814244586795799E-2</c:v>
                </c:pt>
                <c:pt idx="594">
                  <c:v>7.9811451025474378E-2</c:v>
                </c:pt>
                <c:pt idx="595">
                  <c:v>7.980871280019565E-2</c:v>
                </c:pt>
                <c:pt idx="596">
                  <c:v>7.9806028814456684E-2</c:v>
                </c:pt>
                <c:pt idx="597">
                  <c:v>7.9803397993497102E-2</c:v>
                </c:pt>
                <c:pt idx="598">
                  <c:v>7.9800819283867341E-2</c:v>
                </c:pt>
                <c:pt idx="599">
                  <c:v>7.9798291653005587E-2</c:v>
                </c:pt>
                <c:pt idx="600">
                  <c:v>7.9795814088822969E-2</c:v>
                </c:pt>
                <c:pt idx="601">
                  <c:v>7.9793385599297356E-2</c:v>
                </c:pt>
                <c:pt idx="602">
                  <c:v>7.9791005212074648E-2</c:v>
                </c:pt>
                <c:pt idx="603">
                  <c:v>7.9788671974078684E-2</c:v>
                </c:pt>
                <c:pt idx="604">
                  <c:v>7.9786384951128303E-2</c:v>
                </c:pt>
                <c:pt idx="605">
                  <c:v>7.9784143227562457E-2</c:v>
                </c:pt>
                <c:pt idx="606">
                  <c:v>7.9781945905872745E-2</c:v>
                </c:pt>
                <c:pt idx="607">
                  <c:v>7.9779792106342839E-2</c:v>
                </c:pt>
                <c:pt idx="608">
                  <c:v>7.9777680966695574E-2</c:v>
                </c:pt>
                <c:pt idx="609">
                  <c:v>7.9775611641746791E-2</c:v>
                </c:pt>
                <c:pt idx="610">
                  <c:v>7.9773583303066289E-2</c:v>
                </c:pt>
                <c:pt idx="611">
                  <c:v>7.9771595138645152E-2</c:v>
                </c:pt>
                <c:pt idx="612">
                  <c:v>7.9769646352570001E-2</c:v>
                </c:pt>
                <c:pt idx="613">
                  <c:v>7.9767736164703673E-2</c:v>
                </c:pt>
                <c:pt idx="614">
                  <c:v>7.9765863810372123E-2</c:v>
                </c:pt>
                <c:pt idx="615">
                  <c:v>7.9764028540057749E-2</c:v>
                </c:pt>
                <c:pt idx="616">
                  <c:v>7.9762229619098526E-2</c:v>
                </c:pt>
                <c:pt idx="617">
                  <c:v>7.9760466327393406E-2</c:v>
                </c:pt>
                <c:pt idx="618">
                  <c:v>7.9758737959113493E-2</c:v>
                </c:pt>
                <c:pt idx="619">
                  <c:v>7.9757043822418799E-2</c:v>
                </c:pt>
                <c:pt idx="620">
                  <c:v>7.9755383239180855E-2</c:v>
                </c:pt>
                <c:pt idx="621">
                  <c:v>7.9753755544710647E-2</c:v>
                </c:pt>
                <c:pt idx="622">
                  <c:v>7.9752160087492127E-2</c:v>
                </c:pt>
                <c:pt idx="623">
                  <c:v>7.9750596228920806E-2</c:v>
                </c:pt>
                <c:pt idx="624">
                  <c:v>7.9749063343047905E-2</c:v>
                </c:pt>
                <c:pt idx="625">
                  <c:v>7.9747560816328972E-2</c:v>
                </c:pt>
                <c:pt idx="626">
                  <c:v>7.9746088047378372E-2</c:v>
                </c:pt>
                <c:pt idx="627">
                  <c:v>7.9744644446727631E-2</c:v>
                </c:pt>
                <c:pt idx="628">
                  <c:v>7.9743229436589416E-2</c:v>
                </c:pt>
                <c:pt idx="629">
                  <c:v>7.974184245062596E-2</c:v>
                </c:pt>
                <c:pt idx="630">
                  <c:v>7.9740482933721671E-2</c:v>
                </c:pt>
                <c:pt idx="631">
                  <c:v>7.9739150341760878E-2</c:v>
                </c:pt>
                <c:pt idx="632">
                  <c:v>7.9737844141409692E-2</c:v>
                </c:pt>
                <c:pt idx="633">
                  <c:v>7.9736563809902045E-2</c:v>
                </c:pt>
                <c:pt idx="634">
                  <c:v>7.9735308834830487E-2</c:v>
                </c:pt>
                <c:pt idx="635">
                  <c:v>7.973407871394024E-2</c:v>
                </c:pt>
                <c:pt idx="636">
                  <c:v>7.9732872954928549E-2</c:v>
                </c:pt>
                <c:pt idx="637">
                  <c:v>7.9731691075246872E-2</c:v>
                </c:pt>
                <c:pt idx="638">
                  <c:v>7.9730532601907808E-2</c:v>
                </c:pt>
                <c:pt idx="639">
                  <c:v>7.9729397071295297E-2</c:v>
                </c:pt>
                <c:pt idx="640">
                  <c:v>7.9728284028979024E-2</c:v>
                </c:pt>
                <c:pt idx="641">
                  <c:v>7.9727193029532309E-2</c:v>
                </c:pt>
                <c:pt idx="642">
                  <c:v>7.9726123636353341E-2</c:v>
                </c:pt>
                <c:pt idx="643">
                  <c:v>7.9725075421490668E-2</c:v>
                </c:pt>
                <c:pt idx="644">
                  <c:v>7.9724047965471334E-2</c:v>
                </c:pt>
                <c:pt idx="645">
                  <c:v>7.9723040857133137E-2</c:v>
                </c:pt>
                <c:pt idx="646">
                  <c:v>7.9722053693459527E-2</c:v>
                </c:pt>
                <c:pt idx="647">
                  <c:v>7.9721086079418566E-2</c:v>
                </c:pt>
                <c:pt idx="648">
                  <c:v>7.9720137627804194E-2</c:v>
                </c:pt>
                <c:pt idx="649">
                  <c:v>7.9719207959081578E-2</c:v>
                </c:pt>
                <c:pt idx="650">
                  <c:v>7.9718296701234689E-2</c:v>
                </c:pt>
                <c:pt idx="651">
                  <c:v>7.9717403489617575E-2</c:v>
                </c:pt>
                <c:pt idx="652">
                  <c:v>7.9716527966807935E-2</c:v>
                </c:pt>
                <c:pt idx="653">
                  <c:v>7.9715669782464332E-2</c:v>
                </c:pt>
                <c:pt idx="654">
                  <c:v>7.9714828593185585E-2</c:v>
                </c:pt>
                <c:pt idx="655">
                  <c:v>7.971400406237332E-2</c:v>
                </c:pt>
                <c:pt idx="656">
                  <c:v>7.9713195860097175E-2</c:v>
                </c:pt>
                <c:pt idx="657">
                  <c:v>7.9712403662962561E-2</c:v>
                </c:pt>
                <c:pt idx="658">
                  <c:v>7.9711627153981238E-2</c:v>
                </c:pt>
                <c:pt idx="659">
                  <c:v>7.9710866022444302E-2</c:v>
                </c:pt>
                <c:pt idx="660">
                  <c:v>7.9710119963797704E-2</c:v>
                </c:pt>
                <c:pt idx="661">
                  <c:v>7.970938867952039E-2</c:v>
                </c:pt>
                <c:pt idx="662">
                  <c:v>7.9708671877004672E-2</c:v>
                </c:pt>
                <c:pt idx="663">
                  <c:v>7.9707969269439002E-2</c:v>
                </c:pt>
                <c:pt idx="664">
                  <c:v>7.9707280575693304E-2</c:v>
                </c:pt>
                <c:pt idx="665">
                  <c:v>7.97066055202061E-2</c:v>
                </c:pt>
                <c:pt idx="666">
                  <c:v>7.9705943832874424E-2</c:v>
                </c:pt>
                <c:pt idx="667">
                  <c:v>7.9705295248945596E-2</c:v>
                </c:pt>
                <c:pt idx="668">
                  <c:v>7.9704659508911063E-2</c:v>
                </c:pt>
                <c:pt idx="669">
                  <c:v>7.9704036358402675E-2</c:v>
                </c:pt>
                <c:pt idx="670">
                  <c:v>7.9703425548090748E-2</c:v>
                </c:pt>
                <c:pt idx="671">
                  <c:v>7.9702826833584192E-2</c:v>
                </c:pt>
                <c:pt idx="672">
                  <c:v>7.9702239975332823E-2</c:v>
                </c:pt>
                <c:pt idx="673">
                  <c:v>7.97016647385312E-2</c:v>
                </c:pt>
                <c:pt idx="674">
                  <c:v>7.9701100893024818E-2</c:v>
                </c:pt>
                <c:pt idx="675">
                  <c:v>7.9700548213217787E-2</c:v>
                </c:pt>
                <c:pt idx="676">
                  <c:v>7.9700006477982796E-2</c:v>
                </c:pt>
                <c:pt idx="677">
                  <c:v>7.969947547057217E-2</c:v>
                </c:pt>
                <c:pt idx="678">
                  <c:v>7.969895497853155E-2</c:v>
                </c:pt>
                <c:pt idx="679">
                  <c:v>7.9698444793614376E-2</c:v>
                </c:pt>
                <c:pt idx="680">
                  <c:v>7.9697944711698887E-2</c:v>
                </c:pt>
                <c:pt idx="681">
                  <c:v>7.9697454532706311E-2</c:v>
                </c:pt>
                <c:pt idx="682">
                  <c:v>7.9696974060520537E-2</c:v>
                </c:pt>
                <c:pt idx="683">
                  <c:v>7.9696503102910043E-2</c:v>
                </c:pt>
                <c:pt idx="684">
                  <c:v>7.9696041471450402E-2</c:v>
                </c:pt>
                <c:pt idx="685">
                  <c:v>7.9695588981449378E-2</c:v>
                </c:pt>
                <c:pt idx="686">
                  <c:v>7.9695145451872673E-2</c:v>
                </c:pt>
                <c:pt idx="687">
                  <c:v>7.9694710705271454E-2</c:v>
                </c:pt>
                <c:pt idx="688">
                  <c:v>7.9694284567711576E-2</c:v>
                </c:pt>
                <c:pt idx="689">
                  <c:v>7.9693866868703708E-2</c:v>
                </c:pt>
                <c:pt idx="690">
                  <c:v>7.969345744113511E-2</c:v>
                </c:pt>
                <c:pt idx="691">
                  <c:v>7.9693056121202935E-2</c:v>
                </c:pt>
                <c:pt idx="692">
                  <c:v>7.9692662748348506E-2</c:v>
                </c:pt>
                <c:pt idx="693">
                  <c:v>7.9692277165192948E-2</c:v>
                </c:pt>
                <c:pt idx="694">
                  <c:v>7.9691899217474479E-2</c:v>
                </c:pt>
                <c:pt idx="695">
                  <c:v>7.9691528753986468E-2</c:v>
                </c:pt>
                <c:pt idx="696">
                  <c:v>7.9691165626516874E-2</c:v>
                </c:pt>
                <c:pt idx="697">
                  <c:v>7.9690809689789227E-2</c:v>
                </c:pt>
                <c:pt idx="698">
                  <c:v>7.9690460801403948E-2</c:v>
                </c:pt>
                <c:pt idx="699">
                  <c:v>7.9690118821781925E-2</c:v>
                </c:pt>
                <c:pt idx="700">
                  <c:v>7.9689783614108348E-2</c:v>
                </c:pt>
                <c:pt idx="701">
                  <c:v>7.9689455044277893E-2</c:v>
                </c:pt>
                <c:pt idx="702">
                  <c:v>7.9689132980841265E-2</c:v>
                </c:pt>
                <c:pt idx="703">
                  <c:v>7.9688817294952433E-2</c:v>
                </c:pt>
                <c:pt idx="704">
                  <c:v>7.9688507860317129E-2</c:v>
                </c:pt>
                <c:pt idx="705">
                  <c:v>7.9688204553142322E-2</c:v>
                </c:pt>
                <c:pt idx="706">
                  <c:v>7.9687907252086493E-2</c:v>
                </c:pt>
                <c:pt idx="707">
                  <c:v>7.9687615838211379E-2</c:v>
                </c:pt>
                <c:pt idx="708">
                  <c:v>7.9687330194934167E-2</c:v>
                </c:pt>
                <c:pt idx="709">
                  <c:v>7.9687050207980822E-2</c:v>
                </c:pt>
                <c:pt idx="710">
                  <c:v>7.9686775765340515E-2</c:v>
                </c:pt>
                <c:pt idx="711">
                  <c:v>7.9686506757220707E-2</c:v>
                </c:pt>
                <c:pt idx="712">
                  <c:v>7.9686243076003027E-2</c:v>
                </c:pt>
                <c:pt idx="713">
                  <c:v>7.9685984616200661E-2</c:v>
                </c:pt>
                <c:pt idx="714">
                  <c:v>7.9685731274415528E-2</c:v>
                </c:pt>
                <c:pt idx="715">
                  <c:v>7.9685482949297615E-2</c:v>
                </c:pt>
                <c:pt idx="716">
                  <c:v>7.9685239541503652E-2</c:v>
                </c:pt>
                <c:pt idx="717">
                  <c:v>7.9685000953658033E-2</c:v>
                </c:pt>
                <c:pt idx="718">
                  <c:v>7.9684767090313496E-2</c:v>
                </c:pt>
                <c:pt idx="719">
                  <c:v>7.9684537857912907E-2</c:v>
                </c:pt>
                <c:pt idx="720">
                  <c:v>7.9684313164751969E-2</c:v>
                </c:pt>
                <c:pt idx="721">
                  <c:v>7.9684092920942431E-2</c:v>
                </c:pt>
                <c:pt idx="722">
                  <c:v>7.9683877038376275E-2</c:v>
                </c:pt>
                <c:pt idx="723">
                  <c:v>7.9683665430690165E-2</c:v>
                </c:pt>
                <c:pt idx="724">
                  <c:v>7.9683458013231179E-2</c:v>
                </c:pt>
                <c:pt idx="725">
                  <c:v>7.968325470302276E-2</c:v>
                </c:pt>
                <c:pt idx="726">
                  <c:v>7.9683055418731663E-2</c:v>
                </c:pt>
                <c:pt idx="727">
                  <c:v>7.9682860080635146E-2</c:v>
                </c:pt>
                <c:pt idx="728">
                  <c:v>7.9682668610589424E-2</c:v>
                </c:pt>
                <c:pt idx="729">
                  <c:v>7.9682480931998145E-2</c:v>
                </c:pt>
                <c:pt idx="730">
                  <c:v>7.9682296969781782E-2</c:v>
                </c:pt>
                <c:pt idx="731">
                  <c:v>7.9682116650347662E-2</c:v>
                </c:pt>
                <c:pt idx="732">
                  <c:v>7.9681939901560472E-2</c:v>
                </c:pt>
                <c:pt idx="733">
                  <c:v>7.9681766652713482E-2</c:v>
                </c:pt>
                <c:pt idx="734">
                  <c:v>7.9681596834500046E-2</c:v>
                </c:pt>
                <c:pt idx="735">
                  <c:v>7.9681430378986048E-2</c:v>
                </c:pt>
                <c:pt idx="736">
                  <c:v>7.9681267219582783E-2</c:v>
                </c:pt>
                <c:pt idx="737">
                  <c:v>7.9681107291020042E-2</c:v>
                </c:pt>
                <c:pt idx="738">
                  <c:v>7.9680950529320241E-2</c:v>
                </c:pt>
                <c:pt idx="739">
                  <c:v>7.9680796871772722E-2</c:v>
                </c:pt>
                <c:pt idx="740">
                  <c:v>7.968064625690871E-2</c:v>
                </c:pt>
                <c:pt idx="741">
                  <c:v>7.968049862447675E-2</c:v>
                </c:pt>
                <c:pt idx="742">
                  <c:v>7.9680353915418334E-2</c:v>
                </c:pt>
                <c:pt idx="743">
                  <c:v>7.9680212071844725E-2</c:v>
                </c:pt>
                <c:pt idx="744">
                  <c:v>7.9680073037013313E-2</c:v>
                </c:pt>
                <c:pt idx="745">
                  <c:v>7.9679936755305339E-2</c:v>
                </c:pt>
                <c:pt idx="746">
                  <c:v>7.9679803172203356E-2</c:v>
                </c:pt>
                <c:pt idx="747">
                  <c:v>7.9679672234269541E-2</c:v>
                </c:pt>
                <c:pt idx="748">
                  <c:v>7.9679543889124294E-2</c:v>
                </c:pt>
                <c:pt idx="749">
                  <c:v>7.9679418085425169E-2</c:v>
                </c:pt>
                <c:pt idx="750">
                  <c:v>7.9679294772846562E-2</c:v>
                </c:pt>
                <c:pt idx="751">
                  <c:v>7.9679173902059391E-2</c:v>
                </c:pt>
                <c:pt idx="752">
                  <c:v>7.9679055424711404E-2</c:v>
                </c:pt>
                <c:pt idx="753">
                  <c:v>7.9678939293407927E-2</c:v>
                </c:pt>
                <c:pt idx="754">
                  <c:v>7.9678825461692721E-2</c:v>
                </c:pt>
                <c:pt idx="755">
                  <c:v>7.9678713884029542E-2</c:v>
                </c:pt>
                <c:pt idx="756">
                  <c:v>7.9678604515783902E-2</c:v>
                </c:pt>
                <c:pt idx="757">
                  <c:v>7.9678497313205088E-2</c:v>
                </c:pt>
                <c:pt idx="758">
                  <c:v>7.967839223340889E-2</c:v>
                </c:pt>
                <c:pt idx="759">
                  <c:v>7.9678289234360239E-2</c:v>
                </c:pt>
                <c:pt idx="760">
                  <c:v>7.9678188274856412E-2</c:v>
                </c:pt>
                <c:pt idx="761">
                  <c:v>7.9678089314510786E-2</c:v>
                </c:pt>
                <c:pt idx="762">
                  <c:v>7.9677992313736221E-2</c:v>
                </c:pt>
                <c:pt idx="763">
                  <c:v>7.9677897233729658E-2</c:v>
                </c:pt>
                <c:pt idx="764">
                  <c:v>7.9677804036456454E-2</c:v>
                </c:pt>
                <c:pt idx="765">
                  <c:v>7.9677712684635096E-2</c:v>
                </c:pt>
                <c:pt idx="766">
                  <c:v>7.9677623141722248E-2</c:v>
                </c:pt>
                <c:pt idx="767">
                  <c:v>7.9677535371898311E-2</c:v>
                </c:pt>
                <c:pt idx="768">
                  <c:v>7.9677449340052969E-2</c:v>
                </c:pt>
                <c:pt idx="769">
                  <c:v>7.9677365011771251E-2</c:v>
                </c:pt>
                <c:pt idx="770">
                  <c:v>7.9677282353319473E-2</c:v>
                </c:pt>
                <c:pt idx="771">
                  <c:v>7.9677201331632141E-2</c:v>
                </c:pt>
                <c:pt idx="772">
                  <c:v>7.9677121914298432E-2</c:v>
                </c:pt>
                <c:pt idx="773">
                  <c:v>7.967704406954941E-2</c:v>
                </c:pt>
                <c:pt idx="774">
                  <c:v>7.9676967766245138E-2</c:v>
                </c:pt>
                <c:pt idx="775">
                  <c:v>7.9676892973862393E-2</c:v>
                </c:pt>
                <c:pt idx="776">
                  <c:v>7.9676819662482315E-2</c:v>
                </c:pt>
                <c:pt idx="777">
                  <c:v>7.9676747802778489E-2</c:v>
                </c:pt>
                <c:pt idx="778">
                  <c:v>7.9676677366005352E-2</c:v>
                </c:pt>
                <c:pt idx="779">
                  <c:v>7.9676608323986417E-2</c:v>
                </c:pt>
                <c:pt idx="780">
                  <c:v>7.9676540649103178E-2</c:v>
                </c:pt>
                <c:pt idx="781">
                  <c:v>7.9676474314284138E-2</c:v>
                </c:pt>
                <c:pt idx="782">
                  <c:v>7.9676409292993772E-2</c:v>
                </c:pt>
                <c:pt idx="783">
                  <c:v>7.9676345559221928E-2</c:v>
                </c:pt>
                <c:pt idx="784">
                  <c:v>7.9676283087473751E-2</c:v>
                </c:pt>
                <c:pt idx="785">
                  <c:v>7.967622185275898E-2</c:v>
                </c:pt>
                <c:pt idx="786">
                  <c:v>7.9676161830582376E-2</c:v>
                </c:pt>
                <c:pt idx="787">
                  <c:v>7.9676102996933743E-2</c:v>
                </c:pt>
                <c:pt idx="788">
                  <c:v>7.9676045328278142E-2</c:v>
                </c:pt>
                <c:pt idx="789">
                  <c:v>7.9675988801546985E-2</c:v>
                </c:pt>
                <c:pt idx="790">
                  <c:v>7.9675933394128221E-2</c:v>
                </c:pt>
                <c:pt idx="791">
                  <c:v>7.9675879083857676E-2</c:v>
                </c:pt>
                <c:pt idx="792">
                  <c:v>7.9675825849010076E-2</c:v>
                </c:pt>
                <c:pt idx="793">
                  <c:v>7.9675773668290317E-2</c:v>
                </c:pt>
                <c:pt idx="794">
                  <c:v>7.9675722520824957E-2</c:v>
                </c:pt>
                <c:pt idx="795">
                  <c:v>7.9675672386153987E-2</c:v>
                </c:pt>
                <c:pt idx="796">
                  <c:v>7.9675623244222407E-2</c:v>
                </c:pt>
                <c:pt idx="797">
                  <c:v>7.9675575075372415E-2</c:v>
                </c:pt>
                <c:pt idx="798">
                  <c:v>7.9675527860335493E-2</c:v>
                </c:pt>
                <c:pt idx="799">
                  <c:v>7.9675481580224625E-2</c:v>
                </c:pt>
                <c:pt idx="800">
                  <c:v>7.9675436216526799E-2</c:v>
                </c:pt>
                <c:pt idx="801">
                  <c:v>7.9675391751095628E-2</c:v>
                </c:pt>
                <c:pt idx="802">
                  <c:v>7.9675348166144078E-2</c:v>
                </c:pt>
                <c:pt idx="803">
                  <c:v>7.9675305444237177E-2</c:v>
                </c:pt>
                <c:pt idx="804">
                  <c:v>7.9675263568285387E-2</c:v>
                </c:pt>
                <c:pt idx="805">
                  <c:v>7.9675222521537484E-2</c:v>
                </c:pt>
                <c:pt idx="806">
                  <c:v>7.9675182287573948E-2</c:v>
                </c:pt>
                <c:pt idx="807">
                  <c:v>7.9675142850300376E-2</c:v>
                </c:pt>
                <c:pt idx="808">
                  <c:v>7.9675104193941124E-2</c:v>
                </c:pt>
                <c:pt idx="809">
                  <c:v>7.9675066303032879E-2</c:v>
                </c:pt>
                <c:pt idx="810">
                  <c:v>7.9675029162418518E-2</c:v>
                </c:pt>
                <c:pt idx="811">
                  <c:v>7.9674992757241173E-2</c:v>
                </c:pt>
                <c:pt idx="812">
                  <c:v>7.9674957072938021E-2</c:v>
                </c:pt>
                <c:pt idx="813">
                  <c:v>7.9674922095234593E-2</c:v>
                </c:pt>
                <c:pt idx="814">
                  <c:v>7.9674887810139275E-2</c:v>
                </c:pt>
                <c:pt idx="815">
                  <c:v>7.9674854203937273E-2</c:v>
                </c:pt>
                <c:pt idx="816">
                  <c:v>7.9674821263185633E-2</c:v>
                </c:pt>
                <c:pt idx="817">
                  <c:v>7.9674788974707242E-2</c:v>
                </c:pt>
                <c:pt idx="818">
                  <c:v>7.9674757325586293E-2</c:v>
                </c:pt>
                <c:pt idx="819">
                  <c:v>7.9674726303162413E-2</c:v>
                </c:pt>
                <c:pt idx="820">
                  <c:v>7.9674695895026168E-2</c:v>
                </c:pt>
                <c:pt idx="821">
                  <c:v>7.9674666089013732E-2</c:v>
                </c:pt>
                <c:pt idx="822">
                  <c:v>7.9674636873202212E-2</c:v>
                </c:pt>
                <c:pt idx="823">
                  <c:v>7.9674608235904595E-2</c:v>
                </c:pt>
                <c:pt idx="824">
                  <c:v>7.9674580165665601E-2</c:v>
                </c:pt>
                <c:pt idx="825">
                  <c:v>7.96745526512566E-2</c:v>
                </c:pt>
                <c:pt idx="826">
                  <c:v>7.9674525681671285E-2</c:v>
                </c:pt>
                <c:pt idx="827">
                  <c:v>7.967449924612148E-2</c:v>
                </c:pt>
                <c:pt idx="828">
                  <c:v>7.9674473334032325E-2</c:v>
                </c:pt>
                <c:pt idx="829">
                  <c:v>7.9674447935038681E-2</c:v>
                </c:pt>
                <c:pt idx="830">
                  <c:v>7.9674423038980424E-2</c:v>
                </c:pt>
                <c:pt idx="831">
                  <c:v>7.9674398635898758E-2</c:v>
                </c:pt>
                <c:pt idx="832">
                  <c:v>7.9674374716032004E-2</c:v>
                </c:pt>
                <c:pt idx="833">
                  <c:v>7.9674351269811775E-2</c:v>
                </c:pt>
                <c:pt idx="834">
                  <c:v>7.9674328287859267E-2</c:v>
                </c:pt>
                <c:pt idx="835">
                  <c:v>7.9674305760981182E-2</c:v>
                </c:pt>
                <c:pt idx="836">
                  <c:v>7.9674283680166533E-2</c:v>
                </c:pt>
                <c:pt idx="837">
                  <c:v>7.9674262036582538E-2</c:v>
                </c:pt>
                <c:pt idx="838">
                  <c:v>7.967424082157136E-2</c:v>
                </c:pt>
                <c:pt idx="839">
                  <c:v>7.9674220026646772E-2</c:v>
                </c:pt>
                <c:pt idx="840">
                  <c:v>7.967419964349029E-2</c:v>
                </c:pt>
                <c:pt idx="841">
                  <c:v>7.9674179663948477E-2</c:v>
                </c:pt>
                <c:pt idx="842">
                  <c:v>7.9674160080029102E-2</c:v>
                </c:pt>
                <c:pt idx="843">
                  <c:v>7.9674140883898334E-2</c:v>
                </c:pt>
                <c:pt idx="844">
                  <c:v>7.9674122067877301E-2</c:v>
                </c:pt>
                <c:pt idx="845">
                  <c:v>7.9674103624439344E-2</c:v>
                </c:pt>
                <c:pt idx="846">
                  <c:v>7.9674085546206863E-2</c:v>
                </c:pt>
                <c:pt idx="847">
                  <c:v>7.9674067825948172E-2</c:v>
                </c:pt>
                <c:pt idx="848">
                  <c:v>7.9674050456574885E-2</c:v>
                </c:pt>
                <c:pt idx="849">
                  <c:v>7.9674033431139046E-2</c:v>
                </c:pt>
                <c:pt idx="850">
                  <c:v>7.9674016742830117E-2</c:v>
                </c:pt>
                <c:pt idx="851">
                  <c:v>7.9674000384972576E-2</c:v>
                </c:pt>
                <c:pt idx="852">
                  <c:v>7.9673984351023019E-2</c:v>
                </c:pt>
                <c:pt idx="853">
                  <c:v>7.9673968634567549E-2</c:v>
                </c:pt>
                <c:pt idx="854">
                  <c:v>7.9673953229319402E-2</c:v>
                </c:pt>
                <c:pt idx="855">
                  <c:v>7.9673938129116204E-2</c:v>
                </c:pt>
                <c:pt idx="856">
                  <c:v>7.9673923327917659E-2</c:v>
                </c:pt>
                <c:pt idx="857">
                  <c:v>7.9673908819803047E-2</c:v>
                </c:pt>
                <c:pt idx="858">
                  <c:v>7.9673894598968856E-2</c:v>
                </c:pt>
                <c:pt idx="859">
                  <c:v>7.9673880659726609E-2</c:v>
                </c:pt>
                <c:pt idx="860">
                  <c:v>7.9673866996500337E-2</c:v>
                </c:pt>
                <c:pt idx="861">
                  <c:v>7.9673853603824535E-2</c:v>
                </c:pt>
                <c:pt idx="862">
                  <c:v>7.967384047634192E-2</c:v>
                </c:pt>
                <c:pt idx="863">
                  <c:v>7.9673827608801345E-2</c:v>
                </c:pt>
                <c:pt idx="864">
                  <c:v>7.9673814996055553E-2</c:v>
                </c:pt>
                <c:pt idx="865">
                  <c:v>7.9673802633059287E-2</c:v>
                </c:pt>
                <c:pt idx="866">
                  <c:v>7.9673790514867115E-2</c:v>
                </c:pt>
                <c:pt idx="867">
                  <c:v>7.9673778636631609E-2</c:v>
                </c:pt>
                <c:pt idx="868">
                  <c:v>7.9673766993601292E-2</c:v>
                </c:pt>
                <c:pt idx="869">
                  <c:v>7.9673755581118749E-2</c:v>
                </c:pt>
                <c:pt idx="870">
                  <c:v>7.9673744394618828E-2</c:v>
                </c:pt>
                <c:pt idx="871">
                  <c:v>7.9673733429626817E-2</c:v>
                </c:pt>
                <c:pt idx="872">
                  <c:v>7.9673722681756418E-2</c:v>
                </c:pt>
                <c:pt idx="873">
                  <c:v>7.96737121467085E-2</c:v>
                </c:pt>
                <c:pt idx="874">
                  <c:v>7.9673701820268727E-2</c:v>
                </c:pt>
                <c:pt idx="875">
                  <c:v>7.9673691698306473E-2</c:v>
                </c:pt>
                <c:pt idx="876">
                  <c:v>7.9673681776772726E-2</c:v>
                </c:pt>
                <c:pt idx="877">
                  <c:v>7.9673672051698757E-2</c:v>
                </c:pt>
                <c:pt idx="878">
                  <c:v>7.9673662519194416E-2</c:v>
                </c:pt>
                <c:pt idx="879">
                  <c:v>7.9673653175446557E-2</c:v>
                </c:pt>
                <c:pt idx="880">
                  <c:v>7.9673644016717518E-2</c:v>
                </c:pt>
                <c:pt idx="881">
                  <c:v>7.9673635039343674E-2</c:v>
                </c:pt>
                <c:pt idx="882">
                  <c:v>7.9673626239733925E-2</c:v>
                </c:pt>
                <c:pt idx="883">
                  <c:v>7.967361761436835E-2</c:v>
                </c:pt>
                <c:pt idx="884">
                  <c:v>7.9673609159796613E-2</c:v>
                </c:pt>
                <c:pt idx="885">
                  <c:v>7.9673600872636835E-2</c:v>
                </c:pt>
                <c:pt idx="886">
                  <c:v>7.967359274957396E-2</c:v>
                </c:pt>
                <c:pt idx="887">
                  <c:v>7.9673584787358684E-2</c:v>
                </c:pt>
                <c:pt idx="888">
                  <c:v>7.9673576982805999E-2</c:v>
                </c:pt>
                <c:pt idx="889">
                  <c:v>7.9673569332794E-2</c:v>
                </c:pt>
                <c:pt idx="890">
                  <c:v>7.9673561834262469E-2</c:v>
                </c:pt>
                <c:pt idx="891">
                  <c:v>7.9673554484211984E-2</c:v>
                </c:pt>
                <c:pt idx="892">
                  <c:v>7.9673547279702411E-2</c:v>
                </c:pt>
                <c:pt idx="893">
                  <c:v>7.9673540217851752E-2</c:v>
                </c:pt>
                <c:pt idx="894">
                  <c:v>7.9673533295835319E-2</c:v>
                </c:pt>
                <c:pt idx="895">
                  <c:v>7.9673526510884052E-2</c:v>
                </c:pt>
                <c:pt idx="896">
                  <c:v>7.9673519860283981E-2</c:v>
                </c:pt>
                <c:pt idx="897">
                  <c:v>7.9673513341374694E-2</c:v>
                </c:pt>
                <c:pt idx="898">
                  <c:v>7.9673506951548595E-2</c:v>
                </c:pt>
                <c:pt idx="899">
                  <c:v>7.9673500688249632E-2</c:v>
                </c:pt>
                <c:pt idx="900">
                  <c:v>7.9673494548972379E-2</c:v>
                </c:pt>
                <c:pt idx="901">
                  <c:v>7.9673488531261091E-2</c:v>
                </c:pt>
                <c:pt idx="902">
                  <c:v>7.9673482632708542E-2</c:v>
                </c:pt>
                <c:pt idx="903">
                  <c:v>7.9673476850955216E-2</c:v>
                </c:pt>
                <c:pt idx="904">
                  <c:v>7.9673471183688407E-2</c:v>
                </c:pt>
                <c:pt idx="905">
                  <c:v>7.9673465628641055E-2</c:v>
                </c:pt>
                <c:pt idx="906">
                  <c:v>7.9673460183591088E-2</c:v>
                </c:pt>
                <c:pt idx="907">
                  <c:v>7.9673454846360445E-2</c:v>
                </c:pt>
                <c:pt idx="908">
                  <c:v>7.9673449614814068E-2</c:v>
                </c:pt>
                <c:pt idx="909">
                  <c:v>7.9673444486859382E-2</c:v>
                </c:pt>
                <c:pt idx="910">
                  <c:v>7.9673439460445042E-2</c:v>
                </c:pt>
                <c:pt idx="911">
                  <c:v>7.9673434533560392E-2</c:v>
                </c:pt>
                <c:pt idx="912">
                  <c:v>7.9673429704234702E-2</c:v>
                </c:pt>
                <c:pt idx="913">
                  <c:v>7.9673424970536158E-2</c:v>
                </c:pt>
                <c:pt idx="914">
                  <c:v>7.9673420330571121E-2</c:v>
                </c:pt>
                <c:pt idx="915">
                  <c:v>7.9673415782483659E-2</c:v>
                </c:pt>
                <c:pt idx="916">
                  <c:v>7.967341132445438E-2</c:v>
                </c:pt>
                <c:pt idx="917">
                  <c:v>7.9673406954700085E-2</c:v>
                </c:pt>
                <c:pt idx="918">
                  <c:v>7.9673402671472701E-2</c:v>
                </c:pt>
                <c:pt idx="919">
                  <c:v>7.9673398473058987E-2</c:v>
                </c:pt>
                <c:pt idx="920">
                  <c:v>7.9673394357779467E-2</c:v>
                </c:pt>
                <c:pt idx="921">
                  <c:v>7.9673390323988028E-2</c:v>
                </c:pt>
                <c:pt idx="922">
                  <c:v>7.9673386370070973E-2</c:v>
                </c:pt>
                <c:pt idx="923">
                  <c:v>7.9673382494446818E-2</c:v>
                </c:pt>
                <c:pt idx="924">
                  <c:v>7.9673378695565206E-2</c:v>
                </c:pt>
                <c:pt idx="925">
                  <c:v>7.9673374971906533E-2</c:v>
                </c:pt>
                <c:pt idx="926">
                  <c:v>7.9673371321981254E-2</c:v>
                </c:pt>
                <c:pt idx="927">
                  <c:v>7.9673367744329357E-2</c:v>
                </c:pt>
                <c:pt idx="928">
                  <c:v>7.9673364237519737E-2</c:v>
                </c:pt>
                <c:pt idx="929">
                  <c:v>7.9673360800149653E-2</c:v>
                </c:pt>
                <c:pt idx="930">
                  <c:v>7.9673357430844111E-2</c:v>
                </c:pt>
                <c:pt idx="931">
                  <c:v>7.9673354128255297E-2</c:v>
                </c:pt>
                <c:pt idx="932">
                  <c:v>7.9673350891062145E-2</c:v>
                </c:pt>
                <c:pt idx="933">
                  <c:v>7.9673347717969772E-2</c:v>
                </c:pt>
                <c:pt idx="934">
                  <c:v>7.9673344607708863E-2</c:v>
                </c:pt>
                <c:pt idx="935">
                  <c:v>7.9673341559035202E-2</c:v>
                </c:pt>
                <c:pt idx="936">
                  <c:v>7.9673338570729418E-2</c:v>
                </c:pt>
                <c:pt idx="937">
                  <c:v>7.9673335641596038E-2</c:v>
                </c:pt>
                <c:pt idx="938">
                  <c:v>7.9673332770463429E-2</c:v>
                </c:pt>
                <c:pt idx="939">
                  <c:v>7.9673329956183037E-2</c:v>
                </c:pt>
                <c:pt idx="940">
                  <c:v>7.9673327197629221E-2</c:v>
                </c:pt>
                <c:pt idx="941">
                  <c:v>7.967332449369835E-2</c:v>
                </c:pt>
                <c:pt idx="942">
                  <c:v>7.9673321843309025E-2</c:v>
                </c:pt>
                <c:pt idx="943">
                  <c:v>7.9673319245400873E-2</c:v>
                </c:pt>
                <c:pt idx="944">
                  <c:v>7.9673316698934779E-2</c:v>
                </c:pt>
                <c:pt idx="945">
                  <c:v>7.9673314202892129E-2</c:v>
                </c:pt>
                <c:pt idx="946">
                  <c:v>7.9673311756274429E-2</c:v>
                </c:pt>
                <c:pt idx="947">
                  <c:v>7.9673309358103059E-2</c:v>
                </c:pt>
                <c:pt idx="948">
                  <c:v>7.9673307007418606E-2</c:v>
                </c:pt>
                <c:pt idx="949">
                  <c:v>7.967330470328092E-2</c:v>
                </c:pt>
                <c:pt idx="950">
                  <c:v>7.9673302444768168E-2</c:v>
                </c:pt>
                <c:pt idx="951">
                  <c:v>7.967330023097699E-2</c:v>
                </c:pt>
                <c:pt idx="952">
                  <c:v>7.9673298061021858E-2</c:v>
                </c:pt>
                <c:pt idx="953">
                  <c:v>7.9673295934034688E-2</c:v>
                </c:pt>
                <c:pt idx="954">
                  <c:v>7.9673293849164717E-2</c:v>
                </c:pt>
                <c:pt idx="955">
                  <c:v>7.9673291805577959E-2</c:v>
                </c:pt>
                <c:pt idx="956">
                  <c:v>7.9673289802456915E-2</c:v>
                </c:pt>
                <c:pt idx="957">
                  <c:v>7.9673287839000365E-2</c:v>
                </c:pt>
                <c:pt idx="958">
                  <c:v>7.9673285914422826E-2</c:v>
                </c:pt>
                <c:pt idx="959">
                  <c:v>7.9673284027954525E-2</c:v>
                </c:pt>
                <c:pt idx="960">
                  <c:v>7.9673282178840787E-2</c:v>
                </c:pt>
                <c:pt idx="961">
                  <c:v>7.9673280366342025E-2</c:v>
                </c:pt>
                <c:pt idx="962">
                  <c:v>7.9673278589733068E-2</c:v>
                </c:pt>
                <c:pt idx="963">
                  <c:v>7.9673276848303359E-2</c:v>
                </c:pt>
                <c:pt idx="964">
                  <c:v>7.9673275141356317E-2</c:v>
                </c:pt>
                <c:pt idx="965">
                  <c:v>7.9673273468209072E-2</c:v>
                </c:pt>
                <c:pt idx="966">
                  <c:v>7.9673271828192324E-2</c:v>
                </c:pt>
                <c:pt idx="967">
                  <c:v>7.9673270220650141E-2</c:v>
                </c:pt>
                <c:pt idx="968">
                  <c:v>7.9673268644939427E-2</c:v>
                </c:pt>
                <c:pt idx="969">
                  <c:v>7.9673267100429837E-2</c:v>
                </c:pt>
                <c:pt idx="970">
                  <c:v>7.967326558650363E-2</c:v>
                </c:pt>
                <c:pt idx="971">
                  <c:v>7.9673264102555194E-2</c:v>
                </c:pt>
                <c:pt idx="972">
                  <c:v>7.967326264799092E-2</c:v>
                </c:pt>
                <c:pt idx="973">
                  <c:v>7.9673261222228911E-2</c:v>
                </c:pt>
                <c:pt idx="974">
                  <c:v>7.9673259824698903E-2</c:v>
                </c:pt>
                <c:pt idx="975">
                  <c:v>7.9673258454841855E-2</c:v>
                </c:pt>
                <c:pt idx="976">
                  <c:v>7.9673257112109763E-2</c:v>
                </c:pt>
                <c:pt idx="977">
                  <c:v>7.9673255795965597E-2</c:v>
                </c:pt>
                <c:pt idx="978">
                  <c:v>7.9673254505882821E-2</c:v>
                </c:pt>
                <c:pt idx="979">
                  <c:v>7.967325324134536E-2</c:v>
                </c:pt>
                <c:pt idx="980">
                  <c:v>7.967325200184748E-2</c:v>
                </c:pt>
                <c:pt idx="981">
                  <c:v>7.9673250786893302E-2</c:v>
                </c:pt>
                <c:pt idx="982">
                  <c:v>7.9673249595996809E-2</c:v>
                </c:pt>
                <c:pt idx="983">
                  <c:v>7.9673248428681648E-2</c:v>
                </c:pt>
                <c:pt idx="984">
                  <c:v>7.9673247284480914E-2</c:v>
                </c:pt>
                <c:pt idx="985">
                  <c:v>7.967324616293682E-2</c:v>
                </c:pt>
                <c:pt idx="986">
                  <c:v>7.9673245063600878E-2</c:v>
                </c:pt>
                <c:pt idx="987">
                  <c:v>7.9673243986033176E-2</c:v>
                </c:pt>
                <c:pt idx="988">
                  <c:v>7.9673242929802768E-2</c:v>
                </c:pt>
                <c:pt idx="989">
                  <c:v>7.9673241894487101E-2</c:v>
                </c:pt>
                <c:pt idx="990">
                  <c:v>7.9673240879672091E-2</c:v>
                </c:pt>
                <c:pt idx="991">
                  <c:v>7.9673239884951744E-2</c:v>
                </c:pt>
                <c:pt idx="992">
                  <c:v>7.9673238909928223E-2</c:v>
                </c:pt>
                <c:pt idx="993">
                  <c:v>7.9673237954211426E-2</c:v>
                </c:pt>
                <c:pt idx="994">
                  <c:v>7.9673237017419088E-2</c:v>
                </c:pt>
                <c:pt idx="995">
                  <c:v>7.9673236099176509E-2</c:v>
                </c:pt>
                <c:pt idx="996">
                  <c:v>7.967323519911633E-2</c:v>
                </c:pt>
                <c:pt idx="997">
                  <c:v>7.9673234316878547E-2</c:v>
                </c:pt>
                <c:pt idx="998">
                  <c:v>7.9673233452110262E-2</c:v>
                </c:pt>
                <c:pt idx="999">
                  <c:v>7.9673232604465516E-2</c:v>
                </c:pt>
                <c:pt idx="1000">
                  <c:v>7.9673231773605288E-2</c:v>
                </c:pt>
                <c:pt idx="1001">
                  <c:v>7.967323095919715E-2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35-4638-8B52-8C4BB1405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793920"/>
        <c:axId val="137795456"/>
      </c:scatterChart>
      <c:valAx>
        <c:axId val="137793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7795456"/>
        <c:crosses val="autoZero"/>
        <c:crossBetween val="midCat"/>
      </c:valAx>
      <c:valAx>
        <c:axId val="137795456"/>
        <c:scaling>
          <c:orientation val="minMax"/>
          <c:max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7939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8"/>
  <sheetViews>
    <sheetView zoomScale="10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45071" cy="629557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14286</xdr:colOff>
      <xdr:row>6</xdr:row>
      <xdr:rowOff>42861</xdr:rowOff>
    </xdr:from>
    <xdr:to>
      <xdr:col>11</xdr:col>
      <xdr:colOff>523874</xdr:colOff>
      <xdr:row>22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200024</xdr:colOff>
      <xdr:row>2</xdr:row>
      <xdr:rowOff>57149</xdr:rowOff>
    </xdr:from>
    <xdr:to>
      <xdr:col>14</xdr:col>
      <xdr:colOff>457199</xdr:colOff>
      <xdr:row>25</xdr:row>
      <xdr:rowOff>28574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2"/>
  <sheetViews>
    <sheetView workbookViewId="0"/>
  </sheetViews>
  <sheetFormatPr defaultRowHeight="14.4" x14ac:dyDescent="0.3"/>
  <sheetData>
    <row r="1" spans="1:4" x14ac:dyDescent="0.3">
      <c r="A1" t="s">
        <v>52</v>
      </c>
      <c r="B1" t="s">
        <v>53</v>
      </c>
      <c r="C1" t="s">
        <v>54</v>
      </c>
      <c r="D1" t="s">
        <v>55</v>
      </c>
    </row>
    <row r="2" spans="1:4" x14ac:dyDescent="0.3">
      <c r="A2">
        <v>0</v>
      </c>
      <c r="D2">
        <v>1</v>
      </c>
    </row>
    <row r="3" spans="1:4" x14ac:dyDescent="0.3">
      <c r="A3">
        <f>A2+12</f>
        <v>12</v>
      </c>
      <c r="B3">
        <v>0.1</v>
      </c>
      <c r="C3">
        <f>1-B3</f>
        <v>0.9</v>
      </c>
      <c r="D3">
        <f>D2*C3</f>
        <v>0.9</v>
      </c>
    </row>
    <row r="4" spans="1:4" x14ac:dyDescent="0.3">
      <c r="A4">
        <f t="shared" ref="A4:A11" si="0">A3+12</f>
        <v>24</v>
      </c>
      <c r="B4">
        <v>0.1</v>
      </c>
      <c r="C4">
        <f t="shared" ref="C4:C12" si="1">1-B4</f>
        <v>0.9</v>
      </c>
      <c r="D4">
        <f t="shared" ref="D4:D12" si="2">D3*C4</f>
        <v>0.81</v>
      </c>
    </row>
    <row r="5" spans="1:4" x14ac:dyDescent="0.3">
      <c r="A5">
        <f t="shared" si="0"/>
        <v>36</v>
      </c>
      <c r="B5">
        <v>0.2</v>
      </c>
      <c r="C5">
        <f t="shared" si="1"/>
        <v>0.8</v>
      </c>
      <c r="D5">
        <f t="shared" si="2"/>
        <v>0.64800000000000013</v>
      </c>
    </row>
    <row r="6" spans="1:4" x14ac:dyDescent="0.3">
      <c r="A6">
        <f t="shared" si="0"/>
        <v>48</v>
      </c>
      <c r="B6">
        <v>0.4</v>
      </c>
      <c r="C6">
        <f t="shared" si="1"/>
        <v>0.6</v>
      </c>
      <c r="D6">
        <f t="shared" si="2"/>
        <v>0.38880000000000009</v>
      </c>
    </row>
    <row r="7" spans="1:4" x14ac:dyDescent="0.3">
      <c r="A7">
        <f t="shared" si="0"/>
        <v>60</v>
      </c>
      <c r="B7">
        <v>0.5</v>
      </c>
      <c r="C7">
        <f t="shared" si="1"/>
        <v>0.5</v>
      </c>
      <c r="D7">
        <f t="shared" si="2"/>
        <v>0.19440000000000004</v>
      </c>
    </row>
    <row r="8" spans="1:4" x14ac:dyDescent="0.3">
      <c r="A8">
        <f t="shared" si="0"/>
        <v>72</v>
      </c>
      <c r="B8">
        <v>0.8</v>
      </c>
      <c r="C8">
        <f t="shared" si="1"/>
        <v>0.19999999999999996</v>
      </c>
      <c r="D8">
        <f t="shared" si="2"/>
        <v>3.8879999999999998E-2</v>
      </c>
    </row>
    <row r="9" spans="1:4" x14ac:dyDescent="0.3">
      <c r="A9">
        <f t="shared" si="0"/>
        <v>84</v>
      </c>
      <c r="B9">
        <v>0.8</v>
      </c>
      <c r="C9">
        <f t="shared" si="1"/>
        <v>0.19999999999999996</v>
      </c>
      <c r="D9">
        <f t="shared" si="2"/>
        <v>7.7759999999999982E-3</v>
      </c>
    </row>
    <row r="10" spans="1:4" x14ac:dyDescent="0.3">
      <c r="A10">
        <f t="shared" si="0"/>
        <v>96</v>
      </c>
      <c r="B10">
        <v>0.8</v>
      </c>
      <c r="C10">
        <f t="shared" si="1"/>
        <v>0.19999999999999996</v>
      </c>
      <c r="D10">
        <f t="shared" si="2"/>
        <v>1.5551999999999992E-3</v>
      </c>
    </row>
    <row r="11" spans="1:4" x14ac:dyDescent="0.3">
      <c r="A11">
        <f t="shared" si="0"/>
        <v>108</v>
      </c>
      <c r="B11">
        <v>0.8</v>
      </c>
      <c r="C11">
        <f t="shared" si="1"/>
        <v>0.19999999999999996</v>
      </c>
      <c r="D11">
        <f t="shared" si="2"/>
        <v>3.1103999999999979E-4</v>
      </c>
    </row>
    <row r="12" spans="1:4" x14ac:dyDescent="0.3">
      <c r="A12">
        <v>120</v>
      </c>
      <c r="B12">
        <v>0.8</v>
      </c>
      <c r="C12">
        <f t="shared" si="1"/>
        <v>0.19999999999999996</v>
      </c>
      <c r="D12">
        <f t="shared" si="2"/>
        <v>6.2207999999999944E-5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2"/>
  <sheetViews>
    <sheetView tabSelected="1" workbookViewId="0">
      <selection activeCell="C8" sqref="C8"/>
    </sheetView>
  </sheetViews>
  <sheetFormatPr defaultColWidth="8.88671875" defaultRowHeight="14.4" x14ac:dyDescent="0.3"/>
  <cols>
    <col min="2" max="2" width="24.44140625" customWidth="1"/>
    <col min="3" max="3" width="14" customWidth="1"/>
    <col min="4" max="4" width="15.109375" customWidth="1"/>
    <col min="5" max="5" width="18.109375" customWidth="1"/>
    <col min="6" max="6" width="15.109375" customWidth="1"/>
    <col min="7" max="7" width="13.6640625" customWidth="1"/>
    <col min="8" max="8" width="19.109375" customWidth="1"/>
    <col min="9" max="9" width="11.6640625" customWidth="1"/>
    <col min="11" max="11" width="45.33203125" customWidth="1"/>
  </cols>
  <sheetData>
    <row r="1" spans="1:12" x14ac:dyDescent="0.3">
      <c r="A1" s="2" t="s">
        <v>39</v>
      </c>
      <c r="K1" s="15" t="s">
        <v>42</v>
      </c>
      <c r="L1">
        <f>(F3^(-1/F4))*EXP(GAMMALN(1+(1/F4)))</f>
        <v>43.414919484893623</v>
      </c>
    </row>
    <row r="2" spans="1:12" x14ac:dyDescent="0.3">
      <c r="B2" s="2"/>
      <c r="C2" s="5" t="s">
        <v>36</v>
      </c>
      <c r="D2" s="5" t="s">
        <v>37</v>
      </c>
      <c r="E2" s="5" t="s">
        <v>15</v>
      </c>
      <c r="F2" s="5" t="s">
        <v>50</v>
      </c>
      <c r="H2" s="15" t="s">
        <v>8</v>
      </c>
      <c r="I2">
        <f>SUM(G8:G27)</f>
        <v>9.7213435449544829E-3</v>
      </c>
    </row>
    <row r="3" spans="1:12" x14ac:dyDescent="0.3">
      <c r="B3" t="s">
        <v>9</v>
      </c>
      <c r="C3" s="3">
        <v>0.01</v>
      </c>
      <c r="D3" s="3">
        <v>8.5000000000000006E-2</v>
      </c>
      <c r="E3" s="4">
        <v>1.8267118314784341E-4</v>
      </c>
      <c r="F3">
        <v>1.8267118314784341E-4</v>
      </c>
      <c r="H3" s="15" t="s">
        <v>41</v>
      </c>
      <c r="I3">
        <v>9.7213435449544829E-3</v>
      </c>
    </row>
    <row r="4" spans="1:12" x14ac:dyDescent="0.3">
      <c r="B4" t="s">
        <v>10</v>
      </c>
      <c r="C4" s="3">
        <v>0.01</v>
      </c>
      <c r="D4" s="3">
        <v>1</v>
      </c>
      <c r="E4" s="4">
        <v>2.2115310119567884</v>
      </c>
      <c r="F4">
        <v>2.2115310119567884</v>
      </c>
      <c r="H4" s="15" t="s">
        <v>16</v>
      </c>
      <c r="I4">
        <v>1582</v>
      </c>
    </row>
    <row r="5" spans="1:12" x14ac:dyDescent="0.3">
      <c r="B5" t="s">
        <v>38</v>
      </c>
      <c r="C5" s="13">
        <f>EXP(-1*C3*(12^C4))</f>
        <v>0.98980076480523882</v>
      </c>
      <c r="D5" s="13">
        <f>EXP(-1*D3*(12^D4))</f>
        <v>0.3605949401730783</v>
      </c>
      <c r="E5" s="17"/>
    </row>
    <row r="6" spans="1:12" x14ac:dyDescent="0.3">
      <c r="B6" t="s">
        <v>47</v>
      </c>
      <c r="C6" s="13">
        <f>EXP(-1*C3*(120^C4))</f>
        <v>0.98956443797575333</v>
      </c>
      <c r="D6" s="13">
        <f>EXP(-1*D3*(120^D4))</f>
        <v>3.7170318684126666E-5</v>
      </c>
      <c r="E6" s="17"/>
    </row>
    <row r="7" spans="1:12" x14ac:dyDescent="0.3">
      <c r="A7" s="2" t="s">
        <v>11</v>
      </c>
      <c r="B7" s="2" t="s">
        <v>35</v>
      </c>
      <c r="C7" s="2" t="s">
        <v>5</v>
      </c>
      <c r="D7" s="2" t="s">
        <v>12</v>
      </c>
      <c r="E7" s="2" t="s">
        <v>13</v>
      </c>
      <c r="F7" s="15" t="s">
        <v>6</v>
      </c>
      <c r="G7" s="15" t="s">
        <v>7</v>
      </c>
      <c r="H7" s="15" t="s">
        <v>51</v>
      </c>
    </row>
    <row r="8" spans="1:12" x14ac:dyDescent="0.3">
      <c r="A8" s="3">
        <v>1</v>
      </c>
      <c r="B8" s="6">
        <v>0</v>
      </c>
      <c r="C8" s="19">
        <v>1</v>
      </c>
      <c r="D8" s="7">
        <f>IF(ISBLANK(B8)=FALSE,$E$3,"")</f>
        <v>1.8267118314784341E-4</v>
      </c>
      <c r="E8" s="7">
        <f>IF(ISBLANK(B8)=FALSE,$E$4,"")</f>
        <v>2.2115310119567884</v>
      </c>
      <c r="F8" s="3">
        <f>IF(ISBLANK(B8)=FALSE,EXP(-1*D8*(B8^E8)),"")</f>
        <v>1</v>
      </c>
      <c r="G8" s="3">
        <f>IF(AND(ISBLANK(B8)=FALSE,ISBLANK(F8)=FALSE),(C8-F8)^2,"")</f>
        <v>0</v>
      </c>
      <c r="H8" s="3">
        <f>EXP(-1*$F$3*(B8^$F$4))</f>
        <v>1</v>
      </c>
      <c r="I8" s="3"/>
      <c r="J8" s="3"/>
      <c r="K8" s="16"/>
    </row>
    <row r="9" spans="1:12" x14ac:dyDescent="0.3">
      <c r="A9" s="3">
        <v>2</v>
      </c>
      <c r="B9" s="6">
        <v>12</v>
      </c>
      <c r="C9" s="19">
        <v>0.9</v>
      </c>
      <c r="D9" s="7">
        <f t="shared" ref="D9:D27" si="0">IF(ISBLANK(B9)=FALSE,$E$3,"")</f>
        <v>1.8267118314784341E-4</v>
      </c>
      <c r="E9" s="7">
        <f t="shared" ref="E9:E27" si="1">IF(ISBLANK(B9)=FALSE,$E$4,"")</f>
        <v>2.2115310119567884</v>
      </c>
      <c r="F9" s="3">
        <f t="shared" ref="F9:F27" si="2">IF(ISBLANK(B9)=FALSE,EXP(-1*D9*(B9^E9)),"")</f>
        <v>0.9564802233665386</v>
      </c>
      <c r="G9" s="3">
        <f t="shared" ref="G9:G27" si="3">IF(AND(ISBLANK(B9)=FALSE,ISBLANK(F9)=FALSE),(C9-F9)^2,"")</f>
        <v>3.1900156315340898E-3</v>
      </c>
      <c r="H9" s="3">
        <f t="shared" ref="H9:H18" si="4">EXP(-1*$F$3*(B9^$F$4))</f>
        <v>0.9564802233665386</v>
      </c>
      <c r="I9" s="3"/>
      <c r="J9" s="3"/>
      <c r="K9" s="3"/>
    </row>
    <row r="10" spans="1:12" x14ac:dyDescent="0.3">
      <c r="A10" s="3">
        <v>3</v>
      </c>
      <c r="B10" s="6">
        <v>24</v>
      </c>
      <c r="C10" s="19">
        <v>0.81</v>
      </c>
      <c r="D10" s="7">
        <f t="shared" si="0"/>
        <v>1.8267118314784341E-4</v>
      </c>
      <c r="E10" s="7">
        <f t="shared" si="1"/>
        <v>2.2115310119567884</v>
      </c>
      <c r="F10" s="3">
        <f t="shared" si="2"/>
        <v>0.81376250429932695</v>
      </c>
      <c r="G10" s="3">
        <f t="shared" si="3"/>
        <v>1.4156438602453379E-5</v>
      </c>
      <c r="H10" s="3">
        <f t="shared" si="4"/>
        <v>0.81376250429932695</v>
      </c>
      <c r="I10" s="3"/>
      <c r="J10" s="3"/>
      <c r="K10" s="3"/>
    </row>
    <row r="11" spans="1:12" x14ac:dyDescent="0.3">
      <c r="A11" s="3">
        <v>4</v>
      </c>
      <c r="B11" s="6">
        <v>36</v>
      </c>
      <c r="C11" s="19">
        <v>0.64800000000000013</v>
      </c>
      <c r="D11" s="7">
        <f t="shared" si="0"/>
        <v>1.8267118314784341E-4</v>
      </c>
      <c r="E11" s="7">
        <f t="shared" si="1"/>
        <v>2.2115310119567884</v>
      </c>
      <c r="F11" s="3">
        <f t="shared" si="2"/>
        <v>0.60337229125185943</v>
      </c>
      <c r="G11" s="3">
        <f t="shared" si="3"/>
        <v>1.9916323881088742E-3</v>
      </c>
      <c r="H11" s="3">
        <f t="shared" si="4"/>
        <v>0.60337229125185943</v>
      </c>
      <c r="I11" s="3"/>
      <c r="J11" s="3"/>
      <c r="K11" s="3"/>
    </row>
    <row r="12" spans="1:12" x14ac:dyDescent="0.3">
      <c r="A12" s="3">
        <v>5</v>
      </c>
      <c r="B12" s="6">
        <v>48</v>
      </c>
      <c r="C12" s="19">
        <v>0.38880000000000009</v>
      </c>
      <c r="D12" s="7">
        <f t="shared" si="0"/>
        <v>1.8267118314784341E-4</v>
      </c>
      <c r="E12" s="7">
        <f t="shared" si="1"/>
        <v>2.2115310119567884</v>
      </c>
      <c r="F12" s="3">
        <f t="shared" si="2"/>
        <v>0.38499508440928448</v>
      </c>
      <c r="G12" s="3">
        <f t="shared" si="3"/>
        <v>1.4477382652470699E-5</v>
      </c>
      <c r="H12" s="3">
        <f t="shared" si="4"/>
        <v>0.38499508440928448</v>
      </c>
      <c r="I12" s="3"/>
      <c r="J12" s="3"/>
      <c r="K12" s="3"/>
    </row>
    <row r="13" spans="1:12" x14ac:dyDescent="0.3">
      <c r="A13" s="3">
        <v>6</v>
      </c>
      <c r="B13" s="6">
        <v>60</v>
      </c>
      <c r="C13" s="19">
        <v>0.19440000000000004</v>
      </c>
      <c r="D13" s="7">
        <f t="shared" si="0"/>
        <v>1.8267118314784341E-4</v>
      </c>
      <c r="E13" s="7">
        <f t="shared" si="1"/>
        <v>2.2115310119567884</v>
      </c>
      <c r="F13" s="3">
        <f t="shared" si="2"/>
        <v>0.2093952538861503</v>
      </c>
      <c r="G13" s="3">
        <f t="shared" si="3"/>
        <v>2.2485763911010419E-4</v>
      </c>
      <c r="H13" s="3">
        <f t="shared" si="4"/>
        <v>0.2093952538861503</v>
      </c>
      <c r="I13" s="3"/>
      <c r="J13" s="3"/>
      <c r="K13" s="3"/>
    </row>
    <row r="14" spans="1:12" x14ac:dyDescent="0.3">
      <c r="A14" s="3">
        <v>7</v>
      </c>
      <c r="B14" s="6">
        <v>72</v>
      </c>
      <c r="C14" s="19">
        <v>3.8879999999999998E-2</v>
      </c>
      <c r="D14" s="7">
        <f t="shared" si="0"/>
        <v>1.8267118314784341E-4</v>
      </c>
      <c r="E14" s="7">
        <f t="shared" si="1"/>
        <v>2.2115310119567884</v>
      </c>
      <c r="F14" s="3">
        <f t="shared" si="2"/>
        <v>9.6326288976090066E-2</v>
      </c>
      <c r="G14" s="3">
        <f t="shared" si="3"/>
        <v>3.3000761171244472E-3</v>
      </c>
      <c r="H14" s="3">
        <f t="shared" si="4"/>
        <v>9.6326288976090066E-2</v>
      </c>
      <c r="I14" s="3"/>
      <c r="J14" s="3"/>
      <c r="K14" s="3"/>
    </row>
    <row r="15" spans="1:12" x14ac:dyDescent="0.3">
      <c r="A15" s="3">
        <v>8</v>
      </c>
      <c r="B15" s="6">
        <v>84</v>
      </c>
      <c r="C15" s="19">
        <v>7.7759999999999982E-3</v>
      </c>
      <c r="D15" s="7">
        <f t="shared" si="0"/>
        <v>1.8267118314784341E-4</v>
      </c>
      <c r="E15" s="7">
        <f t="shared" si="1"/>
        <v>2.2115310119567884</v>
      </c>
      <c r="F15" s="3">
        <f t="shared" si="2"/>
        <v>3.7231993206827477E-2</v>
      </c>
      <c r="G15" s="3">
        <f t="shared" si="3"/>
        <v>8.6765553580066658E-4</v>
      </c>
      <c r="H15" s="3">
        <f t="shared" si="4"/>
        <v>3.7231993206827477E-2</v>
      </c>
      <c r="I15" s="3"/>
      <c r="J15" s="3"/>
      <c r="K15" s="3"/>
    </row>
    <row r="16" spans="1:12" x14ac:dyDescent="0.3">
      <c r="A16" s="3">
        <v>9</v>
      </c>
      <c r="B16" s="6">
        <v>96</v>
      </c>
      <c r="C16" s="19">
        <v>1.5551999999999992E-3</v>
      </c>
      <c r="D16" s="7">
        <f t="shared" si="0"/>
        <v>1.8267118314784341E-4</v>
      </c>
      <c r="E16" s="7">
        <f t="shared" si="1"/>
        <v>2.2115310119567884</v>
      </c>
      <c r="F16" s="3">
        <f t="shared" si="2"/>
        <v>1.2021735012325318E-2</v>
      </c>
      <c r="G16" s="3">
        <f t="shared" si="3"/>
        <v>1.0954835516423175E-4</v>
      </c>
      <c r="H16" s="3">
        <f t="shared" si="4"/>
        <v>1.2021735012325318E-2</v>
      </c>
      <c r="I16" s="3"/>
      <c r="J16" s="3"/>
      <c r="K16" s="3"/>
    </row>
    <row r="17" spans="1:11" x14ac:dyDescent="0.3">
      <c r="A17" s="3">
        <v>10</v>
      </c>
      <c r="B17" s="6">
        <v>108</v>
      </c>
      <c r="C17" s="19">
        <v>3.1103999999999979E-4</v>
      </c>
      <c r="D17" s="7">
        <f t="shared" si="0"/>
        <v>1.8267118314784341E-4</v>
      </c>
      <c r="E17" s="7">
        <f t="shared" si="1"/>
        <v>2.2115310119567884</v>
      </c>
      <c r="F17" s="3">
        <f t="shared" si="2"/>
        <v>3.2259229452515346E-3</v>
      </c>
      <c r="G17" s="3">
        <f t="shared" si="3"/>
        <v>8.4965425845182624E-6</v>
      </c>
      <c r="H17" s="3">
        <f t="shared" si="4"/>
        <v>3.2259229452515346E-3</v>
      </c>
      <c r="I17" s="3"/>
      <c r="J17" s="3"/>
      <c r="K17" s="3"/>
    </row>
    <row r="18" spans="1:11" x14ac:dyDescent="0.3">
      <c r="A18" s="3">
        <v>11</v>
      </c>
      <c r="B18" s="6">
        <v>120</v>
      </c>
      <c r="C18" s="19">
        <v>6.2207999999999944E-5</v>
      </c>
      <c r="D18" s="7">
        <f t="shared" si="0"/>
        <v>1.8267118314784341E-4</v>
      </c>
      <c r="E18" s="7">
        <f t="shared" si="1"/>
        <v>2.2115310119567884</v>
      </c>
      <c r="F18" s="3">
        <f t="shared" si="2"/>
        <v>7.1605375599010181E-4</v>
      </c>
      <c r="G18" s="3">
        <f t="shared" si="3"/>
        <v>4.2751427262626787E-7</v>
      </c>
      <c r="H18" s="3">
        <f t="shared" si="4"/>
        <v>7.1605375599010181E-4</v>
      </c>
      <c r="I18" s="3"/>
      <c r="J18" s="3"/>
      <c r="K18" s="3"/>
    </row>
    <row r="19" spans="1:11" x14ac:dyDescent="0.3">
      <c r="A19" s="3">
        <v>12</v>
      </c>
      <c r="B19" s="6"/>
      <c r="C19" s="6"/>
      <c r="D19" s="7" t="str">
        <f t="shared" si="0"/>
        <v/>
      </c>
      <c r="E19" s="7" t="str">
        <f t="shared" si="1"/>
        <v/>
      </c>
      <c r="F19" s="3" t="str">
        <f t="shared" si="2"/>
        <v/>
      </c>
      <c r="G19" s="3" t="str">
        <f t="shared" si="3"/>
        <v/>
      </c>
      <c r="H19" s="3"/>
      <c r="I19" s="3"/>
      <c r="J19" s="3"/>
      <c r="K19" s="3"/>
    </row>
    <row r="20" spans="1:11" x14ac:dyDescent="0.3">
      <c r="A20" s="3">
        <v>13</v>
      </c>
      <c r="B20" s="6"/>
      <c r="C20" s="6"/>
      <c r="D20" s="7" t="str">
        <f t="shared" si="0"/>
        <v/>
      </c>
      <c r="E20" s="7" t="str">
        <f t="shared" si="1"/>
        <v/>
      </c>
      <c r="F20" s="3" t="str">
        <f t="shared" si="2"/>
        <v/>
      </c>
      <c r="G20" s="3" t="str">
        <f t="shared" si="3"/>
        <v/>
      </c>
      <c r="H20" s="3"/>
      <c r="I20" s="3"/>
      <c r="J20" s="3"/>
      <c r="K20" s="3"/>
    </row>
    <row r="21" spans="1:11" x14ac:dyDescent="0.3">
      <c r="A21" s="3">
        <v>14</v>
      </c>
      <c r="B21" s="6"/>
      <c r="C21" s="6"/>
      <c r="D21" s="7" t="str">
        <f t="shared" si="0"/>
        <v/>
      </c>
      <c r="E21" s="7" t="str">
        <f t="shared" si="1"/>
        <v/>
      </c>
      <c r="F21" s="3" t="str">
        <f t="shared" si="2"/>
        <v/>
      </c>
      <c r="G21" s="3" t="str">
        <f t="shared" si="3"/>
        <v/>
      </c>
      <c r="H21" s="3"/>
      <c r="I21" s="3"/>
      <c r="J21" s="3"/>
      <c r="K21" s="3"/>
    </row>
    <row r="22" spans="1:11" x14ac:dyDescent="0.3">
      <c r="A22" s="3">
        <v>15</v>
      </c>
      <c r="B22" s="6"/>
      <c r="C22" s="6"/>
      <c r="D22" s="7" t="str">
        <f t="shared" si="0"/>
        <v/>
      </c>
      <c r="E22" s="4"/>
      <c r="F22" s="3" t="str">
        <f t="shared" si="2"/>
        <v/>
      </c>
      <c r="G22" s="3" t="str">
        <f t="shared" si="3"/>
        <v/>
      </c>
      <c r="H22" s="3"/>
      <c r="I22" s="3"/>
      <c r="J22" s="3"/>
      <c r="K22" s="3"/>
    </row>
    <row r="23" spans="1:11" x14ac:dyDescent="0.3">
      <c r="A23" s="3">
        <v>16</v>
      </c>
      <c r="B23" s="6"/>
      <c r="C23" s="6"/>
      <c r="D23" s="7" t="str">
        <f t="shared" si="0"/>
        <v/>
      </c>
      <c r="E23" s="4"/>
      <c r="F23" s="3" t="str">
        <f t="shared" si="2"/>
        <v/>
      </c>
      <c r="G23" s="3" t="str">
        <f t="shared" si="3"/>
        <v/>
      </c>
      <c r="H23" s="3"/>
      <c r="I23" s="3"/>
      <c r="J23" s="3"/>
      <c r="K23" s="3"/>
    </row>
    <row r="24" spans="1:11" x14ac:dyDescent="0.3">
      <c r="A24" s="3">
        <v>17</v>
      </c>
      <c r="B24" s="6"/>
      <c r="C24" s="6"/>
      <c r="D24" s="7" t="str">
        <f t="shared" si="0"/>
        <v/>
      </c>
      <c r="E24" s="7" t="str">
        <f t="shared" si="1"/>
        <v/>
      </c>
      <c r="F24" s="3" t="str">
        <f t="shared" si="2"/>
        <v/>
      </c>
      <c r="G24" s="3"/>
      <c r="H24" s="3"/>
      <c r="I24" s="3"/>
      <c r="J24" s="3"/>
      <c r="K24" s="3"/>
    </row>
    <row r="25" spans="1:11" x14ac:dyDescent="0.3">
      <c r="A25" s="3">
        <v>18</v>
      </c>
      <c r="B25" s="6"/>
      <c r="C25" s="6"/>
      <c r="D25" s="7" t="str">
        <f t="shared" si="0"/>
        <v/>
      </c>
      <c r="E25" s="7" t="str">
        <f t="shared" si="1"/>
        <v/>
      </c>
      <c r="F25" s="3" t="str">
        <f t="shared" si="2"/>
        <v/>
      </c>
      <c r="G25" s="3" t="str">
        <f t="shared" si="3"/>
        <v/>
      </c>
      <c r="H25" s="3"/>
      <c r="I25" s="3"/>
      <c r="J25" s="3"/>
      <c r="K25" s="3"/>
    </row>
    <row r="26" spans="1:11" x14ac:dyDescent="0.3">
      <c r="A26" s="3">
        <v>19</v>
      </c>
      <c r="B26" s="6"/>
      <c r="C26" s="6"/>
      <c r="D26" s="7" t="str">
        <f t="shared" si="0"/>
        <v/>
      </c>
      <c r="E26" s="7" t="str">
        <f t="shared" si="1"/>
        <v/>
      </c>
      <c r="F26" s="3" t="str">
        <f t="shared" si="2"/>
        <v/>
      </c>
      <c r="G26" s="3" t="str">
        <f t="shared" si="3"/>
        <v/>
      </c>
      <c r="H26" s="3"/>
      <c r="I26" s="3"/>
      <c r="J26" s="3"/>
      <c r="K26" s="3"/>
    </row>
    <row r="27" spans="1:11" x14ac:dyDescent="0.3">
      <c r="A27" s="3">
        <v>20</v>
      </c>
      <c r="B27" s="6"/>
      <c r="C27" s="6"/>
      <c r="D27" s="7" t="str">
        <f t="shared" si="0"/>
        <v/>
      </c>
      <c r="E27" s="7" t="str">
        <f t="shared" si="1"/>
        <v/>
      </c>
      <c r="F27" s="3" t="str">
        <f t="shared" si="2"/>
        <v/>
      </c>
      <c r="G27" s="3" t="str">
        <f t="shared" si="3"/>
        <v/>
      </c>
      <c r="H27" s="3"/>
      <c r="I27" s="3"/>
      <c r="J27" s="3"/>
      <c r="K27" s="3"/>
    </row>
    <row r="29" spans="1:11" x14ac:dyDescent="0.3">
      <c r="B29" s="2" t="s">
        <v>34</v>
      </c>
    </row>
    <row r="31" spans="1:11" x14ac:dyDescent="0.3">
      <c r="B31" t="s">
        <v>28</v>
      </c>
    </row>
    <row r="32" spans="1:11" x14ac:dyDescent="0.3">
      <c r="B32" s="14" t="s">
        <v>40</v>
      </c>
    </row>
  </sheetData>
  <pageMargins left="0.7" right="0.7" top="0.75" bottom="0.75" header="0.3" footer="0.3"/>
  <pageSetup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7"/>
  <sheetViews>
    <sheetView workbookViewId="0">
      <selection activeCell="B17" sqref="B17"/>
    </sheetView>
  </sheetViews>
  <sheetFormatPr defaultColWidth="8.88671875" defaultRowHeight="14.4" x14ac:dyDescent="0.3"/>
  <cols>
    <col min="1" max="1" width="34.44140625" customWidth="1"/>
    <col min="2" max="2" width="12.33203125" customWidth="1"/>
  </cols>
  <sheetData>
    <row r="1" spans="1:3" x14ac:dyDescent="0.3">
      <c r="A1" s="2" t="s">
        <v>14</v>
      </c>
      <c r="B1" s="3">
        <v>10000</v>
      </c>
    </row>
    <row r="2" spans="1:3" x14ac:dyDescent="0.3">
      <c r="B2" s="3"/>
    </row>
    <row r="3" spans="1:3" x14ac:dyDescent="0.3">
      <c r="A3" s="2" t="s">
        <v>0</v>
      </c>
      <c r="B3" s="3">
        <v>0.01</v>
      </c>
    </row>
    <row r="4" spans="1:3" x14ac:dyDescent="0.3">
      <c r="A4" s="2"/>
      <c r="B4" s="3"/>
    </row>
    <row r="5" spans="1:3" x14ac:dyDescent="0.3">
      <c r="A5" s="2" t="s">
        <v>3</v>
      </c>
      <c r="B5" s="3">
        <v>2</v>
      </c>
    </row>
    <row r="6" spans="1:3" x14ac:dyDescent="0.3">
      <c r="B6" s="3"/>
    </row>
    <row r="7" spans="1:3" x14ac:dyDescent="0.3">
      <c r="A7" s="2" t="s">
        <v>1</v>
      </c>
      <c r="B7" s="3">
        <v>50</v>
      </c>
    </row>
    <row r="8" spans="1:3" x14ac:dyDescent="0.3">
      <c r="A8" s="2"/>
      <c r="B8" s="3"/>
    </row>
    <row r="9" spans="1:3" x14ac:dyDescent="0.3">
      <c r="A9" s="2" t="s">
        <v>2</v>
      </c>
      <c r="B9" s="3">
        <v>0.5</v>
      </c>
    </row>
    <row r="10" spans="1:3" x14ac:dyDescent="0.3">
      <c r="A10" s="2"/>
      <c r="B10" s="3"/>
    </row>
    <row r="11" spans="1:3" x14ac:dyDescent="0.3">
      <c r="A11" s="2" t="s">
        <v>4</v>
      </c>
      <c r="B11" s="3">
        <v>0.25</v>
      </c>
    </row>
    <row r="12" spans="1:3" x14ac:dyDescent="0.3">
      <c r="B12" s="3"/>
    </row>
    <row r="13" spans="1:3" x14ac:dyDescent="0.3">
      <c r="A13" s="2" t="s">
        <v>23</v>
      </c>
      <c r="B13" s="3" t="s">
        <v>22</v>
      </c>
    </row>
    <row r="14" spans="1:3" x14ac:dyDescent="0.3">
      <c r="B14" s="3"/>
    </row>
    <row r="15" spans="1:3" x14ac:dyDescent="0.3">
      <c r="B15" s="3"/>
      <c r="C15" s="3"/>
    </row>
    <row r="16" spans="1:3" x14ac:dyDescent="0.3">
      <c r="B16" s="3"/>
    </row>
    <row r="17" spans="2:2" x14ac:dyDescent="0.3">
      <c r="B17" s="3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Other!$A$1:$A$2</xm:f>
          </x14:formula1>
          <xm:sqref>B13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585"/>
  <sheetViews>
    <sheetView workbookViewId="0">
      <selection activeCell="B2" sqref="B2"/>
    </sheetView>
  </sheetViews>
  <sheetFormatPr defaultRowHeight="14.4" x14ac:dyDescent="0.3"/>
  <cols>
    <col min="1" max="3" width="18.88671875" customWidth="1"/>
    <col min="4" max="5" width="16.88671875" style="10" customWidth="1"/>
    <col min="7" max="7" width="15.109375" customWidth="1"/>
    <col min="11" max="11" width="13.33203125" customWidth="1"/>
  </cols>
  <sheetData>
    <row r="1" spans="1:9" x14ac:dyDescent="0.3">
      <c r="A1" s="8" t="s">
        <v>31</v>
      </c>
      <c r="B1" s="8" t="s">
        <v>32</v>
      </c>
      <c r="C1" s="8" t="s">
        <v>33</v>
      </c>
      <c r="D1" s="8" t="s">
        <v>29</v>
      </c>
      <c r="E1" s="8" t="s">
        <v>10</v>
      </c>
    </row>
    <row r="2" spans="1:9" x14ac:dyDescent="0.3">
      <c r="A2">
        <v>1.0782837634842475</v>
      </c>
      <c r="B2">
        <v>1.0738685170298601E-2</v>
      </c>
      <c r="C2">
        <v>5.4097261311781794E-6</v>
      </c>
      <c r="D2" s="10">
        <v>2.0906269234470073E-4</v>
      </c>
      <c r="E2" s="10">
        <v>2.1939765485746014</v>
      </c>
      <c r="G2" t="s">
        <v>48</v>
      </c>
      <c r="I2">
        <f>AVERAGE(D2:D101)</f>
        <v>6.091755164599359E-4</v>
      </c>
    </row>
    <row r="3" spans="1:9" x14ac:dyDescent="0.3">
      <c r="A3">
        <v>0.13262315157697019</v>
      </c>
      <c r="B3">
        <v>1.0738685170298601E-2</v>
      </c>
      <c r="C3">
        <v>0.25017800010580432</v>
      </c>
      <c r="D3" s="10">
        <v>2.0906269234470073E-4</v>
      </c>
      <c r="E3" s="10">
        <v>2.1939765485746014</v>
      </c>
      <c r="G3" t="s">
        <v>49</v>
      </c>
      <c r="I3">
        <f>AVERAGE(E2:E101)</f>
        <v>2.1131538740360045</v>
      </c>
    </row>
    <row r="4" spans="1:9" x14ac:dyDescent="0.3">
      <c r="A4">
        <v>9.711454021662877E-2</v>
      </c>
      <c r="B4">
        <v>1.0911004415164367E-2</v>
      </c>
      <c r="C4">
        <v>0.34886774130573639</v>
      </c>
      <c r="D4" s="10">
        <v>2.3122567922891996E-4</v>
      </c>
      <c r="E4" s="10">
        <v>2.1513950943097613</v>
      </c>
    </row>
    <row r="5" spans="1:9" x14ac:dyDescent="0.3">
      <c r="A5">
        <v>0.20259642472940703</v>
      </c>
      <c r="B5">
        <v>1.1215199151601461E-2</v>
      </c>
      <c r="C5">
        <v>0.11724732032068759</v>
      </c>
      <c r="D5" s="10">
        <v>2.5743870041554503E-4</v>
      </c>
      <c r="E5" s="10">
        <v>2.1301446905057588</v>
      </c>
    </row>
    <row r="6" spans="1:9" x14ac:dyDescent="0.3">
      <c r="A6">
        <v>0.26819039835099323</v>
      </c>
      <c r="B6">
        <v>1.1215199151601461E-2</v>
      </c>
      <c r="C6">
        <v>5.6124769915258908E-2</v>
      </c>
      <c r="D6" s="10">
        <v>2.5743870041554503E-4</v>
      </c>
      <c r="E6" s="10">
        <v>2.1301446905057588</v>
      </c>
    </row>
    <row r="7" spans="1:9" x14ac:dyDescent="0.3">
      <c r="A7">
        <v>0.43493583521209306</v>
      </c>
      <c r="B7">
        <v>1.1215199151601461E-2</v>
      </c>
      <c r="C7">
        <v>8.6305188524469761E-3</v>
      </c>
      <c r="D7" s="10">
        <v>2.5743870041554503E-4</v>
      </c>
      <c r="E7" s="10">
        <v>2.1301446905057588</v>
      </c>
    </row>
    <row r="8" spans="1:9" x14ac:dyDescent="0.3">
      <c r="A8">
        <v>5.2682534020922475E-2</v>
      </c>
      <c r="B8">
        <v>1.1215199151601461E-2</v>
      </c>
      <c r="C8">
        <v>0.62786546288266376</v>
      </c>
      <c r="D8" s="10">
        <v>2.5743870041554503E-4</v>
      </c>
      <c r="E8" s="10">
        <v>2.1301446905057588</v>
      </c>
    </row>
    <row r="9" spans="1:9" x14ac:dyDescent="0.3">
      <c r="A9">
        <v>1.4446366371731578</v>
      </c>
      <c r="B9">
        <v>1.1269462348667573E-2</v>
      </c>
      <c r="C9">
        <v>8.7760853729982798E-8</v>
      </c>
      <c r="D9" s="10">
        <v>2.5708976554746749E-4</v>
      </c>
      <c r="E9" s="10">
        <v>2.1282851388882058</v>
      </c>
    </row>
    <row r="10" spans="1:9" x14ac:dyDescent="0.3">
      <c r="A10">
        <v>1.1535821606931225</v>
      </c>
      <c r="B10">
        <v>1.1269462348667573E-2</v>
      </c>
      <c r="C10">
        <v>2.3563535272977021E-6</v>
      </c>
      <c r="D10" s="10">
        <v>2.5708976554746749E-4</v>
      </c>
      <c r="E10" s="10">
        <v>2.1282851388882058</v>
      </c>
    </row>
    <row r="11" spans="1:9" x14ac:dyDescent="0.3">
      <c r="A11">
        <v>1.0738685170298601E-2</v>
      </c>
      <c r="B11">
        <v>1.1269462348667573E-2</v>
      </c>
      <c r="C11">
        <v>1</v>
      </c>
      <c r="D11" s="10">
        <v>2.5708976554746749E-4</v>
      </c>
      <c r="E11" s="10">
        <v>2.1282851388882058</v>
      </c>
    </row>
    <row r="12" spans="1:9" x14ac:dyDescent="0.3">
      <c r="A12">
        <v>0.89865983944541949</v>
      </c>
      <c r="B12">
        <v>1.1372439958907084E-2</v>
      </c>
      <c r="C12">
        <v>7.7748381359375423E-5</v>
      </c>
      <c r="D12" s="10">
        <v>2.6386756194834765E-4</v>
      </c>
      <c r="E12" s="10">
        <v>2.1252396645363048</v>
      </c>
    </row>
    <row r="13" spans="1:9" x14ac:dyDescent="0.3">
      <c r="A13">
        <v>0.70991968427064212</v>
      </c>
      <c r="B13">
        <v>1.1372439958907084E-2</v>
      </c>
      <c r="C13">
        <v>5.7860172193797325E-4</v>
      </c>
      <c r="D13" s="10">
        <v>2.6386756194834765E-4</v>
      </c>
      <c r="E13" s="10">
        <v>2.1252396645363048</v>
      </c>
    </row>
    <row r="14" spans="1:9" x14ac:dyDescent="0.3">
      <c r="A14">
        <v>0.39599264223862068</v>
      </c>
      <c r="B14">
        <v>1.1372439958907084E-2</v>
      </c>
      <c r="C14">
        <v>1.6444836209035509E-2</v>
      </c>
      <c r="D14" s="10">
        <v>2.6386756194834765E-4</v>
      </c>
      <c r="E14" s="10">
        <v>2.1252396645363048</v>
      </c>
    </row>
    <row r="15" spans="1:9" x14ac:dyDescent="0.3">
      <c r="A15">
        <v>0.46942434002782479</v>
      </c>
      <c r="B15">
        <v>1.1372439958907084E-2</v>
      </c>
      <c r="C15">
        <v>7.478981145773808E-3</v>
      </c>
      <c r="D15" s="10">
        <v>2.6386756194834765E-4</v>
      </c>
      <c r="E15" s="10">
        <v>2.1252396645363048</v>
      </c>
    </row>
    <row r="16" spans="1:9" x14ac:dyDescent="0.3">
      <c r="A16">
        <v>0.27175868869055719</v>
      </c>
      <c r="B16">
        <v>1.1372439958907084E-2</v>
      </c>
      <c r="C16">
        <v>6.1723452449538113E-2</v>
      </c>
      <c r="D16" s="10">
        <v>2.6386756194834765E-4</v>
      </c>
      <c r="E16" s="10">
        <v>2.1252396645363048</v>
      </c>
    </row>
    <row r="17" spans="1:5" x14ac:dyDescent="0.3">
      <c r="A17">
        <v>0.43791995067557238</v>
      </c>
      <c r="B17">
        <v>1.1372439958907084E-2</v>
      </c>
      <c r="C17">
        <v>1.0401923337543363E-2</v>
      </c>
      <c r="D17" s="10">
        <v>2.6386756194834765E-4</v>
      </c>
      <c r="E17" s="10">
        <v>2.1252396645363048</v>
      </c>
    </row>
    <row r="18" spans="1:5" x14ac:dyDescent="0.3">
      <c r="A18">
        <v>0.66409099106833824</v>
      </c>
      <c r="B18">
        <v>1.1372439958907084E-2</v>
      </c>
      <c r="C18">
        <v>9.1927879128716669E-4</v>
      </c>
      <c r="D18" s="10">
        <v>2.6386756194834765E-4</v>
      </c>
      <c r="E18" s="10">
        <v>2.1252396645363048</v>
      </c>
    </row>
    <row r="19" spans="1:5" x14ac:dyDescent="0.3">
      <c r="A19">
        <v>2.6517120187137064E-2</v>
      </c>
      <c r="B19">
        <v>1.1372439958907084E-2</v>
      </c>
      <c r="C19">
        <v>0.85014277585464137</v>
      </c>
      <c r="D19" s="10">
        <v>2.6386756194834765E-4</v>
      </c>
      <c r="E19" s="10">
        <v>2.1252396645363048</v>
      </c>
    </row>
    <row r="20" spans="1:5" x14ac:dyDescent="0.3">
      <c r="A20">
        <v>0.12115718502226505</v>
      </c>
      <c r="B20">
        <v>1.2197689001773581E-2</v>
      </c>
      <c r="C20">
        <v>0.29333262142720012</v>
      </c>
      <c r="D20" s="10">
        <v>2.205995724014931E-4</v>
      </c>
      <c r="E20" s="10">
        <v>2.1542571050081869</v>
      </c>
    </row>
    <row r="21" spans="1:5" x14ac:dyDescent="0.3">
      <c r="A21">
        <v>0.1360474592628951</v>
      </c>
      <c r="B21">
        <v>1.2197689001773581E-2</v>
      </c>
      <c r="C21">
        <v>0.24782217850942281</v>
      </c>
      <c r="D21" s="10">
        <v>2.205995724014931E-4</v>
      </c>
      <c r="E21" s="10">
        <v>2.1542571050081869</v>
      </c>
    </row>
    <row r="22" spans="1:5" x14ac:dyDescent="0.3">
      <c r="A22">
        <v>1.4897308861458547E-2</v>
      </c>
      <c r="B22">
        <v>1.2197689001773581E-2</v>
      </c>
      <c r="C22">
        <v>0.9700282200657302</v>
      </c>
      <c r="D22" s="10">
        <v>2.205995724014931E-4</v>
      </c>
      <c r="E22" s="10">
        <v>2.1542571050081869</v>
      </c>
    </row>
    <row r="23" spans="1:5" x14ac:dyDescent="0.3">
      <c r="A23">
        <v>0.59948935579888396</v>
      </c>
      <c r="B23">
        <v>1.2301636040788391E-2</v>
      </c>
      <c r="C23">
        <v>1.040818797654027E-3</v>
      </c>
      <c r="D23" s="10">
        <v>2.0585342383377196E-4</v>
      </c>
      <c r="E23" s="10">
        <v>2.2062421541424051</v>
      </c>
    </row>
    <row r="24" spans="1:5" x14ac:dyDescent="0.3">
      <c r="A24">
        <v>1.5427651702181522E-2</v>
      </c>
      <c r="B24">
        <v>1.2301636040788391E-2</v>
      </c>
      <c r="C24">
        <v>0.96407432444184937</v>
      </c>
      <c r="D24" s="10">
        <v>2.0585342383377196E-4</v>
      </c>
      <c r="E24" s="10">
        <v>2.2062421541424051</v>
      </c>
    </row>
    <row r="25" spans="1:5" x14ac:dyDescent="0.3">
      <c r="A25">
        <v>1.2703917484997851E-2</v>
      </c>
      <c r="B25">
        <v>1.2351300177815225E-2</v>
      </c>
      <c r="C25">
        <v>0.99617649386076723</v>
      </c>
      <c r="D25" s="10">
        <v>2.9273748183102132E-4</v>
      </c>
      <c r="E25" s="10">
        <v>2.1041901694832297</v>
      </c>
    </row>
    <row r="26" spans="1:5" x14ac:dyDescent="0.3">
      <c r="A26">
        <v>0.15270691219213101</v>
      </c>
      <c r="B26">
        <v>1.2420454477111853E-2</v>
      </c>
      <c r="C26">
        <v>0.1720873081259964</v>
      </c>
      <c r="D26" s="10">
        <v>1.8429557823232407E-4</v>
      </c>
      <c r="E26" s="10">
        <v>2.2369328976948921</v>
      </c>
    </row>
    <row r="27" spans="1:5" x14ac:dyDescent="0.3">
      <c r="A27">
        <v>1.3371031164659712</v>
      </c>
      <c r="B27">
        <v>1.2420454477111853E-2</v>
      </c>
      <c r="C27">
        <v>6.0090338028542548E-8</v>
      </c>
      <c r="D27" s="10">
        <v>1.8429557823232407E-4</v>
      </c>
      <c r="E27" s="10">
        <v>2.2369328976948921</v>
      </c>
    </row>
    <row r="28" spans="1:5" x14ac:dyDescent="0.3">
      <c r="A28">
        <v>1.5811804290732925</v>
      </c>
      <c r="B28">
        <v>1.2420454477111853E-2</v>
      </c>
      <c r="C28">
        <v>2.7721981350482048E-9</v>
      </c>
      <c r="D28" s="10">
        <v>1.8429557823232407E-4</v>
      </c>
      <c r="E28" s="10">
        <v>2.2369328976948921</v>
      </c>
    </row>
    <row r="29" spans="1:5" x14ac:dyDescent="0.3">
      <c r="A29">
        <v>0.2370144741580105</v>
      </c>
      <c r="B29">
        <v>1.2420454477111853E-2</v>
      </c>
      <c r="C29">
        <v>5.9445364061817489E-2</v>
      </c>
      <c r="D29" s="10">
        <v>1.8429557823232407E-4</v>
      </c>
      <c r="E29" s="10">
        <v>2.2369328976948921</v>
      </c>
    </row>
    <row r="30" spans="1:5" x14ac:dyDescent="0.3">
      <c r="A30">
        <v>0.18321332359495709</v>
      </c>
      <c r="B30">
        <v>1.2420454477111853E-2</v>
      </c>
      <c r="C30">
        <v>0.1167300678547319</v>
      </c>
      <c r="D30" s="10">
        <v>1.8429557823232407E-4</v>
      </c>
      <c r="E30" s="10">
        <v>2.2369328976948921</v>
      </c>
    </row>
    <row r="31" spans="1:5" x14ac:dyDescent="0.3">
      <c r="A31">
        <v>0.16519564126993527</v>
      </c>
      <c r="B31">
        <v>1.2420454477111853E-2</v>
      </c>
      <c r="C31">
        <v>0.14623754621276291</v>
      </c>
      <c r="D31" s="10">
        <v>1.8429557823232407E-4</v>
      </c>
      <c r="E31" s="10">
        <v>2.2369328976948921</v>
      </c>
    </row>
    <row r="32" spans="1:5" x14ac:dyDescent="0.3">
      <c r="A32">
        <v>0.99429622669348505</v>
      </c>
      <c r="B32">
        <v>1.2703917484997851E-2</v>
      </c>
      <c r="C32">
        <v>2.3188094385340386E-5</v>
      </c>
      <c r="D32" s="10">
        <v>2.2581042579109055E-4</v>
      </c>
      <c r="E32" s="10">
        <v>2.1822334578378522</v>
      </c>
    </row>
    <row r="33" spans="1:5" x14ac:dyDescent="0.3">
      <c r="A33">
        <v>2.0427694072445681</v>
      </c>
      <c r="B33">
        <v>1.2703917484997851E-2</v>
      </c>
      <c r="C33">
        <v>2.5567537942637453E-10</v>
      </c>
      <c r="D33" s="10">
        <v>2.2581042579109055E-4</v>
      </c>
      <c r="E33" s="10">
        <v>2.1822334578378522</v>
      </c>
    </row>
    <row r="34" spans="1:5" x14ac:dyDescent="0.3">
      <c r="A34">
        <v>0.72580334273616132</v>
      </c>
      <c r="B34">
        <v>1.2703917484997851E-2</v>
      </c>
      <c r="C34">
        <v>4.2465794814778961E-4</v>
      </c>
      <c r="D34" s="10">
        <v>2.2581042579109055E-4</v>
      </c>
      <c r="E34" s="10">
        <v>2.1822334578378522</v>
      </c>
    </row>
    <row r="35" spans="1:5" x14ac:dyDescent="0.3">
      <c r="A35">
        <v>5.1180524544449831E-2</v>
      </c>
      <c r="B35">
        <v>1.2703917484997851E-2</v>
      </c>
      <c r="C35">
        <v>0.65754563502382302</v>
      </c>
      <c r="D35" s="10">
        <v>2.2581042579109055E-4</v>
      </c>
      <c r="E35" s="10">
        <v>2.1822334578378522</v>
      </c>
    </row>
    <row r="36" spans="1:5" x14ac:dyDescent="0.3">
      <c r="A36">
        <v>4.4457492348026775E-2</v>
      </c>
      <c r="B36">
        <v>1.2953005334054798E-2</v>
      </c>
      <c r="C36">
        <v>0.73455387552416818</v>
      </c>
      <c r="D36" s="10">
        <v>3.1950837258512289E-4</v>
      </c>
      <c r="E36" s="10">
        <v>2.0710053290157071</v>
      </c>
    </row>
    <row r="37" spans="1:5" x14ac:dyDescent="0.3">
      <c r="A37">
        <v>0.54320065318170951</v>
      </c>
      <c r="B37">
        <v>1.314746448461991E-2</v>
      </c>
      <c r="C37">
        <v>1.4586334354234865E-3</v>
      </c>
      <c r="D37" s="10">
        <v>1.9293467466303921E-4</v>
      </c>
      <c r="E37" s="10">
        <v>2.2269823607075026</v>
      </c>
    </row>
    <row r="38" spans="1:5" x14ac:dyDescent="0.3">
      <c r="A38">
        <v>7.4239275606724817E-2</v>
      </c>
      <c r="B38">
        <v>1.314746448461991E-2</v>
      </c>
      <c r="C38">
        <v>0.47088571980785432</v>
      </c>
      <c r="D38" s="10">
        <v>1.9293467466303921E-4</v>
      </c>
      <c r="E38" s="10">
        <v>2.2269823607075026</v>
      </c>
    </row>
    <row r="39" spans="1:5" x14ac:dyDescent="0.3">
      <c r="A39">
        <v>0.17599447935397017</v>
      </c>
      <c r="B39">
        <v>1.314746448461991E-2</v>
      </c>
      <c r="C39">
        <v>0.13413872203958921</v>
      </c>
      <c r="D39" s="10">
        <v>1.9293467466303921E-4</v>
      </c>
      <c r="E39" s="10">
        <v>2.2269823607075026</v>
      </c>
    </row>
    <row r="40" spans="1:5" x14ac:dyDescent="0.3">
      <c r="A40">
        <v>0.43844277392339204</v>
      </c>
      <c r="B40">
        <v>1.314746448461991E-2</v>
      </c>
      <c r="C40">
        <v>5.2483302546914848E-3</v>
      </c>
      <c r="D40" s="10">
        <v>1.9293467466303921E-4</v>
      </c>
      <c r="E40" s="10">
        <v>2.2269823607075026</v>
      </c>
    </row>
    <row r="41" spans="1:5" x14ac:dyDescent="0.3">
      <c r="A41">
        <v>2.410878302397863</v>
      </c>
      <c r="B41">
        <v>1.314746448461991E-2</v>
      </c>
      <c r="C41">
        <v>1.3727759067209141E-13</v>
      </c>
      <c r="D41" s="10">
        <v>1.9293467466303921E-4</v>
      </c>
      <c r="E41" s="10">
        <v>2.2269823607075026</v>
      </c>
    </row>
    <row r="42" spans="1:5" x14ac:dyDescent="0.3">
      <c r="A42">
        <v>0.30984976430929562</v>
      </c>
      <c r="B42">
        <v>1.314746448461991E-2</v>
      </c>
      <c r="C42">
        <v>2.5546871249496166E-2</v>
      </c>
      <c r="D42" s="10">
        <v>1.9293467466303921E-4</v>
      </c>
      <c r="E42" s="10">
        <v>2.2269823607075026</v>
      </c>
    </row>
    <row r="43" spans="1:5" x14ac:dyDescent="0.3">
      <c r="A43">
        <v>0.57285356220499473</v>
      </c>
      <c r="B43">
        <v>1.314746448461991E-2</v>
      </c>
      <c r="C43">
        <v>9.8541763021948027E-4</v>
      </c>
      <c r="D43" s="10">
        <v>1.9293467466303921E-4</v>
      </c>
      <c r="E43" s="10">
        <v>2.2269823607075026</v>
      </c>
    </row>
    <row r="44" spans="1:5" x14ac:dyDescent="0.3">
      <c r="A44">
        <v>0.41514908861021288</v>
      </c>
      <c r="B44">
        <v>1.314746448461991E-2</v>
      </c>
      <c r="C44">
        <v>6.9073300845413736E-3</v>
      </c>
      <c r="D44" s="10">
        <v>1.9293467466303921E-4</v>
      </c>
      <c r="E44" s="10">
        <v>2.2269823607075026</v>
      </c>
    </row>
    <row r="45" spans="1:5" x14ac:dyDescent="0.3">
      <c r="A45">
        <v>1.0637297365689764</v>
      </c>
      <c r="B45">
        <v>1.314746448461991E-2</v>
      </c>
      <c r="C45">
        <v>2.2369195097359425E-6</v>
      </c>
      <c r="D45" s="10">
        <v>1.9293467466303921E-4</v>
      </c>
      <c r="E45" s="10">
        <v>2.2269823607075026</v>
      </c>
    </row>
    <row r="46" spans="1:5" x14ac:dyDescent="0.3">
      <c r="A46">
        <v>0.40893695381079792</v>
      </c>
      <c r="B46">
        <v>1.314746448461991E-2</v>
      </c>
      <c r="C46">
        <v>7.4122343625922602E-3</v>
      </c>
      <c r="D46" s="10">
        <v>1.9293467466303921E-4</v>
      </c>
      <c r="E46" s="10">
        <v>2.2269823607075026</v>
      </c>
    </row>
    <row r="47" spans="1:5" x14ac:dyDescent="0.3">
      <c r="A47">
        <v>0.32489487478266366</v>
      </c>
      <c r="B47">
        <v>1.314746448461991E-2</v>
      </c>
      <c r="C47">
        <v>2.094892623383152E-2</v>
      </c>
      <c r="D47" s="10">
        <v>1.9293467466303921E-4</v>
      </c>
      <c r="E47" s="10">
        <v>2.2269823607075026</v>
      </c>
    </row>
    <row r="48" spans="1:5" x14ac:dyDescent="0.3">
      <c r="A48">
        <v>0.42277930505100597</v>
      </c>
      <c r="B48">
        <v>1.314746448461991E-2</v>
      </c>
      <c r="C48">
        <v>6.2030642340129526E-3</v>
      </c>
      <c r="D48" s="10">
        <v>1.9293467466303921E-4</v>
      </c>
      <c r="E48" s="10">
        <v>2.2269823607075026</v>
      </c>
    </row>
    <row r="49" spans="1:5" x14ac:dyDescent="0.3">
      <c r="A49">
        <v>1.742483742932194</v>
      </c>
      <c r="B49">
        <v>1.314746448461991E-2</v>
      </c>
      <c r="C49">
        <v>4.7323016778788998E-10</v>
      </c>
      <c r="D49" s="10">
        <v>1.9293467466303921E-4</v>
      </c>
      <c r="E49" s="10">
        <v>2.2269823607075026</v>
      </c>
    </row>
    <row r="50" spans="1:5" x14ac:dyDescent="0.3">
      <c r="A50">
        <v>1.0899954629486968</v>
      </c>
      <c r="B50">
        <v>1.314746448461991E-2</v>
      </c>
      <c r="C50">
        <v>1.5476706979100045E-6</v>
      </c>
      <c r="D50" s="10">
        <v>1.9293467466303921E-4</v>
      </c>
      <c r="E50" s="10">
        <v>2.2269823607075026</v>
      </c>
    </row>
    <row r="51" spans="1:5" x14ac:dyDescent="0.3">
      <c r="A51">
        <v>0.59286642833827896</v>
      </c>
      <c r="B51">
        <v>1.314746448461991E-2</v>
      </c>
      <c r="C51">
        <v>7.4132890955543539E-4</v>
      </c>
      <c r="D51" s="10">
        <v>1.9293467466303921E-4</v>
      </c>
      <c r="E51" s="10">
        <v>2.2269823607075026</v>
      </c>
    </row>
    <row r="52" spans="1:5" x14ac:dyDescent="0.3">
      <c r="A52">
        <v>5.0731703403105462E-2</v>
      </c>
      <c r="B52">
        <v>1.314746448461991E-2</v>
      </c>
      <c r="C52">
        <v>0.62653669674688661</v>
      </c>
      <c r="D52" s="10">
        <v>1.9293467466303921E-4</v>
      </c>
      <c r="E52" s="10">
        <v>2.2269823607075026</v>
      </c>
    </row>
    <row r="53" spans="1:5" x14ac:dyDescent="0.3">
      <c r="A53">
        <v>0.15006438089100735</v>
      </c>
      <c r="B53">
        <v>1.3212495252243227E-2</v>
      </c>
      <c r="C53">
        <v>0.24331307898472898</v>
      </c>
      <c r="D53" s="10">
        <v>3.3307852647444862E-4</v>
      </c>
      <c r="E53" s="10">
        <v>2.0694244379303433</v>
      </c>
    </row>
    <row r="54" spans="1:5" x14ac:dyDescent="0.3">
      <c r="A54">
        <v>2.9503929084597938E-2</v>
      </c>
      <c r="B54">
        <v>1.3264423684394165E-2</v>
      </c>
      <c r="C54">
        <v>0.83935056237462036</v>
      </c>
      <c r="D54" s="10">
        <v>2.5866141212771844E-4</v>
      </c>
      <c r="E54" s="10">
        <v>2.1464678208120893</v>
      </c>
    </row>
    <row r="55" spans="1:5" x14ac:dyDescent="0.3">
      <c r="A55">
        <v>0.31101366857855378</v>
      </c>
      <c r="B55">
        <v>1.3510671958540114E-2</v>
      </c>
      <c r="C55">
        <v>3.1940046230439174E-2</v>
      </c>
      <c r="D55" s="10">
        <v>2.3100309395679265E-4</v>
      </c>
      <c r="E55" s="10">
        <v>2.1386912483198501</v>
      </c>
    </row>
    <row r="56" spans="1:5" x14ac:dyDescent="0.3">
      <c r="A56">
        <v>1.0351333663602869</v>
      </c>
      <c r="B56">
        <v>1.3510671958540114E-2</v>
      </c>
      <c r="C56">
        <v>7.250230535235974E-6</v>
      </c>
      <c r="D56" s="10">
        <v>2.3100309395679265E-4</v>
      </c>
      <c r="E56" s="10">
        <v>2.1386912483198501</v>
      </c>
    </row>
    <row r="57" spans="1:5" x14ac:dyDescent="0.3">
      <c r="A57">
        <v>0.44764680638623122</v>
      </c>
      <c r="B57">
        <v>1.3510671958540114E-2</v>
      </c>
      <c r="C57">
        <v>6.5224443685099314E-3</v>
      </c>
      <c r="D57" s="10">
        <v>2.3100309395679265E-4</v>
      </c>
      <c r="E57" s="10">
        <v>2.1386912483198501</v>
      </c>
    </row>
    <row r="58" spans="1:5" x14ac:dyDescent="0.3">
      <c r="A58">
        <v>7.5713030488940208E-2</v>
      </c>
      <c r="B58">
        <v>1.3510671958540114E-2</v>
      </c>
      <c r="C58">
        <v>0.48599965792764621</v>
      </c>
      <c r="D58" s="10">
        <v>2.3100309395679265E-4</v>
      </c>
      <c r="E58" s="10">
        <v>2.1386912483198501</v>
      </c>
    </row>
    <row r="59" spans="1:5" x14ac:dyDescent="0.3">
      <c r="A59">
        <v>2.9396823141612401E-2</v>
      </c>
      <c r="B59">
        <v>1.3510671958540114E-2</v>
      </c>
      <c r="C59">
        <v>0.83159773810906179</v>
      </c>
      <c r="D59" s="10">
        <v>2.3100309395679265E-4</v>
      </c>
      <c r="E59" s="10">
        <v>2.1386912483198501</v>
      </c>
    </row>
    <row r="60" spans="1:5" x14ac:dyDescent="0.3">
      <c r="A60">
        <v>1.4239007385071762E-2</v>
      </c>
      <c r="B60">
        <v>1.3557630233978438E-2</v>
      </c>
      <c r="C60">
        <v>0.94694887636203773</v>
      </c>
      <c r="D60" s="10">
        <v>2.0082926792826514E-2</v>
      </c>
      <c r="E60" s="10">
        <v>0.78365946979235623</v>
      </c>
    </row>
    <row r="61" spans="1:5" x14ac:dyDescent="0.3">
      <c r="A61">
        <v>2.461527886110856E-2</v>
      </c>
      <c r="B61">
        <v>1.3648922632453094E-2</v>
      </c>
      <c r="C61">
        <v>0.88605093448097572</v>
      </c>
      <c r="D61" s="10">
        <v>2.1424405012490964E-4</v>
      </c>
      <c r="E61" s="10">
        <v>2.1559960987637985</v>
      </c>
    </row>
    <row r="62" spans="1:5" x14ac:dyDescent="0.3">
      <c r="A62">
        <v>1.0911004415164367E-2</v>
      </c>
      <c r="B62">
        <v>1.3685272323800887E-2</v>
      </c>
      <c r="C62">
        <v>1</v>
      </c>
      <c r="D62" s="10">
        <v>2.4002995511611478E-4</v>
      </c>
      <c r="E62" s="10">
        <v>2.1689717364862799</v>
      </c>
    </row>
    <row r="63" spans="1:5" x14ac:dyDescent="0.3">
      <c r="A63">
        <v>0.36550996244215739</v>
      </c>
      <c r="B63">
        <v>1.3710194626208627E-2</v>
      </c>
      <c r="C63">
        <v>2.0921393159347254E-2</v>
      </c>
      <c r="D63" s="10">
        <v>2.4806800428555449E-4</v>
      </c>
      <c r="E63" s="10">
        <v>2.159917879941029</v>
      </c>
    </row>
    <row r="64" spans="1:5" x14ac:dyDescent="0.3">
      <c r="A64">
        <v>0.68729902354765715</v>
      </c>
      <c r="B64">
        <v>1.3710194626208627E-2</v>
      </c>
      <c r="C64">
        <v>6.0548721056511746E-4</v>
      </c>
      <c r="D64" s="10">
        <v>2.4806800428555449E-4</v>
      </c>
      <c r="E64" s="10">
        <v>2.159917879941029</v>
      </c>
    </row>
    <row r="65" spans="1:5" x14ac:dyDescent="0.3">
      <c r="A65">
        <v>0.16391268777442358</v>
      </c>
      <c r="B65">
        <v>1.3710194626208627E-2</v>
      </c>
      <c r="C65">
        <v>0.19139248876360906</v>
      </c>
      <c r="D65" s="10">
        <v>2.4806800428555449E-4</v>
      </c>
      <c r="E65" s="10">
        <v>2.159917879941029</v>
      </c>
    </row>
    <row r="66" spans="1:5" x14ac:dyDescent="0.3">
      <c r="A66">
        <v>0.80730082128144931</v>
      </c>
      <c r="B66">
        <v>1.3710194626208627E-2</v>
      </c>
      <c r="C66">
        <v>1.5970305995431801E-4</v>
      </c>
      <c r="D66" s="10">
        <v>2.4806800428555449E-4</v>
      </c>
      <c r="E66" s="10">
        <v>2.159917879941029</v>
      </c>
    </row>
    <row r="67" spans="1:5" x14ac:dyDescent="0.3">
      <c r="A67">
        <v>1.3648922632453094E-2</v>
      </c>
      <c r="B67">
        <v>1.3710194626208627E-2</v>
      </c>
      <c r="C67">
        <v>1</v>
      </c>
      <c r="D67" s="10">
        <v>2.4806800428555449E-4</v>
      </c>
      <c r="E67" s="10">
        <v>2.159917879941029</v>
      </c>
    </row>
    <row r="68" spans="1:5" x14ac:dyDescent="0.3">
      <c r="A68">
        <v>2.706895824666938E-2</v>
      </c>
      <c r="B68">
        <v>1.4239007385071762E-2</v>
      </c>
      <c r="C68">
        <v>0.35825913683106297</v>
      </c>
      <c r="D68" s="10">
        <v>1.5506502233342071E-2</v>
      </c>
      <c r="E68" s="10">
        <v>0.84036015171325851</v>
      </c>
    </row>
    <row r="69" spans="1:5" x14ac:dyDescent="0.3">
      <c r="A69">
        <v>0.1562484219136856</v>
      </c>
      <c r="B69">
        <v>1.4544988230323606E-2</v>
      </c>
      <c r="C69">
        <v>0.22191579319087537</v>
      </c>
      <c r="D69" s="10">
        <v>3.7746165770919976E-4</v>
      </c>
      <c r="E69" s="10">
        <v>2.0404856434120671</v>
      </c>
    </row>
    <row r="70" spans="1:5" x14ac:dyDescent="0.3">
      <c r="A70">
        <v>0.38260293253485994</v>
      </c>
      <c r="B70">
        <v>1.4544988230323606E-2</v>
      </c>
      <c r="C70">
        <v>1.9976632515436039E-2</v>
      </c>
      <c r="D70" s="10">
        <v>3.7746165770919976E-4</v>
      </c>
      <c r="E70" s="10">
        <v>2.0404856434120671</v>
      </c>
    </row>
    <row r="71" spans="1:5" x14ac:dyDescent="0.3">
      <c r="A71">
        <v>1.4811905044536484E-2</v>
      </c>
      <c r="B71">
        <v>1.4544988230323606E-2</v>
      </c>
      <c r="C71">
        <v>0.9971640340680985</v>
      </c>
      <c r="D71" s="10">
        <v>3.7746165770919976E-4</v>
      </c>
      <c r="E71" s="10">
        <v>2.0404856434120671</v>
      </c>
    </row>
    <row r="72" spans="1:5" x14ac:dyDescent="0.3">
      <c r="A72">
        <v>0.41695858023390026</v>
      </c>
      <c r="B72">
        <v>1.4666130140763116E-2</v>
      </c>
      <c r="C72">
        <v>2.501656329068833E-2</v>
      </c>
      <c r="D72" s="10">
        <v>3.7649942210572822E-4</v>
      </c>
      <c r="E72" s="10">
        <v>2.026422813514646</v>
      </c>
    </row>
    <row r="73" spans="1:5" x14ac:dyDescent="0.3">
      <c r="A73">
        <v>2.0124610635672665E-2</v>
      </c>
      <c r="B73">
        <v>1.4666130140763116E-2</v>
      </c>
      <c r="C73">
        <v>0.95114665546477895</v>
      </c>
      <c r="D73" s="10">
        <v>3.7649942210572822E-4</v>
      </c>
      <c r="E73" s="10">
        <v>2.026422813514646</v>
      </c>
    </row>
    <row r="74" spans="1:5" x14ac:dyDescent="0.3">
      <c r="A74">
        <v>0.45118347570104661</v>
      </c>
      <c r="B74">
        <v>1.4737776207995788E-2</v>
      </c>
      <c r="C74">
        <v>8.3089004358240914E-3</v>
      </c>
      <c r="D74" s="10">
        <v>2.7517995995104342E-4</v>
      </c>
      <c r="E74" s="10">
        <v>2.1346123359521925</v>
      </c>
    </row>
    <row r="75" spans="1:5" x14ac:dyDescent="0.3">
      <c r="A75">
        <v>1.3710194626208627E-2</v>
      </c>
      <c r="B75">
        <v>1.4737776207995788E-2</v>
      </c>
      <c r="C75">
        <v>1</v>
      </c>
      <c r="D75" s="10">
        <v>2.7517995995104342E-4</v>
      </c>
      <c r="E75" s="10">
        <v>2.1346123359521925</v>
      </c>
    </row>
    <row r="76" spans="1:5" x14ac:dyDescent="0.3">
      <c r="A76">
        <v>0.18752973154350336</v>
      </c>
      <c r="B76">
        <v>1.4811905044536484E-2</v>
      </c>
      <c r="C76">
        <v>0.15896051895405897</v>
      </c>
      <c r="D76" s="10">
        <v>3.6616281243165776E-4</v>
      </c>
      <c r="E76" s="10">
        <v>2.0307996797729229</v>
      </c>
    </row>
    <row r="77" spans="1:5" x14ac:dyDescent="0.3">
      <c r="A77">
        <v>1.1372439958907084E-2</v>
      </c>
      <c r="B77">
        <v>1.4811905044536484E-2</v>
      </c>
      <c r="C77">
        <v>1</v>
      </c>
      <c r="D77" s="10">
        <v>3.6616281243165776E-4</v>
      </c>
      <c r="E77" s="10">
        <v>2.0307996797729229</v>
      </c>
    </row>
    <row r="78" spans="1:5" x14ac:dyDescent="0.3">
      <c r="A78">
        <v>0.20495573981329587</v>
      </c>
      <c r="B78">
        <v>1.4873386706134037E-2</v>
      </c>
      <c r="C78">
        <v>0.14741412763010697</v>
      </c>
      <c r="D78" s="10">
        <v>3.8116591202798491E-4</v>
      </c>
      <c r="E78" s="10">
        <v>2.0226059267947147</v>
      </c>
    </row>
    <row r="79" spans="1:5" x14ac:dyDescent="0.3">
      <c r="A79">
        <v>2.3465344465852409</v>
      </c>
      <c r="B79">
        <v>1.4873386706134037E-2</v>
      </c>
      <c r="C79">
        <v>6.2046100103436511E-11</v>
      </c>
      <c r="D79" s="10">
        <v>3.8116591202798491E-4</v>
      </c>
      <c r="E79" s="10">
        <v>2.0226059267947147</v>
      </c>
    </row>
    <row r="80" spans="1:5" x14ac:dyDescent="0.3">
      <c r="A80">
        <v>1.9527722451216641E-2</v>
      </c>
      <c r="B80">
        <v>1.4873386706134037E-2</v>
      </c>
      <c r="C80">
        <v>0.95413229900680474</v>
      </c>
      <c r="D80" s="10">
        <v>3.8116591202798491E-4</v>
      </c>
      <c r="E80" s="10">
        <v>2.0226059267947147</v>
      </c>
    </row>
    <row r="81" spans="1:5" x14ac:dyDescent="0.3">
      <c r="A81">
        <v>9.7376350536062486E-2</v>
      </c>
      <c r="B81">
        <v>1.4897308861458547E-2</v>
      </c>
      <c r="C81">
        <v>0.39441028064968348</v>
      </c>
      <c r="D81" s="10">
        <v>2.8725731370194118E-4</v>
      </c>
      <c r="E81" s="10">
        <v>2.0836384802801744</v>
      </c>
    </row>
    <row r="82" spans="1:5" x14ac:dyDescent="0.3">
      <c r="A82">
        <v>0.90093992696568936</v>
      </c>
      <c r="B82">
        <v>1.4897308861458547E-2</v>
      </c>
      <c r="C82">
        <v>4.5325123679050858E-5</v>
      </c>
      <c r="D82" s="10">
        <v>2.8725731370194118E-4</v>
      </c>
      <c r="E82" s="10">
        <v>2.0836384802801744</v>
      </c>
    </row>
    <row r="83" spans="1:5" x14ac:dyDescent="0.3">
      <c r="A83">
        <v>1.4289756838798151</v>
      </c>
      <c r="B83">
        <v>1.4897308861458547E-2</v>
      </c>
      <c r="C83">
        <v>1.1556538961309097E-7</v>
      </c>
      <c r="D83" s="10">
        <v>2.8725731370194118E-4</v>
      </c>
      <c r="E83" s="10">
        <v>2.0836384802801744</v>
      </c>
    </row>
    <row r="84" spans="1:5" x14ac:dyDescent="0.3">
      <c r="A84">
        <v>0.30388368686245321</v>
      </c>
      <c r="B84">
        <v>1.4897308861458547E-2</v>
      </c>
      <c r="C84">
        <v>3.8131978554568458E-2</v>
      </c>
      <c r="D84" s="10">
        <v>2.8725731370194118E-4</v>
      </c>
      <c r="E84" s="10">
        <v>2.0836384802801744</v>
      </c>
    </row>
    <row r="85" spans="1:5" x14ac:dyDescent="0.3">
      <c r="A85">
        <v>1.7085337460483891</v>
      </c>
      <c r="B85">
        <v>1.4897308861458547E-2</v>
      </c>
      <c r="C85">
        <v>4.7819597904489332E-9</v>
      </c>
      <c r="D85" s="10">
        <v>2.8725731370194118E-4</v>
      </c>
      <c r="E85" s="10">
        <v>2.0836384802801744</v>
      </c>
    </row>
    <row r="86" spans="1:5" x14ac:dyDescent="0.3">
      <c r="A86">
        <v>0.3355224232644855</v>
      </c>
      <c r="B86">
        <v>1.4897308861458547E-2</v>
      </c>
      <c r="C86">
        <v>2.6530074707902775E-2</v>
      </c>
      <c r="D86" s="10">
        <v>2.8725731370194118E-4</v>
      </c>
      <c r="E86" s="10">
        <v>2.0836384802801744</v>
      </c>
    </row>
    <row r="87" spans="1:5" x14ac:dyDescent="0.3">
      <c r="A87">
        <v>1.1269462348667573E-2</v>
      </c>
      <c r="B87">
        <v>1.4897308861458547E-2</v>
      </c>
      <c r="C87">
        <v>1</v>
      </c>
      <c r="D87" s="10">
        <v>2.8725731370194118E-4</v>
      </c>
      <c r="E87" s="10">
        <v>2.0836384802801744</v>
      </c>
    </row>
    <row r="88" spans="1:5" x14ac:dyDescent="0.3">
      <c r="A88">
        <v>0.62056369649883303</v>
      </c>
      <c r="B88">
        <v>1.4990181003709888E-2</v>
      </c>
      <c r="C88">
        <v>1.6301564905831893E-3</v>
      </c>
      <c r="D88" s="10">
        <v>3.7053528071810205E-4</v>
      </c>
      <c r="E88" s="10">
        <v>2.0496282667820935</v>
      </c>
    </row>
    <row r="89" spans="1:5" x14ac:dyDescent="0.3">
      <c r="A89">
        <v>0.48962819649043704</v>
      </c>
      <c r="B89">
        <v>1.4990181003709888E-2</v>
      </c>
      <c r="C89">
        <v>6.5064579354723786E-3</v>
      </c>
      <c r="D89" s="10">
        <v>3.7053528071810205E-4</v>
      </c>
      <c r="E89" s="10">
        <v>2.0496282667820935</v>
      </c>
    </row>
    <row r="90" spans="1:5" x14ac:dyDescent="0.3">
      <c r="A90">
        <v>1.4544988230323606E-2</v>
      </c>
      <c r="B90">
        <v>1.4990181003709888E-2</v>
      </c>
      <c r="C90">
        <v>1</v>
      </c>
      <c r="D90" s="10">
        <v>3.7053528071810205E-4</v>
      </c>
      <c r="E90" s="10">
        <v>2.0496282667820935</v>
      </c>
    </row>
    <row r="91" spans="1:5" x14ac:dyDescent="0.3">
      <c r="A91">
        <v>1.7831216300575803</v>
      </c>
      <c r="B91">
        <v>1.5077260812926428E-2</v>
      </c>
      <c r="C91">
        <v>9.2299124689072279E-9</v>
      </c>
      <c r="D91" s="10">
        <v>2.9492572227684649E-4</v>
      </c>
      <c r="E91" s="10">
        <v>2.0770197957025571</v>
      </c>
    </row>
    <row r="92" spans="1:5" x14ac:dyDescent="0.3">
      <c r="A92">
        <v>0.5773394490465753</v>
      </c>
      <c r="B92">
        <v>1.5077260812926428E-2</v>
      </c>
      <c r="C92">
        <v>2.7724894812784554E-3</v>
      </c>
      <c r="D92" s="10">
        <v>2.9492572227684649E-4</v>
      </c>
      <c r="E92" s="10">
        <v>2.0770197957025571</v>
      </c>
    </row>
    <row r="93" spans="1:5" x14ac:dyDescent="0.3">
      <c r="A93">
        <v>0.43158238196447285</v>
      </c>
      <c r="B93">
        <v>1.5077260812926428E-2</v>
      </c>
      <c r="C93">
        <v>1.2714989983730192E-2</v>
      </c>
      <c r="D93" s="10">
        <v>2.9492572227684649E-4</v>
      </c>
      <c r="E93" s="10">
        <v>2.0770197957025571</v>
      </c>
    </row>
    <row r="94" spans="1:5" x14ac:dyDescent="0.3">
      <c r="A94">
        <v>6.4913501586164546E-2</v>
      </c>
      <c r="B94">
        <v>1.5077260812926428E-2</v>
      </c>
      <c r="C94">
        <v>0.59292788785632178</v>
      </c>
      <c r="D94" s="10">
        <v>2.9492572227684649E-4</v>
      </c>
      <c r="E94" s="10">
        <v>2.0770197957025571</v>
      </c>
    </row>
    <row r="95" spans="1:5" x14ac:dyDescent="0.3">
      <c r="A95">
        <v>1.1770617593493287</v>
      </c>
      <c r="B95">
        <v>1.5077260812926428E-2</v>
      </c>
      <c r="C95">
        <v>5.0496617769288084E-6</v>
      </c>
      <c r="D95" s="10">
        <v>2.9492572227684649E-4</v>
      </c>
      <c r="E95" s="10">
        <v>2.0770197957025571</v>
      </c>
    </row>
    <row r="96" spans="1:5" x14ac:dyDescent="0.3">
      <c r="A96">
        <v>0.79435044368113439</v>
      </c>
      <c r="B96">
        <v>1.5077260812926428E-2</v>
      </c>
      <c r="C96">
        <v>2.7866909773527164E-4</v>
      </c>
      <c r="D96" s="10">
        <v>2.9492572227684649E-4</v>
      </c>
      <c r="E96" s="10">
        <v>2.0770197957025571</v>
      </c>
    </row>
    <row r="97" spans="1:5" x14ac:dyDescent="0.3">
      <c r="A97">
        <v>0.83525534173601346</v>
      </c>
      <c r="B97">
        <v>1.5077260812926428E-2</v>
      </c>
      <c r="C97">
        <v>1.8015157404994568E-4</v>
      </c>
      <c r="D97" s="10">
        <v>2.9492572227684649E-4</v>
      </c>
      <c r="E97" s="10">
        <v>2.0770197957025571</v>
      </c>
    </row>
    <row r="98" spans="1:5" x14ac:dyDescent="0.3">
      <c r="A98">
        <v>0.14713505282115408</v>
      </c>
      <c r="B98">
        <v>1.5077260812926428E-2</v>
      </c>
      <c r="C98">
        <v>0.24926268683236691</v>
      </c>
      <c r="D98" s="10">
        <v>2.9492572227684649E-4</v>
      </c>
      <c r="E98" s="10">
        <v>2.0770197957025571</v>
      </c>
    </row>
    <row r="99" spans="1:5" x14ac:dyDescent="0.3">
      <c r="A99">
        <v>8.5585996592904764E-2</v>
      </c>
      <c r="B99">
        <v>1.5077260812926428E-2</v>
      </c>
      <c r="C99">
        <v>0.47601021256186521</v>
      </c>
      <c r="D99" s="10">
        <v>2.9492572227684649E-4</v>
      </c>
      <c r="E99" s="10">
        <v>2.0770197957025571</v>
      </c>
    </row>
    <row r="100" spans="1:5" x14ac:dyDescent="0.3">
      <c r="A100">
        <v>1.8346827808059167</v>
      </c>
      <c r="B100">
        <v>1.5427651702181522E-2</v>
      </c>
      <c r="C100">
        <v>5.5774677117144062E-10</v>
      </c>
      <c r="D100" s="10">
        <v>2.2770525187869927E-4</v>
      </c>
      <c r="E100" s="10">
        <v>2.1887927784907535</v>
      </c>
    </row>
    <row r="101" spans="1:5" x14ac:dyDescent="0.3">
      <c r="A101">
        <v>0.21592652382267166</v>
      </c>
      <c r="B101">
        <v>1.5427651702181522E-2</v>
      </c>
      <c r="C101">
        <v>9.5383775682849392E-2</v>
      </c>
      <c r="D101" s="10">
        <v>2.2770525187869927E-4</v>
      </c>
      <c r="E101" s="10">
        <v>2.1887927784907535</v>
      </c>
    </row>
    <row r="1391" spans="1:5" x14ac:dyDescent="0.3">
      <c r="A1391" s="11"/>
      <c r="B1391" s="11"/>
      <c r="C1391" s="11"/>
      <c r="D1391" s="12"/>
      <c r="E1391" s="12"/>
    </row>
    <row r="1411" spans="1:5" x14ac:dyDescent="0.3">
      <c r="A1411" s="11"/>
      <c r="B1411" s="11"/>
      <c r="C1411" s="11"/>
      <c r="D1411" s="12"/>
      <c r="E1411" s="12"/>
    </row>
    <row r="1444" spans="1:5" x14ac:dyDescent="0.3">
      <c r="A1444" s="11"/>
      <c r="B1444" s="11"/>
      <c r="C1444" s="11"/>
      <c r="D1444" s="12"/>
      <c r="E1444" s="12"/>
    </row>
    <row r="1489" spans="1:5" x14ac:dyDescent="0.3">
      <c r="A1489" s="11"/>
      <c r="B1489" s="11"/>
      <c r="C1489" s="11"/>
      <c r="D1489" s="12"/>
      <c r="E1489" s="12"/>
    </row>
    <row r="1505" spans="1:5" x14ac:dyDescent="0.3">
      <c r="A1505" s="11"/>
      <c r="B1505" s="11"/>
      <c r="C1505" s="11"/>
      <c r="D1505" s="12"/>
      <c r="E1505" s="12"/>
    </row>
    <row r="1506" spans="1:5" x14ac:dyDescent="0.3">
      <c r="A1506" s="11"/>
      <c r="B1506" s="11"/>
      <c r="C1506" s="11"/>
      <c r="D1506" s="12"/>
      <c r="E1506" s="12"/>
    </row>
    <row r="1524" spans="1:5" x14ac:dyDescent="0.3">
      <c r="A1524" s="11"/>
      <c r="B1524" s="11"/>
      <c r="C1524" s="11"/>
      <c r="D1524" s="12"/>
      <c r="E1524" s="12"/>
    </row>
    <row r="1529" spans="1:5" x14ac:dyDescent="0.3">
      <c r="A1529" s="11"/>
      <c r="B1529" s="11"/>
      <c r="C1529" s="11"/>
      <c r="D1529" s="12"/>
      <c r="E1529" s="12"/>
    </row>
    <row r="1530" spans="1:5" x14ac:dyDescent="0.3">
      <c r="A1530" s="11"/>
      <c r="B1530" s="11"/>
      <c r="C1530" s="11"/>
      <c r="D1530" s="12"/>
      <c r="E1530" s="12"/>
    </row>
    <row r="1531" spans="1:5" x14ac:dyDescent="0.3">
      <c r="A1531" s="11"/>
      <c r="B1531" s="11"/>
      <c r="C1531" s="11"/>
      <c r="D1531" s="12"/>
      <c r="E1531" s="12"/>
    </row>
    <row r="1535" spans="1:5" x14ac:dyDescent="0.3">
      <c r="A1535" s="11"/>
      <c r="B1535" s="11"/>
      <c r="C1535" s="11"/>
      <c r="D1535" s="12"/>
      <c r="E1535" s="12"/>
    </row>
    <row r="1546" spans="1:5" x14ac:dyDescent="0.3">
      <c r="A1546" s="11"/>
      <c r="B1546" s="11"/>
      <c r="C1546" s="11"/>
      <c r="D1546" s="12"/>
      <c r="E1546" s="12"/>
    </row>
    <row r="1552" spans="1:5" x14ac:dyDescent="0.3">
      <c r="A1552" s="11"/>
      <c r="B1552" s="11"/>
      <c r="C1552" s="11"/>
      <c r="D1552" s="12"/>
      <c r="E1552" s="12"/>
    </row>
    <row r="1554" spans="1:5" x14ac:dyDescent="0.3">
      <c r="A1554" s="11"/>
      <c r="B1554" s="11"/>
      <c r="C1554" s="11"/>
      <c r="D1554" s="12"/>
      <c r="E1554" s="12"/>
    </row>
    <row r="1556" spans="1:5" x14ac:dyDescent="0.3">
      <c r="A1556" s="11"/>
      <c r="B1556" s="11"/>
      <c r="C1556" s="11"/>
      <c r="D1556" s="12"/>
      <c r="E1556" s="12"/>
    </row>
    <row r="1558" spans="1:5" x14ac:dyDescent="0.3">
      <c r="A1558" s="11"/>
      <c r="B1558" s="11"/>
      <c r="C1558" s="11"/>
      <c r="D1558" s="12"/>
      <c r="E1558" s="12"/>
    </row>
    <row r="1559" spans="1:5" x14ac:dyDescent="0.3">
      <c r="A1559" s="11"/>
      <c r="B1559" s="11"/>
      <c r="C1559" s="11"/>
      <c r="D1559" s="12"/>
      <c r="E1559" s="12"/>
    </row>
    <row r="1564" spans="1:5" x14ac:dyDescent="0.3">
      <c r="A1564" s="11"/>
      <c r="B1564" s="11"/>
      <c r="C1564" s="11"/>
      <c r="D1564" s="12"/>
      <c r="E1564" s="12"/>
    </row>
    <row r="1565" spans="1:5" x14ac:dyDescent="0.3">
      <c r="A1565" s="11"/>
      <c r="B1565" s="11"/>
      <c r="C1565" s="11"/>
      <c r="D1565" s="12"/>
      <c r="E1565" s="12"/>
    </row>
    <row r="1573" spans="1:5" x14ac:dyDescent="0.3">
      <c r="A1573" s="11"/>
      <c r="B1573" s="11"/>
      <c r="C1573" s="11"/>
      <c r="D1573" s="12"/>
      <c r="E1573" s="12"/>
    </row>
    <row r="1574" spans="1:5" x14ac:dyDescent="0.3">
      <c r="A1574" s="11"/>
      <c r="B1574" s="11"/>
      <c r="C1574" s="11"/>
      <c r="D1574" s="12"/>
      <c r="E1574" s="12"/>
    </row>
    <row r="1575" spans="1:5" x14ac:dyDescent="0.3">
      <c r="A1575" s="11"/>
      <c r="B1575" s="11"/>
      <c r="C1575" s="11"/>
      <c r="D1575" s="12"/>
      <c r="E1575" s="12"/>
    </row>
    <row r="1576" spans="1:5" x14ac:dyDescent="0.3">
      <c r="A1576" s="11"/>
      <c r="B1576" s="11"/>
      <c r="C1576" s="11"/>
      <c r="D1576" s="12"/>
      <c r="E1576" s="12"/>
    </row>
    <row r="1577" spans="1:5" x14ac:dyDescent="0.3">
      <c r="A1577" s="11"/>
      <c r="B1577" s="11"/>
      <c r="C1577" s="11"/>
      <c r="D1577" s="12"/>
      <c r="E1577" s="12"/>
    </row>
    <row r="1580" spans="1:5" x14ac:dyDescent="0.3">
      <c r="A1580" s="11"/>
      <c r="B1580" s="11"/>
      <c r="C1580" s="11"/>
      <c r="D1580" s="12"/>
      <c r="E1580" s="12"/>
    </row>
    <row r="1581" spans="1:5" x14ac:dyDescent="0.3">
      <c r="A1581" s="11"/>
      <c r="B1581" s="11"/>
      <c r="C1581" s="11"/>
      <c r="D1581" s="12"/>
      <c r="E1581" s="12"/>
    </row>
    <row r="1582" spans="1:5" x14ac:dyDescent="0.3">
      <c r="A1582" s="11"/>
      <c r="B1582" s="11"/>
      <c r="C1582" s="11"/>
      <c r="D1582" s="12"/>
      <c r="E1582" s="12"/>
    </row>
    <row r="1583" spans="1:5" x14ac:dyDescent="0.3">
      <c r="A1583" s="11"/>
      <c r="B1583" s="11"/>
      <c r="C1583" s="11"/>
      <c r="D1583" s="12"/>
      <c r="E1583" s="12"/>
    </row>
    <row r="1584" spans="1:5" x14ac:dyDescent="0.3">
      <c r="A1584" s="11"/>
      <c r="B1584" s="11"/>
      <c r="C1584" s="11"/>
      <c r="D1584" s="12"/>
      <c r="E1584" s="12"/>
    </row>
    <row r="1585" spans="1:5" x14ac:dyDescent="0.3">
      <c r="A1585" s="11"/>
      <c r="B1585" s="11"/>
      <c r="C1585" s="11"/>
      <c r="D1585" s="12"/>
      <c r="E1585" s="12"/>
    </row>
  </sheetData>
  <sortState ref="A2:E10002">
    <sortCondition ref="B2:B1000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02"/>
  <sheetViews>
    <sheetView topLeftCell="A1559" workbookViewId="0"/>
  </sheetViews>
  <sheetFormatPr defaultColWidth="8.88671875" defaultRowHeight="14.4" x14ac:dyDescent="0.3"/>
  <cols>
    <col min="1" max="1" width="17" customWidth="1"/>
    <col min="2" max="4" width="18.88671875" customWidth="1"/>
    <col min="5" max="6" width="16.88671875" style="10" customWidth="1"/>
    <col min="7" max="7" width="12.88671875" customWidth="1"/>
    <col min="9" max="10" width="19.88671875" customWidth="1"/>
    <col min="11" max="11" width="14.6640625" customWidth="1"/>
  </cols>
  <sheetData>
    <row r="1" spans="1:11" x14ac:dyDescent="0.3">
      <c r="A1" s="8" t="s">
        <v>30</v>
      </c>
      <c r="B1" s="8" t="s">
        <v>31</v>
      </c>
      <c r="C1" s="8" t="s">
        <v>32</v>
      </c>
      <c r="D1" s="8" t="s">
        <v>33</v>
      </c>
      <c r="E1" s="8" t="s">
        <v>29</v>
      </c>
      <c r="F1" s="8" t="s">
        <v>10</v>
      </c>
      <c r="H1" s="8" t="s">
        <v>44</v>
      </c>
      <c r="I1" s="8" t="s">
        <v>45</v>
      </c>
      <c r="J1" s="18" t="s">
        <v>46</v>
      </c>
      <c r="K1" s="5" t="s">
        <v>43</v>
      </c>
    </row>
    <row r="2" spans="1:11" s="11" customFormat="1" x14ac:dyDescent="0.3">
      <c r="A2" s="11">
        <v>1</v>
      </c>
      <c r="B2" s="11">
        <v>1.4637783003016935</v>
      </c>
      <c r="C2" s="11">
        <v>1.4142135623730951</v>
      </c>
      <c r="D2" s="11">
        <v>0.99596370390071076</v>
      </c>
      <c r="E2" s="12">
        <v>0</v>
      </c>
      <c r="F2" s="12">
        <v>0</v>
      </c>
      <c r="H2" s="11">
        <v>49.019834328684382</v>
      </c>
      <c r="I2" s="11">
        <f>B2-C2</f>
        <v>4.956473792859839E-2</v>
      </c>
      <c r="J2" s="11">
        <f>1/(H2*Utilities!$B$11)</f>
        <v>8.1599622984840761E-2</v>
      </c>
      <c r="K2" s="11">
        <f>IF(B2&lt;C2,1,EXP(-1*(B2-C2)/(Utilities!$B$11*IterData!H2)))</f>
        <v>0.99596370390071076</v>
      </c>
    </row>
    <row r="3" spans="1:11" s="11" customFormat="1" x14ac:dyDescent="0.3">
      <c r="A3" s="11">
        <v>2</v>
      </c>
      <c r="B3" s="11">
        <v>4.7232564754501718</v>
      </c>
      <c r="C3" s="11">
        <v>1.4637783003016935</v>
      </c>
      <c r="D3" s="11">
        <v>0.76239591481594948</v>
      </c>
      <c r="E3" s="12">
        <v>6.1670241843311463E-2</v>
      </c>
      <c r="F3" s="12">
        <v>0.52743488809894157</v>
      </c>
      <c r="H3" s="11">
        <v>48.059077238039997</v>
      </c>
      <c r="I3" s="11">
        <f t="shared" ref="I3:I66" si="0">B3-C3</f>
        <v>3.2594781751484785</v>
      </c>
      <c r="J3" s="11">
        <f>1/(H3*Utilities!$B$11)</f>
        <v>8.3230894762871085E-2</v>
      </c>
      <c r="K3" s="11">
        <f>IF(B3&lt;C3,1,EXP(-1*(B3-C3)/(Utilities!$B$11*IterData!H3)))</f>
        <v>0.76239591481594948</v>
      </c>
    </row>
    <row r="4" spans="1:11" s="11" customFormat="1" x14ac:dyDescent="0.3">
      <c r="A4" s="11">
        <v>3</v>
      </c>
      <c r="B4" s="11">
        <v>3.4731890687558362</v>
      </c>
      <c r="C4" s="11">
        <v>1.4637783003016935</v>
      </c>
      <c r="D4" s="11">
        <v>0.84316907494929361</v>
      </c>
      <c r="E4" s="12">
        <v>6.1670241843311463E-2</v>
      </c>
      <c r="F4" s="12">
        <v>0.52743488809894157</v>
      </c>
      <c r="H4" s="11">
        <v>47.117344412420309</v>
      </c>
      <c r="I4" s="11">
        <f t="shared" si="0"/>
        <v>2.0094107684541429</v>
      </c>
      <c r="J4" s="11">
        <f>1/(H4*Utilities!$B$11)</f>
        <v>8.4894427941180503E-2</v>
      </c>
      <c r="K4" s="11">
        <f>IF(B4&lt;C4,1,EXP(-1*(B4-C4)/(Utilities!$B$11*IterData!H4)))</f>
        <v>0.84316907494929361</v>
      </c>
    </row>
    <row r="5" spans="1:11" s="11" customFormat="1" x14ac:dyDescent="0.3">
      <c r="A5" s="11">
        <v>4</v>
      </c>
      <c r="B5" s="11">
        <v>5.1624408800153212</v>
      </c>
      <c r="C5" s="11">
        <v>3.4731890687558362</v>
      </c>
      <c r="D5" s="11">
        <v>0.86392117741596985</v>
      </c>
      <c r="E5" s="12">
        <v>1.0407744159664372E-2</v>
      </c>
      <c r="F5" s="12">
        <v>0.71867591808276754</v>
      </c>
      <c r="H5" s="11">
        <v>46.194259146138471</v>
      </c>
      <c r="I5" s="11">
        <f t="shared" si="0"/>
        <v>1.689251811259485</v>
      </c>
      <c r="J5" s="11">
        <f>1/(H5*Utilities!$B$11)</f>
        <v>8.659084643712428E-2</v>
      </c>
      <c r="K5" s="11">
        <f>IF(B5&lt;C5,1,EXP(-1*(B5-C5)/(Utilities!$B$11*IterData!H5)))</f>
        <v>0.86392117741596985</v>
      </c>
    </row>
    <row r="6" spans="1:11" s="11" customFormat="1" x14ac:dyDescent="0.3">
      <c r="A6" s="11">
        <v>5</v>
      </c>
      <c r="B6" s="11">
        <v>0.34165653404782498</v>
      </c>
      <c r="C6" s="11">
        <v>5.1624408800153212</v>
      </c>
      <c r="D6" s="11">
        <v>1</v>
      </c>
      <c r="E6" s="12">
        <v>5.8320499139183121E-2</v>
      </c>
      <c r="F6" s="12">
        <v>5.0678376069918207E-2</v>
      </c>
      <c r="H6" s="11">
        <v>45.289452192779997</v>
      </c>
      <c r="I6" s="11">
        <f t="shared" si="0"/>
        <v>-4.8207843459674962</v>
      </c>
      <c r="J6" s="11">
        <f>1/(H6*Utilities!$B$11)</f>
        <v>8.8320785664916399E-2</v>
      </c>
      <c r="K6" s="11">
        <f>IF(B6&lt;C6,1,EXP(-1*(B6-C6)/(Utilities!$B$11*IterData!H6)))</f>
        <v>1</v>
      </c>
    </row>
    <row r="7" spans="1:11" s="11" customFormat="1" x14ac:dyDescent="0.3">
      <c r="A7" s="11">
        <v>6</v>
      </c>
      <c r="B7" s="11">
        <v>0.79445301006073332</v>
      </c>
      <c r="C7" s="11">
        <v>0.34165653404782498</v>
      </c>
      <c r="D7" s="11">
        <v>0.96003059813816749</v>
      </c>
      <c r="E7" s="12">
        <v>6.7588143435357587E-2</v>
      </c>
      <c r="F7" s="12">
        <v>0.71715171338880357</v>
      </c>
      <c r="H7" s="11">
        <v>44.402561617499295</v>
      </c>
      <c r="I7" s="11">
        <f t="shared" si="0"/>
        <v>0.45279647601290834</v>
      </c>
      <c r="J7" s="11">
        <f>1/(H7*Utilities!$B$11)</f>
        <v>9.0084892724377821E-2</v>
      </c>
      <c r="K7" s="11">
        <f>IF(B7&lt;C7,1,EXP(-1*(B7-C7)/(Utilities!$B$11*IterData!H7)))</f>
        <v>0.96003059813816749</v>
      </c>
    </row>
    <row r="8" spans="1:11" s="11" customFormat="1" x14ac:dyDescent="0.3">
      <c r="A8" s="11">
        <v>7</v>
      </c>
      <c r="B8" s="11">
        <v>1.9965511085686274</v>
      </c>
      <c r="C8" s="11">
        <v>0.79445301006073332</v>
      </c>
      <c r="D8" s="11">
        <v>0.8954280801355945</v>
      </c>
      <c r="E8" s="12">
        <v>8.1912489305198607E-2</v>
      </c>
      <c r="F8" s="12">
        <v>0.86718748603333373</v>
      </c>
      <c r="H8" s="11">
        <v>43.533232652240891</v>
      </c>
      <c r="I8" s="11">
        <f t="shared" si="0"/>
        <v>1.2020980985078942</v>
      </c>
      <c r="J8" s="11">
        <f>1/(H8*Utilities!$B$11)</f>
        <v>9.1883826591823259E-2</v>
      </c>
      <c r="K8" s="11">
        <f>IF(B8&lt;C8,1,EXP(-1*(B8-C8)/(Utilities!$B$11*IterData!H8)))</f>
        <v>0.8954280801355945</v>
      </c>
    </row>
    <row r="9" spans="1:11" s="11" customFormat="1" x14ac:dyDescent="0.3">
      <c r="A9" s="11">
        <v>8</v>
      </c>
      <c r="B9" s="11">
        <v>4.5641382892100637</v>
      </c>
      <c r="C9" s="11">
        <v>1.9965511085686274</v>
      </c>
      <c r="D9" s="11">
        <v>0.78613259988586182</v>
      </c>
      <c r="E9" s="12">
        <v>8.1024087911027998E-2</v>
      </c>
      <c r="F9" s="12">
        <v>0.41058552334083237</v>
      </c>
      <c r="H9" s="11">
        <v>42.681117553827463</v>
      </c>
      <c r="I9" s="11">
        <f t="shared" si="0"/>
        <v>2.5675871806414365</v>
      </c>
      <c r="J9" s="11">
        <f>1/(H9*Utilities!$B$11)</f>
        <v>9.371825831306746E-2</v>
      </c>
      <c r="K9" s="11">
        <f>IF(B9&lt;C9,1,EXP(-1*(B9-C9)/(Utilities!$B$11*IterData!H9)))</f>
        <v>0.78613259988586182</v>
      </c>
    </row>
    <row r="10" spans="1:11" s="11" customFormat="1" x14ac:dyDescent="0.3">
      <c r="A10" s="11">
        <v>9</v>
      </c>
      <c r="B10" s="11">
        <v>3.5258802789417496</v>
      </c>
      <c r="C10" s="11">
        <v>4.5641382892100637</v>
      </c>
      <c r="D10" s="11">
        <v>1</v>
      </c>
      <c r="E10" s="12">
        <v>6.8609206006849263E-2</v>
      </c>
      <c r="F10" s="12">
        <v>0.14075666865154496</v>
      </c>
      <c r="H10" s="11">
        <v>41.845875464857961</v>
      </c>
      <c r="I10" s="11">
        <f t="shared" si="0"/>
        <v>-1.0382580102683141</v>
      </c>
      <c r="J10" s="11">
        <f>1/(H10*Utilities!$B$11)</f>
        <v>9.5588871198529185E-2</v>
      </c>
      <c r="K10" s="11">
        <f>IF(B10&lt;C10,1,EXP(-1*(B10-C10)/(Utilities!$B$11*IterData!H10)))</f>
        <v>1</v>
      </c>
    </row>
    <row r="11" spans="1:11" s="11" customFormat="1" x14ac:dyDescent="0.3">
      <c r="A11" s="11">
        <v>10</v>
      </c>
      <c r="B11" s="11">
        <v>3.2910791364211347</v>
      </c>
      <c r="C11" s="11">
        <v>3.5258802789417496</v>
      </c>
      <c r="D11" s="11">
        <v>1</v>
      </c>
      <c r="E11" s="12">
        <v>4.8708931309188165E-2</v>
      </c>
      <c r="F11" s="12">
        <v>0.36350958451276283</v>
      </c>
      <c r="H11" s="11">
        <v>41.027172277360101</v>
      </c>
      <c r="I11" s="11">
        <f t="shared" si="0"/>
        <v>-0.2348011425206149</v>
      </c>
      <c r="J11" s="11">
        <f>1/(H11*Utilities!$B$11)</f>
        <v>9.7496361020408609E-2</v>
      </c>
      <c r="K11" s="11">
        <f>IF(B11&lt;C11,1,EXP(-1*(B11-C11)/(Utilities!$B$11*IterData!H11)))</f>
        <v>1</v>
      </c>
    </row>
    <row r="12" spans="1:11" s="11" customFormat="1" x14ac:dyDescent="0.3">
      <c r="A12" s="11">
        <v>11</v>
      </c>
      <c r="B12" s="11">
        <v>0.527283844186762</v>
      </c>
      <c r="C12" s="11">
        <v>3.2910791364211347</v>
      </c>
      <c r="D12" s="11">
        <v>1</v>
      </c>
      <c r="E12" s="12">
        <v>6.0942715566954055E-2</v>
      </c>
      <c r="F12" s="12">
        <v>0.33971795443985392</v>
      </c>
      <c r="H12" s="11">
        <v>40.224680499142686</v>
      </c>
      <c r="I12" s="11">
        <f t="shared" si="0"/>
        <v>-2.7637952922343727</v>
      </c>
      <c r="J12" s="11">
        <f>1/(H12*Utilities!$B$11)</f>
        <v>9.9441436211911052E-2</v>
      </c>
      <c r="K12" s="11">
        <f>IF(B12&lt;C12,1,EXP(-1*(B12-C12)/(Utilities!$B$11*IterData!H12)))</f>
        <v>1</v>
      </c>
    </row>
    <row r="13" spans="1:11" s="11" customFormat="1" x14ac:dyDescent="0.3">
      <c r="A13" s="11">
        <v>12</v>
      </c>
      <c r="B13" s="11">
        <v>0.91560953630468067</v>
      </c>
      <c r="C13" s="11">
        <v>0.527283844186762</v>
      </c>
      <c r="D13" s="11">
        <v>0.96137967703397476</v>
      </c>
      <c r="E13" s="12">
        <v>7.307822667277375E-2</v>
      </c>
      <c r="F13" s="12">
        <v>0.8231788694956127</v>
      </c>
      <c r="H13" s="11">
        <v>39.438079122794399</v>
      </c>
      <c r="I13" s="11">
        <f t="shared" si="0"/>
        <v>0.38832569211791867</v>
      </c>
      <c r="J13" s="11">
        <f>1/(H13*Utilities!$B$11)</f>
        <v>0.10142481806848656</v>
      </c>
      <c r="K13" s="11">
        <f>IF(B13&lt;C13,1,EXP(-1*(B13-C13)/(Utilities!$B$11*IterData!H13)))</f>
        <v>0.96137967703397476</v>
      </c>
    </row>
    <row r="14" spans="1:11" s="11" customFormat="1" x14ac:dyDescent="0.3">
      <c r="A14" s="11">
        <v>13</v>
      </c>
      <c r="B14" s="11">
        <v>0.83232510207551191</v>
      </c>
      <c r="C14" s="11">
        <v>0.91560953630468067</v>
      </c>
      <c r="D14" s="11">
        <v>1</v>
      </c>
      <c r="E14" s="12">
        <v>8.3268394819415323E-2</v>
      </c>
      <c r="F14" s="12">
        <v>0.89546481694069324</v>
      </c>
      <c r="H14" s="11">
        <v>38.667053497276527</v>
      </c>
      <c r="I14" s="11">
        <f t="shared" si="0"/>
        <v>-8.3284434229168758E-2</v>
      </c>
      <c r="J14" s="11">
        <f>1/(H14*Utilities!$B$11)</f>
        <v>0.10344724095105244</v>
      </c>
      <c r="K14" s="11">
        <f>IF(B14&lt;C14,1,EXP(-1*(B14-C14)/(Utilities!$B$11*IterData!H14)))</f>
        <v>1</v>
      </c>
    </row>
    <row r="15" spans="1:11" s="11" customFormat="1" x14ac:dyDescent="0.3">
      <c r="A15" s="11">
        <v>14</v>
      </c>
      <c r="B15" s="11">
        <v>4.3062984025472915</v>
      </c>
      <c r="C15" s="11">
        <v>0.83232510207551191</v>
      </c>
      <c r="D15" s="11">
        <v>0.6931304756923643</v>
      </c>
      <c r="E15" s="12">
        <v>6.4590160058159249E-2</v>
      </c>
      <c r="F15" s="12">
        <v>0.95150281957653704</v>
      </c>
      <c r="H15" s="11">
        <v>37.911295202058412</v>
      </c>
      <c r="I15" s="11">
        <f t="shared" si="0"/>
        <v>3.4739733004717794</v>
      </c>
      <c r="J15" s="11">
        <f>1/(H15*Utilities!$B$11)</f>
        <v>0.105509452491162</v>
      </c>
      <c r="K15" s="11">
        <f>IF(B15&lt;C15,1,EXP(-1*(B15-C15)/(Utilities!$B$11*IterData!H15)))</f>
        <v>0.6931304756923643</v>
      </c>
    </row>
    <row r="16" spans="1:11" s="11" customFormat="1" x14ac:dyDescent="0.3">
      <c r="A16" s="11">
        <v>15</v>
      </c>
      <c r="B16" s="11">
        <v>4.498075494408881</v>
      </c>
      <c r="C16" s="11">
        <v>0.83232510207551191</v>
      </c>
      <c r="D16" s="11">
        <v>0.67403077090503627</v>
      </c>
      <c r="E16" s="12">
        <v>6.4590160058159249E-2</v>
      </c>
      <c r="F16" s="12">
        <v>0.95150281957653704</v>
      </c>
      <c r="H16" s="11">
        <v>37.170501923745036</v>
      </c>
      <c r="I16" s="11">
        <f t="shared" si="0"/>
        <v>3.665750392333369</v>
      </c>
      <c r="J16" s="11">
        <f>1/(H16*Utilities!$B$11)</f>
        <v>0.10761221379808014</v>
      </c>
      <c r="K16" s="11">
        <f>IF(B16&lt;C16,1,EXP(-1*(B16-C16)/(Utilities!$B$11*IterData!H16)))</f>
        <v>0.67403077090503627</v>
      </c>
    </row>
    <row r="17" spans="1:11" s="11" customFormat="1" x14ac:dyDescent="0.3">
      <c r="A17" s="11">
        <v>16</v>
      </c>
      <c r="B17" s="11">
        <v>5.0427832777781898</v>
      </c>
      <c r="C17" s="11">
        <v>4.498075494408881</v>
      </c>
      <c r="D17" s="11">
        <v>0.94196693044865853</v>
      </c>
      <c r="E17" s="12">
        <v>6.3729526692563904E-2</v>
      </c>
      <c r="F17" s="12">
        <v>0.1687912894200333</v>
      </c>
      <c r="H17" s="11">
        <v>36.444377335147699</v>
      </c>
      <c r="I17" s="11">
        <f t="shared" si="0"/>
        <v>0.54470778336930881</v>
      </c>
      <c r="J17" s="11">
        <f>1/(H17*Utilities!$B$11)</f>
        <v>0.10975629966772182</v>
      </c>
      <c r="K17" s="11">
        <f>IF(B17&lt;C17,1,EXP(-1*(B17-C17)/(Utilities!$B$11*IterData!H17)))</f>
        <v>0.94196693044865853</v>
      </c>
    </row>
    <row r="18" spans="1:11" s="11" customFormat="1" x14ac:dyDescent="0.3">
      <c r="A18" s="11">
        <v>17</v>
      </c>
      <c r="B18" s="11">
        <v>4.8542506121245204</v>
      </c>
      <c r="C18" s="11">
        <v>5.0427832777781898</v>
      </c>
      <c r="D18" s="11">
        <v>1</v>
      </c>
      <c r="E18" s="12">
        <v>2.8258465468639193E-2</v>
      </c>
      <c r="F18" s="12">
        <v>0.24653048636302791</v>
      </c>
      <c r="H18" s="11">
        <v>35.732630976749178</v>
      </c>
      <c r="I18" s="11">
        <f t="shared" si="0"/>
        <v>-0.18853266565366944</v>
      </c>
      <c r="J18" s="11">
        <f>1/(H18*Utilities!$B$11)</f>
        <v>0.11194249879340692</v>
      </c>
      <c r="K18" s="11">
        <f>IF(B18&lt;C18,1,EXP(-1*(B18-C18)/(Utilities!$B$11*IterData!H18)))</f>
        <v>1</v>
      </c>
    </row>
    <row r="19" spans="1:11" s="11" customFormat="1" x14ac:dyDescent="0.3">
      <c r="A19" s="11">
        <v>18</v>
      </c>
      <c r="B19" s="11">
        <v>3.1702925782644966</v>
      </c>
      <c r="C19" s="11">
        <v>4.8542506121245204</v>
      </c>
      <c r="D19" s="11">
        <v>1</v>
      </c>
      <c r="E19" s="12">
        <v>4.0105550163591644E-2</v>
      </c>
      <c r="F19" s="12">
        <v>0.20842239048508215</v>
      </c>
      <c r="H19" s="11">
        <v>35.034978140516039</v>
      </c>
      <c r="I19" s="11">
        <f t="shared" si="0"/>
        <v>-1.6839580338600237</v>
      </c>
      <c r="J19" s="11">
        <f>1/(H19*Utilities!$B$11)</f>
        <v>0.1141716139783806</v>
      </c>
      <c r="K19" s="11">
        <f>IF(B19&lt;C19,1,EXP(-1*(B19-C19)/(Utilities!$B$11*IterData!H19)))</f>
        <v>1</v>
      </c>
    </row>
    <row r="20" spans="1:11" s="11" customFormat="1" x14ac:dyDescent="0.3">
      <c r="A20" s="11">
        <v>19</v>
      </c>
      <c r="B20" s="11">
        <v>1.1775983019963205</v>
      </c>
      <c r="C20" s="11">
        <v>3.1702925782644966</v>
      </c>
      <c r="D20" s="11">
        <v>1</v>
      </c>
      <c r="E20" s="12">
        <v>4.6434872075418229E-2</v>
      </c>
      <c r="F20" s="12">
        <v>0.41440810383689669</v>
      </c>
      <c r="H20" s="11">
        <v>34.351139756011612</v>
      </c>
      <c r="I20" s="11">
        <f t="shared" si="0"/>
        <v>-1.9926942762681761</v>
      </c>
      <c r="J20" s="11">
        <f>1/(H20*Utilities!$B$11)</f>
        <v>0.11644446235004419</v>
      </c>
      <c r="K20" s="11">
        <f>IF(B20&lt;C20,1,EXP(-1*(B20-C20)/(Utilities!$B$11*IterData!H20)))</f>
        <v>1</v>
      </c>
    </row>
    <row r="21" spans="1:11" s="11" customFormat="1" x14ac:dyDescent="0.3">
      <c r="A21" s="11">
        <v>20</v>
      </c>
      <c r="B21" s="11">
        <v>4.450766768145602</v>
      </c>
      <c r="C21" s="11">
        <v>1.1775983019963205</v>
      </c>
      <c r="D21" s="11">
        <v>0.67791889227170121</v>
      </c>
      <c r="E21" s="12">
        <v>8.2561944566826431E-2</v>
      </c>
      <c r="F21" s="12">
        <v>0.49635338624084624</v>
      </c>
      <c r="H21" s="11">
        <v>33.680842278764146</v>
      </c>
      <c r="I21" s="11">
        <f t="shared" si="0"/>
        <v>3.2731684661492815</v>
      </c>
      <c r="J21" s="11">
        <f>1/(H21*Utilities!$B$11)</f>
        <v>0.11876187557583766</v>
      </c>
      <c r="K21" s="11">
        <f>IF(B21&lt;C21,1,EXP(-1*(B21-C21)/(Utilities!$B$11*IterData!H21)))</f>
        <v>0.67791889227170121</v>
      </c>
    </row>
    <row r="22" spans="1:11" s="11" customFormat="1" x14ac:dyDescent="0.3">
      <c r="A22" s="11">
        <v>21</v>
      </c>
      <c r="B22" s="11">
        <v>2.0949030492444001</v>
      </c>
      <c r="C22" s="11">
        <v>4.450766768145602</v>
      </c>
      <c r="D22" s="11">
        <v>1</v>
      </c>
      <c r="E22" s="12">
        <v>3.4025215120426423E-2</v>
      </c>
      <c r="F22" s="12">
        <v>0.31929718500483018</v>
      </c>
      <c r="H22" s="11">
        <v>33.023817580845311</v>
      </c>
      <c r="I22" s="11">
        <f t="shared" si="0"/>
        <v>-2.3558637189012019</v>
      </c>
      <c r="J22" s="11">
        <f>1/(H22*Utilities!$B$11)</f>
        <v>0.12112470008071102</v>
      </c>
      <c r="K22" s="11">
        <f>IF(B22&lt;C22,1,EXP(-1*(B22-C22)/(Utilities!$B$11*IterData!H22)))</f>
        <v>1</v>
      </c>
    </row>
    <row r="23" spans="1:11" s="11" customFormat="1" x14ac:dyDescent="0.3">
      <c r="A23" s="11">
        <v>22</v>
      </c>
      <c r="B23" s="11">
        <v>0.81644003888938799</v>
      </c>
      <c r="C23" s="11">
        <v>2.0949030492444001</v>
      </c>
      <c r="D23" s="11">
        <v>1</v>
      </c>
      <c r="E23" s="12">
        <v>4.9124049265545033E-2</v>
      </c>
      <c r="F23" s="12">
        <v>0.51243299836922462</v>
      </c>
      <c r="H23" s="11">
        <v>32.379802843615501</v>
      </c>
      <c r="I23" s="11">
        <f t="shared" si="0"/>
        <v>-1.2784630103550121</v>
      </c>
      <c r="J23" s="11">
        <f>1/(H23*Utilities!$B$11)</f>
        <v>0.12353379726611589</v>
      </c>
      <c r="K23" s="11">
        <f>IF(B23&lt;C23,1,EXP(-1*(B23-C23)/(Utilities!$B$11*IterData!H23)))</f>
        <v>1</v>
      </c>
    </row>
    <row r="24" spans="1:11" s="11" customFormat="1" x14ac:dyDescent="0.3">
      <c r="A24" s="11">
        <v>23</v>
      </c>
      <c r="B24" s="11">
        <v>1.4422760078498964</v>
      </c>
      <c r="C24" s="11">
        <v>0.81644003888938799</v>
      </c>
      <c r="D24" s="11">
        <v>0.92417937157657026</v>
      </c>
      <c r="E24" s="12">
        <v>4.4583416307008315E-2</v>
      </c>
      <c r="F24" s="12">
        <v>0.67903177509372292</v>
      </c>
      <c r="H24" s="11">
        <v>31.748540452592835</v>
      </c>
      <c r="I24" s="11">
        <f t="shared" si="0"/>
        <v>0.62583596896050842</v>
      </c>
      <c r="J24" s="11">
        <f>1/(H24*Utilities!$B$11)</f>
        <v>0.12599004373044584</v>
      </c>
      <c r="K24" s="11">
        <f>IF(B24&lt;C24,1,EXP(-1*(B24-C24)/(Utilities!$B$11*IterData!H24)))</f>
        <v>0.92417937157657026</v>
      </c>
    </row>
    <row r="25" spans="1:11" s="11" customFormat="1" x14ac:dyDescent="0.3">
      <c r="A25" s="11">
        <v>24</v>
      </c>
      <c r="B25" s="11">
        <v>0.40203278483929489</v>
      </c>
      <c r="C25" s="11">
        <v>1.4422760078498964</v>
      </c>
      <c r="D25" s="11">
        <v>1</v>
      </c>
      <c r="E25" s="12">
        <v>3.691081280027813E-2</v>
      </c>
      <c r="F25" s="12">
        <v>0.64413765055490502</v>
      </c>
      <c r="H25" s="11">
        <v>31.129777894403972</v>
      </c>
      <c r="I25" s="11">
        <f t="shared" si="0"/>
        <v>-1.0402432230106016</v>
      </c>
      <c r="J25" s="11">
        <f>1/(H25*Utilities!$B$11)</f>
        <v>0.12849433149084749</v>
      </c>
      <c r="K25" s="11">
        <f>IF(B25&lt;C25,1,EXP(-1*(B25-C25)/(Utilities!$B$11*IterData!H25)))</f>
        <v>1</v>
      </c>
    </row>
    <row r="26" spans="1:11" s="11" customFormat="1" x14ac:dyDescent="0.3">
      <c r="A26" s="11">
        <v>25</v>
      </c>
      <c r="B26" s="11">
        <v>1.3999023707220624</v>
      </c>
      <c r="C26" s="11">
        <v>0.40203278483929489</v>
      </c>
      <c r="D26" s="11">
        <v>0.87742097680797992</v>
      </c>
      <c r="E26" s="12">
        <v>5.2774283071665325E-2</v>
      </c>
      <c r="F26" s="12">
        <v>0.87879306296970872</v>
      </c>
      <c r="H26" s="11">
        <v>30.523267655775353</v>
      </c>
      <c r="I26" s="11">
        <f t="shared" si="0"/>
        <v>0.99786958588276753</v>
      </c>
      <c r="J26" s="11">
        <f>1/(H26*Utilities!$B$11)</f>
        <v>0.1310475682063206</v>
      </c>
      <c r="K26" s="11">
        <f>IF(B26&lt;C26,1,EXP(-1*(B26-C26)/(Utilities!$B$11*IterData!H26)))</f>
        <v>0.87742097680797992</v>
      </c>
    </row>
    <row r="27" spans="1:11" s="11" customFormat="1" x14ac:dyDescent="0.3">
      <c r="A27" s="11">
        <v>26</v>
      </c>
      <c r="B27" s="11">
        <v>0.36517691115201834</v>
      </c>
      <c r="C27" s="11">
        <v>1.3999023707220624</v>
      </c>
      <c r="D27" s="11">
        <v>1</v>
      </c>
      <c r="E27" s="12">
        <v>7.1412272963767745E-2</v>
      </c>
      <c r="F27" s="12">
        <v>0.50209199854400599</v>
      </c>
      <c r="H27" s="11">
        <v>29.928767124524622</v>
      </c>
      <c r="I27" s="11">
        <f t="shared" si="0"/>
        <v>-1.0347254595700441</v>
      </c>
      <c r="J27" s="11">
        <f>1/(H27*Utilities!$B$11)</f>
        <v>0.13365067740201927</v>
      </c>
      <c r="K27" s="11">
        <f>IF(B27&lt;C27,1,EXP(-1*(B27-C27)/(Utilities!$B$11*IterData!H27)))</f>
        <v>1</v>
      </c>
    </row>
    <row r="28" spans="1:11" s="11" customFormat="1" x14ac:dyDescent="0.3">
      <c r="A28" s="11">
        <v>27</v>
      </c>
      <c r="B28" s="11">
        <v>3.8171764224743954</v>
      </c>
      <c r="C28" s="11">
        <v>0.36517691115201834</v>
      </c>
      <c r="D28" s="11">
        <v>0.62467522263899433</v>
      </c>
      <c r="E28" s="12">
        <v>7.8942264488581507E-2</v>
      </c>
      <c r="F28" s="12">
        <v>0.68388726520043241</v>
      </c>
      <c r="H28" s="11">
        <v>29.346038492512488</v>
      </c>
      <c r="I28" s="11">
        <f t="shared" si="0"/>
        <v>3.4519995113223771</v>
      </c>
      <c r="J28" s="11">
        <f>1/(H28*Utilities!$B$11)</f>
        <v>0.13630459869466138</v>
      </c>
      <c r="K28" s="11">
        <f>IF(B28&lt;C28,1,EXP(-1*(B28-C28)/(Utilities!$B$11*IterData!H28)))</f>
        <v>0.62467522263899433</v>
      </c>
    </row>
    <row r="29" spans="1:11" s="11" customFormat="1" x14ac:dyDescent="0.3">
      <c r="A29" s="11">
        <v>28</v>
      </c>
      <c r="B29" s="11">
        <v>0.62014057570128478</v>
      </c>
      <c r="C29" s="11">
        <v>3.8171764224743954</v>
      </c>
      <c r="D29" s="11">
        <v>1</v>
      </c>
      <c r="E29" s="12">
        <v>5.1947869818869417E-2</v>
      </c>
      <c r="F29" s="12">
        <v>0.31346365365248258</v>
      </c>
      <c r="H29" s="11">
        <v>28.774848660516337</v>
      </c>
      <c r="I29" s="11">
        <f t="shared" si="0"/>
        <v>-3.1970358467731108</v>
      </c>
      <c r="J29" s="11">
        <f>1/(H29*Utilities!$B$11)</f>
        <v>0.13901028801894744</v>
      </c>
      <c r="K29" s="11">
        <f>IF(B29&lt;C29,1,EXP(-1*(B29-C29)/(Utilities!$B$11*IterData!H29)))</f>
        <v>1</v>
      </c>
    </row>
    <row r="30" spans="1:11" s="11" customFormat="1" x14ac:dyDescent="0.3">
      <c r="A30" s="11">
        <v>29</v>
      </c>
      <c r="B30" s="11">
        <v>2.0035235992746303</v>
      </c>
      <c r="C30" s="11">
        <v>0.62014057570128478</v>
      </c>
      <c r="D30" s="11">
        <v>0.821913239496602</v>
      </c>
      <c r="E30" s="12">
        <v>6.6700062308056529E-2</v>
      </c>
      <c r="F30" s="12">
        <v>0.88081337453903574</v>
      </c>
      <c r="H30" s="11">
        <v>28.2149691449874</v>
      </c>
      <c r="I30" s="11">
        <f t="shared" si="0"/>
        <v>1.3833830235733455</v>
      </c>
      <c r="J30" s="11">
        <f>1/(H30*Utilities!$B$11)</f>
        <v>0.14176871785488485</v>
      </c>
      <c r="K30" s="11">
        <f>IF(B30&lt;C30,1,EXP(-1*(B30-C30)/(Utilities!$B$11*IterData!H30)))</f>
        <v>0.821913239496602</v>
      </c>
    </row>
    <row r="31" spans="1:11" s="11" customFormat="1" x14ac:dyDescent="0.3">
      <c r="A31" s="11">
        <v>30</v>
      </c>
      <c r="B31" s="11">
        <v>0.41786751418066642</v>
      </c>
      <c r="C31" s="11">
        <v>0.62014057570128478</v>
      </c>
      <c r="D31" s="11">
        <v>1</v>
      </c>
      <c r="E31" s="12">
        <v>6.6700062308056529E-2</v>
      </c>
      <c r="F31" s="12">
        <v>0.88081337453903574</v>
      </c>
      <c r="H31" s="11">
        <v>27.666175986654313</v>
      </c>
      <c r="I31" s="11">
        <f t="shared" si="0"/>
        <v>-0.20227306152061836</v>
      </c>
      <c r="J31" s="11">
        <f>1/(H31*Utilities!$B$11)</f>
        <v>0.14458087745590611</v>
      </c>
      <c r="K31" s="11">
        <f>IF(B31&lt;C31,1,EXP(-1*(B31-C31)/(Utilities!$B$11*IterData!H31)))</f>
        <v>1</v>
      </c>
    </row>
    <row r="32" spans="1:11" x14ac:dyDescent="0.3">
      <c r="A32">
        <v>31</v>
      </c>
      <c r="B32">
        <v>1.1551999492204783</v>
      </c>
      <c r="C32">
        <v>0.41786751418066642</v>
      </c>
      <c r="D32">
        <v>0.89698330820413941</v>
      </c>
      <c r="E32" s="10">
        <v>5.2842349805989001E-2</v>
      </c>
      <c r="F32" s="10">
        <v>0.72043500626345136</v>
      </c>
      <c r="H32">
        <v>27.128249660936387</v>
      </c>
      <c r="I32" s="11">
        <f t="shared" si="0"/>
        <v>0.73733243503981183</v>
      </c>
      <c r="J32" s="11">
        <f>1/(H32*Utilities!$B$11)</f>
        <v>0.14744777307766535</v>
      </c>
      <c r="K32" s="11">
        <f>IF(B32&lt;C32,1,EXP(-1*(B32-C32)/(Utilities!$B$11*IterData!H32)))</f>
        <v>0.89698330820413941</v>
      </c>
    </row>
    <row r="33" spans="1:11" x14ac:dyDescent="0.3">
      <c r="A33">
        <v>32</v>
      </c>
      <c r="B33">
        <v>2.5483451212866832</v>
      </c>
      <c r="C33">
        <v>1.1551999492204783</v>
      </c>
      <c r="D33">
        <v>0.8109995043072793</v>
      </c>
      <c r="E33" s="10">
        <v>5.750769525550542E-2</v>
      </c>
      <c r="F33" s="10">
        <v>0.57840350726010659</v>
      </c>
      <c r="H33">
        <v>26.600974990130904</v>
      </c>
      <c r="I33" s="11">
        <f t="shared" si="0"/>
        <v>1.3931451720662049</v>
      </c>
      <c r="J33" s="11">
        <f>1/(H33*Utilities!$B$11)</f>
        <v>0.15037042820738789</v>
      </c>
      <c r="K33" s="11">
        <f>IF(B33&lt;C33,1,EXP(-1*(B33-C33)/(Utilities!$B$11*IterData!H33)))</f>
        <v>0.8109995043072793</v>
      </c>
    </row>
    <row r="34" spans="1:11" x14ac:dyDescent="0.3">
      <c r="A34">
        <v>33</v>
      </c>
      <c r="B34">
        <v>0.36107210151953067</v>
      </c>
      <c r="C34">
        <v>2.5483451212866832</v>
      </c>
      <c r="D34">
        <v>1</v>
      </c>
      <c r="E34" s="10">
        <v>5.2016102507214043E-2</v>
      </c>
      <c r="F34" s="10">
        <v>0.45385643904086881</v>
      </c>
      <c r="H34">
        <v>26.08414105733911</v>
      </c>
      <c r="I34" s="11">
        <f t="shared" si="0"/>
        <v>-2.1872730197671526</v>
      </c>
      <c r="J34" s="11">
        <f>1/(H34*Utilities!$B$11)</f>
        <v>0.15334988379364511</v>
      </c>
      <c r="K34" s="11">
        <f>IF(B34&lt;C34,1,EXP(-1*(B34-C34)/(Utilities!$B$11*IterData!H34)))</f>
        <v>1</v>
      </c>
    </row>
    <row r="35" spans="1:11" x14ac:dyDescent="0.3">
      <c r="A35">
        <v>34</v>
      </c>
      <c r="B35">
        <v>1.8761187376966686</v>
      </c>
      <c r="C35">
        <v>0.36107210151953067</v>
      </c>
      <c r="D35">
        <v>0.78904344286009798</v>
      </c>
      <c r="E35" s="10">
        <v>4.3930105174834158E-2</v>
      </c>
      <c r="F35" s="10">
        <v>0.91903522334298604</v>
      </c>
      <c r="H35">
        <v>25.577541122096683</v>
      </c>
      <c r="I35" s="11">
        <f t="shared" si="0"/>
        <v>1.515046636177138</v>
      </c>
      <c r="J35" s="11">
        <f>1/(H35*Utilities!$B$11)</f>
        <v>0.156387198476415</v>
      </c>
      <c r="K35" s="11">
        <f>IF(B35&lt;C35,1,EXP(-1*(B35-C35)/(Utilities!$B$11*IterData!H35)))</f>
        <v>0.78904344286009798</v>
      </c>
    </row>
    <row r="36" spans="1:11" x14ac:dyDescent="0.3">
      <c r="A36">
        <v>35</v>
      </c>
      <c r="B36">
        <v>1.7256863933697941</v>
      </c>
      <c r="C36">
        <v>1.8761187376966686</v>
      </c>
      <c r="D36">
        <v>1</v>
      </c>
      <c r="E36" s="10">
        <v>5.1779259125984231E-2</v>
      </c>
      <c r="F36" s="10">
        <v>0.52285289872204577</v>
      </c>
      <c r="H36">
        <v>25.080972537674768</v>
      </c>
      <c r="I36" s="11">
        <f t="shared" si="0"/>
        <v>-0.15043234432687447</v>
      </c>
      <c r="J36" s="11">
        <f>1/(H36*Utilities!$B$11)</f>
        <v>0.15948344881728563</v>
      </c>
      <c r="K36" s="11">
        <f>IF(B36&lt;C36,1,EXP(-1*(B36-C36)/(Utilities!$B$11*IterData!H36)))</f>
        <v>1</v>
      </c>
    </row>
    <row r="37" spans="1:11" x14ac:dyDescent="0.3">
      <c r="A37">
        <v>36</v>
      </c>
      <c r="B37">
        <v>0.58187168453280935</v>
      </c>
      <c r="C37">
        <v>1.7256863933697941</v>
      </c>
      <c r="D37">
        <v>1</v>
      </c>
      <c r="E37" s="10">
        <v>4.0101810375295421E-2</v>
      </c>
      <c r="F37" s="10">
        <v>0.59555557403583936</v>
      </c>
      <c r="H37">
        <v>24.594236670018599</v>
      </c>
      <c r="I37" s="11">
        <f t="shared" si="0"/>
        <v>-1.1438147088369848</v>
      </c>
      <c r="J37" s="11">
        <f>1/(H37*Utilities!$B$11)</f>
        <v>0.162639729529649</v>
      </c>
      <c r="K37" s="11">
        <f>IF(B37&lt;C37,1,EXP(-1*(B37-C37)/(Utilities!$B$11*IterData!H37)))</f>
        <v>1</v>
      </c>
    </row>
    <row r="38" spans="1:11" x14ac:dyDescent="0.3">
      <c r="A38">
        <v>37</v>
      </c>
      <c r="B38">
        <v>0.3687951100067085</v>
      </c>
      <c r="C38">
        <v>0.58187168453280935</v>
      </c>
      <c r="D38">
        <v>1</v>
      </c>
      <c r="E38" s="10">
        <v>6.4296997486819427E-2</v>
      </c>
      <c r="F38" s="10">
        <v>0.64035340245252603</v>
      </c>
      <c r="H38">
        <v>24.117138818291203</v>
      </c>
      <c r="I38" s="11">
        <f t="shared" si="0"/>
        <v>-0.21307657452610085</v>
      </c>
      <c r="J38" s="11">
        <f>1/(H38*Utilities!$B$11)</f>
        <v>0.16585715370872572</v>
      </c>
      <c r="K38" s="11">
        <f>IF(B38&lt;C38,1,EXP(-1*(B38-C38)/(Utilities!$B$11*IterData!H38)))</f>
        <v>1</v>
      </c>
    </row>
    <row r="39" spans="1:11" x14ac:dyDescent="0.3">
      <c r="A39">
        <v>38</v>
      </c>
      <c r="B39">
        <v>3.2551088368112957</v>
      </c>
      <c r="C39">
        <v>0.3687951100067085</v>
      </c>
      <c r="D39">
        <v>0.61374114928197221</v>
      </c>
      <c r="E39" s="10">
        <v>7.9895943120159754E-2</v>
      </c>
      <c r="F39" s="10">
        <v>0.71208207013944291</v>
      </c>
      <c r="H39">
        <v>23.649488136990506</v>
      </c>
      <c r="I39" s="11">
        <f t="shared" si="0"/>
        <v>2.8863137268045871</v>
      </c>
      <c r="J39" s="11">
        <f>1/(H39*Utilities!$B$11)</f>
        <v>0.16913685306125262</v>
      </c>
      <c r="K39" s="11">
        <f>IF(B39&lt;C39,1,EXP(-1*(B39-C39)/(Utilities!$B$11*IterData!H39)))</f>
        <v>0.61374114928197221</v>
      </c>
    </row>
    <row r="40" spans="1:11" x14ac:dyDescent="0.3">
      <c r="A40">
        <v>39</v>
      </c>
      <c r="B40">
        <v>0.30587767576577057</v>
      </c>
      <c r="C40">
        <v>0.3687951100067085</v>
      </c>
      <c r="D40">
        <v>1</v>
      </c>
      <c r="E40" s="10">
        <v>7.9895943120159754E-2</v>
      </c>
      <c r="F40" s="10">
        <v>0.71208207013944291</v>
      </c>
      <c r="H40">
        <v>23.191097559608565</v>
      </c>
      <c r="I40" s="11">
        <f t="shared" si="0"/>
        <v>-6.2917434240937931E-2</v>
      </c>
      <c r="J40" s="11">
        <f>1/(H40*Utilities!$B$11)</f>
        <v>0.17247997813465776</v>
      </c>
      <c r="K40" s="11">
        <f>IF(B40&lt;C40,1,EXP(-1*(B40-C40)/(Utilities!$B$11*IterData!H40)))</f>
        <v>1</v>
      </c>
    </row>
    <row r="41" spans="1:11" x14ac:dyDescent="0.3">
      <c r="A41">
        <v>40</v>
      </c>
      <c r="B41">
        <v>2.9089217509263516</v>
      </c>
      <c r="C41">
        <v>0.30587767576577057</v>
      </c>
      <c r="D41">
        <v>0.63264652091175533</v>
      </c>
      <c r="E41" s="10">
        <v>5.6401105514286676E-2</v>
      </c>
      <c r="F41" s="10">
        <v>0.77444281574300389</v>
      </c>
      <c r="H41">
        <v>22.741783723802467</v>
      </c>
      <c r="I41" s="11">
        <f t="shared" si="0"/>
        <v>2.603044075160581</v>
      </c>
      <c r="J41" s="11">
        <f>1/(H41*Utilities!$B$11)</f>
        <v>0.1758876985455384</v>
      </c>
      <c r="K41" s="11">
        <f>IF(B41&lt;C41,1,EXP(-1*(B41-C41)/(Utilities!$B$11*IterData!H41)))</f>
        <v>0.63264652091175533</v>
      </c>
    </row>
    <row r="42" spans="1:11" x14ac:dyDescent="0.3">
      <c r="A42">
        <v>41</v>
      </c>
      <c r="B42">
        <v>3.8226730024250455</v>
      </c>
      <c r="C42">
        <v>2.9089217509263516</v>
      </c>
      <c r="D42">
        <v>0.84883409509763463</v>
      </c>
      <c r="E42" s="10">
        <v>6.7748112909027991E-2</v>
      </c>
      <c r="F42" s="10">
        <v>0.35720815761528218</v>
      </c>
      <c r="H42">
        <v>22.301366898046961</v>
      </c>
      <c r="I42" s="11">
        <f t="shared" si="0"/>
        <v>0.91375125149869385</v>
      </c>
      <c r="J42" s="11">
        <f>1/(H42*Utilities!$B$11)</f>
        <v>0.17936120320724822</v>
      </c>
      <c r="K42" s="11">
        <f>IF(B42&lt;C42,1,EXP(-1*(B42-C42)/(Utilities!$B$11*IterData!H42)))</f>
        <v>0.84883409509763463</v>
      </c>
    </row>
    <row r="43" spans="1:11" x14ac:dyDescent="0.3">
      <c r="A43">
        <v>42</v>
      </c>
      <c r="B43">
        <v>4.1289204037752034</v>
      </c>
      <c r="C43">
        <v>3.8226730024250455</v>
      </c>
      <c r="D43">
        <v>0.94552668275118112</v>
      </c>
      <c r="E43" s="10">
        <v>3.3028984189994427E-2</v>
      </c>
      <c r="F43" s="10">
        <v>0.41534682477604923</v>
      </c>
      <c r="H43">
        <v>21.869670909739447</v>
      </c>
      <c r="I43" s="11">
        <f t="shared" si="0"/>
        <v>0.30624740135015793</v>
      </c>
      <c r="J43" s="11">
        <f>1/(H43*Utilities!$B$11)</f>
        <v>0.18290170055639193</v>
      </c>
      <c r="K43" s="11">
        <f>IF(B43&lt;C43,1,EXP(-1*(B43-C43)/(Utilities!$B$11*IterData!H43)))</f>
        <v>0.94552668275118112</v>
      </c>
    </row>
    <row r="44" spans="1:11" x14ac:dyDescent="0.3">
      <c r="A44">
        <v>43</v>
      </c>
      <c r="B44">
        <v>0.45131961845568708</v>
      </c>
      <c r="C44">
        <v>4.1289204037752034</v>
      </c>
      <c r="D44">
        <v>1</v>
      </c>
      <c r="E44" s="10">
        <v>3.575561489495626E-2</v>
      </c>
      <c r="F44" s="10">
        <v>0.35654882809921196</v>
      </c>
      <c r="H44">
        <v>21.446523074728567</v>
      </c>
      <c r="I44" s="11">
        <f t="shared" si="0"/>
        <v>-3.6776007853195165</v>
      </c>
      <c r="J44" s="11">
        <f>1/(H44*Utilities!$B$11)</f>
        <v>0.18651041877801561</v>
      </c>
      <c r="K44" s="11">
        <f>IF(B44&lt;C44,1,EXP(-1*(B44-C44)/(Utilities!$B$11*IterData!H44)))</f>
        <v>1</v>
      </c>
    </row>
    <row r="45" spans="1:11" x14ac:dyDescent="0.3">
      <c r="A45">
        <v>44</v>
      </c>
      <c r="B45">
        <v>3.2003683667020302</v>
      </c>
      <c r="C45">
        <v>0.45131961845568708</v>
      </c>
      <c r="D45">
        <v>0.59283583920140981</v>
      </c>
      <c r="E45" s="10">
        <v>5.9662842034977584E-2</v>
      </c>
      <c r="F45" s="10">
        <v>0.68672853853067373</v>
      </c>
      <c r="H45">
        <v>21.03175412823828</v>
      </c>
      <c r="I45" s="11">
        <f t="shared" si="0"/>
        <v>2.7490487482463433</v>
      </c>
      <c r="J45" s="11">
        <f>1/(H45*Utilities!$B$11)</f>
        <v>0.19018860602927079</v>
      </c>
      <c r="K45" s="11">
        <f>IF(B45&lt;C45,1,EXP(-1*(B45-C45)/(Utilities!$B$11*IterData!H45)))</f>
        <v>0.5928358392014097</v>
      </c>
    </row>
    <row r="46" spans="1:11" x14ac:dyDescent="0.3">
      <c r="A46">
        <v>45</v>
      </c>
      <c r="B46">
        <v>1.3694849898519132</v>
      </c>
      <c r="C46">
        <v>0.45131961845568708</v>
      </c>
      <c r="D46">
        <v>0.83688658047968567</v>
      </c>
      <c r="E46" s="10">
        <v>5.9662842034977584E-2</v>
      </c>
      <c r="F46" s="10">
        <v>0.68672853853067373</v>
      </c>
      <c r="H46">
        <v>20.625198157159655</v>
      </c>
      <c r="I46" s="11">
        <f t="shared" si="0"/>
        <v>0.91816537139622612</v>
      </c>
      <c r="J46" s="11">
        <f>1/(H46*Utilities!$B$11)</f>
        <v>0.19393753066132235</v>
      </c>
      <c r="K46" s="11">
        <f>IF(B46&lt;C46,1,EXP(-1*(B46-C46)/(Utilities!$B$11*IterData!H46)))</f>
        <v>0.83688658047968567</v>
      </c>
    </row>
    <row r="47" spans="1:11" x14ac:dyDescent="0.3">
      <c r="A47">
        <v>46</v>
      </c>
      <c r="B47">
        <v>0.65913771003558574</v>
      </c>
      <c r="C47">
        <v>1.3694849898519132</v>
      </c>
      <c r="D47">
        <v>1</v>
      </c>
      <c r="E47" s="10">
        <v>5.077279048100828E-2</v>
      </c>
      <c r="F47" s="10">
        <v>0.58106317732070556</v>
      </c>
      <c r="H47">
        <v>20.226692533683451</v>
      </c>
      <c r="I47" s="11">
        <f t="shared" si="0"/>
        <v>-0.7103472798163275</v>
      </c>
      <c r="J47" s="11">
        <f>1/(H47*Utilities!$B$11)</f>
        <v>0.19775848143925714</v>
      </c>
      <c r="K47" s="11">
        <f>IF(B47&lt;C47,1,EXP(-1*(B47-C47)/(Utilities!$B$11*IterData!H47)))</f>
        <v>1</v>
      </c>
    </row>
    <row r="48" spans="1:11" x14ac:dyDescent="0.3">
      <c r="A48">
        <v>47</v>
      </c>
      <c r="B48">
        <v>0.36497945090226552</v>
      </c>
      <c r="C48">
        <v>0.65913771003558574</v>
      </c>
      <c r="D48">
        <v>1</v>
      </c>
      <c r="E48" s="10">
        <v>6.1736600453185277E-2</v>
      </c>
      <c r="F48" s="10">
        <v>0.9161288729944812</v>
      </c>
      <c r="H48">
        <v>19.836077850246795</v>
      </c>
      <c r="I48" s="11">
        <f t="shared" si="0"/>
        <v>-0.29415825913332022</v>
      </c>
      <c r="J48" s="11">
        <f>1/(H48*Utilities!$B$11)</f>
        <v>0.20165276775974303</v>
      </c>
      <c r="K48" s="11">
        <f>IF(B48&lt;C48,1,EXP(-1*(B48-C48)/(Utilities!$B$11*IterData!H48)))</f>
        <v>1</v>
      </c>
    </row>
    <row r="49" spans="1:11" x14ac:dyDescent="0.3">
      <c r="A49">
        <v>48</v>
      </c>
      <c r="B49">
        <v>0.69683020696740172</v>
      </c>
      <c r="C49">
        <v>0.36497945090226552</v>
      </c>
      <c r="D49">
        <v>0.93404027266206269</v>
      </c>
      <c r="E49" s="10">
        <v>3.5260284544540194E-2</v>
      </c>
      <c r="F49" s="10">
        <v>0.81751186945261822</v>
      </c>
      <c r="H49">
        <v>19.453197855768046</v>
      </c>
      <c r="I49" s="11">
        <f t="shared" si="0"/>
        <v>0.3318507560651362</v>
      </c>
      <c r="J49" s="11">
        <f>1/(H49*Utilities!$B$11)</f>
        <v>0.20562171986617431</v>
      </c>
      <c r="K49" s="11">
        <f>IF(B49&lt;C49,1,EXP(-1*(B49-C49)/(Utilities!$B$11*IterData!H49)))</f>
        <v>0.93404027266206269</v>
      </c>
    </row>
    <row r="50" spans="1:11" x14ac:dyDescent="0.3">
      <c r="A50">
        <v>49</v>
      </c>
      <c r="B50">
        <v>2.91237213320571</v>
      </c>
      <c r="C50">
        <v>0.69683020696740172</v>
      </c>
      <c r="D50">
        <v>0.62843332647550798</v>
      </c>
      <c r="E50" s="10">
        <v>5.1367289915593667E-2</v>
      </c>
      <c r="F50" s="10">
        <v>0.66680768574988769</v>
      </c>
      <c r="H50">
        <v>19.077899393144278</v>
      </c>
      <c r="I50" s="11">
        <f t="shared" si="0"/>
        <v>2.2155419262383083</v>
      </c>
      <c r="J50" s="11">
        <f>1/(H50*Utilities!$B$11)</f>
        <v>0.20966668906103031</v>
      </c>
      <c r="K50" s="11">
        <f>IF(B50&lt;C50,1,EXP(-1*(B50-C50)/(Utilities!$B$11*IterData!H50)))</f>
        <v>0.62843332647550798</v>
      </c>
    </row>
    <row r="51" spans="1:11" x14ac:dyDescent="0.3">
      <c r="A51">
        <v>50</v>
      </c>
      <c r="B51">
        <v>0.28664098616110745</v>
      </c>
      <c r="C51">
        <v>2.91237213320571</v>
      </c>
      <c r="D51">
        <v>1</v>
      </c>
      <c r="E51" s="10">
        <v>4.5868196940961725E-2</v>
      </c>
      <c r="F51" s="10">
        <v>0.44470609822676005</v>
      </c>
      <c r="H51">
        <v>18.710032337986394</v>
      </c>
      <c r="I51" s="11">
        <f t="shared" si="0"/>
        <v>-2.6257311470446023</v>
      </c>
      <c r="J51" s="11">
        <f>1/(H51*Utilities!$B$11)</f>
        <v>0.21378904791516179</v>
      </c>
      <c r="K51" s="11">
        <f>IF(B51&lt;C51,1,EXP(-1*(B51-C51)/(Utilities!$B$11*IterData!H51)))</f>
        <v>1</v>
      </c>
    </row>
    <row r="52" spans="1:11" x14ac:dyDescent="0.3">
      <c r="A52">
        <v>51</v>
      </c>
      <c r="B52">
        <v>1.3724335828973524</v>
      </c>
      <c r="C52">
        <v>0.28664098616110745</v>
      </c>
      <c r="D52">
        <v>0.78923422823274481</v>
      </c>
      <c r="E52" s="10">
        <v>3.9310156976757438E-2</v>
      </c>
      <c r="F52" s="10">
        <v>0.91479293180741672</v>
      </c>
      <c r="H52">
        <v>18.349449538567377</v>
      </c>
      <c r="I52" s="11">
        <f t="shared" si="0"/>
        <v>1.085792596736245</v>
      </c>
      <c r="J52" s="11">
        <f>1/(H52*Utilities!$B$11)</f>
        <v>0.21799019047370821</v>
      </c>
      <c r="K52" s="11">
        <f>IF(B52&lt;C52,1,EXP(-1*(B52-C52)/(Utilities!$B$11*IterData!H52)))</f>
        <v>0.78923422823274481</v>
      </c>
    </row>
    <row r="53" spans="1:11" x14ac:dyDescent="0.3">
      <c r="A53">
        <v>52</v>
      </c>
      <c r="B53">
        <v>0.89455532925122172</v>
      </c>
      <c r="C53">
        <v>0.28664098616110745</v>
      </c>
      <c r="D53">
        <v>0.87360927886015949</v>
      </c>
      <c r="E53" s="10">
        <v>3.9310156976757438E-2</v>
      </c>
      <c r="F53" s="10">
        <v>0.91479293180741672</v>
      </c>
      <c r="H53">
        <v>17.996006756959616</v>
      </c>
      <c r="I53" s="11">
        <f t="shared" si="0"/>
        <v>0.60791434309011427</v>
      </c>
      <c r="J53" s="11">
        <f>1/(H53*Utilities!$B$11)</f>
        <v>0.22227153245833692</v>
      </c>
      <c r="K53" s="11">
        <f>IF(B53&lt;C53,1,EXP(-1*(B53-C53)/(Utilities!$B$11*IterData!H53)))</f>
        <v>0.87360927886015949</v>
      </c>
    </row>
    <row r="54" spans="1:11" x14ac:dyDescent="0.3">
      <c r="A54">
        <v>53</v>
      </c>
      <c r="B54">
        <v>2.7453816703007035</v>
      </c>
      <c r="C54">
        <v>0.89455532925122172</v>
      </c>
      <c r="D54">
        <v>0.65740098224891019</v>
      </c>
      <c r="E54" s="10">
        <v>5.1398972780106279E-2</v>
      </c>
      <c r="F54" s="10">
        <v>0.63677990533441742</v>
      </c>
      <c r="H54">
        <v>17.649562611337842</v>
      </c>
      <c r="I54" s="11">
        <f t="shared" si="0"/>
        <v>1.8508263410494816</v>
      </c>
      <c r="J54" s="11">
        <f>1/(H54*Utilities!$B$11)</f>
        <v>0.22663451146548264</v>
      </c>
      <c r="K54" s="11">
        <f>IF(B54&lt;C54,1,EXP(-1*(B54-C54)/(Utilities!$B$11*IterData!H54)))</f>
        <v>0.65740098224891019</v>
      </c>
    </row>
    <row r="55" spans="1:11" x14ac:dyDescent="0.3">
      <c r="A55">
        <v>54</v>
      </c>
      <c r="B55">
        <v>0.28101940779618401</v>
      </c>
      <c r="C55">
        <v>2.7453816703007035</v>
      </c>
      <c r="D55">
        <v>1</v>
      </c>
      <c r="E55" s="10">
        <v>3.3322805471228671E-2</v>
      </c>
      <c r="F55" s="10">
        <v>0.5340825127256642</v>
      </c>
      <c r="H55">
        <v>17.309978519424487</v>
      </c>
      <c r="I55" s="11">
        <f t="shared" si="0"/>
        <v>-2.4643622625045194</v>
      </c>
      <c r="J55" s="11">
        <f>1/(H55*Utilities!$B$11)</f>
        <v>0.23108058716025431</v>
      </c>
      <c r="K55" s="11">
        <f>IF(B55&lt;C55,1,EXP(-1*(B55-C55)/(Utilities!$B$11*IterData!H55)))</f>
        <v>1</v>
      </c>
    </row>
    <row r="56" spans="1:11" x14ac:dyDescent="0.3">
      <c r="A56">
        <v>55</v>
      </c>
      <c r="B56">
        <v>0.66118137673418031</v>
      </c>
      <c r="C56">
        <v>0.28101940779618401</v>
      </c>
      <c r="D56">
        <v>0.91432386386348352</v>
      </c>
      <c r="E56" s="10">
        <v>3.5735126934341645E-2</v>
      </c>
      <c r="F56" s="10">
        <v>0.94328090674341736</v>
      </c>
      <c r="H56">
        <v>16.977118643054936</v>
      </c>
      <c r="I56" s="11">
        <f t="shared" si="0"/>
        <v>0.38016196893799631</v>
      </c>
      <c r="J56" s="11">
        <f>1/(H56*Utilities!$B$11)</f>
        <v>0.23561124146566148</v>
      </c>
      <c r="K56" s="11">
        <f>IF(B56&lt;C56,1,EXP(-1*(B56-C56)/(Utilities!$B$11*IterData!H56)))</f>
        <v>0.91432386386348352</v>
      </c>
    </row>
    <row r="57" spans="1:11" x14ac:dyDescent="0.3">
      <c r="A57">
        <v>56</v>
      </c>
      <c r="B57">
        <v>2.6575459342381933</v>
      </c>
      <c r="C57">
        <v>0.66118137673418031</v>
      </c>
      <c r="D57">
        <v>0.61904171198162572</v>
      </c>
      <c r="E57" s="10">
        <v>3.0518204651042571E-2</v>
      </c>
      <c r="F57" s="10">
        <v>0.78604062856795676</v>
      </c>
      <c r="H57">
        <v>16.650849833840454</v>
      </c>
      <c r="I57" s="11">
        <f t="shared" si="0"/>
        <v>1.996364557504013</v>
      </c>
      <c r="J57" s="11">
        <f>1/(H57*Utilities!$B$11)</f>
        <v>0.24022797874680105</v>
      </c>
      <c r="K57" s="11">
        <f>IF(B57&lt;C57,1,EXP(-1*(B57-C57)/(Utilities!$B$11*IterData!H57)))</f>
        <v>0.61904171198162572</v>
      </c>
    </row>
    <row r="58" spans="1:11" x14ac:dyDescent="0.3">
      <c r="A58">
        <v>57</v>
      </c>
      <c r="B58">
        <v>0.29550580912373609</v>
      </c>
      <c r="C58">
        <v>2.6575459342381933</v>
      </c>
      <c r="D58">
        <v>1</v>
      </c>
      <c r="E58" s="10">
        <v>3.4138263993111609E-2</v>
      </c>
      <c r="F58" s="10">
        <v>0.53760544117791309</v>
      </c>
      <c r="H58">
        <v>16.331041579907041</v>
      </c>
      <c r="I58" s="11">
        <f t="shared" si="0"/>
        <v>-2.3620401251144574</v>
      </c>
      <c r="J58" s="11">
        <f>1/(H58*Utilities!$B$11)</f>
        <v>0.24493232598963041</v>
      </c>
      <c r="K58" s="11">
        <f>IF(B58&lt;C58,1,EXP(-1*(B58-C58)/(Utilities!$B$11*IterData!H58)))</f>
        <v>1</v>
      </c>
    </row>
    <row r="59" spans="1:11" x14ac:dyDescent="0.3">
      <c r="A59">
        <v>58</v>
      </c>
      <c r="B59">
        <v>0.85093867969061021</v>
      </c>
      <c r="C59">
        <v>0.29550580912373609</v>
      </c>
      <c r="D59">
        <v>0.8704839685934892</v>
      </c>
      <c r="E59" s="10">
        <v>2.958790018175252E-2</v>
      </c>
      <c r="F59" s="10">
        <v>1.0120839371501611</v>
      </c>
      <c r="H59">
        <v>16.017565953688962</v>
      </c>
      <c r="I59" s="11">
        <f t="shared" si="0"/>
        <v>0.55543287056687407</v>
      </c>
      <c r="J59" s="11">
        <f>1/(H59*Utilities!$B$11)</f>
        <v>0.24972583297394016</v>
      </c>
      <c r="K59" s="11">
        <f>IF(B59&lt;C59,1,EXP(-1*(B59-C59)/(Utilities!$B$11*IterData!H59)))</f>
        <v>0.8704839685934892</v>
      </c>
    </row>
    <row r="60" spans="1:11" x14ac:dyDescent="0.3">
      <c r="A60">
        <v>59</v>
      </c>
      <c r="B60">
        <v>1.9250445293404965</v>
      </c>
      <c r="C60">
        <v>0.85093867969061021</v>
      </c>
      <c r="D60">
        <v>0.76072894426608084</v>
      </c>
      <c r="E60" s="10">
        <v>4.791795135035274E-2</v>
      </c>
      <c r="F60" s="10">
        <v>1.0495146011844629</v>
      </c>
      <c r="H60">
        <v>15.710297560755997</v>
      </c>
      <c r="I60" s="11">
        <f t="shared" si="0"/>
        <v>1.0741058496498863</v>
      </c>
      <c r="J60" s="11">
        <f>1/(H60*Utilities!$B$11)</f>
        <v>0.25461007244012479</v>
      </c>
      <c r="K60" s="11">
        <f>IF(B60&lt;C60,1,EXP(-1*(B60-C60)/(Utilities!$B$11*IterData!H60)))</f>
        <v>0.76072894426608084</v>
      </c>
    </row>
    <row r="61" spans="1:11" x14ac:dyDescent="0.3">
      <c r="A61">
        <v>60</v>
      </c>
      <c r="B61">
        <v>0.63284838254594133</v>
      </c>
      <c r="C61">
        <v>1.9250445293404965</v>
      </c>
      <c r="D61">
        <v>1</v>
      </c>
      <c r="E61" s="10">
        <v>4.0765034444124305E-2</v>
      </c>
      <c r="F61" s="10">
        <v>0.57145464430745863</v>
      </c>
      <c r="H61">
        <v>15.409113489654006</v>
      </c>
      <c r="I61" s="11">
        <f t="shared" si="0"/>
        <v>-1.2921961467945553</v>
      </c>
      <c r="J61" s="11">
        <f>1/(H61*Utilities!$B$11)</f>
        <v>0.2595866402493357</v>
      </c>
      <c r="K61" s="11">
        <f>IF(B61&lt;C61,1,EXP(-1*(B61-C61)/(Utilities!$B$11*IterData!H61)))</f>
        <v>1</v>
      </c>
    </row>
    <row r="62" spans="1:11" x14ac:dyDescent="0.3">
      <c r="A62">
        <v>61</v>
      </c>
      <c r="B62">
        <v>0.40843237314581954</v>
      </c>
      <c r="C62">
        <v>0.63284838254594133</v>
      </c>
      <c r="D62">
        <v>1</v>
      </c>
      <c r="E62" s="10">
        <v>3.634778386137838E-2</v>
      </c>
      <c r="F62" s="10">
        <v>1.0699619456378082</v>
      </c>
      <c r="H62">
        <v>15.113893262738703</v>
      </c>
      <c r="I62" s="11">
        <f t="shared" si="0"/>
        <v>-0.2244160094001218</v>
      </c>
      <c r="J62" s="11">
        <f>1/(H62*Utilities!$B$11)</f>
        <v>0.26465715553658625</v>
      </c>
      <c r="K62" s="11">
        <f>IF(B62&lt;C62,1,EXP(-1*(B62-C62)/(Utilities!$B$11*IterData!H62)))</f>
        <v>1</v>
      </c>
    </row>
    <row r="63" spans="1:11" x14ac:dyDescent="0.3">
      <c r="A63">
        <v>62</v>
      </c>
      <c r="B63">
        <v>0.66081629991808288</v>
      </c>
      <c r="C63">
        <v>0.40843237314581954</v>
      </c>
      <c r="D63">
        <v>0.93416793582122981</v>
      </c>
      <c r="E63" s="10">
        <v>5.2850299657619976E-2</v>
      </c>
      <c r="F63" s="10">
        <v>0.88098769363000462</v>
      </c>
      <c r="H63">
        <v>14.824518787983006</v>
      </c>
      <c r="I63" s="11">
        <f t="shared" si="0"/>
        <v>0.25238392677226335</v>
      </c>
      <c r="J63" s="11">
        <f>1/(H63*Utilities!$B$11)</f>
        <v>0.26982326085636349</v>
      </c>
      <c r="K63" s="11">
        <f>IF(B63&lt;C63,1,EXP(-1*(B63-C63)/(Utilities!$B$11*IterData!H63)))</f>
        <v>0.93416793582122981</v>
      </c>
    </row>
    <row r="64" spans="1:11" x14ac:dyDescent="0.3">
      <c r="A64">
        <v>63</v>
      </c>
      <c r="B64">
        <v>0.95414657817797455</v>
      </c>
      <c r="C64">
        <v>0.66081629991808288</v>
      </c>
      <c r="D64">
        <v>0.92247847610903244</v>
      </c>
      <c r="E64" s="10">
        <v>2.7964175672660633E-2</v>
      </c>
      <c r="F64" s="10">
        <v>0.80534498395310916</v>
      </c>
      <c r="H64">
        <v>14.540874311738635</v>
      </c>
      <c r="I64" s="11">
        <f t="shared" si="0"/>
        <v>0.29333027825989166</v>
      </c>
      <c r="J64" s="11">
        <f>1/(H64*Utilities!$B$11)</f>
        <v>0.27508662232028636</v>
      </c>
      <c r="K64" s="11">
        <f>IF(B64&lt;C64,1,EXP(-1*(B64-C64)/(Utilities!$B$11*IterData!H64)))</f>
        <v>0.92247847610903244</v>
      </c>
    </row>
    <row r="65" spans="1:11" x14ac:dyDescent="0.3">
      <c r="A65">
        <v>64</v>
      </c>
      <c r="B65">
        <v>0.29843188219091143</v>
      </c>
      <c r="C65">
        <v>0.95414657817797455</v>
      </c>
      <c r="D65">
        <v>1</v>
      </c>
      <c r="E65" s="10">
        <v>5.4631501116251868E-2</v>
      </c>
      <c r="F65" s="10">
        <v>0.61528411150103746</v>
      </c>
      <c r="H65">
        <v>14.26284637243311</v>
      </c>
      <c r="I65" s="11">
        <f t="shared" si="0"/>
        <v>-0.65571469598706311</v>
      </c>
      <c r="J65" s="11">
        <f>1/(H65*Utilities!$B$11)</f>
        <v>0.28044892972633462</v>
      </c>
      <c r="K65" s="11">
        <f>IF(B65&lt;C65,1,EXP(-1*(B65-C65)/(Utilities!$B$11*IterData!H65)))</f>
        <v>1</v>
      </c>
    </row>
    <row r="66" spans="1:11" x14ac:dyDescent="0.3">
      <c r="A66">
        <v>65</v>
      </c>
      <c r="B66">
        <v>0.42994900421372173</v>
      </c>
      <c r="C66">
        <v>0.29843188219091143</v>
      </c>
      <c r="D66">
        <v>0.96309587853022893</v>
      </c>
      <c r="E66" s="10">
        <v>3.4186660432210615E-2</v>
      </c>
      <c r="F66" s="10">
        <v>0.84752871983529776</v>
      </c>
      <c r="H66">
        <v>13.990323755183624</v>
      </c>
      <c r="I66" s="11">
        <f t="shared" si="0"/>
        <v>0.1315171220228103</v>
      </c>
      <c r="J66" s="11">
        <f>1/(H66*Utilities!$B$11)</f>
        <v>0.28591189667915584</v>
      </c>
      <c r="K66" s="11">
        <f>IF(B66&lt;C66,1,EXP(-1*(B66-C66)/(Utilities!$B$11*IterData!H66)))</f>
        <v>0.96309587853022893</v>
      </c>
    </row>
    <row r="67" spans="1:11" x14ac:dyDescent="0.3">
      <c r="A67">
        <v>66</v>
      </c>
      <c r="B67">
        <v>0.4444257141658764</v>
      </c>
      <c r="C67">
        <v>0.42994900421372173</v>
      </c>
      <c r="D67">
        <v>0.99578925837651788</v>
      </c>
      <c r="E67" s="10">
        <v>4.0120882782612118E-2</v>
      </c>
      <c r="F67" s="10">
        <v>0.77290154949856771</v>
      </c>
      <c r="H67">
        <v>13.723197447309591</v>
      </c>
      <c r="I67" s="11">
        <f t="shared" ref="I67:I130" si="1">B67-C67</f>
        <v>1.4476709952154665E-2</v>
      </c>
      <c r="J67" s="11">
        <f>1/(H67*Utilities!$B$11)</f>
        <v>0.29147726070094493</v>
      </c>
      <c r="K67" s="11">
        <f>IF(B67&lt;C67,1,EXP(-1*(B67-C67)/(Utilities!$B$11*IterData!H67)))</f>
        <v>0.99578925837651788</v>
      </c>
    </row>
    <row r="68" spans="1:11" x14ac:dyDescent="0.3">
      <c r="A68">
        <v>67</v>
      </c>
      <c r="B68">
        <v>0.34926286310218746</v>
      </c>
      <c r="C68">
        <v>0.4444257141658764</v>
      </c>
      <c r="D68">
        <v>1</v>
      </c>
      <c r="E68" s="10">
        <v>4.8831326042861813E-2</v>
      </c>
      <c r="F68" s="10">
        <v>0.91948097762575243</v>
      </c>
      <c r="H68">
        <v>13.461360594726136</v>
      </c>
      <c r="I68" s="11">
        <f t="shared" si="1"/>
        <v>-9.5162851063688936E-2</v>
      </c>
      <c r="J68" s="11">
        <f>1/(H68*Utilities!$B$11)</f>
        <v>0.29714678333237071</v>
      </c>
      <c r="K68" s="11">
        <f>IF(B68&lt;C68,1,EXP(-1*(B68-C68)/(Utilities!$B$11*IterData!H68)))</f>
        <v>1</v>
      </c>
    </row>
    <row r="69" spans="1:11" x14ac:dyDescent="0.3">
      <c r="A69">
        <v>68</v>
      </c>
      <c r="B69">
        <v>0.27492260446471622</v>
      </c>
      <c r="C69">
        <v>0.34926286310218746</v>
      </c>
      <c r="D69">
        <v>1</v>
      </c>
      <c r="E69" s="10">
        <v>5.381305788735518E-2</v>
      </c>
      <c r="F69" s="10">
        <v>0.7423759560213028</v>
      </c>
      <c r="H69">
        <v>13.204708459201017</v>
      </c>
      <c r="I69" s="11">
        <f t="shared" si="1"/>
        <v>-7.4340258637471235E-2</v>
      </c>
      <c r="J69" s="11">
        <f>1/(H69*Utilities!$B$11)</f>
        <v>0.30292225022301095</v>
      </c>
      <c r="K69" s="11">
        <f>IF(B69&lt;C69,1,EXP(-1*(B69-C69)/(Utilities!$B$11*IterData!H69)))</f>
        <v>1</v>
      </c>
    </row>
    <row r="70" spans="1:11" x14ac:dyDescent="0.3">
      <c r="A70">
        <v>69</v>
      </c>
      <c r="B70">
        <v>0.2706842182206825</v>
      </c>
      <c r="C70">
        <v>0.27492260446471622</v>
      </c>
      <c r="D70">
        <v>1</v>
      </c>
      <c r="E70" s="10">
        <v>3.615463129995794E-2</v>
      </c>
      <c r="F70" s="10">
        <v>0.9351822544151025</v>
      </c>
      <c r="H70">
        <v>12.953138376457945</v>
      </c>
      <c r="I70" s="11">
        <f t="shared" si="1"/>
        <v>-4.2383862440337206E-3</v>
      </c>
      <c r="J70" s="11">
        <f>1/(H70*Utilities!$B$11)</f>
        <v>0.30880547121073881</v>
      </c>
      <c r="K70" s="11">
        <f>IF(B70&lt;C70,1,EXP(-1*(B70-C70)/(Utilities!$B$11*IterData!H70)))</f>
        <v>1</v>
      </c>
    </row>
    <row r="71" spans="1:11" x14ac:dyDescent="0.3">
      <c r="A71">
        <v>70</v>
      </c>
      <c r="B71">
        <v>0.6330150314339561</v>
      </c>
      <c r="C71">
        <v>0.2706842182206825</v>
      </c>
      <c r="D71">
        <v>0.89220342548027542</v>
      </c>
      <c r="E71" s="10">
        <v>3.6720175414946876E-2</v>
      </c>
      <c r="F71" s="10">
        <v>0.84979942647938778</v>
      </c>
      <c r="H71">
        <v>12.706549715109519</v>
      </c>
      <c r="I71" s="11">
        <f t="shared" si="1"/>
        <v>0.36233081321327359</v>
      </c>
      <c r="J71" s="11">
        <f>1/(H71*Utilities!$B$11)</f>
        <v>0.31479828038948682</v>
      </c>
      <c r="K71" s="11">
        <f>IF(B71&lt;C71,1,EXP(-1*(B71-C71)/(Utilities!$B$11*IterData!H71)))</f>
        <v>0.89220342548027542</v>
      </c>
    </row>
    <row r="72" spans="1:11" x14ac:dyDescent="0.3">
      <c r="A72">
        <v>71</v>
      </c>
      <c r="B72">
        <v>0.42561757890654212</v>
      </c>
      <c r="C72">
        <v>0.6330150314339561</v>
      </c>
      <c r="D72">
        <v>1</v>
      </c>
      <c r="E72" s="10">
        <v>4.0587886006019848E-2</v>
      </c>
      <c r="F72" s="10">
        <v>0.72852310693484079</v>
      </c>
      <c r="H72">
        <v>12.464843836403304</v>
      </c>
      <c r="I72" s="11">
        <f t="shared" si="1"/>
        <v>-0.20739745252741398</v>
      </c>
      <c r="J72" s="11">
        <f>1/(H72*Utilities!$B$11)</f>
        <v>0.32090253616480036</v>
      </c>
      <c r="K72" s="11">
        <f>IF(B72&lt;C72,1,EXP(-1*(B72-C72)/(Utilities!$B$11*IterData!H72)))</f>
        <v>1</v>
      </c>
    </row>
    <row r="73" spans="1:11" x14ac:dyDescent="0.3">
      <c r="A73">
        <v>72</v>
      </c>
      <c r="B73">
        <v>0.47627657437264859</v>
      </c>
      <c r="C73">
        <v>0.42561757890654212</v>
      </c>
      <c r="D73">
        <v>0.98356497649489349</v>
      </c>
      <c r="E73" s="10">
        <v>3.1358982127409896E-2</v>
      </c>
      <c r="F73" s="10">
        <v>0.82569915564834029</v>
      </c>
      <c r="H73">
        <v>12.227924054765028</v>
      </c>
      <c r="I73" s="11">
        <f t="shared" si="1"/>
        <v>5.0658995466106471E-2</v>
      </c>
      <c r="J73" s="11">
        <f>1/(H73*Utilities!$B$11)</f>
        <v>0.32712012129657148</v>
      </c>
      <c r="K73" s="11">
        <f>IF(B73&lt;C73,1,EXP(-1*(B73-C73)/(Utilities!$B$11*IterData!H73)))</f>
        <v>0.98356497649489349</v>
      </c>
    </row>
    <row r="74" spans="1:11" x14ac:dyDescent="0.3">
      <c r="A74">
        <v>73</v>
      </c>
      <c r="B74">
        <v>1.4185729798246556</v>
      </c>
      <c r="C74">
        <v>0.47627657437264859</v>
      </c>
      <c r="D74">
        <v>0.73036453277783731</v>
      </c>
      <c r="E74" s="10">
        <v>4.4513934439815765E-2</v>
      </c>
      <c r="F74" s="10">
        <v>0.95906481778213271</v>
      </c>
      <c r="H74">
        <v>11.995695599123062</v>
      </c>
      <c r="I74" s="11">
        <f t="shared" si="1"/>
        <v>0.94229640545200699</v>
      </c>
      <c r="J74" s="11">
        <f>1/(H74*Utilities!$B$11)</f>
        <v>0.33345294292832989</v>
      </c>
      <c r="K74" s="11">
        <f>IF(B74&lt;C74,1,EXP(-1*(B74-C74)/(Utilities!$B$11*IterData!H74)))</f>
        <v>0.73036453277783731</v>
      </c>
    </row>
    <row r="75" spans="1:11" x14ac:dyDescent="0.3">
      <c r="A75">
        <v>74</v>
      </c>
      <c r="B75">
        <v>1.3494569864785697</v>
      </c>
      <c r="C75">
        <v>1.4185729798246556</v>
      </c>
      <c r="D75">
        <v>1</v>
      </c>
      <c r="E75" s="10">
        <v>3.3556370974371579E-2</v>
      </c>
      <c r="F75" s="10">
        <v>0.66804447798591415</v>
      </c>
      <c r="H75">
        <v>11.768065574998731</v>
      </c>
      <c r="I75" s="11">
        <f t="shared" si="1"/>
        <v>-6.9115993346085869E-2</v>
      </c>
      <c r="J75" s="11">
        <f>1/(H75*Utilities!$B$11)</f>
        <v>0.33990293260244953</v>
      </c>
      <c r="K75" s="11">
        <f>IF(B75&lt;C75,1,EXP(-1*(B75-C75)/(Utilities!$B$11*IterData!H75)))</f>
        <v>1</v>
      </c>
    </row>
    <row r="76" spans="1:11" x14ac:dyDescent="0.3">
      <c r="A76">
        <v>75</v>
      </c>
      <c r="B76">
        <v>0.29371506651363183</v>
      </c>
      <c r="C76">
        <v>1.3494569864785697</v>
      </c>
      <c r="D76">
        <v>1</v>
      </c>
      <c r="E76" s="10">
        <v>4.0021507689213365E-2</v>
      </c>
      <c r="F76" s="10">
        <v>0.63628880091084017</v>
      </c>
      <c r="H76">
        <v>11.544942927347275</v>
      </c>
      <c r="I76" s="11">
        <f t="shared" si="1"/>
        <v>-1.0557419199649378</v>
      </c>
      <c r="J76" s="11">
        <f>1/(H76*Utilities!$B$11)</f>
        <v>0.34647204626061284</v>
      </c>
      <c r="K76" s="11">
        <f>IF(B76&lt;C76,1,EXP(-1*(B76-C76)/(Utilities!$B$11*IterData!H76)))</f>
        <v>1</v>
      </c>
    </row>
    <row r="77" spans="1:11" x14ac:dyDescent="0.3">
      <c r="A77">
        <v>76</v>
      </c>
      <c r="B77">
        <v>0.31629220528729474</v>
      </c>
      <c r="C77">
        <v>0.29371506651363183</v>
      </c>
      <c r="D77">
        <v>0.99205830973581843</v>
      </c>
      <c r="E77" s="10">
        <v>3.5282458676914999E-2</v>
      </c>
      <c r="F77" s="10">
        <v>0.95520155956566477</v>
      </c>
      <c r="H77">
        <v>11.32623840413463</v>
      </c>
      <c r="I77" s="11">
        <f t="shared" si="1"/>
        <v>2.2577138773662908E-2</v>
      </c>
      <c r="J77" s="11">
        <f>1/(H77*Utilities!$B$11)</f>
        <v>0.35316226422885511</v>
      </c>
      <c r="K77" s="11">
        <f>IF(B77&lt;C77,1,EXP(-1*(B77-C77)/(Utilities!$B$11*IterData!H77)))</f>
        <v>0.99205830973581843</v>
      </c>
    </row>
    <row r="78" spans="1:11" x14ac:dyDescent="0.3">
      <c r="A78">
        <v>77</v>
      </c>
      <c r="B78">
        <v>0.31874205301157793</v>
      </c>
      <c r="C78">
        <v>0.31629220528729474</v>
      </c>
      <c r="D78">
        <v>0.99911850336376351</v>
      </c>
      <c r="E78" s="10">
        <v>3.0453018299247611E-2</v>
      </c>
      <c r="F78" s="10">
        <v>0.86312413728468662</v>
      </c>
      <c r="H78">
        <v>11.111864520635407</v>
      </c>
      <c r="I78" s="11">
        <f t="shared" si="1"/>
        <v>2.449847724283194E-3</v>
      </c>
      <c r="J78" s="11">
        <f>1/(H78*Utilities!$B$11)</f>
        <v>0.35997559118649775</v>
      </c>
      <c r="K78" s="11">
        <f>IF(B78&lt;C78,1,EXP(-1*(B78-C78)/(Utilities!$B$11*IterData!H78)))</f>
        <v>0.99911850336376351</v>
      </c>
    </row>
    <row r="79" spans="1:11" x14ac:dyDescent="0.3">
      <c r="A79">
        <v>78</v>
      </c>
      <c r="B79">
        <v>1.0372401839934888</v>
      </c>
      <c r="C79">
        <v>0.31874205301157793</v>
      </c>
      <c r="D79">
        <v>0.76825999839290571</v>
      </c>
      <c r="E79" s="10">
        <v>4.2177799231103374E-2</v>
      </c>
      <c r="F79" s="10">
        <v>0.91110570646836275</v>
      </c>
      <c r="H79">
        <v>10.901735524437854</v>
      </c>
      <c r="I79" s="11">
        <f t="shared" si="1"/>
        <v>0.71849813098191095</v>
      </c>
      <c r="J79" s="11">
        <f>1/(H79*Utilities!$B$11)</f>
        <v>0.36691405611825822</v>
      </c>
      <c r="K79" s="11">
        <f>IF(B79&lt;C79,1,EXP(-1*(B79-C79)/(Utilities!$B$11*IterData!H79)))</f>
        <v>0.76825999839290571</v>
      </c>
    </row>
    <row r="80" spans="1:11" x14ac:dyDescent="0.3">
      <c r="A80">
        <v>79</v>
      </c>
      <c r="B80">
        <v>2.834078183877792</v>
      </c>
      <c r="C80">
        <v>0.31874205301157793</v>
      </c>
      <c r="D80">
        <v>0.39036047088315706</v>
      </c>
      <c r="E80" s="10">
        <v>4.2177799231103374E-2</v>
      </c>
      <c r="F80" s="10">
        <v>0.91110570646836275</v>
      </c>
      <c r="H80">
        <v>10.69576736114173</v>
      </c>
      <c r="I80" s="11">
        <f t="shared" si="1"/>
        <v>2.5153361308662139</v>
      </c>
      <c r="J80" s="11">
        <f>1/(H80*Utilities!$B$11)</f>
        <v>0.37397971224881016</v>
      </c>
      <c r="K80" s="11">
        <f>IF(B80&lt;C80,1,EXP(-1*(B80-C80)/(Utilities!$B$11*IterData!H80)))</f>
        <v>0.39036047088315706</v>
      </c>
    </row>
    <row r="81" spans="1:11" x14ac:dyDescent="0.3">
      <c r="A81">
        <v>80</v>
      </c>
      <c r="B81">
        <v>0.59644703793251264</v>
      </c>
      <c r="C81">
        <v>0.31874205301157793</v>
      </c>
      <c r="D81">
        <v>0.89955588657600793</v>
      </c>
      <c r="E81" s="10">
        <v>4.2177799231103374E-2</v>
      </c>
      <c r="F81" s="10">
        <v>0.91110570646836275</v>
      </c>
      <c r="H81">
        <v>10.493877640735441</v>
      </c>
      <c r="I81" s="11">
        <f t="shared" si="1"/>
        <v>0.27770498492093471</v>
      </c>
      <c r="J81" s="11">
        <f>1/(H81*Utilities!$B$11)</f>
        <v>0.38117463695904774</v>
      </c>
      <c r="K81" s="11">
        <f>IF(B81&lt;C81,1,EXP(-1*(B81-C81)/(Utilities!$B$11*IterData!H81)))</f>
        <v>0.89955588657600793</v>
      </c>
    </row>
    <row r="82" spans="1:11" x14ac:dyDescent="0.3">
      <c r="A82">
        <v>81</v>
      </c>
      <c r="B82">
        <v>2.1468880137451229</v>
      </c>
      <c r="C82">
        <v>0.59644703793251264</v>
      </c>
      <c r="D82">
        <v>0.54752466743908434</v>
      </c>
      <c r="E82" s="10">
        <v>3.5662184062843376E-2</v>
      </c>
      <c r="F82" s="10">
        <v>0.76302754604164991</v>
      </c>
      <c r="H82">
        <v>10.295985604638926</v>
      </c>
      <c r="I82" s="11">
        <f t="shared" si="1"/>
        <v>1.5504409758126103</v>
      </c>
      <c r="J82" s="11">
        <f>1/(H82*Utilities!$B$11)</f>
        <v>0.38850093168329347</v>
      </c>
      <c r="K82" s="11">
        <f>IF(B82&lt;C82,1,EXP(-1*(B82-C82)/(Utilities!$B$11*IterData!H82)))</f>
        <v>0.54752466743908434</v>
      </c>
    </row>
    <row r="83" spans="1:11" x14ac:dyDescent="0.3">
      <c r="A83">
        <v>82</v>
      </c>
      <c r="B83">
        <v>0.30363323331967274</v>
      </c>
      <c r="C83">
        <v>2.1468880137451229</v>
      </c>
      <c r="D83">
        <v>1</v>
      </c>
      <c r="E83" s="10">
        <v>2.8615871582944635E-2</v>
      </c>
      <c r="F83" s="10">
        <v>0.62870413878868669</v>
      </c>
      <c r="H83">
        <v>10.102012093399148</v>
      </c>
      <c r="I83" s="11">
        <f t="shared" si="1"/>
        <v>-1.8432547804254502</v>
      </c>
      <c r="J83" s="11">
        <f>1/(H83*Utilities!$B$11)</f>
        <v>0.39596072178667041</v>
      </c>
      <c r="K83" s="11">
        <f>IF(B83&lt;C83,1,EXP(-1*(B83-C83)/(Utilities!$B$11*IterData!H83)))</f>
        <v>1</v>
      </c>
    </row>
    <row r="84" spans="1:11" x14ac:dyDescent="0.3">
      <c r="A84">
        <v>83</v>
      </c>
      <c r="B84">
        <v>0.72872831123988213</v>
      </c>
      <c r="C84">
        <v>0.30363323331967274</v>
      </c>
      <c r="D84">
        <v>0.84235837164492244</v>
      </c>
      <c r="E84" s="10">
        <v>4.4479686608923492E-2</v>
      </c>
      <c r="F84" s="10">
        <v>0.7983043699175536</v>
      </c>
      <c r="H84">
        <v>9.9118795150252641</v>
      </c>
      <c r="I84" s="11">
        <f t="shared" si="1"/>
        <v>0.4250950779202094</v>
      </c>
      <c r="J84" s="11">
        <f>1/(H84*Utilities!$B$11)</f>
        <v>0.40355615642184334</v>
      </c>
      <c r="K84" s="11">
        <f>IF(B84&lt;C84,1,EXP(-1*(B84-C84)/(Utilities!$B$11*IterData!H84)))</f>
        <v>0.84235837164492244</v>
      </c>
    </row>
    <row r="85" spans="1:11" x14ac:dyDescent="0.3">
      <c r="A85">
        <v>84</v>
      </c>
      <c r="B85">
        <v>0.46589658404385781</v>
      </c>
      <c r="C85">
        <v>0.72872831123988213</v>
      </c>
      <c r="D85">
        <v>1</v>
      </c>
      <c r="E85" s="10">
        <v>3.1360801692416583E-2</v>
      </c>
      <c r="F85" s="10">
        <v>0.76940942584619543</v>
      </c>
      <c r="H85">
        <v>9.7255118139507939</v>
      </c>
      <c r="I85" s="11">
        <f t="shared" si="1"/>
        <v>-0.26283172719602432</v>
      </c>
      <c r="J85" s="11">
        <f>1/(H85*Utilities!$B$11)</f>
        <v>0.41128940836431727</v>
      </c>
      <c r="K85" s="11">
        <f>IF(B85&lt;C85,1,EXP(-1*(B85-C85)/(Utilities!$B$11*IterData!H85)))</f>
        <v>1</v>
      </c>
    </row>
    <row r="86" spans="1:11" x14ac:dyDescent="0.3">
      <c r="A86">
        <v>85</v>
      </c>
      <c r="B86">
        <v>1.4580570133529371</v>
      </c>
      <c r="C86">
        <v>0.46589658404385781</v>
      </c>
      <c r="D86">
        <v>0.65976166790443069</v>
      </c>
      <c r="E86" s="10">
        <v>4.5271333047014549E-2</v>
      </c>
      <c r="F86" s="10">
        <v>0.73893770281427174</v>
      </c>
      <c r="H86">
        <v>9.5428344406103651</v>
      </c>
      <c r="I86" s="11">
        <f t="shared" si="1"/>
        <v>0.99216042930907933</v>
      </c>
      <c r="J86" s="11">
        <f>1/(H86*Utilities!$B$11)</f>
        <v>0.41916267382546751</v>
      </c>
      <c r="K86" s="11">
        <f>IF(B86&lt;C86,1,EXP(-1*(B86-C86)/(Utilities!$B$11*IterData!H86)))</f>
        <v>0.65976166790443069</v>
      </c>
    </row>
    <row r="87" spans="1:11" x14ac:dyDescent="0.3">
      <c r="A87">
        <v>86</v>
      </c>
      <c r="B87">
        <v>1.796563735910006</v>
      </c>
      <c r="C87">
        <v>1.4580570133529371</v>
      </c>
      <c r="D87">
        <v>0.86536604942959794</v>
      </c>
      <c r="E87" s="10">
        <v>4.501334153416172E-2</v>
      </c>
      <c r="F87" s="10">
        <v>0.5980912549786499</v>
      </c>
      <c r="H87">
        <v>9.363774321618914</v>
      </c>
      <c r="I87" s="11">
        <f t="shared" si="1"/>
        <v>0.33850672255706882</v>
      </c>
      <c r="J87" s="11">
        <f>1/(H87*Utilities!$B$11)</f>
        <v>0.4271781722424548</v>
      </c>
      <c r="K87" s="11">
        <f>IF(B87&lt;C87,1,EXP(-1*(B87-C87)/(Utilities!$B$11*IterData!H87)))</f>
        <v>0.86536604942959794</v>
      </c>
    </row>
    <row r="88" spans="1:11" x14ac:dyDescent="0.3">
      <c r="A88">
        <v>87</v>
      </c>
      <c r="B88">
        <v>1.1063825097647972</v>
      </c>
      <c r="C88">
        <v>1.796563735910006</v>
      </c>
      <c r="D88">
        <v>1</v>
      </c>
      <c r="E88" s="10">
        <v>4.4080111229143681E-2</v>
      </c>
      <c r="F88" s="10">
        <v>0.56705025912540086</v>
      </c>
      <c r="H88">
        <v>9.1882598305413445</v>
      </c>
      <c r="I88" s="11">
        <f t="shared" si="1"/>
        <v>-0.69018122614520871</v>
      </c>
      <c r="J88" s="11">
        <f>1/(H88*Utilities!$B$11)</f>
        <v>0.43533814604417126</v>
      </c>
      <c r="K88" s="11">
        <f>IF(B88&lt;C88,1,EXP(-1*(B88-C88)/(Utilities!$B$11*IterData!H88)))</f>
        <v>1</v>
      </c>
    </row>
    <row r="89" spans="1:11" x14ac:dyDescent="0.3">
      <c r="A89">
        <v>88</v>
      </c>
      <c r="B89">
        <v>0.31550277242376285</v>
      </c>
      <c r="C89">
        <v>1.1063825097647972</v>
      </c>
      <c r="D89">
        <v>1</v>
      </c>
      <c r="E89" s="10">
        <v>3.6134958577516377E-2</v>
      </c>
      <c r="F89" s="10">
        <v>0.68725927932315256</v>
      </c>
      <c r="H89">
        <v>9.0162207592410013</v>
      </c>
      <c r="I89" s="11">
        <f t="shared" si="1"/>
        <v>-0.79087973734103434</v>
      </c>
      <c r="J89" s="11">
        <f>1/(H89*Utilities!$B$11)</f>
        <v>0.44364486039234091</v>
      </c>
      <c r="K89" s="11">
        <f>IF(B89&lt;C89,1,EXP(-1*(B89-C89)/(Utilities!$B$11*IterData!H89)))</f>
        <v>1</v>
      </c>
    </row>
    <row r="90" spans="1:11" x14ac:dyDescent="0.3">
      <c r="A90">
        <v>89</v>
      </c>
      <c r="B90">
        <v>0.74081404578212151</v>
      </c>
      <c r="C90">
        <v>0.31550277242376285</v>
      </c>
      <c r="D90">
        <v>0.82507294109751794</v>
      </c>
      <c r="E90" s="10">
        <v>4.6158968692877299E-2</v>
      </c>
      <c r="F90" s="10">
        <v>0.87906947696636362</v>
      </c>
      <c r="H90">
        <v>8.8475882897954765</v>
      </c>
      <c r="I90" s="11">
        <f t="shared" si="1"/>
        <v>0.42531127335835867</v>
      </c>
      <c r="J90" s="11">
        <f>1/(H90*Utilities!$B$11)</f>
        <v>0.45210060289689014</v>
      </c>
      <c r="K90" s="11">
        <f>IF(B90&lt;C90,1,EXP(-1*(B90-C90)/(Utilities!$B$11*IterData!H90)))</f>
        <v>0.82507294109751794</v>
      </c>
    </row>
    <row r="91" spans="1:11" x14ac:dyDescent="0.3">
      <c r="A91">
        <v>90</v>
      </c>
      <c r="B91">
        <v>0.40680668904756356</v>
      </c>
      <c r="C91">
        <v>0.74081404578212151</v>
      </c>
      <c r="D91">
        <v>1</v>
      </c>
      <c r="E91" s="10">
        <v>4.4367198109765915E-2</v>
      </c>
      <c r="F91" s="10">
        <v>0.69147956541160094</v>
      </c>
      <c r="H91">
        <v>8.6822949669685325</v>
      </c>
      <c r="I91" s="11">
        <f t="shared" si="1"/>
        <v>-0.33400735673455795</v>
      </c>
      <c r="J91" s="11">
        <f>1/(H91*Utilities!$B$11)</f>
        <v>0.46070768330468509</v>
      </c>
      <c r="K91" s="11">
        <f>IF(B91&lt;C91,1,EXP(-1*(B91-C91)/(Utilities!$B$11*IterData!H91)))</f>
        <v>1</v>
      </c>
    </row>
    <row r="92" spans="1:11" x14ac:dyDescent="0.3">
      <c r="A92">
        <v>91</v>
      </c>
      <c r="B92">
        <v>0.60355857125744761</v>
      </c>
      <c r="C92">
        <v>0.40680668904756356</v>
      </c>
      <c r="D92">
        <v>0.9117688291365007</v>
      </c>
      <c r="E92" s="10">
        <v>3.6861283435926699E-2</v>
      </c>
      <c r="F92" s="10">
        <v>0.99187440470757493</v>
      </c>
      <c r="H92">
        <v>8.5202746712270976</v>
      </c>
      <c r="I92" s="11">
        <f t="shared" si="1"/>
        <v>0.19675188220988404</v>
      </c>
      <c r="J92" s="11">
        <f>1/(H92*Utilities!$B$11)</f>
        <v>0.4694684331607254</v>
      </c>
      <c r="K92" s="11">
        <f>IF(B92&lt;C92,1,EXP(-1*(B92-C92)/(Utilities!$B$11*IterData!H92)))</f>
        <v>0.9117688291365007</v>
      </c>
    </row>
    <row r="93" spans="1:11" x14ac:dyDescent="0.3">
      <c r="A93">
        <v>92</v>
      </c>
      <c r="B93">
        <v>2.1895315090715397</v>
      </c>
      <c r="C93">
        <v>0.60355857125744761</v>
      </c>
      <c r="D93">
        <v>0.46827198390678693</v>
      </c>
      <c r="E93" s="10">
        <v>4.2036776888266354E-2</v>
      </c>
      <c r="F93" s="10">
        <v>0.72618061601767026</v>
      </c>
      <c r="H93">
        <v>8.3614625922925736</v>
      </c>
      <c r="I93" s="11">
        <f t="shared" si="1"/>
        <v>1.5859729378140921</v>
      </c>
      <c r="J93" s="11">
        <f>1/(H93*Utilities!$B$11)</f>
        <v>0.47838520544086616</v>
      </c>
      <c r="K93" s="11">
        <f>IF(B93&lt;C93,1,EXP(-1*(B93-C93)/(Utilities!$B$11*IterData!H93)))</f>
        <v>0.46827198390678693</v>
      </c>
    </row>
    <row r="94" spans="1:11" x14ac:dyDescent="0.3">
      <c r="A94">
        <v>93</v>
      </c>
      <c r="B94">
        <v>0.28527807070422856</v>
      </c>
      <c r="C94">
        <v>2.1895315090715397</v>
      </c>
      <c r="D94">
        <v>1</v>
      </c>
      <c r="E94" s="10">
        <v>3.0797970520759454E-2</v>
      </c>
      <c r="F94" s="10">
        <v>0.60788439947864248</v>
      </c>
      <c r="H94">
        <v>8.2057952032158674</v>
      </c>
      <c r="I94" s="11">
        <f t="shared" si="1"/>
        <v>-1.9042534383673111</v>
      </c>
      <c r="J94" s="11">
        <f>1/(H94*Utilities!$B$11)</f>
        <v>0.48746037415513271</v>
      </c>
      <c r="K94" s="11">
        <f>IF(B94&lt;C94,1,EXP(-1*(B94-C94)/(Utilities!$B$11*IterData!H94)))</f>
        <v>1</v>
      </c>
    </row>
    <row r="95" spans="1:11" x14ac:dyDescent="0.3">
      <c r="A95">
        <v>94</v>
      </c>
      <c r="B95">
        <v>0.70172083254847095</v>
      </c>
      <c r="C95">
        <v>0.28527807070422856</v>
      </c>
      <c r="D95">
        <v>0.81314519552704745</v>
      </c>
      <c r="E95" s="10">
        <v>4.9456158385950244E-2</v>
      </c>
      <c r="F95" s="10">
        <v>0.81466351840048012</v>
      </c>
      <c r="H95">
        <v>8.0532102349657517</v>
      </c>
      <c r="I95" s="11">
        <f t="shared" si="1"/>
        <v>0.41644276184424239</v>
      </c>
      <c r="J95" s="11">
        <f>1/(H95*Utilities!$B$11)</f>
        <v>0.49669633392068163</v>
      </c>
      <c r="K95" s="11">
        <f>IF(B95&lt;C95,1,EXP(-1*(B95-C95)/(Utilities!$B$11*IterData!H95)))</f>
        <v>0.81314519552704745</v>
      </c>
    </row>
    <row r="96" spans="1:11" x14ac:dyDescent="0.3">
      <c r="A96">
        <v>95</v>
      </c>
      <c r="B96">
        <v>0.99558363452148491</v>
      </c>
      <c r="C96">
        <v>0.70172083254847095</v>
      </c>
      <c r="D96">
        <v>0.86180811151555436</v>
      </c>
      <c r="E96" s="10">
        <v>4.9664751685676592E-2</v>
      </c>
      <c r="F96" s="10">
        <v>0.67326795919202864</v>
      </c>
      <c r="H96">
        <v>7.9036466515204342</v>
      </c>
      <c r="I96" s="11">
        <f t="shared" si="1"/>
        <v>0.29386280197301395</v>
      </c>
      <c r="J96" s="11">
        <f>1/(H96*Utilities!$B$11)</f>
        <v>0.50609549950344945</v>
      </c>
      <c r="K96" s="11">
        <f>IF(B96&lt;C96,1,EXP(-1*(B96-C96)/(Utilities!$B$11*IterData!H96)))</f>
        <v>0.86180811151555436</v>
      </c>
    </row>
    <row r="97" spans="1:11" x14ac:dyDescent="0.3">
      <c r="A97">
        <v>96</v>
      </c>
      <c r="B97">
        <v>0.57076958107799103</v>
      </c>
      <c r="C97">
        <v>0.99558363452148491</v>
      </c>
      <c r="D97">
        <v>1</v>
      </c>
      <c r="E97" s="10">
        <v>3.5863087377421228E-2</v>
      </c>
      <c r="F97" s="10">
        <v>0.70271218071755248</v>
      </c>
      <c r="H97">
        <v>7.7570446254523331</v>
      </c>
      <c r="I97" s="11">
        <f t="shared" si="1"/>
        <v>-0.42481405344349388</v>
      </c>
      <c r="J97" s="11">
        <f>1/(H97*Utilities!$B$11)</f>
        <v>0.51566030532752671</v>
      </c>
      <c r="K97" s="11">
        <f>IF(B97&lt;C97,1,EXP(-1*(B97-C97)/(Utilities!$B$11*IterData!H97)))</f>
        <v>1</v>
      </c>
    </row>
    <row r="98" spans="1:11" x14ac:dyDescent="0.3">
      <c r="A98">
        <v>97</v>
      </c>
      <c r="B98">
        <v>0.42758629283088023</v>
      </c>
      <c r="C98">
        <v>0.57076958107799103</v>
      </c>
      <c r="D98">
        <v>1</v>
      </c>
      <c r="E98" s="10">
        <v>2.9799864990567589E-2</v>
      </c>
      <c r="F98" s="10">
        <v>0.80675962241139243</v>
      </c>
      <c r="H98">
        <v>7.6133455139962951</v>
      </c>
      <c r="I98" s="11">
        <f t="shared" si="1"/>
        <v>-0.1431832882471108</v>
      </c>
      <c r="J98" s="11">
        <f>1/(H98*Utilities!$B$11)</f>
        <v>0.52539320495128472</v>
      </c>
      <c r="K98" s="11">
        <f>IF(B98&lt;C98,1,EXP(-1*(B98-C98)/(Utilities!$B$11*IterData!H98)))</f>
        <v>1</v>
      </c>
    </row>
    <row r="99" spans="1:11" x14ac:dyDescent="0.3">
      <c r="A99">
        <v>98</v>
      </c>
      <c r="B99">
        <v>0.24495269683938267</v>
      </c>
      <c r="C99">
        <v>0.42758629283088023</v>
      </c>
      <c r="D99">
        <v>1</v>
      </c>
      <c r="E99" s="10">
        <v>3.9612222692716338E-2</v>
      </c>
      <c r="F99" s="10">
        <v>0.9775744391818274</v>
      </c>
      <c r="H99">
        <v>7.472491835591728</v>
      </c>
      <c r="I99" s="11">
        <f t="shared" si="1"/>
        <v>-0.18263359599149756</v>
      </c>
      <c r="J99" s="11">
        <f>1/(H99*Utilities!$B$11)</f>
        <v>0.53529667050927598</v>
      </c>
      <c r="K99" s="11">
        <f>IF(B99&lt;C99,1,EXP(-1*(B99-C99)/(Utilities!$B$11*IterData!H99)))</f>
        <v>1</v>
      </c>
    </row>
    <row r="100" spans="1:11" x14ac:dyDescent="0.3">
      <c r="A100">
        <v>99</v>
      </c>
      <c r="B100">
        <v>0.36988586271915719</v>
      </c>
      <c r="C100">
        <v>0.24495269683938267</v>
      </c>
      <c r="D100">
        <v>0.93413417058769421</v>
      </c>
      <c r="E100" s="10">
        <v>3.6873435511441642E-2</v>
      </c>
      <c r="F100" s="10">
        <v>0.88450655134954437</v>
      </c>
      <c r="H100">
        <v>7.3344272468891951</v>
      </c>
      <c r="I100" s="11">
        <f t="shared" si="1"/>
        <v>0.12493316587977452</v>
      </c>
      <c r="J100" s="11">
        <f>1/(H100*Utilities!$B$11)</f>
        <v>0.54537319211892787</v>
      </c>
      <c r="K100" s="11">
        <f>IF(B100&lt;C100,1,EXP(-1*(B100-C100)/(Utilities!$B$11*IterData!H100)))</f>
        <v>0.93413417058769421</v>
      </c>
    </row>
    <row r="101" spans="1:11" x14ac:dyDescent="0.3">
      <c r="A101">
        <v>100</v>
      </c>
      <c r="B101">
        <v>1.2255838052802404</v>
      </c>
      <c r="C101">
        <v>0.36988586271915719</v>
      </c>
      <c r="D101">
        <v>0.62160688323250113</v>
      </c>
      <c r="E101" s="10">
        <v>4.4248215290465645E-2</v>
      </c>
      <c r="F101" s="10">
        <v>0.92066389649654479</v>
      </c>
      <c r="H101">
        <v>7.1990965202123292</v>
      </c>
      <c r="I101" s="11">
        <f t="shared" si="1"/>
        <v>0.85569794256108311</v>
      </c>
      <c r="J101" s="11">
        <f>1/(H101*Utilities!$B$11)</f>
        <v>0.55562527725104383</v>
      </c>
      <c r="K101" s="11">
        <f>IF(B101&lt;C101,1,EXP(-1*(B101-C101)/(Utilities!$B$11*IterData!H101)))</f>
        <v>0.62160688323250113</v>
      </c>
    </row>
    <row r="102" spans="1:11" x14ac:dyDescent="0.3">
      <c r="A102">
        <v>101</v>
      </c>
      <c r="B102">
        <v>1.1283381485415824</v>
      </c>
      <c r="C102">
        <v>1.2255838052802404</v>
      </c>
      <c r="D102">
        <v>1</v>
      </c>
      <c r="E102" s="10">
        <v>3.0419886864071842E-2</v>
      </c>
      <c r="F102" s="10">
        <v>0.7116173567911307</v>
      </c>
      <c r="H102">
        <v>7.0664455214660249</v>
      </c>
      <c r="I102" s="11">
        <f t="shared" si="1"/>
        <v>-9.7245656738657926E-2</v>
      </c>
      <c r="J102" s="11">
        <f>1/(H102*Utilities!$B$11)</f>
        <v>0.5660554500631243</v>
      </c>
      <c r="K102" s="11">
        <f>IF(B102&lt;C102,1,EXP(-1*(B102-C102)/(Utilities!$B$11*IterData!H102)))</f>
        <v>1</v>
      </c>
    </row>
    <row r="103" spans="1:11" x14ac:dyDescent="0.3">
      <c r="A103">
        <v>102</v>
      </c>
      <c r="B103">
        <v>0.48879468681649707</v>
      </c>
      <c r="C103">
        <v>1.1283381485415824</v>
      </c>
      <c r="D103">
        <v>1</v>
      </c>
      <c r="E103" s="10">
        <v>4.4752933013407499E-2</v>
      </c>
      <c r="F103" s="10">
        <v>0.63708913957790658</v>
      </c>
      <c r="H103">
        <v>6.9364211884820826</v>
      </c>
      <c r="I103" s="11">
        <f t="shared" si="1"/>
        <v>-0.63954346172508536</v>
      </c>
      <c r="J103" s="11">
        <f>1/(H103*Utilities!$B$11)</f>
        <v>0.5766662506945216</v>
      </c>
      <c r="K103" s="11">
        <f>IF(B103&lt;C103,1,EXP(-1*(B103-C103)/(Utilities!$B$11*IterData!H103)))</f>
        <v>1</v>
      </c>
    </row>
    <row r="104" spans="1:11" x14ac:dyDescent="0.3">
      <c r="A104">
        <v>103</v>
      </c>
      <c r="B104">
        <v>0.593908895621446</v>
      </c>
      <c r="C104">
        <v>0.48879468681649707</v>
      </c>
      <c r="D104">
        <v>0.94011749414658408</v>
      </c>
      <c r="E104" s="10">
        <v>4.4059868115097073E-2</v>
      </c>
      <c r="F104" s="10">
        <v>0.96641017423890796</v>
      </c>
      <c r="H104">
        <v>6.8089715097936265</v>
      </c>
      <c r="I104" s="11">
        <f t="shared" si="1"/>
        <v>0.10511420880494893</v>
      </c>
      <c r="J104" s="11">
        <f>1/(H104*Utilities!$B$11)</f>
        <v>0.58746023452244345</v>
      </c>
      <c r="K104" s="11">
        <f>IF(B104&lt;C104,1,EXP(-1*(B104-C104)/(Utilities!$B$11*IterData!H104)))</f>
        <v>0.94011749414658408</v>
      </c>
    </row>
    <row r="105" spans="1:11" x14ac:dyDescent="0.3">
      <c r="A105">
        <v>104</v>
      </c>
      <c r="B105">
        <v>0.6650785518329656</v>
      </c>
      <c r="C105">
        <v>0.593908895621446</v>
      </c>
      <c r="D105">
        <v>0.95830347921626524</v>
      </c>
      <c r="E105" s="10">
        <v>4.8830462637777926E-2</v>
      </c>
      <c r="F105" s="10">
        <v>0.96845922775525872</v>
      </c>
      <c r="H105">
        <v>6.6840455038298296</v>
      </c>
      <c r="I105" s="11">
        <f t="shared" si="1"/>
        <v>7.1169656211519605E-2</v>
      </c>
      <c r="J105" s="11">
        <f>1/(H105*Utilities!$B$11)</f>
        <v>0.59843997137782456</v>
      </c>
      <c r="K105" s="11">
        <f>IF(B105&lt;C105,1,EXP(-1*(B105-C105)/(Utilities!$B$11*IterData!H105)))</f>
        <v>0.95830347921626524</v>
      </c>
    </row>
    <row r="106" spans="1:11" x14ac:dyDescent="0.3">
      <c r="A106">
        <v>105</v>
      </c>
      <c r="B106">
        <v>0.35010191234478177</v>
      </c>
      <c r="C106">
        <v>0.6650785518329656</v>
      </c>
      <c r="D106">
        <v>1</v>
      </c>
      <c r="E106" s="10">
        <v>4.7225876675598577E-2</v>
      </c>
      <c r="F106" s="10">
        <v>0.99991362829560548</v>
      </c>
      <c r="H106">
        <v>6.5615931985226039</v>
      </c>
      <c r="I106" s="11">
        <f t="shared" si="1"/>
        <v>-0.31497663948818383</v>
      </c>
      <c r="J106" s="11">
        <f>1/(H106*Utilities!$B$11)</f>
        <v>0.60960804472008912</v>
      </c>
      <c r="K106" s="11">
        <f>IF(B106&lt;C106,1,EXP(-1*(B106-C106)/(Utilities!$B$11*IterData!H106)))</f>
        <v>1</v>
      </c>
    </row>
    <row r="107" spans="1:11" x14ac:dyDescent="0.3">
      <c r="A107">
        <v>106</v>
      </c>
      <c r="B107">
        <v>0.32253301837358139</v>
      </c>
      <c r="C107">
        <v>0.35010191234478177</v>
      </c>
      <c r="D107">
        <v>1</v>
      </c>
      <c r="E107" s="10">
        <v>2.9834510272468622E-2</v>
      </c>
      <c r="F107" s="10">
        <v>1.0340976443703322</v>
      </c>
      <c r="H107">
        <v>6.4415656113171078</v>
      </c>
      <c r="I107" s="11">
        <f t="shared" si="1"/>
        <v>-2.7568893971200381E-2</v>
      </c>
      <c r="J107" s="11">
        <f>1/(H107*Utilities!$B$11)</f>
        <v>0.62096705076983905</v>
      </c>
      <c r="K107" s="11">
        <f>IF(B107&lt;C107,1,EXP(-1*(B107-C107)/(Utilities!$B$11*IterData!H107)))</f>
        <v>1</v>
      </c>
    </row>
    <row r="108" spans="1:11" x14ac:dyDescent="0.3">
      <c r="A108">
        <v>107</v>
      </c>
      <c r="B108">
        <v>1.3352633034414403</v>
      </c>
      <c r="C108">
        <v>0.32253301837358139</v>
      </c>
      <c r="D108">
        <v>0.52699102951071619</v>
      </c>
      <c r="E108" s="10">
        <v>4.2463569812695591E-2</v>
      </c>
      <c r="F108" s="10">
        <v>0.7966273611084902</v>
      </c>
      <c r="H108">
        <v>6.3239147295780693</v>
      </c>
      <c r="I108" s="11">
        <f t="shared" si="1"/>
        <v>1.012730285067859</v>
      </c>
      <c r="J108" s="11">
        <f>1/(H108*Utilities!$B$11)</f>
        <v>0.63251959759850829</v>
      </c>
      <c r="K108" s="11">
        <f>IF(B108&lt;C108,1,EXP(-1*(B108-C108)/(Utilities!$B$11*IterData!H108)))</f>
        <v>0.52699102951071619</v>
      </c>
    </row>
    <row r="109" spans="1:11" x14ac:dyDescent="0.3">
      <c r="A109">
        <v>108</v>
      </c>
      <c r="B109">
        <v>1.2352904777715144</v>
      </c>
      <c r="C109">
        <v>1.3352633034414403</v>
      </c>
      <c r="D109">
        <v>1</v>
      </c>
      <c r="E109" s="10">
        <v>3.0868256121554253E-2</v>
      </c>
      <c r="F109" s="10">
        <v>0.69592828926540928</v>
      </c>
      <c r="H109">
        <v>6.2085934913840948</v>
      </c>
      <c r="I109" s="11">
        <f t="shared" si="1"/>
        <v>-9.9972825669925935E-2</v>
      </c>
      <c r="J109" s="11">
        <f>1/(H109*Utilities!$B$11)</f>
        <v>0.64426830417403791</v>
      </c>
      <c r="K109" s="11">
        <f>IF(B109&lt;C109,1,EXP(-1*(B109-C109)/(Utilities!$B$11*IterData!H109)))</f>
        <v>1</v>
      </c>
    </row>
    <row r="110" spans="1:11" x14ac:dyDescent="0.3">
      <c r="A110">
        <v>109</v>
      </c>
      <c r="B110">
        <v>0.49815904333642208</v>
      </c>
      <c r="C110">
        <v>1.2352904777715144</v>
      </c>
      <c r="D110">
        <v>1</v>
      </c>
      <c r="E110" s="10">
        <v>3.6060714498038264E-2</v>
      </c>
      <c r="F110" s="10">
        <v>0.67249121934062539</v>
      </c>
      <c r="H110">
        <v>6.0955557667022671</v>
      </c>
      <c r="I110" s="11">
        <f t="shared" si="1"/>
        <v>-0.73713143443509233</v>
      </c>
      <c r="J110" s="11">
        <f>1/(H110*Utilities!$B$11)</f>
        <v>0.65621579936164287</v>
      </c>
      <c r="K110" s="11">
        <f>IF(B110&lt;C110,1,EXP(-1*(B110-C110)/(Utilities!$B$11*IterData!H110)))</f>
        <v>1</v>
      </c>
    </row>
    <row r="111" spans="1:11" x14ac:dyDescent="0.3">
      <c r="A111">
        <v>110</v>
      </c>
      <c r="B111">
        <v>0.33106915609771459</v>
      </c>
      <c r="C111">
        <v>0.49815904333642208</v>
      </c>
      <c r="D111">
        <v>1</v>
      </c>
      <c r="E111" s="10">
        <v>4.1158795759418575E-2</v>
      </c>
      <c r="F111" s="10">
        <v>0.99022517094203999</v>
      </c>
      <c r="H111">
        <v>5.9847563389355267</v>
      </c>
      <c r="I111" s="11">
        <f t="shared" si="1"/>
        <v>-0.16708988723870749</v>
      </c>
      <c r="J111" s="11">
        <f>1/(H111*Utilities!$B$11)</f>
        <v>0.66836472087875454</v>
      </c>
      <c r="K111" s="11">
        <f>IF(B111&lt;C111,1,EXP(-1*(B111-C111)/(Utilities!$B$11*IterData!H111)))</f>
        <v>1</v>
      </c>
    </row>
    <row r="112" spans="1:11" x14ac:dyDescent="0.3">
      <c r="A112">
        <v>111</v>
      </c>
      <c r="B112">
        <v>0.28210914397511633</v>
      </c>
      <c r="C112">
        <v>0.33106915609771459</v>
      </c>
      <c r="D112">
        <v>1</v>
      </c>
      <c r="E112" s="10">
        <v>3.1361370455647776E-2</v>
      </c>
      <c r="F112" s="10">
        <v>1.0107386019335398</v>
      </c>
      <c r="H112">
        <v>5.8761508868354193</v>
      </c>
      <c r="I112" s="11">
        <f t="shared" si="1"/>
        <v>-4.8960012122598262E-2</v>
      </c>
      <c r="J112" s="11">
        <f>1/(H112*Utilities!$B$11)</f>
        <v>0.68071771420324878</v>
      </c>
      <c r="K112" s="11">
        <f>IF(B112&lt;C112,1,EXP(-1*(B112-C112)/(Utilities!$B$11*IterData!H112)))</f>
        <v>1</v>
      </c>
    </row>
    <row r="113" spans="1:11" x14ac:dyDescent="0.3">
      <c r="A113">
        <v>112</v>
      </c>
      <c r="B113">
        <v>0.73460420331737208</v>
      </c>
      <c r="C113">
        <v>0.28210914397511633</v>
      </c>
      <c r="D113">
        <v>0.73073484623876994</v>
      </c>
      <c r="E113" s="10">
        <v>3.4270504987021611E-2</v>
      </c>
      <c r="F113" s="10">
        <v>0.9578237157193048</v>
      </c>
      <c r="H113">
        <v>5.7696959667730141</v>
      </c>
      <c r="I113" s="11">
        <f t="shared" si="1"/>
        <v>0.45249505934225576</v>
      </c>
      <c r="J113" s="11">
        <f>1/(H113*Utilities!$B$11)</f>
        <v>0.69327743143408582</v>
      </c>
      <c r="K113" s="11">
        <f>IF(B113&lt;C113,1,EXP(-1*(B113-C113)/(Utilities!$B$11*IterData!H113)))</f>
        <v>0.73073484623876994</v>
      </c>
    </row>
    <row r="114" spans="1:11" x14ac:dyDescent="0.3">
      <c r="A114">
        <v>113</v>
      </c>
      <c r="B114">
        <v>0.36028147126619148</v>
      </c>
      <c r="C114">
        <v>0.28210914397511633</v>
      </c>
      <c r="D114">
        <v>0.94630220964522538</v>
      </c>
      <c r="E114" s="10">
        <v>3.4270504987021611E-2</v>
      </c>
      <c r="F114" s="10">
        <v>0.9578237157193048</v>
      </c>
      <c r="H114">
        <v>5.6653489953608673</v>
      </c>
      <c r="I114" s="11">
        <f t="shared" si="1"/>
        <v>7.817232729107515E-2</v>
      </c>
      <c r="J114" s="11">
        <f>1/(H114*Utilities!$B$11)</f>
        <v>0.70604653010351937</v>
      </c>
      <c r="K114" s="11">
        <f>IF(B114&lt;C114,1,EXP(-1*(B114-C114)/(Utilities!$B$11*IterData!H114)))</f>
        <v>0.94630220964522538</v>
      </c>
    </row>
    <row r="115" spans="1:11" x14ac:dyDescent="0.3">
      <c r="A115">
        <v>114</v>
      </c>
      <c r="B115">
        <v>0.31193783745912868</v>
      </c>
      <c r="C115">
        <v>0.36028147126619148</v>
      </c>
      <c r="D115">
        <v>1</v>
      </c>
      <c r="E115" s="10">
        <v>4.0305448548451424E-2</v>
      </c>
      <c r="F115" s="10">
        <v>0.79214251169537953</v>
      </c>
      <c r="H115">
        <v>5.563068232419103</v>
      </c>
      <c r="I115" s="11">
        <f t="shared" si="1"/>
        <v>-4.8343633807062802E-2</v>
      </c>
      <c r="J115" s="11">
        <f>1/(H115*Utilities!$B$11)</f>
        <v>0.71902767194005779</v>
      </c>
      <c r="K115" s="11">
        <f>IF(B115&lt;C115,1,EXP(-1*(B115-C115)/(Utilities!$B$11*IterData!H115)))</f>
        <v>1</v>
      </c>
    </row>
    <row r="116" spans="1:11" x14ac:dyDescent="0.3">
      <c r="A116">
        <v>115</v>
      </c>
      <c r="B116">
        <v>0.45882805917890374</v>
      </c>
      <c r="C116">
        <v>0.31193783745912868</v>
      </c>
      <c r="D116">
        <v>0.8980258046220273</v>
      </c>
      <c r="E116" s="10">
        <v>4.5501030194045916E-2</v>
      </c>
      <c r="F116" s="10">
        <v>0.88168631842097767</v>
      </c>
      <c r="H116">
        <v>5.4628127642787838</v>
      </c>
      <c r="I116" s="11">
        <f t="shared" si="1"/>
        <v>0.14689022171977506</v>
      </c>
      <c r="J116" s="11">
        <f>1/(H116*Utilities!$B$11)</f>
        <v>0.73222352158139392</v>
      </c>
      <c r="K116" s="11">
        <f>IF(B116&lt;C116,1,EXP(-1*(B116-C116)/(Utilities!$B$11*IterData!H116)))</f>
        <v>0.8980258046220273</v>
      </c>
    </row>
    <row r="117" spans="1:11" x14ac:dyDescent="0.3">
      <c r="A117">
        <v>116</v>
      </c>
      <c r="B117">
        <v>0.806365429774068</v>
      </c>
      <c r="C117">
        <v>0.45882805917890374</v>
      </c>
      <c r="D117">
        <v>0.77171757309005229</v>
      </c>
      <c r="E117" s="10">
        <v>3.8296273616103292E-2</v>
      </c>
      <c r="F117" s="10">
        <v>0.77559348101563719</v>
      </c>
      <c r="H117">
        <v>5.3645424874158962</v>
      </c>
      <c r="I117" s="11">
        <f t="shared" si="1"/>
        <v>0.34753737059516426</v>
      </c>
      <c r="J117" s="11">
        <f>1/(H117*Utilities!$B$11)</f>
        <v>0.74563674523655465</v>
      </c>
      <c r="K117" s="11">
        <f>IF(B117&lt;C117,1,EXP(-1*(B117-C117)/(Utilities!$B$11*IterData!H117)))</f>
        <v>0.77171757309005229</v>
      </c>
    </row>
    <row r="118" spans="1:11" x14ac:dyDescent="0.3">
      <c r="A118">
        <v>117</v>
      </c>
      <c r="B118">
        <v>1.593590552379474</v>
      </c>
      <c r="C118">
        <v>0.806365429774068</v>
      </c>
      <c r="D118">
        <v>0.55006632002626499</v>
      </c>
      <c r="E118" s="10">
        <v>3.2937435529625775E-2</v>
      </c>
      <c r="F118" s="10">
        <v>0.74710236322262502</v>
      </c>
      <c r="H118">
        <v>5.2682180924094055</v>
      </c>
      <c r="I118" s="11">
        <f t="shared" si="1"/>
        <v>0.787225122605406</v>
      </c>
      <c r="J118" s="11">
        <f>1/(H118*Utilities!$B$11)</f>
        <v>0.75927000929656097</v>
      </c>
      <c r="K118" s="11">
        <f>IF(B118&lt;C118,1,EXP(-1*(B118-C118)/(Utilities!$B$11*IterData!H118)))</f>
        <v>0.55006632002626499</v>
      </c>
    </row>
    <row r="119" spans="1:11" x14ac:dyDescent="0.3">
      <c r="A119">
        <v>118</v>
      </c>
      <c r="B119">
        <v>0.40461979805064419</v>
      </c>
      <c r="C119">
        <v>0.806365429774068</v>
      </c>
      <c r="D119">
        <v>1</v>
      </c>
      <c r="E119" s="10">
        <v>3.2937435529625775E-2</v>
      </c>
      <c r="F119" s="10">
        <v>0.74710236322262502</v>
      </c>
      <c r="H119">
        <v>5.1738010482169665</v>
      </c>
      <c r="I119" s="11">
        <f t="shared" si="1"/>
        <v>-0.40174563172342381</v>
      </c>
      <c r="J119" s="11">
        <f>1/(H119*Utilities!$B$11)</f>
        <v>0.77312597889292811</v>
      </c>
      <c r="K119" s="11">
        <f>IF(B119&lt;C119,1,EXP(-1*(B119-C119)/(Utilities!$B$11*IterData!H119)))</f>
        <v>1</v>
      </c>
    </row>
    <row r="120" spans="1:11" x14ac:dyDescent="0.3">
      <c r="A120">
        <v>119</v>
      </c>
      <c r="B120">
        <v>0.35205865426978494</v>
      </c>
      <c r="C120">
        <v>0.40461979805064419</v>
      </c>
      <c r="D120">
        <v>1</v>
      </c>
      <c r="E120" s="10">
        <v>4.4843933847709697E-2</v>
      </c>
      <c r="F120" s="10">
        <v>0.75703770665759273</v>
      </c>
      <c r="H120">
        <v>5.081253586761993</v>
      </c>
      <c r="I120" s="11">
        <f t="shared" si="1"/>
        <v>-5.2561143780859243E-2</v>
      </c>
      <c r="J120" s="11">
        <f>1/(H120*Utilities!$B$11)</f>
        <v>0.78720731640338837</v>
      </c>
      <c r="K120" s="11">
        <f>IF(B120&lt;C120,1,EXP(-1*(B120-C120)/(Utilities!$B$11*IterData!H120)))</f>
        <v>1</v>
      </c>
    </row>
    <row r="121" spans="1:11" x14ac:dyDescent="0.3">
      <c r="A121">
        <v>120</v>
      </c>
      <c r="B121">
        <v>1.1744808967133389</v>
      </c>
      <c r="C121">
        <v>0.35205865426978494</v>
      </c>
      <c r="D121">
        <v>0.51727266489861801</v>
      </c>
      <c r="E121" s="10">
        <v>3.5923245873165553E-2</v>
      </c>
      <c r="F121" s="10">
        <v>0.97796322152829362</v>
      </c>
      <c r="H121">
        <v>4.9905386878259197</v>
      </c>
      <c r="I121" s="11">
        <f t="shared" si="1"/>
        <v>0.82242224244355389</v>
      </c>
      <c r="J121" s="11">
        <f>1/(H121*Utilities!$B$11)</f>
        <v>0.80151667990426134</v>
      </c>
      <c r="K121" s="11">
        <f>IF(B121&lt;C121,1,EXP(-1*(B121-C121)/(Utilities!$B$11*IterData!H121)))</f>
        <v>0.51727266489861801</v>
      </c>
    </row>
    <row r="122" spans="1:11" x14ac:dyDescent="0.3">
      <c r="A122">
        <v>121</v>
      </c>
      <c r="B122">
        <v>0.25775425712951644</v>
      </c>
      <c r="C122">
        <v>1.1744808967133389</v>
      </c>
      <c r="D122">
        <v>1</v>
      </c>
      <c r="E122" s="10">
        <v>3.6577319990989059E-2</v>
      </c>
      <c r="F122" s="10">
        <v>0.67641026618261557</v>
      </c>
      <c r="H122">
        <v>4.9016200642396237</v>
      </c>
      <c r="I122" s="11">
        <f t="shared" si="1"/>
        <v>-0.9167266395838225</v>
      </c>
      <c r="J122" s="11">
        <f>1/(H122*Utilities!$B$11)</f>
        <v>0.81605672156895537</v>
      </c>
      <c r="K122" s="11">
        <f>IF(B122&lt;C122,1,EXP(-1*(B122-C122)/(Utilities!$B$11*IterData!H122)))</f>
        <v>1</v>
      </c>
    </row>
    <row r="123" spans="1:11" x14ac:dyDescent="0.3">
      <c r="A123">
        <v>122</v>
      </c>
      <c r="B123">
        <v>0.65188213840979548</v>
      </c>
      <c r="C123">
        <v>0.25775425712951644</v>
      </c>
      <c r="D123">
        <v>0.72075694875523577</v>
      </c>
      <c r="E123" s="10">
        <v>3.4588690775880768E-2</v>
      </c>
      <c r="F123" s="10">
        <v>0.93716626902072186</v>
      </c>
      <c r="H123">
        <v>4.814462147368074</v>
      </c>
      <c r="I123" s="11">
        <f t="shared" si="1"/>
        <v>0.39412788128027904</v>
      </c>
      <c r="J123" s="11">
        <f>1/(H123*Utilities!$B$11)</f>
        <v>0.83083008601213815</v>
      </c>
      <c r="K123" s="11">
        <f>IF(B123&lt;C123,1,EXP(-1*(B123-C123)/(Utilities!$B$11*IterData!H123)))</f>
        <v>0.72075694875523577</v>
      </c>
    </row>
    <row r="124" spans="1:11" x14ac:dyDescent="0.3">
      <c r="A124">
        <v>123</v>
      </c>
      <c r="B124">
        <v>0.40793578229642002</v>
      </c>
      <c r="C124">
        <v>0.65188213840979548</v>
      </c>
      <c r="D124">
        <v>1</v>
      </c>
      <c r="E124" s="10">
        <v>4.3775386411201912E-2</v>
      </c>
      <c r="F124" s="10">
        <v>0.70890823630988931</v>
      </c>
      <c r="H124">
        <v>4.7290300728824013</v>
      </c>
      <c r="I124" s="11">
        <f t="shared" si="1"/>
        <v>-0.24394635611337545</v>
      </c>
      <c r="J124" s="11">
        <f>1/(H124*Utilities!$B$11)</f>
        <v>0.84583940857917861</v>
      </c>
      <c r="K124" s="11">
        <f>IF(B124&lt;C124,1,EXP(-1*(B124-C124)/(Utilities!$B$11*IterData!H124)))</f>
        <v>1</v>
      </c>
    </row>
    <row r="125" spans="1:11" x14ac:dyDescent="0.3">
      <c r="A125">
        <v>124</v>
      </c>
      <c r="B125">
        <v>0.39831538407687089</v>
      </c>
      <c r="C125">
        <v>0.40793578229642002</v>
      </c>
      <c r="D125">
        <v>1</v>
      </c>
      <c r="E125" s="10">
        <v>4.6859007937373229E-2</v>
      </c>
      <c r="F125" s="10">
        <v>0.74724765273729221</v>
      </c>
      <c r="H125">
        <v>4.6452896668137003</v>
      </c>
      <c r="I125" s="11">
        <f t="shared" si="1"/>
        <v>-9.6203982195491311E-3</v>
      </c>
      <c r="J125" s="11">
        <f>1/(H125*Utilities!$B$11)</f>
        <v>0.86108731358052903</v>
      </c>
      <c r="K125" s="11">
        <f>IF(B125&lt;C125,1,EXP(-1*(B125-C125)/(Utilities!$B$11*IterData!H125)))</f>
        <v>1</v>
      </c>
    </row>
    <row r="126" spans="1:11" x14ac:dyDescent="0.3">
      <c r="A126">
        <v>125</v>
      </c>
      <c r="B126">
        <v>0.54668601384081705</v>
      </c>
      <c r="C126">
        <v>0.39831538407687089</v>
      </c>
      <c r="D126">
        <v>0.87804433221060296</v>
      </c>
      <c r="E126" s="10">
        <v>3.0129072966159826E-2</v>
      </c>
      <c r="F126" s="10">
        <v>1.0498551756476462</v>
      </c>
      <c r="H126">
        <v>4.5632074318829909</v>
      </c>
      <c r="I126" s="11">
        <f t="shared" si="1"/>
        <v>0.14837062976394616</v>
      </c>
      <c r="J126" s="11">
        <f>1/(H126*Utilities!$B$11)</f>
        <v>0.87657641247078144</v>
      </c>
      <c r="K126" s="11">
        <f>IF(B126&lt;C126,1,EXP(-1*(B126-C126)/(Utilities!$B$11*IterData!H126)))</f>
        <v>0.87804433221060296</v>
      </c>
    </row>
    <row r="127" spans="1:11" x14ac:dyDescent="0.3">
      <c r="A127">
        <v>126</v>
      </c>
      <c r="B127">
        <v>0.33629488023072029</v>
      </c>
      <c r="C127">
        <v>0.54668601384081705</v>
      </c>
      <c r="D127">
        <v>1</v>
      </c>
      <c r="E127" s="10">
        <v>3.9692698255064253E-2</v>
      </c>
      <c r="F127" s="10">
        <v>1.0168080517152258</v>
      </c>
      <c r="H127">
        <v>4.4827505341018554</v>
      </c>
      <c r="I127" s="11">
        <f t="shared" si="1"/>
        <v>-0.21039113361009676</v>
      </c>
      <c r="J127" s="11">
        <f>1/(H127*Utilities!$B$11)</f>
        <v>0.89230930197221492</v>
      </c>
      <c r="K127" s="11">
        <f>IF(B127&lt;C127,1,EXP(-1*(B127-C127)/(Utilities!$B$11*IterData!H127)))</f>
        <v>1</v>
      </c>
    </row>
    <row r="128" spans="1:11" x14ac:dyDescent="0.3">
      <c r="A128">
        <v>127</v>
      </c>
      <c r="B128">
        <v>0.32302773837637627</v>
      </c>
      <c r="C128">
        <v>0.33629488023072029</v>
      </c>
      <c r="D128">
        <v>1</v>
      </c>
      <c r="E128" s="10">
        <v>3.2734588714701252E-2</v>
      </c>
      <c r="F128" s="10">
        <v>0.99983408108845551</v>
      </c>
      <c r="H128">
        <v>4.4038867896384097</v>
      </c>
      <c r="I128" s="11">
        <f t="shared" si="1"/>
        <v>-1.3267141854344022E-2</v>
      </c>
      <c r="J128" s="11">
        <f>1/(H128*Utilities!$B$11)</f>
        <v>0.90828856214272213</v>
      </c>
      <c r="K128" s="11">
        <f>IF(B128&lt;C128,1,EXP(-1*(B128-C128)/(Utilities!$B$11*IterData!H128)))</f>
        <v>1</v>
      </c>
    </row>
    <row r="129" spans="1:11" x14ac:dyDescent="0.3">
      <c r="A129">
        <v>128</v>
      </c>
      <c r="B129">
        <v>0.37605348076173956</v>
      </c>
      <c r="C129">
        <v>0.32302773837637627</v>
      </c>
      <c r="D129">
        <v>0.95215905149339597</v>
      </c>
      <c r="E129" s="10">
        <v>3.6518560078831475E-2</v>
      </c>
      <c r="F129" s="10">
        <v>0.95960183284334444</v>
      </c>
      <c r="H129">
        <v>4.3265846519433371</v>
      </c>
      <c r="I129" s="11">
        <f t="shared" si="1"/>
        <v>5.3025742385363284E-2</v>
      </c>
      <c r="J129" s="11">
        <f>1/(H129*Utilities!$B$11)</f>
        <v>0.92451675438809511</v>
      </c>
      <c r="K129" s="11">
        <f>IF(B129&lt;C129,1,EXP(-1*(B129-C129)/(Utilities!$B$11*IterData!H129)))</f>
        <v>0.95215905149339597</v>
      </c>
    </row>
    <row r="130" spans="1:11" x14ac:dyDescent="0.3">
      <c r="A130">
        <v>129</v>
      </c>
      <c r="B130">
        <v>0.24176374368316303</v>
      </c>
      <c r="C130">
        <v>0.37605348076173956</v>
      </c>
      <c r="D130">
        <v>1</v>
      </c>
      <c r="E130" s="10">
        <v>3.5339025819214935E-2</v>
      </c>
      <c r="F130" s="10">
        <v>0.81375972588724022</v>
      </c>
      <c r="H130">
        <v>4.2508131991308513</v>
      </c>
      <c r="I130" s="11">
        <f t="shared" si="1"/>
        <v>-0.13428973707857653</v>
      </c>
      <c r="J130" s="11">
        <f>1/(H130*Utilities!$B$11)</f>
        <v>0.94099641941872814</v>
      </c>
      <c r="K130" s="11">
        <f>IF(B130&lt;C130,1,EXP(-1*(B130-C130)/(Utilities!$B$11*IterData!H130)))</f>
        <v>1</v>
      </c>
    </row>
    <row r="131" spans="1:11" x14ac:dyDescent="0.3">
      <c r="A131">
        <v>130</v>
      </c>
      <c r="B131">
        <v>0.25139154909064965</v>
      </c>
      <c r="C131">
        <v>0.24176374368316303</v>
      </c>
      <c r="D131">
        <v>0.99082154277303047</v>
      </c>
      <c r="E131" s="10">
        <v>3.3243185845654583E-2</v>
      </c>
      <c r="F131" s="10">
        <v>0.88838353232123379</v>
      </c>
      <c r="H131">
        <v>4.1765421216095273</v>
      </c>
      <c r="I131" s="11">
        <f t="shared" ref="I131:I194" si="2">B131-C131</f>
        <v>9.6278054074866171E-3</v>
      </c>
      <c r="J131" s="11">
        <f>1/(H131*Utilities!$B$11)</f>
        <v>0.95773007515090192</v>
      </c>
      <c r="K131" s="11">
        <f>IF(B131&lt;C131,1,EXP(-1*(B131-C131)/(Utilities!$B$11*IterData!H131)))</f>
        <v>0.99082154277303047</v>
      </c>
    </row>
    <row r="132" spans="1:11" x14ac:dyDescent="0.3">
      <c r="A132">
        <v>131</v>
      </c>
      <c r="B132">
        <v>0.49412617621795302</v>
      </c>
      <c r="C132">
        <v>0.25139154909064965</v>
      </c>
      <c r="D132">
        <v>0.78930825172855068</v>
      </c>
      <c r="E132" s="10">
        <v>2.6769339391382162E-2</v>
      </c>
      <c r="F132" s="10">
        <v>1.0190717733546775</v>
      </c>
      <c r="H132">
        <v>4.1037417099580615</v>
      </c>
      <c r="I132" s="11">
        <f t="shared" si="2"/>
        <v>0.24273462712730337</v>
      </c>
      <c r="J132" s="11">
        <f>1/(H132*Utilities!$B$11)</f>
        <v>0.97472021455289848</v>
      </c>
      <c r="K132" s="11">
        <f>IF(B132&lt;C132,1,EXP(-1*(B132-C132)/(Utilities!$B$11*IterData!H132)))</f>
        <v>0.78930825172855068</v>
      </c>
    </row>
    <row r="133" spans="1:11" x14ac:dyDescent="0.3">
      <c r="A133">
        <v>132</v>
      </c>
      <c r="B133">
        <v>0.5519571405542717</v>
      </c>
      <c r="C133">
        <v>0.49412617621795302</v>
      </c>
      <c r="D133">
        <v>0.94424789997128311</v>
      </c>
      <c r="E133" s="10">
        <v>3.6991814434079846E-2</v>
      </c>
      <c r="F133" s="10">
        <v>1.0212291867197045</v>
      </c>
      <c r="H133">
        <v>4.0323828430411099</v>
      </c>
      <c r="I133" s="11">
        <f t="shared" si="2"/>
        <v>5.783096433631868E-2</v>
      </c>
      <c r="J133" s="11">
        <f>1/(H133*Utilities!$B$11)</f>
        <v>0.99196930343630574</v>
      </c>
      <c r="K133" s="11">
        <f>IF(B133&lt;C133,1,EXP(-1*(B133-C133)/(Utilities!$B$11*IterData!H133)))</f>
        <v>0.94424789997128311</v>
      </c>
    </row>
    <row r="134" spans="1:11" x14ac:dyDescent="0.3">
      <c r="A134">
        <v>133</v>
      </c>
      <c r="B134">
        <v>0.29938170778905554</v>
      </c>
      <c r="C134">
        <v>0.5519571405542717</v>
      </c>
      <c r="D134">
        <v>1</v>
      </c>
      <c r="E134" s="10">
        <v>4.2224104400103199E-2</v>
      </c>
      <c r="F134" s="10">
        <v>0.9997222215436905</v>
      </c>
      <c r="H134">
        <v>3.9624369763604403</v>
      </c>
      <c r="I134" s="11">
        <f t="shared" si="2"/>
        <v>-0.25257543276521616</v>
      </c>
      <c r="J134" s="11">
        <f>1/(H134*Utilities!$B$11)</f>
        <v>1.0094797781929801</v>
      </c>
      <c r="K134" s="11">
        <f>IF(B134&lt;C134,1,EXP(-1*(B134-C134)/(Utilities!$B$11*IterData!H134)))</f>
        <v>1</v>
      </c>
    </row>
    <row r="135" spans="1:11" x14ac:dyDescent="0.3">
      <c r="A135">
        <v>134</v>
      </c>
      <c r="B135">
        <v>0.89064556723094113</v>
      </c>
      <c r="C135">
        <v>0.29938170778905554</v>
      </c>
      <c r="D135">
        <v>0.54477730071221775</v>
      </c>
      <c r="E135" s="10">
        <v>3.4099628428175183E-2</v>
      </c>
      <c r="F135" s="10">
        <v>0.96930075573454944</v>
      </c>
      <c r="H135">
        <v>3.8938761306367566</v>
      </c>
      <c r="I135" s="11">
        <f t="shared" si="2"/>
        <v>0.59126385944188553</v>
      </c>
      <c r="J135" s="11">
        <f>1/(H135*Utilities!$B$11)</f>
        <v>1.0272540434782369</v>
      </c>
      <c r="K135" s="11">
        <f>IF(B135&lt;C135,1,EXP(-1*(B135-C135)/(Utilities!$B$11*IterData!H135)))</f>
        <v>0.54477730071221775</v>
      </c>
    </row>
    <row r="136" spans="1:11" x14ac:dyDescent="0.3">
      <c r="A136">
        <v>135</v>
      </c>
      <c r="B136">
        <v>0.98722593549065829</v>
      </c>
      <c r="C136">
        <v>0.89064556723094113</v>
      </c>
      <c r="D136">
        <v>0.9039737787328902</v>
      </c>
      <c r="E136" s="10">
        <v>3.2162375478104618E-2</v>
      </c>
      <c r="F136" s="10">
        <v>0.74065652658959835</v>
      </c>
      <c r="H136">
        <v>3.8266728806176129</v>
      </c>
      <c r="I136" s="11">
        <f t="shared" si="2"/>
        <v>9.6580368259717164E-2</v>
      </c>
      <c r="J136" s="11">
        <f>1/(H136*Utilities!$B$11)</f>
        <v>1.0452944698409687</v>
      </c>
      <c r="K136" s="11">
        <f>IF(B136&lt;C136,1,EXP(-1*(B136-C136)/(Utilities!$B$11*IterData!H136)))</f>
        <v>0.9039737787328902</v>
      </c>
    </row>
    <row r="137" spans="1:11" x14ac:dyDescent="0.3">
      <c r="A137">
        <v>136</v>
      </c>
      <c r="B137">
        <v>1.1436979899709416</v>
      </c>
      <c r="C137">
        <v>0.98722593549065829</v>
      </c>
      <c r="D137">
        <v>0.84668698678225407</v>
      </c>
      <c r="E137" s="10">
        <v>3.2687757304091847E-2</v>
      </c>
      <c r="F137" s="10">
        <v>0.72438162715703336</v>
      </c>
      <c r="H137">
        <v>3.7608003441069457</v>
      </c>
      <c r="I137" s="11">
        <f t="shared" si="2"/>
        <v>0.15647205448028334</v>
      </c>
      <c r="J137" s="11">
        <f>1/(H137*Utilities!$B$11)</f>
        <v>1.0636033913015011</v>
      </c>
      <c r="K137" s="11">
        <f>IF(B137&lt;C137,1,EXP(-1*(B137-C137)/(Utilities!$B$11*IterData!H137)))</f>
        <v>0.84668698678225407</v>
      </c>
    </row>
    <row r="138" spans="1:11" x14ac:dyDescent="0.3">
      <c r="A138">
        <v>137</v>
      </c>
      <c r="B138">
        <v>0.80990130262009485</v>
      </c>
      <c r="C138">
        <v>1.1436979899709416</v>
      </c>
      <c r="D138">
        <v>1</v>
      </c>
      <c r="E138" s="10">
        <v>2.7227334866131998E-2</v>
      </c>
      <c r="F138" s="10">
        <v>0.74598460106759557</v>
      </c>
      <c r="H138">
        <v>3.6962321712118391</v>
      </c>
      <c r="I138" s="11">
        <f t="shared" si="2"/>
        <v>-0.33379668735084678</v>
      </c>
      <c r="J138" s="11">
        <f>1/(H138*Utilities!$B$11)</f>
        <v>1.0821831028781312</v>
      </c>
      <c r="K138" s="11">
        <f>IF(B138&lt;C138,1,EXP(-1*(B138-C138)/(Utilities!$B$11*IterData!H138)))</f>
        <v>1</v>
      </c>
    </row>
    <row r="139" spans="1:11" x14ac:dyDescent="0.3">
      <c r="A139">
        <v>138</v>
      </c>
      <c r="B139">
        <v>1.4135418035168112</v>
      </c>
      <c r="C139">
        <v>0.80990130262009485</v>
      </c>
      <c r="D139">
        <v>0.51446392804446761</v>
      </c>
      <c r="E139" s="10">
        <v>3.424081266119218E-2</v>
      </c>
      <c r="F139" s="10">
        <v>0.73802096953244833</v>
      </c>
      <c r="H139">
        <v>3.6329425338022148</v>
      </c>
      <c r="I139" s="11">
        <f t="shared" si="2"/>
        <v>0.60364050089671639</v>
      </c>
      <c r="J139" s="11">
        <f>1/(H139*Utilities!$B$11)</f>
        <v>1.1010358580634154</v>
      </c>
      <c r="K139" s="11">
        <f>IF(B139&lt;C139,1,EXP(-1*(B139-C139)/(Utilities!$B$11*IterData!H139)))</f>
        <v>0.51446392804446761</v>
      </c>
    </row>
    <row r="140" spans="1:11" x14ac:dyDescent="0.3">
      <c r="A140">
        <v>139</v>
      </c>
      <c r="B140">
        <v>0.23792917669341596</v>
      </c>
      <c r="C140">
        <v>1.4135418035168112</v>
      </c>
      <c r="D140">
        <v>1</v>
      </c>
      <c r="E140" s="10">
        <v>3.365338466096976E-2</v>
      </c>
      <c r="F140" s="10">
        <v>0.66794771994336788</v>
      </c>
      <c r="H140">
        <v>3.5709061151792354</v>
      </c>
      <c r="I140" s="11">
        <f t="shared" si="2"/>
        <v>-1.1756126268233953</v>
      </c>
      <c r="J140" s="11">
        <f>1/(H140*Utilities!$B$11)</f>
        <v>1.1201638662514171</v>
      </c>
      <c r="K140" s="11">
        <f>IF(B140&lt;C140,1,EXP(-1*(B140-C140)/(Utilities!$B$11*IterData!H140)))</f>
        <v>1</v>
      </c>
    </row>
    <row r="141" spans="1:11" x14ac:dyDescent="0.3">
      <c r="A141">
        <v>140</v>
      </c>
      <c r="B141">
        <v>0.3977499457101985</v>
      </c>
      <c r="C141">
        <v>0.23792917669341596</v>
      </c>
      <c r="D141">
        <v>0.83349561288166163</v>
      </c>
      <c r="E141" s="10">
        <v>3.0509395240849467E-2</v>
      </c>
      <c r="F141" s="10">
        <v>0.96428406421435231</v>
      </c>
      <c r="H141">
        <v>3.5100980999482885</v>
      </c>
      <c r="I141" s="11">
        <f t="shared" si="2"/>
        <v>0.15982076901678255</v>
      </c>
      <c r="J141" s="11">
        <f>1/(H141*Utilities!$B$11)</f>
        <v>1.1395692901172561</v>
      </c>
      <c r="K141" s="11">
        <f>IF(B141&lt;C141,1,EXP(-1*(B141-C141)/(Utilities!$B$11*IterData!H141)))</f>
        <v>0.83349561288166163</v>
      </c>
    </row>
    <row r="142" spans="1:11" x14ac:dyDescent="0.3">
      <c r="A142">
        <v>141</v>
      </c>
      <c r="B142">
        <v>1.0354750712003986</v>
      </c>
      <c r="C142">
        <v>0.3977499457101985</v>
      </c>
      <c r="D142">
        <v>0.47745490774585381</v>
      </c>
      <c r="E142" s="10">
        <v>3.6700710429875501E-2</v>
      </c>
      <c r="F142" s="10">
        <v>0.79985249019307247</v>
      </c>
      <c r="H142">
        <v>3.4504941640924987</v>
      </c>
      <c r="I142" s="11">
        <f t="shared" si="2"/>
        <v>0.63772512549020011</v>
      </c>
      <c r="J142" s="11">
        <f>1/(H142*Utilities!$B$11)</f>
        <v>1.1592542429504513</v>
      </c>
      <c r="K142" s="11">
        <f>IF(B142&lt;C142,1,EXP(-1*(B142-C142)/(Utilities!$B$11*IterData!H142)))</f>
        <v>0.47745490774585381</v>
      </c>
    </row>
    <row r="143" spans="1:11" x14ac:dyDescent="0.3">
      <c r="A143">
        <v>142</v>
      </c>
      <c r="B143">
        <v>0.55113851887904264</v>
      </c>
      <c r="C143">
        <v>1.0354750712003986</v>
      </c>
      <c r="D143">
        <v>1</v>
      </c>
      <c r="E143" s="10">
        <v>2.3712889653036182E-2</v>
      </c>
      <c r="F143" s="10">
        <v>0.79000036980499777</v>
      </c>
      <c r="H143">
        <v>3.3920704652427909</v>
      </c>
      <c r="I143" s="11">
        <f t="shared" si="2"/>
        <v>-0.48433655232135597</v>
      </c>
      <c r="J143" s="11">
        <f>1/(H143*Utilities!$B$11)</f>
        <v>1.1792207859436954</v>
      </c>
      <c r="K143" s="11">
        <f>IF(B143&lt;C143,1,EXP(-1*(B143-C143)/(Utilities!$B$11*IterData!H143)))</f>
        <v>1</v>
      </c>
    </row>
    <row r="144" spans="1:11" x14ac:dyDescent="0.3">
      <c r="A144">
        <v>143</v>
      </c>
      <c r="B144">
        <v>0.42560498213112424</v>
      </c>
      <c r="C144">
        <v>0.55113851887904264</v>
      </c>
      <c r="D144">
        <v>1</v>
      </c>
      <c r="E144" s="10">
        <v>2.6551901654488345E-2</v>
      </c>
      <c r="F144" s="10">
        <v>1.1393419651895249</v>
      </c>
      <c r="H144">
        <v>3.3348036331406341</v>
      </c>
      <c r="I144" s="11">
        <f t="shared" si="2"/>
        <v>-0.1255335367479184</v>
      </c>
      <c r="J144" s="11">
        <f>1/(H144*Utilities!$B$11)</f>
        <v>1.1994709254388394</v>
      </c>
      <c r="K144" s="11">
        <f>IF(B144&lt;C144,1,EXP(-1*(B144-C144)/(Utilities!$B$11*IterData!H144)))</f>
        <v>1</v>
      </c>
    </row>
    <row r="145" spans="1:11" x14ac:dyDescent="0.3">
      <c r="A145">
        <v>144</v>
      </c>
      <c r="B145">
        <v>1.1604022529116491</v>
      </c>
      <c r="C145">
        <v>0.42560498213112424</v>
      </c>
      <c r="D145">
        <v>0.40801247565518273</v>
      </c>
      <c r="E145" s="10">
        <v>3.2770171047426203E-2</v>
      </c>
      <c r="F145" s="10">
        <v>1.0344075011148002</v>
      </c>
      <c r="H145">
        <v>3.2786707602896192</v>
      </c>
      <c r="I145" s="11">
        <f t="shared" si="2"/>
        <v>0.73479727078052481</v>
      </c>
      <c r="J145" s="11">
        <f>1/(H145*Utilities!$B$11)</f>
        <v>1.220006610132047</v>
      </c>
      <c r="K145" s="11">
        <f>IF(B145&lt;C145,1,EXP(-1*(B145-C145)/(Utilities!$B$11*IterData!H145)))</f>
        <v>0.40801247565518273</v>
      </c>
    </row>
    <row r="146" spans="1:11" x14ac:dyDescent="0.3">
      <c r="A146">
        <v>145</v>
      </c>
      <c r="B146">
        <v>0.59061392088467513</v>
      </c>
      <c r="C146">
        <v>0.42560498213112424</v>
      </c>
      <c r="D146">
        <v>0.81485263614942793</v>
      </c>
      <c r="E146" s="10">
        <v>3.2770171047426203E-2</v>
      </c>
      <c r="F146" s="10">
        <v>1.0344075011148002</v>
      </c>
      <c r="H146">
        <v>3.2236493927921579</v>
      </c>
      <c r="I146" s="11">
        <f t="shared" si="2"/>
        <v>0.16500893875355088</v>
      </c>
      <c r="J146" s="11">
        <f>1/(H146*Utilities!$B$11)</f>
        <v>1.2408297282402065</v>
      </c>
      <c r="K146" s="11">
        <f>IF(B146&lt;C146,1,EXP(-1*(B146-C146)/(Utilities!$B$11*IterData!H146)))</f>
        <v>0.81485263614942793</v>
      </c>
    </row>
    <row r="147" spans="1:11" x14ac:dyDescent="0.3">
      <c r="A147">
        <v>146</v>
      </c>
      <c r="B147">
        <v>0.23803664727416252</v>
      </c>
      <c r="C147">
        <v>0.59061392088467513</v>
      </c>
      <c r="D147">
        <v>1</v>
      </c>
      <c r="E147" s="10">
        <v>3.5881629373236835E-2</v>
      </c>
      <c r="F147" s="10">
        <v>1.0609962587637385</v>
      </c>
      <c r="H147">
        <v>3.1697175213676227</v>
      </c>
      <c r="I147" s="11">
        <f t="shared" si="2"/>
        <v>-0.35257727361051261</v>
      </c>
      <c r="J147" s="11">
        <f>1/(H147*Utilities!$B$11)</f>
        <v>1.2619421046308692</v>
      </c>
      <c r="K147" s="11">
        <f>IF(B147&lt;C147,1,EXP(-1*(B147-C147)/(Utilities!$B$11*IterData!H147)))</f>
        <v>1</v>
      </c>
    </row>
    <row r="148" spans="1:11" x14ac:dyDescent="0.3">
      <c r="A148">
        <v>147</v>
      </c>
      <c r="B148">
        <v>0.43637506342039695</v>
      </c>
      <c r="C148">
        <v>0.23803664727416252</v>
      </c>
      <c r="D148">
        <v>0.77527558954568854</v>
      </c>
      <c r="E148" s="10">
        <v>3.0660922325882491E-2</v>
      </c>
      <c r="F148" s="10">
        <v>0.96256733264882743</v>
      </c>
      <c r="H148">
        <v>3.1168535725483433</v>
      </c>
      <c r="I148" s="11">
        <f t="shared" si="2"/>
        <v>0.19833841614623443</v>
      </c>
      <c r="J148" s="11">
        <f>1/(H148*Utilities!$B$11)</f>
        <v>1.2833454979181442</v>
      </c>
      <c r="K148" s="11">
        <f>IF(B148&lt;C148,1,EXP(-1*(B148-C148)/(Utilities!$B$11*IterData!H148)))</f>
        <v>0.77527558954568854</v>
      </c>
    </row>
    <row r="149" spans="1:11" x14ac:dyDescent="0.3">
      <c r="A149">
        <v>148</v>
      </c>
      <c r="B149">
        <v>0.23006829736639842</v>
      </c>
      <c r="C149">
        <v>0.43637506342039695</v>
      </c>
      <c r="D149">
        <v>1</v>
      </c>
      <c r="E149" s="10">
        <v>3.2400954371285769E-2</v>
      </c>
      <c r="F149" s="10">
        <v>0.81620195461274081</v>
      </c>
      <c r="H149">
        <v>3.0650364000499288</v>
      </c>
      <c r="I149" s="11">
        <f t="shared" si="2"/>
        <v>-0.20630676605399853</v>
      </c>
      <c r="J149" s="11">
        <f>1/(H149*Utilities!$B$11)</f>
        <v>1.3050415975271421</v>
      </c>
      <c r="K149" s="11">
        <f>IF(B149&lt;C149,1,EXP(-1*(B149-C149)/(Utilities!$B$11*IterData!H149)))</f>
        <v>1</v>
      </c>
    </row>
    <row r="150" spans="1:11" x14ac:dyDescent="0.3">
      <c r="A150">
        <v>149</v>
      </c>
      <c r="B150">
        <v>0.22636331205942312</v>
      </c>
      <c r="C150">
        <v>0.23006829736639842</v>
      </c>
      <c r="D150">
        <v>1</v>
      </c>
      <c r="E150" s="10">
        <v>2.9298205918008857E-2</v>
      </c>
      <c r="F150" s="10">
        <v>0.97114409620844699</v>
      </c>
      <c r="H150">
        <v>3.0142452763124759</v>
      </c>
      <c r="I150" s="11">
        <f t="shared" si="2"/>
        <v>-3.7049853069753003E-3</v>
      </c>
      <c r="J150" s="11">
        <f>1/(H150*Utilities!$B$11)</f>
        <v>1.3270320207297339</v>
      </c>
      <c r="K150" s="11">
        <f>IF(B150&lt;C150,1,EXP(-1*(B150-C150)/(Utilities!$B$11*IterData!H150)))</f>
        <v>1</v>
      </c>
    </row>
    <row r="151" spans="1:11" x14ac:dyDescent="0.3">
      <c r="A151">
        <v>150</v>
      </c>
      <c r="B151">
        <v>0.29371164719969683</v>
      </c>
      <c r="C151">
        <v>0.22636331205942312</v>
      </c>
      <c r="D151">
        <v>0.91313244633430946</v>
      </c>
      <c r="E151" s="10">
        <v>3.0644293855614693E-2</v>
      </c>
      <c r="F151" s="10">
        <v>0.91624466750844991</v>
      </c>
      <c r="H151">
        <v>2.9644598842092651</v>
      </c>
      <c r="I151" s="11">
        <f t="shared" si="2"/>
        <v>6.7348335140273718E-2</v>
      </c>
      <c r="J151" s="11">
        <f>1/(H151*Utilities!$B$11)</f>
        <v>1.3493183096545607</v>
      </c>
      <c r="K151" s="11">
        <f>IF(B151&lt;C151,1,EXP(-1*(B151-C151)/(Utilities!$B$11*IterData!H151)))</f>
        <v>0.91313244633430946</v>
      </c>
    </row>
    <row r="152" spans="1:11" x14ac:dyDescent="0.3">
      <c r="A152">
        <v>151</v>
      </c>
      <c r="B152">
        <v>0.68629725515606077</v>
      </c>
      <c r="C152">
        <v>0.29371164719969683</v>
      </c>
      <c r="D152">
        <v>0.58357111821377172</v>
      </c>
      <c r="E152" s="10">
        <v>2.4562520090748673E-2</v>
      </c>
      <c r="F152" s="10">
        <v>0.9146929037311945</v>
      </c>
      <c r="H152">
        <v>2.9156603089196418</v>
      </c>
      <c r="I152" s="11">
        <f t="shared" si="2"/>
        <v>0.39258560795636394</v>
      </c>
      <c r="J152" s="11">
        <f>1/(H152*Utilities!$B$11)</f>
        <v>1.3719019282744036</v>
      </c>
      <c r="K152" s="11">
        <f>IF(B152&lt;C152,1,EXP(-1*(B152-C152)/(Utilities!$B$11*IterData!H152)))</f>
        <v>0.58357111821377172</v>
      </c>
    </row>
    <row r="153" spans="1:11" x14ac:dyDescent="0.3">
      <c r="A153">
        <v>152</v>
      </c>
      <c r="B153">
        <v>0.25766771390579507</v>
      </c>
      <c r="C153">
        <v>0.29371164719969683</v>
      </c>
      <c r="D153">
        <v>1</v>
      </c>
      <c r="E153" s="10">
        <v>2.4562520090748673E-2</v>
      </c>
      <c r="F153" s="10">
        <v>0.9146929037311945</v>
      </c>
      <c r="H153">
        <v>2.867827029962819</v>
      </c>
      <c r="I153" s="11">
        <f t="shared" si="2"/>
        <v>-3.6043933293901764E-2</v>
      </c>
      <c r="J153" s="11">
        <f>1/(H153*Utilities!$B$11)</f>
        <v>1.3947842593741993</v>
      </c>
      <c r="K153" s="11">
        <f>IF(B153&lt;C153,1,EXP(-1*(B153-C153)/(Utilities!$B$11*IterData!H153)))</f>
        <v>1</v>
      </c>
    </row>
    <row r="154" spans="1:11" x14ac:dyDescent="0.3">
      <c r="A154">
        <v>153</v>
      </c>
      <c r="B154">
        <v>0.35411666469875441</v>
      </c>
      <c r="C154">
        <v>0.25766771390579507</v>
      </c>
      <c r="D154">
        <v>0.87217831092255405</v>
      </c>
      <c r="E154" s="10">
        <v>3.6632325406958592E-2</v>
      </c>
      <c r="F154" s="10">
        <v>0.86063555058386954</v>
      </c>
      <c r="H154">
        <v>2.8209409133894301</v>
      </c>
      <c r="I154" s="11">
        <f t="shared" si="2"/>
        <v>9.6448950792959343E-2</v>
      </c>
      <c r="J154" s="11">
        <f>1/(H154*Utilities!$B$11)</f>
        <v>1.4179666015031493</v>
      </c>
      <c r="K154" s="11">
        <f>IF(B154&lt;C154,1,EXP(-1*(B154-C154)/(Utilities!$B$11*IterData!H154)))</f>
        <v>0.87217831092255405</v>
      </c>
    </row>
    <row r="155" spans="1:11" x14ac:dyDescent="0.3">
      <c r="A155">
        <v>154</v>
      </c>
      <c r="B155">
        <v>1.0408634457605141</v>
      </c>
      <c r="C155">
        <v>0.35411666469875441</v>
      </c>
      <c r="D155">
        <v>0.37160966564225012</v>
      </c>
      <c r="E155" s="10">
        <v>3.8873711991733693E-2</v>
      </c>
      <c r="F155" s="10">
        <v>0.80137003244631466</v>
      </c>
      <c r="H155">
        <v>2.7749832041276883</v>
      </c>
      <c r="I155" s="11">
        <f t="shared" si="2"/>
        <v>0.68674678106175979</v>
      </c>
      <c r="J155" s="11">
        <f>1/(H155*Utilities!$B$11)</f>
        <v>1.4414501659145695</v>
      </c>
      <c r="K155" s="11">
        <f>IF(B155&lt;C155,1,EXP(-1*(B155-C155)/(Utilities!$B$11*IterData!H155)))</f>
        <v>0.37160966564225006</v>
      </c>
    </row>
    <row r="156" spans="1:11" x14ac:dyDescent="0.3">
      <c r="A156">
        <v>155</v>
      </c>
      <c r="B156">
        <v>0.76609892343205588</v>
      </c>
      <c r="C156">
        <v>1.0408634457605141</v>
      </c>
      <c r="D156">
        <v>1</v>
      </c>
      <c r="E156" s="10">
        <v>3.4365581270887187E-2</v>
      </c>
      <c r="F156" s="10">
        <v>0.70648053071553718</v>
      </c>
      <c r="H156">
        <v>2.7299355184811112</v>
      </c>
      <c r="I156" s="11">
        <f t="shared" si="2"/>
        <v>-0.27476452232845827</v>
      </c>
      <c r="J156" s="11">
        <f>1/(H156*Utilities!$B$11)</f>
        <v>1.4652360734972709</v>
      </c>
      <c r="K156" s="11">
        <f>IF(B156&lt;C156,1,EXP(-1*(B156-C156)/(Utilities!$B$11*IterData!H156)))</f>
        <v>1</v>
      </c>
    </row>
    <row r="157" spans="1:11" x14ac:dyDescent="0.3">
      <c r="A157">
        <v>156</v>
      </c>
      <c r="B157">
        <v>0.38425504460084425</v>
      </c>
      <c r="C157">
        <v>0.76609892343205588</v>
      </c>
      <c r="D157">
        <v>1</v>
      </c>
      <c r="E157" s="10">
        <v>3.4308061779333085E-2</v>
      </c>
      <c r="F157" s="10">
        <v>0.74398247337906087</v>
      </c>
      <c r="H157">
        <v>2.6857798367747967</v>
      </c>
      <c r="I157" s="11">
        <f t="shared" si="2"/>
        <v>-0.38184387883121162</v>
      </c>
      <c r="J157" s="11">
        <f>1/(H157*Utilities!$B$11)</f>
        <v>1.4893253517024601</v>
      </c>
      <c r="K157" s="11">
        <f>IF(B157&lt;C157,1,EXP(-1*(B157-C157)/(Utilities!$B$11*IterData!H157)))</f>
        <v>1</v>
      </c>
    </row>
    <row r="158" spans="1:11" x14ac:dyDescent="0.3">
      <c r="A158">
        <v>157</v>
      </c>
      <c r="B158">
        <v>0.56068927513860578</v>
      </c>
      <c r="C158">
        <v>0.38425504460084425</v>
      </c>
      <c r="D158">
        <v>0.76561807137365279</v>
      </c>
      <c r="E158" s="10">
        <v>2.8241343176604958E-2</v>
      </c>
      <c r="F158" s="10">
        <v>0.85824032614473444</v>
      </c>
      <c r="H158">
        <v>2.6424984961473119</v>
      </c>
      <c r="I158" s="11">
        <f t="shared" si="2"/>
        <v>0.17643423053776153</v>
      </c>
      <c r="J158" s="11">
        <f>1/(H158*Utilities!$B$11)</f>
        <v>1.5137189314703061</v>
      </c>
      <c r="K158" s="11">
        <f>IF(B158&lt;C158,1,EXP(-1*(B158-C158)/(Utilities!$B$11*IterData!H158)))</f>
        <v>0.76561807137365279</v>
      </c>
    </row>
    <row r="159" spans="1:11" x14ac:dyDescent="0.3">
      <c r="A159">
        <v>158</v>
      </c>
      <c r="B159">
        <v>0.40862588984455228</v>
      </c>
      <c r="C159">
        <v>0.38425504460084425</v>
      </c>
      <c r="D159">
        <v>0.96320160479035477</v>
      </c>
      <c r="E159" s="10">
        <v>2.8241343176604958E-2</v>
      </c>
      <c r="F159" s="10">
        <v>0.85824032614473444</v>
      </c>
      <c r="H159">
        <v>2.6000741834853134</v>
      </c>
      <c r="I159" s="11">
        <f t="shared" si="2"/>
        <v>2.4370845243708028E-2</v>
      </c>
      <c r="J159" s="11">
        <f>1/(H159*Utilities!$B$11)</f>
        <v>1.5384176441604955</v>
      </c>
      <c r="K159" s="11">
        <f>IF(B159&lt;C159,1,EXP(-1*(B159-C159)/(Utilities!$B$11*IterData!H159)))</f>
        <v>0.96320160479035477</v>
      </c>
    </row>
    <row r="160" spans="1:11" x14ac:dyDescent="0.3">
      <c r="A160">
        <v>159</v>
      </c>
      <c r="B160">
        <v>0.25531830839015496</v>
      </c>
      <c r="C160">
        <v>0.40862588984455228</v>
      </c>
      <c r="D160">
        <v>1</v>
      </c>
      <c r="E160" s="10">
        <v>2.8518978199498758E-2</v>
      </c>
      <c r="F160" s="10">
        <v>0.84999917291749338</v>
      </c>
      <c r="H160">
        <v>2.5584899284980716</v>
      </c>
      <c r="I160" s="11">
        <f t="shared" si="2"/>
        <v>-0.15330758145439732</v>
      </c>
      <c r="J160" s="11">
        <f>1/(H160*Utilities!$B$11)</f>
        <v>1.5634222184912598</v>
      </c>
      <c r="K160" s="11">
        <f>IF(B160&lt;C160,1,EXP(-1*(B160-C160)/(Utilities!$B$11*IterData!H160)))</f>
        <v>1</v>
      </c>
    </row>
    <row r="161" spans="1:11" x14ac:dyDescent="0.3">
      <c r="A161">
        <v>160</v>
      </c>
      <c r="B161">
        <v>0.27290663003355475</v>
      </c>
      <c r="C161">
        <v>0.25531830839015496</v>
      </c>
      <c r="D161">
        <v>0.97244364681326156</v>
      </c>
      <c r="E161" s="10">
        <v>3.6421218576804644E-2</v>
      </c>
      <c r="F161" s="10">
        <v>0.86366630779283882</v>
      </c>
      <c r="H161">
        <v>2.5177290969291275</v>
      </c>
      <c r="I161" s="11">
        <f t="shared" si="2"/>
        <v>1.7588321643399796E-2</v>
      </c>
      <c r="J161" s="11">
        <f>1/(H161*Utilities!$B$11)</f>
        <v>1.5887332774915288</v>
      </c>
      <c r="K161" s="11">
        <f>IF(B161&lt;C161,1,EXP(-1*(B161-C161)/(Utilities!$B$11*IterData!H161)))</f>
        <v>0.97244364681326156</v>
      </c>
    </row>
    <row r="162" spans="1:11" x14ac:dyDescent="0.3">
      <c r="A162">
        <v>161</v>
      </c>
      <c r="B162">
        <v>0.23297476423521277</v>
      </c>
      <c r="C162">
        <v>0.27290663003355475</v>
      </c>
      <c r="D162">
        <v>1</v>
      </c>
      <c r="E162" s="10">
        <v>3.368348443615507E-2</v>
      </c>
      <c r="F162" s="10">
        <v>0.86279116899992325</v>
      </c>
      <c r="H162">
        <v>2.477775383902368</v>
      </c>
      <c r="I162" s="11">
        <f t="shared" si="2"/>
        <v>-3.9931865798341987E-2</v>
      </c>
      <c r="J162" s="11">
        <f>1/(H162*Utilities!$B$11)</f>
        <v>1.6143513354710173</v>
      </c>
      <c r="K162" s="11">
        <f>IF(B162&lt;C162,1,EXP(-1*(B162-C162)/(Utilities!$B$11*IterData!H162)))</f>
        <v>1</v>
      </c>
    </row>
    <row r="163" spans="1:11" x14ac:dyDescent="0.3">
      <c r="A163">
        <v>162</v>
      </c>
      <c r="B163">
        <v>0.32611830232868105</v>
      </c>
      <c r="C163">
        <v>0.23297476423521277</v>
      </c>
      <c r="D163">
        <v>0.8583175147496267</v>
      </c>
      <c r="E163" s="10">
        <v>3.3467059598393863E-2</v>
      </c>
      <c r="F163" s="10">
        <v>0.90611041596520647</v>
      </c>
      <c r="H163">
        <v>2.4386128073998599</v>
      </c>
      <c r="I163" s="11">
        <f t="shared" si="2"/>
        <v>9.3143538093468287E-2</v>
      </c>
      <c r="J163" s="11">
        <f>1/(H163*Utilities!$B$11)</f>
        <v>1.6402767950132064</v>
      </c>
      <c r="K163" s="11">
        <f>IF(B163&lt;C163,1,EXP(-1*(B163-C163)/(Utilities!$B$11*IterData!H163)))</f>
        <v>0.8583175147496267</v>
      </c>
    </row>
    <row r="164" spans="1:11" x14ac:dyDescent="0.3">
      <c r="A164">
        <v>163</v>
      </c>
      <c r="B164">
        <v>0.33741215993734391</v>
      </c>
      <c r="C164">
        <v>0.32611830232868105</v>
      </c>
      <c r="D164">
        <v>0.98135468913617674</v>
      </c>
      <c r="E164" s="10">
        <v>3.2522211541085387E-2</v>
      </c>
      <c r="F164" s="10">
        <v>0.99729429715969431</v>
      </c>
      <c r="H164">
        <v>2.4002257018688269</v>
      </c>
      <c r="I164" s="11">
        <f t="shared" si="2"/>
        <v>1.1293857608662861E-2</v>
      </c>
      <c r="J164" s="11">
        <f>1/(H164*Utilities!$B$11)</f>
        <v>1.6665099439963422</v>
      </c>
      <c r="K164" s="11">
        <f>IF(B164&lt;C164,1,EXP(-1*(B164-C164)/(Utilities!$B$11*IterData!H164)))</f>
        <v>0.98135468913617674</v>
      </c>
    </row>
    <row r="165" spans="1:11" x14ac:dyDescent="0.3">
      <c r="A165">
        <v>164</v>
      </c>
      <c r="B165">
        <v>0.34164775285147986</v>
      </c>
      <c r="C165">
        <v>0.33741215993734391</v>
      </c>
      <c r="D165">
        <v>0.99285457618605089</v>
      </c>
      <c r="E165" s="10">
        <v>3.722202075927078E-2</v>
      </c>
      <c r="F165" s="10">
        <v>0.81573942594852666</v>
      </c>
      <c r="H165">
        <v>2.3625987119552221</v>
      </c>
      <c r="I165" s="11">
        <f t="shared" si="2"/>
        <v>4.2355929141359439E-3</v>
      </c>
      <c r="J165" s="11">
        <f>1/(H165*Utilities!$B$11)</f>
        <v>1.6930509526476925</v>
      </c>
      <c r="K165" s="11">
        <f>IF(B165&lt;C165,1,EXP(-1*(B165-C165)/(Utilities!$B$11*IterData!H165)))</f>
        <v>0.99285457618605089</v>
      </c>
    </row>
    <row r="166" spans="1:11" x14ac:dyDescent="0.3">
      <c r="A166">
        <v>165</v>
      </c>
      <c r="B166">
        <v>0.76827043827354924</v>
      </c>
      <c r="C166">
        <v>0.34164775285147986</v>
      </c>
      <c r="D166">
        <v>0.48010603104315497</v>
      </c>
      <c r="E166" s="10">
        <v>3.6981659761774477E-2</v>
      </c>
      <c r="F166" s="10">
        <v>0.81551793176865073</v>
      </c>
      <c r="H166">
        <v>2.3257167863613799</v>
      </c>
      <c r="I166" s="11">
        <f t="shared" si="2"/>
        <v>0.42662268542206938</v>
      </c>
      <c r="J166" s="11">
        <f>1/(H166*Utilities!$B$11)</f>
        <v>1.7198998706364683</v>
      </c>
      <c r="K166" s="11">
        <f>IF(B166&lt;C166,1,EXP(-1*(B166-C166)/(Utilities!$B$11*IterData!H166)))</f>
        <v>0.48010603104315497</v>
      </c>
    </row>
    <row r="167" spans="1:11" x14ac:dyDescent="0.3">
      <c r="A167">
        <v>166</v>
      </c>
      <c r="B167">
        <v>0.25826518599583331</v>
      </c>
      <c r="C167">
        <v>0.34164775285147986</v>
      </c>
      <c r="D167">
        <v>1</v>
      </c>
      <c r="E167" s="10">
        <v>3.6981659761774477E-2</v>
      </c>
      <c r="F167" s="10">
        <v>0.81551793176865073</v>
      </c>
      <c r="H167">
        <v>2.2895651718252972</v>
      </c>
      <c r="I167" s="11">
        <f t="shared" si="2"/>
        <v>-8.3382566855646545E-2</v>
      </c>
      <c r="J167" s="11">
        <f>1/(H167*Utilities!$B$11)</f>
        <v>1.7470566242109207</v>
      </c>
      <c r="K167" s="11">
        <f>IF(B167&lt;C167,1,EXP(-1*(B167-C167)/(Utilities!$B$11*IterData!H167)))</f>
        <v>1</v>
      </c>
    </row>
    <row r="168" spans="1:11" x14ac:dyDescent="0.3">
      <c r="A168">
        <v>167</v>
      </c>
      <c r="B168">
        <v>0.25805620756752579</v>
      </c>
      <c r="C168">
        <v>0.25826518599583331</v>
      </c>
      <c r="D168">
        <v>1</v>
      </c>
      <c r="E168" s="10">
        <v>3.5049078577072318E-2</v>
      </c>
      <c r="F168" s="10">
        <v>0.93284189330068934</v>
      </c>
      <c r="H168">
        <v>2.2541294072191325</v>
      </c>
      <c r="I168" s="11">
        <f t="shared" si="2"/>
        <v>-2.0897842830752689E-4</v>
      </c>
      <c r="J168" s="11">
        <f>1/(H168*Utilities!$B$11)</f>
        <v>1.7745210133852554</v>
      </c>
      <c r="K168" s="11">
        <f>IF(B168&lt;C168,1,EXP(-1*(B168-C168)/(Utilities!$B$11*IterData!H168)))</f>
        <v>1</v>
      </c>
    </row>
    <row r="169" spans="1:11" x14ac:dyDescent="0.3">
      <c r="A169">
        <v>168</v>
      </c>
      <c r="B169">
        <v>0.68224181550537843</v>
      </c>
      <c r="C169">
        <v>0.25805620756752579</v>
      </c>
      <c r="D169">
        <v>0.46556357010560501</v>
      </c>
      <c r="E169" s="10">
        <v>2.7882625055863391E-2</v>
      </c>
      <c r="F169" s="10">
        <v>0.90484487146152559</v>
      </c>
      <c r="H169">
        <v>2.2193953177645587</v>
      </c>
      <c r="I169" s="11">
        <f t="shared" si="2"/>
        <v>0.42418560793785265</v>
      </c>
      <c r="J169" s="11">
        <f>1/(H169*Utilities!$B$11)</f>
        <v>1.8022927091821206</v>
      </c>
      <c r="K169" s="11">
        <f>IF(B169&lt;C169,1,EXP(-1*(B169-C169)/(Utilities!$B$11*IterData!H169)))</f>
        <v>0.46556357010560501</v>
      </c>
    </row>
    <row r="170" spans="1:11" x14ac:dyDescent="0.3">
      <c r="A170">
        <v>169</v>
      </c>
      <c r="B170">
        <v>1.0402300999000393</v>
      </c>
      <c r="C170">
        <v>0.25805620756752579</v>
      </c>
      <c r="D170">
        <v>0.23890994296016529</v>
      </c>
      <c r="E170" s="10">
        <v>2.7882625055863391E-2</v>
      </c>
      <c r="F170" s="10">
        <v>0.90484487146152559</v>
      </c>
      <c r="H170">
        <v>2.1853490093626675</v>
      </c>
      <c r="I170" s="11">
        <f t="shared" si="2"/>
        <v>0.78217389233251355</v>
      </c>
      <c r="J170" s="11">
        <f>1/(H170*Utilities!$B$11)</f>
        <v>1.830371250936506</v>
      </c>
      <c r="K170" s="11">
        <f>IF(B170&lt;C170,1,EXP(-1*(B170-C170)/(Utilities!$B$11*IterData!H170)))</f>
        <v>0.23890994296016529</v>
      </c>
    </row>
    <row r="171" spans="1:11" x14ac:dyDescent="0.3">
      <c r="A171">
        <v>170</v>
      </c>
      <c r="B171">
        <v>0.23509010500889521</v>
      </c>
      <c r="C171">
        <v>0.25805620756752579</v>
      </c>
      <c r="D171">
        <v>1</v>
      </c>
      <c r="E171" s="10">
        <v>2.7882625055863391E-2</v>
      </c>
      <c r="F171" s="10">
        <v>0.90484487146152559</v>
      </c>
      <c r="H171">
        <v>2.1519768630361411</v>
      </c>
      <c r="I171" s="11">
        <f t="shared" si="2"/>
        <v>-2.2966102558630574E-2</v>
      </c>
      <c r="J171" s="11">
        <f>1/(H171*Utilities!$B$11)</f>
        <v>1.8587560436670096</v>
      </c>
      <c r="K171" s="11">
        <f>IF(B171&lt;C171,1,EXP(-1*(B171-C171)/(Utilities!$B$11*IterData!H171)))</f>
        <v>1</v>
      </c>
    </row>
    <row r="172" spans="1:11" x14ac:dyDescent="0.3">
      <c r="A172">
        <v>171</v>
      </c>
      <c r="B172">
        <v>0.73439899827500854</v>
      </c>
      <c r="C172">
        <v>0.23509010500889521</v>
      </c>
      <c r="D172">
        <v>0.38968414567550341</v>
      </c>
      <c r="E172" s="10">
        <v>3.4061226533432368E-2</v>
      </c>
      <c r="F172" s="10">
        <v>0.90223233059856023</v>
      </c>
      <c r="H172">
        <v>2.1192655294814808</v>
      </c>
      <c r="I172" s="11">
        <f t="shared" si="2"/>
        <v>0.49930889326611333</v>
      </c>
      <c r="J172" s="11">
        <f>1/(H172*Utilities!$B$11)</f>
        <v>1.8874463555204795</v>
      </c>
      <c r="K172" s="11">
        <f>IF(B172&lt;C172,1,EXP(-1*(B172-C172)/(Utilities!$B$11*IterData!H172)))</f>
        <v>0.38968414567550341</v>
      </c>
    </row>
    <row r="173" spans="1:11" x14ac:dyDescent="0.3">
      <c r="A173">
        <v>172</v>
      </c>
      <c r="B173">
        <v>0.23540966258555465</v>
      </c>
      <c r="C173">
        <v>0.23509010500889521</v>
      </c>
      <c r="D173">
        <v>0.99938777414424995</v>
      </c>
      <c r="E173" s="10">
        <v>3.4061226533432368E-2</v>
      </c>
      <c r="F173" s="10">
        <v>0.90223233059856023</v>
      </c>
      <c r="H173">
        <v>2.0872019237291082</v>
      </c>
      <c r="I173" s="11">
        <f t="shared" si="2"/>
        <v>3.1955757665944051E-4</v>
      </c>
      <c r="J173" s="11">
        <f>1/(H173*Utilities!$B$11)</f>
        <v>1.9164413152961182</v>
      </c>
      <c r="K173" s="11">
        <f>IF(B173&lt;C173,1,EXP(-1*(B173-C173)/(Utilities!$B$11*IterData!H173)))</f>
        <v>0.99938777414424995</v>
      </c>
    </row>
    <row r="174" spans="1:11" x14ac:dyDescent="0.3">
      <c r="A174">
        <v>173</v>
      </c>
      <c r="B174">
        <v>0.63590523381017861</v>
      </c>
      <c r="C174">
        <v>0.23540966258555465</v>
      </c>
      <c r="D174">
        <v>0.45874525787128578</v>
      </c>
      <c r="E174" s="10">
        <v>3.1641244632985406E-2</v>
      </c>
      <c r="F174" s="10">
        <v>0.94753228798297529</v>
      </c>
      <c r="H174">
        <v>2.0557732199092018</v>
      </c>
      <c r="I174" s="11">
        <f t="shared" si="2"/>
        <v>0.40049557122462398</v>
      </c>
      <c r="J174" s="11">
        <f>1/(H174*Utilities!$B$11)</f>
        <v>1.9457399100551906</v>
      </c>
      <c r="K174" s="11">
        <f>IF(B174&lt;C174,1,EXP(-1*(B174-C174)/(Utilities!$B$11*IterData!H174)))</f>
        <v>0.45874525787128573</v>
      </c>
    </row>
    <row r="175" spans="1:11" x14ac:dyDescent="0.3">
      <c r="A175">
        <v>174</v>
      </c>
      <c r="B175">
        <v>0.38865820827164838</v>
      </c>
      <c r="C175">
        <v>0.63590523381017861</v>
      </c>
      <c r="D175">
        <v>1</v>
      </c>
      <c r="E175" s="10">
        <v>2.6683526866393338E-2</v>
      </c>
      <c r="F175" s="10">
        <v>0.81975295200660292</v>
      </c>
      <c r="H175">
        <v>2.0249668461211781</v>
      </c>
      <c r="I175" s="11">
        <f t="shared" si="2"/>
        <v>-0.24724702553853023</v>
      </c>
      <c r="J175" s="11">
        <f>1/(H175*Utilities!$B$11)</f>
        <v>1.975340982822507</v>
      </c>
      <c r="K175" s="11">
        <f>IF(B175&lt;C175,1,EXP(-1*(B175-C175)/(Utilities!$B$11*IterData!H175)))</f>
        <v>1</v>
      </c>
    </row>
    <row r="176" spans="1:11" x14ac:dyDescent="0.3">
      <c r="A176">
        <v>175</v>
      </c>
      <c r="B176">
        <v>0.34819478844369356</v>
      </c>
      <c r="C176">
        <v>0.38865820827164838</v>
      </c>
      <c r="D176">
        <v>1</v>
      </c>
      <c r="E176" s="10">
        <v>2.6233741835962283E-2</v>
      </c>
      <c r="F176" s="10">
        <v>0.87276172727397761</v>
      </c>
      <c r="H176">
        <v>1.9947704794047658</v>
      </c>
      <c r="I176" s="11">
        <f t="shared" si="2"/>
        <v>-4.0463419827954816E-2</v>
      </c>
      <c r="J176" s="11">
        <f>1/(H176*Utilities!$B$11)</f>
        <v>2.0052432303858785</v>
      </c>
      <c r="K176" s="11">
        <f>IF(B176&lt;C176,1,EXP(-1*(B176-C176)/(Utilities!$B$11*IterData!H176)))</f>
        <v>1</v>
      </c>
    </row>
    <row r="177" spans="1:11" x14ac:dyDescent="0.3">
      <c r="A177">
        <v>176</v>
      </c>
      <c r="B177">
        <v>1.0720934442059582</v>
      </c>
      <c r="C177">
        <v>0.34819478844369356</v>
      </c>
      <c r="D177">
        <v>0.22913222392013585</v>
      </c>
      <c r="E177" s="10">
        <v>3.198042450035319E-2</v>
      </c>
      <c r="F177" s="10">
        <v>1.0121052939733264</v>
      </c>
      <c r="H177">
        <v>1.9651720408106539</v>
      </c>
      <c r="I177" s="11">
        <f t="shared" si="2"/>
        <v>0.72389865576226464</v>
      </c>
      <c r="J177" s="11">
        <f>1/(H177*Utilities!$B$11)</f>
        <v>2.0354452011997681</v>
      </c>
      <c r="K177" s="11">
        <f>IF(B177&lt;C177,1,EXP(-1*(B177-C177)/(Utilities!$B$11*IterData!H177)))</f>
        <v>0.22913222392013585</v>
      </c>
    </row>
    <row r="178" spans="1:11" x14ac:dyDescent="0.3">
      <c r="A178">
        <v>177</v>
      </c>
      <c r="B178">
        <v>0.22996487812468322</v>
      </c>
      <c r="C178">
        <v>0.34819478844369356</v>
      </c>
      <c r="D178">
        <v>1</v>
      </c>
      <c r="E178" s="10">
        <v>3.198042450035319E-2</v>
      </c>
      <c r="F178" s="10">
        <v>1.0121052939733264</v>
      </c>
      <c r="H178">
        <v>1.9361596905687541</v>
      </c>
      <c r="I178" s="11">
        <f t="shared" si="2"/>
        <v>-0.11822991031901034</v>
      </c>
      <c r="J178" s="11">
        <f>1/(H178*Utilities!$B$11)</f>
        <v>2.0659452933993192</v>
      </c>
      <c r="K178" s="11">
        <f>IF(B178&lt;C178,1,EXP(-1*(B178-C178)/(Utilities!$B$11*IterData!H178)))</f>
        <v>1</v>
      </c>
    </row>
    <row r="179" spans="1:11" x14ac:dyDescent="0.3">
      <c r="A179">
        <v>178</v>
      </c>
      <c r="B179">
        <v>0.39197154330218797</v>
      </c>
      <c r="C179">
        <v>0.22996487812468322</v>
      </c>
      <c r="D179">
        <v>0.71199375467622972</v>
      </c>
      <c r="E179" s="10">
        <v>3.2583991906615165E-2</v>
      </c>
      <c r="F179" s="10">
        <v>0.91111766460292121</v>
      </c>
      <c r="H179">
        <v>1.9077218233521329</v>
      </c>
      <c r="I179" s="11">
        <f t="shared" si="2"/>
        <v>0.16200666517750476</v>
      </c>
      <c r="J179" s="11">
        <f>1/(H179*Utilities!$B$11)</f>
        <v>2.0967417529309609</v>
      </c>
      <c r="K179" s="11">
        <f>IF(B179&lt;C179,1,EXP(-1*(B179-C179)/(Utilities!$B$11*IterData!H179)))</f>
        <v>0.71199375467622972</v>
      </c>
    </row>
    <row r="180" spans="1:11" x14ac:dyDescent="0.3">
      <c r="A180">
        <v>179</v>
      </c>
      <c r="B180">
        <v>0.25963170948846115</v>
      </c>
      <c r="C180">
        <v>0.22996487812468322</v>
      </c>
      <c r="D180">
        <v>0.93882512446467914</v>
      </c>
      <c r="E180" s="10">
        <v>3.2583991906615165E-2</v>
      </c>
      <c r="F180" s="10">
        <v>0.91111766460292121</v>
      </c>
      <c r="H180">
        <v>1.8798470636347273</v>
      </c>
      <c r="I180" s="11">
        <f t="shared" si="2"/>
        <v>2.9666831363777929E-2</v>
      </c>
      <c r="J180" s="11">
        <f>1/(H180*Utilities!$B$11)</f>
        <v>2.1278326718057099</v>
      </c>
      <c r="K180" s="11">
        <f>IF(B180&lt;C180,1,EXP(-1*(B180-C180)/(Utilities!$B$11*IterData!H180)))</f>
        <v>0.93882512446467914</v>
      </c>
    </row>
    <row r="181" spans="1:11" x14ac:dyDescent="0.3">
      <c r="A181">
        <v>180</v>
      </c>
      <c r="B181">
        <v>1.2898124514441676</v>
      </c>
      <c r="C181">
        <v>0.25963170948846115</v>
      </c>
      <c r="D181">
        <v>0.10813414632745916</v>
      </c>
      <c r="E181" s="10">
        <v>3.217690173636667E-2</v>
      </c>
      <c r="F181" s="10">
        <v>0.87852368704787054</v>
      </c>
      <c r="H181">
        <v>1.8525242611409816</v>
      </c>
      <c r="I181" s="11">
        <f t="shared" si="2"/>
        <v>1.0301807419557063</v>
      </c>
      <c r="J181" s="11">
        <f>1/(H181*Utilities!$B$11)</f>
        <v>2.1592159864812643</v>
      </c>
      <c r="K181" s="11">
        <f>IF(B181&lt;C181,1,EXP(-1*(B181-C181)/(Utilities!$B$11*IterData!H181)))</f>
        <v>0.10813414632745916</v>
      </c>
    </row>
    <row r="182" spans="1:11" x14ac:dyDescent="0.3">
      <c r="A182">
        <v>181</v>
      </c>
      <c r="B182">
        <v>0.61352513002161502</v>
      </c>
      <c r="C182">
        <v>0.25963170948846115</v>
      </c>
      <c r="D182">
        <v>0.46054653701878451</v>
      </c>
      <c r="E182" s="10">
        <v>3.217690173636667E-2</v>
      </c>
      <c r="F182" s="10">
        <v>0.87852368704787054</v>
      </c>
      <c r="H182">
        <v>1.8257424863855896</v>
      </c>
      <c r="I182" s="11">
        <f t="shared" si="2"/>
        <v>0.35389342053315387</v>
      </c>
      <c r="J182" s="11">
        <f>1/(H182*Utilities!$B$11)</f>
        <v>2.1908894763788807</v>
      </c>
      <c r="K182" s="11">
        <f>IF(B182&lt;C182,1,EXP(-1*(B182-C182)/(Utilities!$B$11*IterData!H182)))</f>
        <v>0.46054653701878451</v>
      </c>
    </row>
    <row r="183" spans="1:11" x14ac:dyDescent="0.3">
      <c r="A183">
        <v>182</v>
      </c>
      <c r="B183">
        <v>0.39994013873117157</v>
      </c>
      <c r="C183">
        <v>0.61352513002161502</v>
      </c>
      <c r="D183">
        <v>1</v>
      </c>
      <c r="E183" s="10">
        <v>3.4699777142757918E-2</v>
      </c>
      <c r="F183" s="10">
        <v>1.078147116030971</v>
      </c>
      <c r="H183">
        <v>1.799491026301554</v>
      </c>
      <c r="I183" s="11">
        <f t="shared" si="2"/>
        <v>-0.21358499129044345</v>
      </c>
      <c r="J183" s="11">
        <f>1/(H183*Utilities!$B$11)</f>
        <v>2.2228507625409466</v>
      </c>
      <c r="K183" s="11">
        <f>IF(B183&lt;C183,1,EXP(-1*(B183-C183)/(Utilities!$B$11*IterData!H183)))</f>
        <v>1</v>
      </c>
    </row>
    <row r="184" spans="1:11" x14ac:dyDescent="0.3">
      <c r="A184">
        <v>183</v>
      </c>
      <c r="B184">
        <v>0.23890704228880996</v>
      </c>
      <c r="C184">
        <v>0.39994013873117157</v>
      </c>
      <c r="D184">
        <v>1</v>
      </c>
      <c r="E184" s="10">
        <v>3.3648788999652214E-2</v>
      </c>
      <c r="F184" s="10">
        <v>1.0170402742611599</v>
      </c>
      <c r="H184">
        <v>1.773759379954817</v>
      </c>
      <c r="I184" s="11">
        <f t="shared" si="2"/>
        <v>-0.16103309644236161</v>
      </c>
      <c r="J184" s="11">
        <f>1/(H184*Utilities!$B$11)</f>
        <v>2.2550973064350432</v>
      </c>
      <c r="K184" s="11">
        <f>IF(B184&lt;C184,1,EXP(-1*(B184-C184)/(Utilities!$B$11*IterData!H184)))</f>
        <v>1</v>
      </c>
    </row>
    <row r="185" spans="1:11" x14ac:dyDescent="0.3">
      <c r="A185">
        <v>184</v>
      </c>
      <c r="B185">
        <v>0.49938615198587544</v>
      </c>
      <c r="C185">
        <v>0.23890704228880996</v>
      </c>
      <c r="D185">
        <v>0.55107801583635507</v>
      </c>
      <c r="E185" s="10">
        <v>3.5158877730229472E-2</v>
      </c>
      <c r="F185" s="10">
        <v>0.89934589590586422</v>
      </c>
      <c r="H185">
        <v>1.748537254343747</v>
      </c>
      <c r="I185" s="11">
        <f t="shared" si="2"/>
        <v>0.26047910969706545</v>
      </c>
      <c r="J185" s="11">
        <f>1/(H185*Utilities!$B$11)</f>
        <v>2.2876264089101501</v>
      </c>
      <c r="K185" s="11">
        <f>IF(B185&lt;C185,1,EXP(-1*(B185-C185)/(Utilities!$B$11*IterData!H185)))</f>
        <v>0.55107801583635507</v>
      </c>
    </row>
    <row r="186" spans="1:11" x14ac:dyDescent="0.3">
      <c r="A186">
        <v>185</v>
      </c>
      <c r="B186">
        <v>0.990143337789266</v>
      </c>
      <c r="C186">
        <v>0.23890704228880996</v>
      </c>
      <c r="D186">
        <v>0.17496048149449694</v>
      </c>
      <c r="E186" s="10">
        <v>3.5158877730229472E-2</v>
      </c>
      <c r="F186" s="10">
        <v>0.89934589590586422</v>
      </c>
      <c r="H186">
        <v>1.7238145602817998</v>
      </c>
      <c r="I186" s="11">
        <f t="shared" si="2"/>
        <v>0.75123629550045601</v>
      </c>
      <c r="J186" s="11">
        <f>1/(H186*Utilities!$B$11)</f>
        <v>2.3204352093105083</v>
      </c>
      <c r="K186" s="11">
        <f>IF(B186&lt;C186,1,EXP(-1*(B186-C186)/(Utilities!$B$11*IterData!H186)))</f>
        <v>0.17496048149449694</v>
      </c>
    </row>
    <row r="187" spans="1:11" x14ac:dyDescent="0.3">
      <c r="A187">
        <v>186</v>
      </c>
      <c r="B187">
        <v>0.80412077490096601</v>
      </c>
      <c r="C187">
        <v>0.23890704228880996</v>
      </c>
      <c r="D187">
        <v>0.26441320975285348</v>
      </c>
      <c r="E187" s="10">
        <v>3.5158877730229472E-2</v>
      </c>
      <c r="F187" s="10">
        <v>0.89934589590586422</v>
      </c>
      <c r="H187">
        <v>1.69958140836171</v>
      </c>
      <c r="I187" s="11">
        <f t="shared" si="2"/>
        <v>0.56521373261215602</v>
      </c>
      <c r="J187" s="11">
        <f>1/(H187*Utilities!$B$11)</f>
        <v>2.3535206847524588</v>
      </c>
      <c r="K187" s="11">
        <f>IF(B187&lt;C187,1,EXP(-1*(B187-C187)/(Utilities!$B$11*IterData!H187)))</f>
        <v>0.26441320975285348</v>
      </c>
    </row>
    <row r="188" spans="1:11" x14ac:dyDescent="0.3">
      <c r="A188">
        <v>187</v>
      </c>
      <c r="B188">
        <v>0.66601269962157472</v>
      </c>
      <c r="C188">
        <v>0.23890704228880996</v>
      </c>
      <c r="D188">
        <v>0.36079339348420408</v>
      </c>
      <c r="E188" s="10">
        <v>3.5158877730229472E-2</v>
      </c>
      <c r="F188" s="10">
        <v>0.89934589590586422</v>
      </c>
      <c r="H188">
        <v>1.6758281049995973</v>
      </c>
      <c r="I188" s="11">
        <f t="shared" si="2"/>
        <v>0.42710565733276473</v>
      </c>
      <c r="J188" s="11">
        <f>1/(H188*Utilities!$B$11)</f>
        <v>2.3868796495694058</v>
      </c>
      <c r="K188" s="11">
        <f>IF(B188&lt;C188,1,EXP(-1*(B188-C188)/(Utilities!$B$11*IterData!H188)))</f>
        <v>0.36079339348420419</v>
      </c>
    </row>
    <row r="189" spans="1:11" x14ac:dyDescent="0.3">
      <c r="A189">
        <v>188</v>
      </c>
      <c r="B189">
        <v>0.81006216231765538</v>
      </c>
      <c r="C189">
        <v>0.23890704228880996</v>
      </c>
      <c r="D189">
        <v>0.25095391345231555</v>
      </c>
      <c r="E189" s="10">
        <v>3.5158877730229472E-2</v>
      </c>
      <c r="F189" s="10">
        <v>0.89934589590586422</v>
      </c>
      <c r="H189">
        <v>1.6525451485574014</v>
      </c>
      <c r="I189" s="11">
        <f t="shared" si="2"/>
        <v>0.57115512002884539</v>
      </c>
      <c r="J189" s="11">
        <f>1/(H189*Utilities!$B$11)</f>
        <v>2.4205087549298261</v>
      </c>
      <c r="K189" s="11">
        <f>IF(B189&lt;C189,1,EXP(-1*(B189-C189)/(Utilities!$B$11*IterData!H189)))</f>
        <v>0.25095391345231555</v>
      </c>
    </row>
    <row r="190" spans="1:11" x14ac:dyDescent="0.3">
      <c r="A190">
        <v>189</v>
      </c>
      <c r="B190">
        <v>0.37071881295528347</v>
      </c>
      <c r="C190">
        <v>0.81006216231765538</v>
      </c>
      <c r="D190">
        <v>1</v>
      </c>
      <c r="E190" s="10">
        <v>3.5260530202802398E-2</v>
      </c>
      <c r="F190" s="10">
        <v>0.73152049468577274</v>
      </c>
      <c r="H190">
        <v>1.6297232255421021</v>
      </c>
      <c r="I190" s="11">
        <f t="shared" si="2"/>
        <v>-0.4393433493623719</v>
      </c>
      <c r="J190" s="11">
        <f>1/(H190*Utilities!$B$11)</f>
        <v>2.4544044886330081</v>
      </c>
      <c r="K190" s="11">
        <f>IF(B190&lt;C190,1,EXP(-1*(B190-C190)/(Utilities!$B$11*IterData!H190)))</f>
        <v>1</v>
      </c>
    </row>
    <row r="191" spans="1:11" x14ac:dyDescent="0.3">
      <c r="A191">
        <v>190</v>
      </c>
      <c r="B191">
        <v>0.29554850884172257</v>
      </c>
      <c r="C191">
        <v>0.37071881295528347</v>
      </c>
      <c r="D191">
        <v>1</v>
      </c>
      <c r="E191" s="10">
        <v>3.1909323311623897E-2</v>
      </c>
      <c r="F191" s="10">
        <v>0.83635293169940095</v>
      </c>
      <c r="H191">
        <v>1.6073532068801968</v>
      </c>
      <c r="I191" s="11">
        <f t="shared" si="2"/>
        <v>-7.5170304113560904E-2</v>
      </c>
      <c r="J191" s="11">
        <f>1/(H191*Utilities!$B$11)</f>
        <v>2.4885631750869663</v>
      </c>
      <c r="K191" s="11">
        <f>IF(B191&lt;C191,1,EXP(-1*(B191-C191)/(Utilities!$B$11*IterData!H191)))</f>
        <v>1</v>
      </c>
    </row>
    <row r="192" spans="1:11" x14ac:dyDescent="0.3">
      <c r="A192">
        <v>191</v>
      </c>
      <c r="B192">
        <v>1.0583908008825196</v>
      </c>
      <c r="C192">
        <v>0.29554850884172257</v>
      </c>
      <c r="D192">
        <v>0.14592877918355876</v>
      </c>
      <c r="E192" s="10">
        <v>3.1158630155202306E-2</v>
      </c>
      <c r="F192" s="10">
        <v>0.99588302963529995</v>
      </c>
      <c r="H192">
        <v>1.5854261442659496</v>
      </c>
      <c r="I192" s="11">
        <f t="shared" si="2"/>
        <v>0.76284229204079701</v>
      </c>
      <c r="J192" s="11">
        <f>1/(H192*Utilities!$B$11)</f>
        <v>2.5229809754726826</v>
      </c>
      <c r="K192" s="11">
        <f>IF(B192&lt;C192,1,EXP(-1*(B192-C192)/(Utilities!$B$11*IterData!H192)))</f>
        <v>0.14592877918355876</v>
      </c>
    </row>
    <row r="193" spans="1:11" x14ac:dyDescent="0.3">
      <c r="A193">
        <v>192</v>
      </c>
      <c r="B193">
        <v>0.33777458414172162</v>
      </c>
      <c r="C193">
        <v>0.29554850884172257</v>
      </c>
      <c r="D193">
        <v>0.89762787858159565</v>
      </c>
      <c r="E193" s="10">
        <v>3.1158630155202306E-2</v>
      </c>
      <c r="F193" s="10">
        <v>0.99588302963529995</v>
      </c>
      <c r="H193">
        <v>1.5639332665819512</v>
      </c>
      <c r="I193" s="11">
        <f t="shared" si="2"/>
        <v>4.2226075299999055E-2</v>
      </c>
      <c r="J193" s="11">
        <f>1/(H193*Utilities!$B$11)</f>
        <v>2.557653888098554</v>
      </c>
      <c r="K193" s="11">
        <f>IF(B193&lt;C193,1,EXP(-1*(B193-C193)/(Utilities!$B$11*IterData!H193)))</f>
        <v>0.89762787858159565</v>
      </c>
    </row>
    <row r="194" spans="1:11" x14ac:dyDescent="0.3">
      <c r="A194">
        <v>193</v>
      </c>
      <c r="B194">
        <v>0.40536867009422606</v>
      </c>
      <c r="C194">
        <v>0.33777458414172162</v>
      </c>
      <c r="D194">
        <v>0.83925312194951485</v>
      </c>
      <c r="E194" s="10">
        <v>3.1999210191074802E-2</v>
      </c>
      <c r="F194" s="10">
        <v>1.0074786413229562</v>
      </c>
      <c r="H194">
        <v>1.542865976390551</v>
      </c>
      <c r="I194" s="11">
        <f t="shared" si="2"/>
        <v>6.7594085952504435E-2</v>
      </c>
      <c r="J194" s="11">
        <f>1/(H194*Utilities!$B$11)</f>
        <v>2.5925777489486008</v>
      </c>
      <c r="K194" s="11">
        <f>IF(B194&lt;C194,1,EXP(-1*(B194-C194)/(Utilities!$B$11*IterData!H194)))</f>
        <v>0.83925312194951485</v>
      </c>
    </row>
    <row r="195" spans="1:11" x14ac:dyDescent="0.3">
      <c r="A195">
        <v>194</v>
      </c>
      <c r="B195">
        <v>0.3658517827657356</v>
      </c>
      <c r="C195">
        <v>0.40536867009422606</v>
      </c>
      <c r="D195">
        <v>1</v>
      </c>
      <c r="E195" s="10">
        <v>3.3061958967694156E-2</v>
      </c>
      <c r="F195" s="10">
        <v>1.0243898296575422</v>
      </c>
      <c r="H195">
        <v>1.5222158464947719</v>
      </c>
      <c r="I195" s="11">
        <f t="shared" ref="I195:I258" si="3">B195-C195</f>
        <v>-3.9516887328490458E-2</v>
      </c>
      <c r="J195" s="11">
        <f>1/(H195*Utilities!$B$11)</f>
        <v>2.6277482324276527</v>
      </c>
      <c r="K195" s="11">
        <f>IF(B195&lt;C195,1,EXP(-1*(B195-C195)/(Utilities!$B$11*IterData!H195)))</f>
        <v>1</v>
      </c>
    </row>
    <row r="196" spans="1:11" x14ac:dyDescent="0.3">
      <c r="A196">
        <v>195</v>
      </c>
      <c r="B196">
        <v>0.49963922881152267</v>
      </c>
      <c r="C196">
        <v>0.3658517827657356</v>
      </c>
      <c r="D196">
        <v>0.70026426844127387</v>
      </c>
      <c r="E196" s="10">
        <v>3.5017907471400565E-2</v>
      </c>
      <c r="F196" s="10">
        <v>0.99159521198525391</v>
      </c>
      <c r="H196">
        <v>1.5019746165673173</v>
      </c>
      <c r="I196" s="11">
        <f t="shared" si="3"/>
        <v>0.13378744604578707</v>
      </c>
      <c r="J196" s="11">
        <f>1/(H196*Utilities!$B$11)</f>
        <v>2.6631608523064032</v>
      </c>
      <c r="K196" s="11">
        <f>IF(B196&lt;C196,1,EXP(-1*(B196-C196)/(Utilities!$B$11*IterData!H196)))</f>
        <v>0.70026426844127387</v>
      </c>
    </row>
    <row r="197" spans="1:11" x14ac:dyDescent="0.3">
      <c r="A197">
        <v>196</v>
      </c>
      <c r="B197">
        <v>0.76548420515821258</v>
      </c>
      <c r="C197">
        <v>0.3658517827657356</v>
      </c>
      <c r="D197">
        <v>0.34009429463172119</v>
      </c>
      <c r="E197" s="10">
        <v>3.5017907471400565E-2</v>
      </c>
      <c r="F197" s="10">
        <v>0.99159521198525391</v>
      </c>
      <c r="H197">
        <v>1.4821341898463292</v>
      </c>
      <c r="I197" s="11">
        <f t="shared" si="3"/>
        <v>0.39963242239247698</v>
      </c>
      <c r="J197" s="11">
        <f>1/(H197*Utilities!$B$11)</f>
        <v>2.6988109628688401</v>
      </c>
      <c r="K197" s="11">
        <f>IF(B197&lt;C197,1,EXP(-1*(B197-C197)/(Utilities!$B$11*IterData!H197)))</f>
        <v>0.34009429463172119</v>
      </c>
    </row>
    <row r="198" spans="1:11" x14ac:dyDescent="0.3">
      <c r="A198">
        <v>197</v>
      </c>
      <c r="B198">
        <v>0.42070468209126971</v>
      </c>
      <c r="C198">
        <v>0.3658517827657356</v>
      </c>
      <c r="D198">
        <v>0.8607029141705429</v>
      </c>
      <c r="E198" s="10">
        <v>3.5017907471400565E-2</v>
      </c>
      <c r="F198" s="10">
        <v>0.99159521198525391</v>
      </c>
      <c r="H198">
        <v>1.4626866298965768</v>
      </c>
      <c r="I198" s="11">
        <f t="shared" si="3"/>
        <v>5.485289932553411E-2</v>
      </c>
      <c r="J198" s="11">
        <f>1/(H198*Utilities!$B$11)</f>
        <v>2.7346937602641725</v>
      </c>
      <c r="K198" s="11">
        <f>IF(B198&lt;C198,1,EXP(-1*(B198-C198)/(Utilities!$B$11*IterData!H198)))</f>
        <v>0.8607029141705429</v>
      </c>
    </row>
    <row r="199" spans="1:11" x14ac:dyDescent="0.3">
      <c r="A199">
        <v>198</v>
      </c>
      <c r="B199">
        <v>0.37496368287423015</v>
      </c>
      <c r="C199">
        <v>0.42070468209126971</v>
      </c>
      <c r="D199">
        <v>1</v>
      </c>
      <c r="E199" s="10">
        <v>3.5283475932641327E-2</v>
      </c>
      <c r="F199" s="10">
        <v>0.80203112199490745</v>
      </c>
      <c r="H199">
        <v>1.4436241574347761</v>
      </c>
      <c r="I199" s="11">
        <f t="shared" si="3"/>
        <v>-4.5740999217039557E-2</v>
      </c>
      <c r="J199" s="11">
        <f>1/(H199*Utilities!$B$11)</f>
        <v>2.7708042840649973</v>
      </c>
      <c r="K199" s="11">
        <f>IF(B199&lt;C199,1,EXP(-1*(B199-C199)/(Utilities!$B$11*IterData!H199)))</f>
        <v>1</v>
      </c>
    </row>
    <row r="200" spans="1:11" x14ac:dyDescent="0.3">
      <c r="A200">
        <v>199</v>
      </c>
      <c r="B200">
        <v>0.22776393438273435</v>
      </c>
      <c r="C200">
        <v>0.37496368287423015</v>
      </c>
      <c r="D200">
        <v>1</v>
      </c>
      <c r="E200" s="10">
        <v>2.7426200243605158E-2</v>
      </c>
      <c r="F200" s="10">
        <v>1.0693886244972388</v>
      </c>
      <c r="H200">
        <v>1.4249391472177722</v>
      </c>
      <c r="I200" s="11">
        <f t="shared" si="3"/>
        <v>-0.14719974849149581</v>
      </c>
      <c r="J200" s="11">
        <f>1/(H200*Utilities!$B$11)</f>
        <v>2.8071374190330132</v>
      </c>
      <c r="K200" s="11">
        <f>IF(B200&lt;C200,1,EXP(-1*(B200-C200)/(Utilities!$B$11*IterData!H200)))</f>
        <v>1</v>
      </c>
    </row>
    <row r="201" spans="1:11" x14ac:dyDescent="0.3">
      <c r="A201">
        <v>200</v>
      </c>
      <c r="B201">
        <v>0.39480376318100374</v>
      </c>
      <c r="C201">
        <v>0.22776393438273435</v>
      </c>
      <c r="D201">
        <v>0.6218793727811297</v>
      </c>
      <c r="E201" s="10">
        <v>2.7681116807518138E-2</v>
      </c>
      <c r="F201" s="10">
        <v>0.98966797267624029</v>
      </c>
      <c r="H201">
        <v>1.4066241249923419</v>
      </c>
      <c r="I201" s="11">
        <f t="shared" si="3"/>
        <v>0.1670398287982694</v>
      </c>
      <c r="J201" s="11">
        <f>1/(H201*Utilities!$B$11)</f>
        <v>2.8436878970931749</v>
      </c>
      <c r="K201" s="11">
        <f>IF(B201&lt;C201,1,EXP(-1*(B201-C201)/(Utilities!$B$11*IterData!H201)))</f>
        <v>0.6218793727811297</v>
      </c>
    </row>
    <row r="202" spans="1:11" x14ac:dyDescent="0.3">
      <c r="A202">
        <v>201</v>
      </c>
      <c r="B202">
        <v>0.37149404345631026</v>
      </c>
      <c r="C202">
        <v>0.39480376318100374</v>
      </c>
      <c r="D202">
        <v>1</v>
      </c>
      <c r="E202" s="10">
        <v>3.4611531176831259E-2</v>
      </c>
      <c r="F202" s="10">
        <v>1.006534894703923</v>
      </c>
      <c r="H202">
        <v>1.388671764505391</v>
      </c>
      <c r="I202" s="11">
        <f t="shared" si="3"/>
        <v>-2.3309719724693478E-2</v>
      </c>
      <c r="J202" s="11">
        <f>1/(H202*Utilities!$B$11)</f>
        <v>2.8804502995167449</v>
      </c>
      <c r="K202" s="11">
        <f>IF(B202&lt;C202,1,EXP(-1*(B202-C202)/(Utilities!$B$11*IterData!H202)))</f>
        <v>1</v>
      </c>
    </row>
    <row r="203" spans="1:11" x14ac:dyDescent="0.3">
      <c r="A203">
        <v>202</v>
      </c>
      <c r="B203">
        <v>0.43053057512891629</v>
      </c>
      <c r="C203">
        <v>0.37149404345631026</v>
      </c>
      <c r="D203">
        <v>0.8417819182866414</v>
      </c>
      <c r="E203" s="10">
        <v>3.5291186282844375E-2</v>
      </c>
      <c r="F203" s="10">
        <v>0.99149789309200331</v>
      </c>
      <c r="H203">
        <v>1.371074884573358</v>
      </c>
      <c r="I203" s="11">
        <f t="shared" si="3"/>
        <v>5.903653167260603E-2</v>
      </c>
      <c r="J203" s="11">
        <f>1/(H203*Utilities!$B$11)</f>
        <v>2.9174190593132288</v>
      </c>
      <c r="K203" s="11">
        <f>IF(B203&lt;C203,1,EXP(-1*(B203-C203)/(Utilities!$B$11*IterData!H203)))</f>
        <v>0.8417819182866414</v>
      </c>
    </row>
    <row r="204" spans="1:11" x14ac:dyDescent="0.3">
      <c r="A204">
        <v>203</v>
      </c>
      <c r="B204">
        <v>0.65875055083143064</v>
      </c>
      <c r="C204">
        <v>0.43053057512891629</v>
      </c>
      <c r="D204">
        <v>0.50951493819495375</v>
      </c>
      <c r="E204" s="10">
        <v>2.7233433793346001E-2</v>
      </c>
      <c r="F204" s="10">
        <v>0.85467728727725423</v>
      </c>
      <c r="H204">
        <v>1.3538264462096401</v>
      </c>
      <c r="I204" s="11">
        <f t="shared" si="3"/>
        <v>0.22821997570251434</v>
      </c>
      <c r="J204" s="11">
        <f>1/(H204*Utilities!$B$11)</f>
        <v>2.9545884638307616</v>
      </c>
      <c r="K204" s="11">
        <f>IF(B204&lt;C204,1,EXP(-1*(B204-C204)/(Utilities!$B$11*IterData!H204)))</f>
        <v>0.50951493819495375</v>
      </c>
    </row>
    <row r="205" spans="1:11" x14ac:dyDescent="0.3">
      <c r="A205">
        <v>204</v>
      </c>
      <c r="B205">
        <v>0.6478431552010564</v>
      </c>
      <c r="C205">
        <v>0.43053057512891629</v>
      </c>
      <c r="D205">
        <v>0.52194714476327597</v>
      </c>
      <c r="E205" s="10">
        <v>2.7233433793346001E-2</v>
      </c>
      <c r="F205" s="10">
        <v>0.85467728727725423</v>
      </c>
      <c r="H205">
        <v>1.3369195498089113</v>
      </c>
      <c r="I205" s="11">
        <f t="shared" si="3"/>
        <v>0.2173125800721401</v>
      </c>
      <c r="J205" s="11">
        <f>1/(H205*Utilities!$B$11)</f>
        <v>2.9919526575639712</v>
      </c>
      <c r="K205" s="11">
        <f>IF(B205&lt;C205,1,EXP(-1*(B205-C205)/(Utilities!$B$11*IterData!H205)))</f>
        <v>0.52194714476327597</v>
      </c>
    </row>
    <row r="206" spans="1:11" x14ac:dyDescent="0.3">
      <c r="A206">
        <v>205</v>
      </c>
      <c r="B206">
        <v>0.43131943228612196</v>
      </c>
      <c r="C206">
        <v>0.6478431552010564</v>
      </c>
      <c r="D206">
        <v>1</v>
      </c>
      <c r="E206" s="10">
        <v>3.2660521738007146E-2</v>
      </c>
      <c r="F206" s="10">
        <v>0.773345361265528</v>
      </c>
      <c r="H206">
        <v>1.3203474323871822</v>
      </c>
      <c r="I206" s="11">
        <f t="shared" si="3"/>
        <v>-0.21652372291493444</v>
      </c>
      <c r="J206" s="11">
        <f>1/(H206*Utilities!$B$11)</f>
        <v>3.0295056451679678</v>
      </c>
      <c r="K206" s="11">
        <f>IF(B206&lt;C206,1,EXP(-1*(B206-C206)/(Utilities!$B$11*IterData!H206)))</f>
        <v>1</v>
      </c>
    </row>
    <row r="207" spans="1:11" x14ac:dyDescent="0.3">
      <c r="A207">
        <v>206</v>
      </c>
      <c r="B207">
        <v>0.65298791665443201</v>
      </c>
      <c r="C207">
        <v>0.43131943228612196</v>
      </c>
      <c r="D207">
        <v>0.50666222059856414</v>
      </c>
      <c r="E207" s="10">
        <v>3.2708045871726113E-2</v>
      </c>
      <c r="F207" s="10">
        <v>1.0370084104513553</v>
      </c>
      <c r="H207">
        <v>1.3041034648765186</v>
      </c>
      <c r="I207" s="11">
        <f t="shared" si="3"/>
        <v>0.22166848436831005</v>
      </c>
      <c r="J207" s="11">
        <f>1/(H207*Utilities!$B$11)</f>
        <v>3.0672412946765286</v>
      </c>
      <c r="K207" s="11">
        <f>IF(B207&lt;C207,1,EXP(-1*(B207-C207)/(Utilities!$B$11*IterData!H207)))</f>
        <v>0.50666222059856414</v>
      </c>
    </row>
    <row r="208" spans="1:11" x14ac:dyDescent="0.3">
      <c r="A208">
        <v>207</v>
      </c>
      <c r="B208">
        <v>0.46848250189487695</v>
      </c>
      <c r="C208">
        <v>0.65298791665443201</v>
      </c>
      <c r="D208">
        <v>1</v>
      </c>
      <c r="E208" s="10">
        <v>2.9921395681209828E-2</v>
      </c>
      <c r="F208" s="10">
        <v>0.79172072642630342</v>
      </c>
      <c r="H208">
        <v>1.2881811494733291</v>
      </c>
      <c r="I208" s="11">
        <f t="shared" si="3"/>
        <v>-0.18450541475955506</v>
      </c>
      <c r="J208" s="11">
        <f>1/(H208*Utilities!$B$11)</f>
        <v>3.1051533409221164</v>
      </c>
      <c r="K208" s="11">
        <f>IF(B208&lt;C208,1,EXP(-1*(B208-C208)/(Utilities!$B$11*IterData!H208)))</f>
        <v>1</v>
      </c>
    </row>
    <row r="209" spans="1:11" x14ac:dyDescent="0.3">
      <c r="A209">
        <v>208</v>
      </c>
      <c r="B209">
        <v>0.22255721776512294</v>
      </c>
      <c r="C209">
        <v>0.46848250189487695</v>
      </c>
      <c r="D209">
        <v>1</v>
      </c>
      <c r="E209" s="10">
        <v>3.7184865857012257E-2</v>
      </c>
      <c r="F209" s="10">
        <v>1.0110942371859404</v>
      </c>
      <c r="H209">
        <v>1.27257411703915</v>
      </c>
      <c r="I209" s="11">
        <f t="shared" si="3"/>
        <v>-0.24592528412975401</v>
      </c>
      <c r="J209" s="11">
        <f>1/(H209*Utilities!$B$11)</f>
        <v>3.1432353891548952</v>
      </c>
      <c r="K209" s="11">
        <f>IF(B209&lt;C209,1,EXP(-1*(B209-C209)/(Utilities!$B$11*IterData!H209)))</f>
        <v>1</v>
      </c>
    </row>
    <row r="210" spans="1:11" x14ac:dyDescent="0.3">
      <c r="A210">
        <v>209</v>
      </c>
      <c r="B210">
        <v>0.19912797019091544</v>
      </c>
      <c r="C210">
        <v>0.22255721776512294</v>
      </c>
      <c r="D210">
        <v>1</v>
      </c>
      <c r="E210" s="10">
        <v>3.0703627519458796E-2</v>
      </c>
      <c r="F210" s="10">
        <v>0.92751321772896855</v>
      </c>
      <c r="H210">
        <v>1.2572761245529132</v>
      </c>
      <c r="I210" s="11">
        <f t="shared" si="3"/>
        <v>-2.3429247574207501E-2</v>
      </c>
      <c r="J210" s="11">
        <f>1/(H210*Utilities!$B$11)</f>
        <v>3.1814809188573419</v>
      </c>
      <c r="K210" s="11">
        <f>IF(B210&lt;C210,1,EXP(-1*(B210-C210)/(Utilities!$B$11*IterData!H210)))</f>
        <v>1</v>
      </c>
    </row>
    <row r="211" spans="1:11" x14ac:dyDescent="0.3">
      <c r="A211">
        <v>210</v>
      </c>
      <c r="B211">
        <v>0.84583453371287776</v>
      </c>
      <c r="C211">
        <v>0.19912797019091544</v>
      </c>
      <c r="D211">
        <v>0.12464075293963396</v>
      </c>
      <c r="E211" s="10">
        <v>2.4845809415170238E-2</v>
      </c>
      <c r="F211" s="10">
        <v>0.97728181767646183</v>
      </c>
      <c r="H211">
        <v>1.2422810526136463</v>
      </c>
      <c r="I211" s="11">
        <f t="shared" si="3"/>
        <v>0.64670656352196232</v>
      </c>
      <c r="J211" s="11">
        <f>1/(H211*Utilities!$B$11)</f>
        <v>3.2198832877506778</v>
      </c>
      <c r="K211" s="11">
        <f>IF(B211&lt;C211,1,EXP(-1*(B211-C211)/(Utilities!$B$11*IterData!H211)))</f>
        <v>0.12464075293963396</v>
      </c>
    </row>
    <row r="212" spans="1:11" x14ac:dyDescent="0.3">
      <c r="A212">
        <v>211</v>
      </c>
      <c r="B212">
        <v>0.24035390098783049</v>
      </c>
      <c r="C212">
        <v>0.19912797019091544</v>
      </c>
      <c r="D212">
        <v>0.87429970854097472</v>
      </c>
      <c r="E212" s="10">
        <v>2.4845809415170238E-2</v>
      </c>
      <c r="F212" s="10">
        <v>0.97728181767646183</v>
      </c>
      <c r="H212">
        <v>1.2275829029926384</v>
      </c>
      <c r="I212" s="11">
        <f t="shared" si="3"/>
        <v>4.1225930796915056E-2</v>
      </c>
      <c r="J212" s="11">
        <f>1/(H212*Utilities!$B$11)</f>
        <v>3.2584357359887304</v>
      </c>
      <c r="K212" s="11">
        <f>IF(B212&lt;C212,1,EXP(-1*(B212-C212)/(Utilities!$B$11*IterData!H212)))</f>
        <v>0.87429970854097472</v>
      </c>
    </row>
    <row r="213" spans="1:11" x14ac:dyDescent="0.3">
      <c r="A213">
        <v>212</v>
      </c>
      <c r="B213">
        <v>0.21286265165116022</v>
      </c>
      <c r="C213">
        <v>0.24035390098783049</v>
      </c>
      <c r="D213">
        <v>1</v>
      </c>
      <c r="E213" s="10">
        <v>2.8137741909337839E-2</v>
      </c>
      <c r="F213" s="10">
        <v>0.91362155067595419</v>
      </c>
      <c r="H213">
        <v>1.2131757962340612</v>
      </c>
      <c r="I213" s="11">
        <f t="shared" si="3"/>
        <v>-2.749124933667027E-2</v>
      </c>
      <c r="J213" s="11">
        <f>1/(H213*Utilities!$B$11)</f>
        <v>3.2971313905344921</v>
      </c>
      <c r="K213" s="11">
        <f>IF(B213&lt;C213,1,EXP(-1*(B213-C213)/(Utilities!$B$11*IterData!H213)))</f>
        <v>1</v>
      </c>
    </row>
    <row r="214" spans="1:11" x14ac:dyDescent="0.3">
      <c r="A214">
        <v>213</v>
      </c>
      <c r="B214">
        <v>0.5874585120724497</v>
      </c>
      <c r="C214">
        <v>0.21286265165116022</v>
      </c>
      <c r="D214">
        <v>0.28660852138543758</v>
      </c>
      <c r="E214" s="10">
        <v>2.7864733065611033E-2</v>
      </c>
      <c r="F214" s="10">
        <v>0.94513961970697624</v>
      </c>
      <c r="H214">
        <v>1.1990539693031161</v>
      </c>
      <c r="I214" s="11">
        <f t="shared" si="3"/>
        <v>0.37459586042128945</v>
      </c>
      <c r="J214" s="11">
        <f>1/(H214*Utilities!$B$11)</f>
        <v>3.3359632697140222</v>
      </c>
      <c r="K214" s="11">
        <f>IF(B214&lt;C214,1,EXP(-1*(B214-C214)/(Utilities!$B$11*IterData!H214)))</f>
        <v>0.28660852138543758</v>
      </c>
    </row>
    <row r="215" spans="1:11" x14ac:dyDescent="0.3">
      <c r="A215">
        <v>214</v>
      </c>
      <c r="B215">
        <v>0.39736060681893698</v>
      </c>
      <c r="C215">
        <v>0.5874585120724497</v>
      </c>
      <c r="D215">
        <v>1</v>
      </c>
      <c r="E215" s="10">
        <v>2.5238931795304238E-2</v>
      </c>
      <c r="F215" s="10">
        <v>0.84023406155789304</v>
      </c>
      <c r="H215">
        <v>1.1852117732807352</v>
      </c>
      <c r="I215" s="11">
        <f t="shared" si="3"/>
        <v>-0.19009790525351272</v>
      </c>
      <c r="J215" s="11">
        <f>1/(H215*Utilities!$B$11)</f>
        <v>3.3749242879420334</v>
      </c>
      <c r="K215" s="11">
        <f>IF(B215&lt;C215,1,EXP(-1*(B215-C215)/(Utilities!$B$11*IterData!H215)))</f>
        <v>1</v>
      </c>
    </row>
    <row r="216" spans="1:11" x14ac:dyDescent="0.3">
      <c r="A216">
        <v>215</v>
      </c>
      <c r="B216">
        <v>0.3109248456463175</v>
      </c>
      <c r="C216">
        <v>0.39736060681893698</v>
      </c>
      <c r="D216">
        <v>1</v>
      </c>
      <c r="E216" s="10">
        <v>2.0685706922995838E-2</v>
      </c>
      <c r="F216" s="10">
        <v>1.161936402107612</v>
      </c>
      <c r="H216">
        <v>1.1716436711039462</v>
      </c>
      <c r="I216" s="11">
        <f t="shared" si="3"/>
        <v>-8.6435761172619474E-2</v>
      </c>
      <c r="J216" s="11">
        <f>1/(H216*Utilities!$B$11)</f>
        <v>3.4140072606128786</v>
      </c>
      <c r="K216" s="11">
        <f>IF(B216&lt;C216,1,EXP(-1*(B216-C216)/(Utilities!$B$11*IterData!H216)))</f>
        <v>1</v>
      </c>
    </row>
    <row r="217" spans="1:11" x14ac:dyDescent="0.3">
      <c r="A217">
        <v>216</v>
      </c>
      <c r="B217">
        <v>0.29954596011331031</v>
      </c>
      <c r="C217">
        <v>0.3109248456463175</v>
      </c>
      <c r="D217">
        <v>1</v>
      </c>
      <c r="E217" s="10">
        <v>2.6431173074629839E-2</v>
      </c>
      <c r="F217" s="10">
        <v>0.8937107516325884</v>
      </c>
      <c r="H217">
        <v>1.1583442353509665</v>
      </c>
      <c r="I217" s="11">
        <f t="shared" si="3"/>
        <v>-1.1378885533007199E-2</v>
      </c>
      <c r="J217" s="11">
        <f>1/(H217*Utilities!$B$11)</f>
        <v>3.4532049091503794</v>
      </c>
      <c r="K217" s="11">
        <f>IF(B217&lt;C217,1,EXP(-1*(B217-C217)/(Utilities!$B$11*IterData!H217)))</f>
        <v>1</v>
      </c>
    </row>
    <row r="218" spans="1:11" x14ac:dyDescent="0.3">
      <c r="A218">
        <v>217</v>
      </c>
      <c r="B218">
        <v>1.0051441582050806</v>
      </c>
      <c r="C218">
        <v>0.29954596011331031</v>
      </c>
      <c r="D218">
        <v>8.5067631988649459E-2</v>
      </c>
      <c r="E218" s="10">
        <v>2.3191300350854795E-2</v>
      </c>
      <c r="F218" s="10">
        <v>1.0888287690058649</v>
      </c>
      <c r="H218">
        <v>1.145308146070168</v>
      </c>
      <c r="I218" s="11">
        <f t="shared" si="3"/>
        <v>0.70559819809177027</v>
      </c>
      <c r="J218" s="11">
        <f>1/(H218*Utilities!$B$11)</f>
        <v>3.4925098662093492</v>
      </c>
      <c r="K218" s="11">
        <f>IF(B218&lt;C218,1,EXP(-1*(B218-C218)/(Utilities!$B$11*IterData!H218)))</f>
        <v>8.5067631988649486E-2</v>
      </c>
    </row>
    <row r="219" spans="1:11" x14ac:dyDescent="0.3">
      <c r="A219">
        <v>218</v>
      </c>
      <c r="B219">
        <v>0.2071317589953664</v>
      </c>
      <c r="C219">
        <v>0.29954596011331031</v>
      </c>
      <c r="D219">
        <v>1</v>
      </c>
      <c r="E219" s="10">
        <v>2.3191300350854795E-2</v>
      </c>
      <c r="F219" s="10">
        <v>1.0888287690058649</v>
      </c>
      <c r="H219">
        <v>1.1325301886520203</v>
      </c>
      <c r="I219" s="11">
        <f t="shared" si="3"/>
        <v>-9.2414201117943906E-2</v>
      </c>
      <c r="J219" s="11">
        <f>1/(H219*Utilities!$B$11)</f>
        <v>3.5319146810213944</v>
      </c>
      <c r="K219" s="11">
        <f>IF(B219&lt;C219,1,EXP(-1*(B219-C219)/(Utilities!$B$11*IterData!H219)))</f>
        <v>1</v>
      </c>
    </row>
    <row r="220" spans="1:11" x14ac:dyDescent="0.3">
      <c r="A220">
        <v>219</v>
      </c>
      <c r="B220">
        <v>0.79917754719624567</v>
      </c>
      <c r="C220">
        <v>0.2071317589953664</v>
      </c>
      <c r="D220">
        <v>0.1207009441226382</v>
      </c>
      <c r="E220" s="10">
        <v>2.4627266640353359E-2</v>
      </c>
      <c r="F220" s="10">
        <v>1.0102249546526427</v>
      </c>
      <c r="H220">
        <v>1.120005251743182</v>
      </c>
      <c r="I220" s="11">
        <f t="shared" si="3"/>
        <v>0.59204578820087927</v>
      </c>
      <c r="J220" s="11">
        <f>1/(H220*Utilities!$B$11)</f>
        <v>3.5714118248770523</v>
      </c>
      <c r="K220" s="11">
        <f>IF(B220&lt;C220,1,EXP(-1*(B220-C220)/(Utilities!$B$11*IterData!H220)))</f>
        <v>0.1207009441226382</v>
      </c>
    </row>
    <row r="221" spans="1:11" x14ac:dyDescent="0.3">
      <c r="A221">
        <v>220</v>
      </c>
      <c r="B221">
        <v>0.27979249566047643</v>
      </c>
      <c r="C221">
        <v>0.2071317589953664</v>
      </c>
      <c r="D221">
        <v>0.76922061727436075</v>
      </c>
      <c r="E221" s="10">
        <v>2.4627266640353359E-2</v>
      </c>
      <c r="F221" s="10">
        <v>1.0102249546526427</v>
      </c>
      <c r="H221">
        <v>1.1077283252018877</v>
      </c>
      <c r="I221" s="11">
        <f t="shared" si="3"/>
        <v>7.2660736665110026E-2</v>
      </c>
      <c r="J221" s="11">
        <f>1/(H221*Utilities!$B$11)</f>
        <v>3.6109936967360521</v>
      </c>
      <c r="K221" s="11">
        <f>IF(B221&lt;C221,1,EXP(-1*(B221-C221)/(Utilities!$B$11*IterData!H221)))</f>
        <v>0.76922061727436075</v>
      </c>
    </row>
    <row r="222" spans="1:11" x14ac:dyDescent="0.3">
      <c r="A222">
        <v>221</v>
      </c>
      <c r="B222">
        <v>0.24578538975389558</v>
      </c>
      <c r="C222">
        <v>0.2071317589953664</v>
      </c>
      <c r="D222">
        <v>0.86839293318984256</v>
      </c>
      <c r="E222" s="10">
        <v>2.4627266640353359E-2</v>
      </c>
      <c r="F222" s="10">
        <v>1.0102249546526427</v>
      </c>
      <c r="H222">
        <v>1.0956944980938268</v>
      </c>
      <c r="I222" s="11">
        <f t="shared" si="3"/>
        <v>3.8653630758529178E-2</v>
      </c>
      <c r="J222" s="11">
        <f>1/(H222*Utilities!$B$11)</f>
        <v>3.650652628957046</v>
      </c>
      <c r="K222" s="11">
        <f>IF(B222&lt;C222,1,EXP(-1*(B222-C222)/(Utilities!$B$11*IterData!H222)))</f>
        <v>0.86839293318984256</v>
      </c>
    </row>
    <row r="223" spans="1:11" x14ac:dyDescent="0.3">
      <c r="A223">
        <v>222</v>
      </c>
      <c r="B223">
        <v>0.35805172549300029</v>
      </c>
      <c r="C223">
        <v>0.24578538975389558</v>
      </c>
      <c r="D223">
        <v>0.66079901965183885</v>
      </c>
      <c r="E223" s="10">
        <v>2.8631496400200771E-2</v>
      </c>
      <c r="F223" s="10">
        <v>0.99310285974961043</v>
      </c>
      <c r="H223">
        <v>1.0838989567277022</v>
      </c>
      <c r="I223" s="11">
        <f t="shared" si="3"/>
        <v>0.11226633573910472</v>
      </c>
      <c r="J223" s="11">
        <f>1/(H223*Utilities!$B$11)</f>
        <v>3.6903808931378856</v>
      </c>
      <c r="K223" s="11">
        <f>IF(B223&lt;C223,1,EXP(-1*(B223-C223)/(Utilities!$B$11*IterData!H223)))</f>
        <v>0.66079901965183885</v>
      </c>
    </row>
    <row r="224" spans="1:11" x14ac:dyDescent="0.3">
      <c r="A224">
        <v>223</v>
      </c>
      <c r="B224">
        <v>0.22927087717736222</v>
      </c>
      <c r="C224">
        <v>0.35805172549300029</v>
      </c>
      <c r="D224">
        <v>1</v>
      </c>
      <c r="E224" s="10">
        <v>2.1796530407351862E-2</v>
      </c>
      <c r="F224" s="10">
        <v>1.1316971121792394</v>
      </c>
      <c r="H224">
        <v>1.0723369827296925</v>
      </c>
      <c r="I224" s="11">
        <f t="shared" si="3"/>
        <v>-0.12878084831563807</v>
      </c>
      <c r="J224" s="11">
        <f>1/(H224*Utilities!$B$11)</f>
        <v>3.7301707060571401</v>
      </c>
      <c r="K224" s="11">
        <f>IF(B224&lt;C224,1,EXP(-1*(B224-C224)/(Utilities!$B$11*IterData!H224)))</f>
        <v>1</v>
      </c>
    </row>
    <row r="225" spans="1:11" x14ac:dyDescent="0.3">
      <c r="A225">
        <v>224</v>
      </c>
      <c r="B225">
        <v>0.31789283695760551</v>
      </c>
      <c r="C225">
        <v>0.22927087717736222</v>
      </c>
      <c r="D225">
        <v>0.71597784877310056</v>
      </c>
      <c r="E225" s="10">
        <v>2.6182016433035669E-2</v>
      </c>
      <c r="F225" s="10">
        <v>1.0105154760150947</v>
      </c>
      <c r="H225">
        <v>1.0610039511560356</v>
      </c>
      <c r="I225" s="11">
        <f t="shared" si="3"/>
        <v>8.8621959780243287E-2</v>
      </c>
      <c r="J225" s="11">
        <f>1/(H225*Utilities!$B$11)</f>
        <v>3.7700142357073498</v>
      </c>
      <c r="K225" s="11">
        <f>IF(B225&lt;C225,1,EXP(-1*(B225-C225)/(Utilities!$B$11*IterData!H225)))</f>
        <v>0.71597784877310056</v>
      </c>
    </row>
    <row r="226" spans="1:11" x14ac:dyDescent="0.3">
      <c r="A226">
        <v>225</v>
      </c>
      <c r="B226">
        <v>0.19258543478776632</v>
      </c>
      <c r="C226">
        <v>0.22927087717736222</v>
      </c>
      <c r="D226">
        <v>1</v>
      </c>
      <c r="E226" s="10">
        <v>2.6182016433035669E-2</v>
      </c>
      <c r="F226" s="10">
        <v>1.0105154760150947</v>
      </c>
      <c r="H226">
        <v>1.0498953286429942</v>
      </c>
      <c r="I226" s="11">
        <f t="shared" si="3"/>
        <v>-3.6685442389595896E-2</v>
      </c>
      <c r="J226" s="11">
        <f>1/(H226*Utilities!$B$11)</f>
        <v>3.809903607410142</v>
      </c>
      <c r="K226" s="11">
        <f>IF(B226&lt;C226,1,EXP(-1*(B226-C226)/(Utilities!$B$11*IterData!H226)))</f>
        <v>1</v>
      </c>
    </row>
    <row r="227" spans="1:11" x14ac:dyDescent="0.3">
      <c r="A227">
        <v>226</v>
      </c>
      <c r="B227">
        <v>0.38284862910950029</v>
      </c>
      <c r="C227">
        <v>0.19258543478776632</v>
      </c>
      <c r="D227">
        <v>0.48071479499426034</v>
      </c>
      <c r="E227" s="10">
        <v>2.2518075486980094E-2</v>
      </c>
      <c r="F227" s="10">
        <v>0.99180627396644983</v>
      </c>
      <c r="H227">
        <v>1.0390066715934447</v>
      </c>
      <c r="I227" s="11">
        <f t="shared" si="3"/>
        <v>0.19026319432173397</v>
      </c>
      <c r="J227" s="11">
        <f>1/(H227*Utilities!$B$11)</f>
        <v>3.8498309100032122</v>
      </c>
      <c r="K227" s="11">
        <f>IF(B227&lt;C227,1,EXP(-1*(B227-C227)/(Utilities!$B$11*IterData!H227)))</f>
        <v>0.48071479499426034</v>
      </c>
    </row>
    <row r="228" spans="1:11" x14ac:dyDescent="0.3">
      <c r="A228">
        <v>227</v>
      </c>
      <c r="B228">
        <v>0.46616161059238054</v>
      </c>
      <c r="C228">
        <v>0.38284862910950029</v>
      </c>
      <c r="D228">
        <v>0.72319972334077187</v>
      </c>
      <c r="E228" s="10">
        <v>2.3424442386997764E-2</v>
      </c>
      <c r="F228" s="10">
        <v>0.89845433504980898</v>
      </c>
      <c r="H228">
        <v>1.0283336243993848</v>
      </c>
      <c r="I228" s="11">
        <f t="shared" si="3"/>
        <v>8.3312981482880244E-2</v>
      </c>
      <c r="J228" s="11">
        <f>1/(H228*Utilities!$B$11)</f>
        <v>3.8897882020888561</v>
      </c>
      <c r="K228" s="11">
        <f>IF(B228&lt;C228,1,EXP(-1*(B228-C228)/(Utilities!$B$11*IterData!H228)))</f>
        <v>0.72319972334077187</v>
      </c>
    </row>
    <row r="229" spans="1:11" x14ac:dyDescent="0.3">
      <c r="A229">
        <v>228</v>
      </c>
      <c r="B229">
        <v>0.20287515797358149</v>
      </c>
      <c r="C229">
        <v>0.46616161059238054</v>
      </c>
      <c r="D229">
        <v>1</v>
      </c>
      <c r="E229" s="10">
        <v>2.133289566147413E-2</v>
      </c>
      <c r="F229" s="10">
        <v>1.1768363562776831</v>
      </c>
      <c r="H229">
        <v>1.0178719176996263</v>
      </c>
      <c r="I229" s="11">
        <f t="shared" si="3"/>
        <v>-0.26328645261879902</v>
      </c>
      <c r="J229" s="11">
        <f>1/(H229*Utilities!$B$11)</f>
        <v>3.929767518333676</v>
      </c>
      <c r="K229" s="11">
        <f>IF(B229&lt;C229,1,EXP(-1*(B229-C229)/(Utilities!$B$11*IterData!H229)))</f>
        <v>1</v>
      </c>
    </row>
    <row r="230" spans="1:11" x14ac:dyDescent="0.3">
      <c r="A230">
        <v>229</v>
      </c>
      <c r="B230">
        <v>0.80727781355634309</v>
      </c>
      <c r="C230">
        <v>0.20287515797358149</v>
      </c>
      <c r="D230">
        <v>9.0778390174989523E-2</v>
      </c>
      <c r="E230" s="10">
        <v>2.3582662563383674E-2</v>
      </c>
      <c r="F230" s="10">
        <v>0.97261150651566652</v>
      </c>
      <c r="H230">
        <v>1.0076173666719992</v>
      </c>
      <c r="I230" s="11">
        <f t="shared" si="3"/>
        <v>0.60440265558276163</v>
      </c>
      <c r="J230" s="11">
        <f>1/(H230*Utilities!$B$11)</f>
        <v>3.9697608758088077</v>
      </c>
      <c r="K230" s="11">
        <f>IF(B230&lt;C230,1,EXP(-1*(B230-C230)/(Utilities!$B$11*IterData!H230)))</f>
        <v>9.0778390174989523E-2</v>
      </c>
    </row>
    <row r="231" spans="1:11" x14ac:dyDescent="0.3">
      <c r="A231">
        <v>230</v>
      </c>
      <c r="B231">
        <v>0.80242451064314213</v>
      </c>
      <c r="C231">
        <v>0.20287515797358149</v>
      </c>
      <c r="D231">
        <v>9.0351362623251122E-2</v>
      </c>
      <c r="E231" s="10">
        <v>2.3582662563383674E-2</v>
      </c>
      <c r="F231" s="10">
        <v>0.97261150651566652</v>
      </c>
      <c r="H231">
        <v>0.99756586935936198</v>
      </c>
      <c r="I231" s="11">
        <f t="shared" si="3"/>
        <v>0.59954935266956066</v>
      </c>
      <c r="J231" s="11">
        <f>1/(H231*Utilities!$B$11)</f>
        <v>4.0097602803600374</v>
      </c>
      <c r="K231" s="11">
        <f>IF(B231&lt;C231,1,EXP(-1*(B231-C231)/(Utilities!$B$11*IterData!H231)))</f>
        <v>9.0351362623251094E-2</v>
      </c>
    </row>
    <row r="232" spans="1:11" x14ac:dyDescent="0.3">
      <c r="A232">
        <v>231</v>
      </c>
      <c r="B232">
        <v>0.17636077592948032</v>
      </c>
      <c r="C232">
        <v>0.20287515797358149</v>
      </c>
      <c r="D232">
        <v>1</v>
      </c>
      <c r="E232" s="10">
        <v>2.3582662563383674E-2</v>
      </c>
      <c r="F232" s="10">
        <v>0.97261150651566652</v>
      </c>
      <c r="H232">
        <v>0.98771340502876925</v>
      </c>
      <c r="I232" s="11">
        <f t="shared" si="3"/>
        <v>-2.651438204410117E-2</v>
      </c>
      <c r="J232" s="11">
        <f>1/(H232*Utilities!$B$11)</f>
        <v>4.0497577329969427</v>
      </c>
      <c r="K232" s="11">
        <f>IF(B232&lt;C232,1,EXP(-1*(B232-C232)/(Utilities!$B$11*IterData!H232)))</f>
        <v>1</v>
      </c>
    </row>
    <row r="233" spans="1:11" x14ac:dyDescent="0.3">
      <c r="A233">
        <v>232</v>
      </c>
      <c r="B233">
        <v>0.23238027395669647</v>
      </c>
      <c r="C233">
        <v>0.17636077592948032</v>
      </c>
      <c r="D233">
        <v>0.79524465049586079</v>
      </c>
      <c r="E233" s="10">
        <v>1.8858603899237686E-2</v>
      </c>
      <c r="F233" s="10">
        <v>1.0334606763933218</v>
      </c>
      <c r="H233">
        <v>0.9780560325631199</v>
      </c>
      <c r="I233" s="11">
        <f t="shared" si="3"/>
        <v>5.6019498027216147E-2</v>
      </c>
      <c r="J233" s="11">
        <f>1/(H233*Utilities!$B$11)</f>
        <v>4.0897452362902893</v>
      </c>
      <c r="K233" s="11">
        <f>IF(B233&lt;C233,1,EXP(-1*(B233-C233)/(Utilities!$B$11*IterData!H233)))</f>
        <v>0.79524465049586079</v>
      </c>
    </row>
    <row r="234" spans="1:11" x14ac:dyDescent="0.3">
      <c r="A234">
        <v>233</v>
      </c>
      <c r="B234">
        <v>0.45433696354107478</v>
      </c>
      <c r="C234">
        <v>0.23238027395669647</v>
      </c>
      <c r="D234">
        <v>0.39986918370313773</v>
      </c>
      <c r="E234" s="10">
        <v>1.8640044445547246E-2</v>
      </c>
      <c r="F234" s="10">
        <v>0.995208157245139</v>
      </c>
      <c r="H234">
        <v>0.96858988888466102</v>
      </c>
      <c r="I234" s="11">
        <f t="shared" si="3"/>
        <v>0.22195668958437831</v>
      </c>
      <c r="J234" s="11">
        <f>1/(H234*Utilities!$B$11)</f>
        <v>4.1297148007667435</v>
      </c>
      <c r="K234" s="11">
        <f>IF(B234&lt;C234,1,EXP(-1*(B234-C234)/(Utilities!$B$11*IterData!H234)))</f>
        <v>0.39986918370313773</v>
      </c>
    </row>
    <row r="235" spans="1:11" x14ac:dyDescent="0.3">
      <c r="A235">
        <v>234</v>
      </c>
      <c r="B235">
        <v>0.78316723410654765</v>
      </c>
      <c r="C235">
        <v>0.45433696354107478</v>
      </c>
      <c r="D235">
        <v>0.25382507845516772</v>
      </c>
      <c r="E235" s="10">
        <v>2.0772963512961803E-2</v>
      </c>
      <c r="F235" s="10">
        <v>0.90828866568424937</v>
      </c>
      <c r="H235">
        <v>0.95931118740970478</v>
      </c>
      <c r="I235" s="11">
        <f t="shared" si="3"/>
        <v>0.32883027056547287</v>
      </c>
      <c r="J235" s="11">
        <f>1/(H235*Utilities!$B$11)</f>
        <v>4.1696584512900827</v>
      </c>
      <c r="K235" s="11">
        <f>IF(B235&lt;C235,1,EXP(-1*(B235-C235)/(Utilities!$B$11*IterData!H235)))</f>
        <v>0.25382507845516772</v>
      </c>
    </row>
    <row r="236" spans="1:11" x14ac:dyDescent="0.3">
      <c r="A236">
        <v>235</v>
      </c>
      <c r="B236">
        <v>0.34194007223583128</v>
      </c>
      <c r="C236">
        <v>0.45433696354107478</v>
      </c>
      <c r="D236">
        <v>1</v>
      </c>
      <c r="E236" s="10">
        <v>2.0772963512961803E-2</v>
      </c>
      <c r="F236" s="10">
        <v>0.90828866568424937</v>
      </c>
      <c r="H236">
        <v>0.95021621653394284</v>
      </c>
      <c r="I236" s="11">
        <f t="shared" si="3"/>
        <v>-0.1123968913052435</v>
      </c>
      <c r="J236" s="11">
        <f>1/(H236*Utilities!$B$11)</f>
        <v>4.2095682334180786</v>
      </c>
      <c r="K236" s="11">
        <f>IF(B236&lt;C236,1,EXP(-1*(B236-C236)/(Utilities!$B$11*IterData!H236)))</f>
        <v>1</v>
      </c>
    </row>
    <row r="237" spans="1:11" x14ac:dyDescent="0.3">
      <c r="A237">
        <v>236</v>
      </c>
      <c r="B237">
        <v>0.23534348750262596</v>
      </c>
      <c r="C237">
        <v>0.34194007223583128</v>
      </c>
      <c r="D237">
        <v>1</v>
      </c>
      <c r="E237" s="10">
        <v>2.1068486068121089E-2</v>
      </c>
      <c r="F237" s="10">
        <v>1.1355135506519243</v>
      </c>
      <c r="H237">
        <v>0.94130133814775785</v>
      </c>
      <c r="I237" s="11">
        <f t="shared" si="3"/>
        <v>-0.10659658473320532</v>
      </c>
      <c r="J237" s="11">
        <f>1/(H237*Utilities!$B$11)</f>
        <v>4.2494362197242648</v>
      </c>
      <c r="K237" s="11">
        <f>IF(B237&lt;C237,1,EXP(-1*(B237-C237)/(Utilities!$B$11*IterData!H237)))</f>
        <v>1</v>
      </c>
    </row>
    <row r="238" spans="1:11" x14ac:dyDescent="0.3">
      <c r="A238">
        <v>237</v>
      </c>
      <c r="B238">
        <v>0.19539369570332912</v>
      </c>
      <c r="C238">
        <v>0.23534348750262596</v>
      </c>
      <c r="D238">
        <v>1</v>
      </c>
      <c r="E238" s="10">
        <v>1.6749295376429506E-2</v>
      </c>
      <c r="F238" s="10">
        <v>1.0156645895802308</v>
      </c>
      <c r="H238">
        <v>0.93256298618092792</v>
      </c>
      <c r="I238" s="11">
        <f t="shared" si="3"/>
        <v>-3.9949791799296835E-2</v>
      </c>
      <c r="J238" s="11">
        <f>1/(H238*Utilities!$B$11)</f>
        <v>4.2892545160739992</v>
      </c>
      <c r="K238" s="11">
        <f>IF(B238&lt;C238,1,EXP(-1*(B238-C238)/(Utilities!$B$11*IterData!H238)))</f>
        <v>1</v>
      </c>
    </row>
    <row r="239" spans="1:11" x14ac:dyDescent="0.3">
      <c r="A239">
        <v>238</v>
      </c>
      <c r="B239">
        <v>0.54492595715951453</v>
      </c>
      <c r="C239">
        <v>0.19539369570332912</v>
      </c>
      <c r="D239">
        <v>0.2202195013891742</v>
      </c>
      <c r="E239" s="10">
        <v>2.1779269524779044E-2</v>
      </c>
      <c r="F239" s="10">
        <v>0.99135284638312948</v>
      </c>
      <c r="H239">
        <v>0.923997665176154</v>
      </c>
      <c r="I239" s="11">
        <f t="shared" si="3"/>
        <v>0.34953226145618543</v>
      </c>
      <c r="J239" s="11">
        <f>1/(H239*Utilities!$B$11)</f>
        <v>4.3290152678442393</v>
      </c>
      <c r="K239" s="11">
        <f>IF(B239&lt;C239,1,EXP(-1*(B239-C239)/(Utilities!$B$11*IterData!H239)))</f>
        <v>0.22021950138917415</v>
      </c>
    </row>
    <row r="240" spans="1:11" x14ac:dyDescent="0.3">
      <c r="A240">
        <v>239</v>
      </c>
      <c r="B240">
        <v>0.17368178910522999</v>
      </c>
      <c r="C240">
        <v>0.19539369570332912</v>
      </c>
      <c r="D240">
        <v>1</v>
      </c>
      <c r="E240" s="10">
        <v>2.1779269524779044E-2</v>
      </c>
      <c r="F240" s="10">
        <v>0.99135284638312948</v>
      </c>
      <c r="H240">
        <v>0.9156019488908278</v>
      </c>
      <c r="I240" s="11">
        <f t="shared" si="3"/>
        <v>-2.1711906598099129E-2</v>
      </c>
      <c r="J240" s="11">
        <f>1/(H240*Utilities!$B$11)</f>
        <v>4.3687106660767299</v>
      </c>
      <c r="K240" s="11">
        <f>IF(B240&lt;C240,1,EXP(-1*(B240-C240)/(Utilities!$B$11*IterData!H240)))</f>
        <v>1</v>
      </c>
    </row>
    <row r="241" spans="1:11" x14ac:dyDescent="0.3">
      <c r="A241">
        <v>240</v>
      </c>
      <c r="B241">
        <v>0.18160342376646882</v>
      </c>
      <c r="C241">
        <v>0.17368178910522999</v>
      </c>
      <c r="D241">
        <v>0.96568150594640501</v>
      </c>
      <c r="E241" s="10">
        <v>1.9458433473265691E-2</v>
      </c>
      <c r="F241" s="10">
        <v>1.0450211342126556</v>
      </c>
      <c r="H241">
        <v>0.90737247892649153</v>
      </c>
      <c r="I241" s="11">
        <f t="shared" si="3"/>
        <v>7.9216346612388244E-3</v>
      </c>
      <c r="J241" s="11">
        <f>1/(H241*Utilities!$B$11)</f>
        <v>4.4083329535544022</v>
      </c>
      <c r="K241" s="11">
        <f>IF(B241&lt;C241,1,EXP(-1*(B241-C241)/(Utilities!$B$11*IterData!H241)))</f>
        <v>0.96568150594640501</v>
      </c>
    </row>
    <row r="242" spans="1:11" x14ac:dyDescent="0.3">
      <c r="A242">
        <v>241</v>
      </c>
      <c r="B242">
        <v>0.56242188179218644</v>
      </c>
      <c r="C242">
        <v>0.18160342376646882</v>
      </c>
      <c r="D242">
        <v>0.18381367280874519</v>
      </c>
      <c r="E242" s="10">
        <v>1.6255628951964616E-2</v>
      </c>
      <c r="F242" s="10">
        <v>1.1297939276642148</v>
      </c>
      <c r="H242">
        <v>0.8993059633854309</v>
      </c>
      <c r="I242" s="11">
        <f t="shared" si="3"/>
        <v>0.38081845802571762</v>
      </c>
      <c r="J242" s="11">
        <f>1/(H242*Utilities!$B$11)</f>
        <v>4.4478744307910834</v>
      </c>
      <c r="K242" s="11">
        <f>IF(B242&lt;C242,1,EXP(-1*(B242-C242)/(Utilities!$B$11*IterData!H242)))</f>
        <v>0.18381367280874519</v>
      </c>
    </row>
    <row r="243" spans="1:11" x14ac:dyDescent="0.3">
      <c r="A243">
        <v>242</v>
      </c>
      <c r="B243">
        <v>0.19483396650891291</v>
      </c>
      <c r="C243">
        <v>0.18160342376646882</v>
      </c>
      <c r="D243">
        <v>0.94235824157956871</v>
      </c>
      <c r="E243" s="10">
        <v>1.6255628951964616E-2</v>
      </c>
      <c r="F243" s="10">
        <v>1.1297939276642148</v>
      </c>
      <c r="H243">
        <v>0.89139917555387538</v>
      </c>
      <c r="I243" s="11">
        <f t="shared" si="3"/>
        <v>1.323054274244409E-2</v>
      </c>
      <c r="J243" s="11">
        <f>1/(H243*Utilities!$B$11)</f>
        <v>4.4873274619247656</v>
      </c>
      <c r="K243" s="11">
        <f>IF(B243&lt;C243,1,EXP(-1*(B243-C243)/(Utilities!$B$11*IterData!H243)))</f>
        <v>0.94235824157956871</v>
      </c>
    </row>
    <row r="244" spans="1:11" x14ac:dyDescent="0.3">
      <c r="A244">
        <v>243</v>
      </c>
      <c r="B244">
        <v>0.31009818360596042</v>
      </c>
      <c r="C244">
        <v>0.19483396650891291</v>
      </c>
      <c r="D244">
        <v>0.59347229739696572</v>
      </c>
      <c r="E244" s="10">
        <v>1.8241537595166561E-2</v>
      </c>
      <c r="F244" s="10">
        <v>1.103158117671944</v>
      </c>
      <c r="H244">
        <v>0.8836489526112663</v>
      </c>
      <c r="I244" s="11">
        <f t="shared" si="3"/>
        <v>0.11526421709704751</v>
      </c>
      <c r="J244" s="11">
        <f>1/(H244*Utilities!$B$11)</f>
        <v>4.5266844805050939</v>
      </c>
      <c r="K244" s="11">
        <f>IF(B244&lt;C244,1,EXP(-1*(B244-C244)/(Utilities!$B$11*IterData!H244)))</f>
        <v>0.59347229739696572</v>
      </c>
    </row>
    <row r="245" spans="1:11" x14ac:dyDescent="0.3">
      <c r="A245">
        <v>244</v>
      </c>
      <c r="B245">
        <v>0.23706930598290352</v>
      </c>
      <c r="C245">
        <v>0.31009818360596042</v>
      </c>
      <c r="D245">
        <v>1</v>
      </c>
      <c r="E245" s="10">
        <v>1.8595433043294005E-2</v>
      </c>
      <c r="F245" s="10">
        <v>0.96768769260176235</v>
      </c>
      <c r="H245">
        <v>0.87605219436508963</v>
      </c>
      <c r="I245" s="11">
        <f t="shared" si="3"/>
        <v>-7.3028877623056904E-2</v>
      </c>
      <c r="J245" s="11">
        <f>1/(H245*Utilities!$B$11)</f>
        <v>4.5659379951658714</v>
      </c>
      <c r="K245" s="11">
        <f>IF(B245&lt;C245,1,EXP(-1*(B245-C245)/(Utilities!$B$11*IterData!H245)))</f>
        <v>1</v>
      </c>
    </row>
    <row r="246" spans="1:11" x14ac:dyDescent="0.3">
      <c r="A246">
        <v>245</v>
      </c>
      <c r="B246">
        <v>0.19929065825031614</v>
      </c>
      <c r="C246">
        <v>0.23706930598290352</v>
      </c>
      <c r="D246">
        <v>1</v>
      </c>
      <c r="E246" s="10">
        <v>1.7285532963671326E-2</v>
      </c>
      <c r="F246" s="10">
        <v>1.00846869694977</v>
      </c>
      <c r="H246">
        <v>0.86860586201075474</v>
      </c>
      <c r="I246" s="11">
        <f t="shared" si="3"/>
        <v>-3.7778647732587378E-2</v>
      </c>
      <c r="J246" s="11">
        <f>1/(H246*Utilities!$B$11)</f>
        <v>4.6050805951738711</v>
      </c>
      <c r="K246" s="11">
        <f>IF(B246&lt;C246,1,EXP(-1*(B246-C246)/(Utilities!$B$11*IterData!H246)))</f>
        <v>1</v>
      </c>
    </row>
    <row r="247" spans="1:11" x14ac:dyDescent="0.3">
      <c r="A247">
        <v>246</v>
      </c>
      <c r="B247">
        <v>0.73133667385102696</v>
      </c>
      <c r="C247">
        <v>0.19929065825031614</v>
      </c>
      <c r="D247">
        <v>8.4510665150122705E-2</v>
      </c>
      <c r="E247" s="10">
        <v>1.7525697899238919E-2</v>
      </c>
      <c r="F247" s="10">
        <v>1.1195932821327526</v>
      </c>
      <c r="H247">
        <v>0.86130697691603486</v>
      </c>
      <c r="I247" s="11">
        <f t="shared" si="3"/>
        <v>0.53204601560071085</v>
      </c>
      <c r="J247" s="11">
        <f>1/(H247*Utilities!$B$11)</f>
        <v>4.6441049558454264</v>
      </c>
      <c r="K247" s="11">
        <f>IF(B247&lt;C247,1,EXP(-1*(B247-C247)/(Utilities!$B$11*IterData!H247)))</f>
        <v>8.4510665150122705E-2</v>
      </c>
    </row>
    <row r="248" spans="1:11" x14ac:dyDescent="0.3">
      <c r="A248">
        <v>247</v>
      </c>
      <c r="B248">
        <v>0.56731621090923567</v>
      </c>
      <c r="C248">
        <v>0.73133667385102696</v>
      </c>
      <c r="D248">
        <v>1</v>
      </c>
      <c r="E248" s="10">
        <v>2.0513777104104503E-2</v>
      </c>
      <c r="F248" s="10">
        <v>0.8632357905227882</v>
      </c>
      <c r="H248">
        <v>0.85415261942957166</v>
      </c>
      <c r="I248" s="11">
        <f t="shared" si="3"/>
        <v>-0.16402046294179129</v>
      </c>
      <c r="J248" s="11">
        <f>1/(H248*Utilities!$B$11)</f>
        <v>4.683003843822803</v>
      </c>
      <c r="K248" s="11">
        <f>IF(B248&lt;C248,1,EXP(-1*(B248-C248)/(Utilities!$B$11*IterData!H248)))</f>
        <v>1</v>
      </c>
    </row>
    <row r="249" spans="1:11" x14ac:dyDescent="0.3">
      <c r="A249">
        <v>248</v>
      </c>
      <c r="B249">
        <v>0.30022326083024642</v>
      </c>
      <c r="C249">
        <v>0.56731621090923567</v>
      </c>
      <c r="D249">
        <v>1</v>
      </c>
      <c r="E249" s="10">
        <v>1.679308147666193E-2</v>
      </c>
      <c r="F249" s="10">
        <v>0.93403911475854029</v>
      </c>
      <c r="H249">
        <v>0.84713992771297852</v>
      </c>
      <c r="I249" s="11">
        <f t="shared" si="3"/>
        <v>-0.26709295007898926</v>
      </c>
      <c r="J249" s="11">
        <f>1/(H249*Utilities!$B$11)</f>
        <v>4.7217701222025852</v>
      </c>
      <c r="K249" s="11">
        <f>IF(B249&lt;C249,1,EXP(-1*(B249-C249)/(Utilities!$B$11*IterData!H249)))</f>
        <v>1</v>
      </c>
    </row>
    <row r="250" spans="1:11" x14ac:dyDescent="0.3">
      <c r="A250">
        <v>249</v>
      </c>
      <c r="B250">
        <v>0.22655058400941189</v>
      </c>
      <c r="C250">
        <v>0.30022326083024642</v>
      </c>
      <c r="D250">
        <v>1</v>
      </c>
      <c r="E250" s="10">
        <v>2.0347884384130776E-2</v>
      </c>
      <c r="F250" s="10">
        <v>0.95160911806327775</v>
      </c>
      <c r="H250">
        <v>0.84026609659606433</v>
      </c>
      <c r="I250" s="11">
        <f t="shared" si="3"/>
        <v>-7.3672676820834532E-2</v>
      </c>
      <c r="J250" s="11">
        <f>1/(H250*Utilities!$B$11)</f>
        <v>4.7603967555088609</v>
      </c>
      <c r="K250" s="11">
        <f>IF(B250&lt;C250,1,EXP(-1*(B250-C250)/(Utilities!$B$11*IterData!H250)))</f>
        <v>1</v>
      </c>
    </row>
    <row r="251" spans="1:11" x14ac:dyDescent="0.3">
      <c r="A251">
        <v>250</v>
      </c>
      <c r="B251">
        <v>0.65840623151672117</v>
      </c>
      <c r="C251">
        <v>0.22655058400941189</v>
      </c>
      <c r="D251">
        <v>0.12588052274930228</v>
      </c>
      <c r="E251" s="10">
        <v>2.2933559556736868E-2</v>
      </c>
      <c r="F251" s="10">
        <v>1.0525398531670449</v>
      </c>
      <c r="H251">
        <v>0.83352837645473066</v>
      </c>
      <c r="I251" s="11">
        <f t="shared" si="3"/>
        <v>0.43185564750730931</v>
      </c>
      <c r="J251" s="11">
        <f>1/(H251*Utilities!$B$11)</f>
        <v>4.7988768145042773</v>
      </c>
      <c r="K251" s="11">
        <f>IF(B251&lt;C251,1,EXP(-1*(B251-C251)/(Utilities!$B$11*IterData!H251)))</f>
        <v>0.12588052274930228</v>
      </c>
    </row>
    <row r="252" spans="1:11" x14ac:dyDescent="0.3">
      <c r="A252">
        <v>251</v>
      </c>
      <c r="B252">
        <v>0.65300992847953288</v>
      </c>
      <c r="C252">
        <v>0.22655058400941189</v>
      </c>
      <c r="D252">
        <v>0.12708862191769388</v>
      </c>
      <c r="E252" s="10">
        <v>2.2933559556736868E-2</v>
      </c>
      <c r="F252" s="10">
        <v>1.0525398531670449</v>
      </c>
      <c r="H252">
        <v>0.82692407211108288</v>
      </c>
      <c r="I252" s="11">
        <f t="shared" si="3"/>
        <v>0.42645934447012102</v>
      </c>
      <c r="J252" s="11">
        <f>1/(H252*Utilities!$B$11)</f>
        <v>4.8372034808326028</v>
      </c>
      <c r="K252" s="11">
        <f>IF(B252&lt;C252,1,EXP(-1*(B252-C252)/(Utilities!$B$11*IterData!H252)))</f>
        <v>0.12708862191769388</v>
      </c>
    </row>
    <row r="253" spans="1:11" x14ac:dyDescent="0.3">
      <c r="A253">
        <v>252</v>
      </c>
      <c r="B253">
        <v>0.36994680157854715</v>
      </c>
      <c r="C253">
        <v>0.22655058400941189</v>
      </c>
      <c r="D253">
        <v>0.49702764801047422</v>
      </c>
      <c r="E253" s="10">
        <v>2.2933559556736868E-2</v>
      </c>
      <c r="F253" s="10">
        <v>1.0525398531670449</v>
      </c>
      <c r="H253">
        <v>0.8204505417553255</v>
      </c>
      <c r="I253" s="11">
        <f t="shared" si="3"/>
        <v>0.14339621756913526</v>
      </c>
      <c r="J253" s="11">
        <f>1/(H253*Utilities!$B$11)</f>
        <v>4.8753700514867582</v>
      </c>
      <c r="K253" s="11">
        <f>IF(B253&lt;C253,1,EXP(-1*(B253-C253)/(Utilities!$B$11*IterData!H253)))</f>
        <v>0.49702764801047422</v>
      </c>
    </row>
    <row r="254" spans="1:11" x14ac:dyDescent="0.3">
      <c r="A254">
        <v>253</v>
      </c>
      <c r="B254">
        <v>0.21703826290287637</v>
      </c>
      <c r="C254">
        <v>0.36994680157854715</v>
      </c>
      <c r="D254">
        <v>1</v>
      </c>
      <c r="E254" s="10">
        <v>1.7508893398814972E-2</v>
      </c>
      <c r="F254" s="10">
        <v>1.2011824641930684</v>
      </c>
      <c r="H254">
        <v>0.81410519588900099</v>
      </c>
      <c r="I254" s="11">
        <f t="shared" si="3"/>
        <v>-0.15290853867567078</v>
      </c>
      <c r="J254" s="11">
        <f>1/(H254*Utilities!$B$11)</f>
        <v>4.9133699430968614</v>
      </c>
      <c r="K254" s="11">
        <f>IF(B254&lt;C254,1,EXP(-1*(B254-C254)/(Utilities!$B$11*IterData!H254)))</f>
        <v>1</v>
      </c>
    </row>
    <row r="255" spans="1:11" x14ac:dyDescent="0.3">
      <c r="A255">
        <v>254</v>
      </c>
      <c r="B255">
        <v>0.49857188837701699</v>
      </c>
      <c r="C255">
        <v>0.21703826290287637</v>
      </c>
      <c r="D255">
        <v>0.24809876744587764</v>
      </c>
      <c r="E255" s="10">
        <v>2.0209391328785808E-2</v>
      </c>
      <c r="F255" s="10">
        <v>1.0866836312575132</v>
      </c>
      <c r="H255">
        <v>0.8078854962891574</v>
      </c>
      <c r="I255" s="11">
        <f t="shared" si="3"/>
        <v>0.28153362547414063</v>
      </c>
      <c r="J255" s="11">
        <f>1/(H255*Utilities!$B$11)</f>
        <v>4.9511966960331772</v>
      </c>
      <c r="K255" s="11">
        <f>IF(B255&lt;C255,1,EXP(-1*(B255-C255)/(Utilities!$B$11*IterData!H255)))</f>
        <v>0.24809876744587764</v>
      </c>
    </row>
    <row r="256" spans="1:11" x14ac:dyDescent="0.3">
      <c r="A256">
        <v>255</v>
      </c>
      <c r="B256">
        <v>0.36223344160369442</v>
      </c>
      <c r="C256">
        <v>0.49857188837701699</v>
      </c>
      <c r="D256">
        <v>1</v>
      </c>
      <c r="E256" s="10">
        <v>2.1222834755028522E-2</v>
      </c>
      <c r="F256" s="10">
        <v>1.1892201021250834</v>
      </c>
      <c r="H256">
        <v>0.80178895499302383</v>
      </c>
      <c r="I256" s="11">
        <f t="shared" si="3"/>
        <v>-0.13633844677332257</v>
      </c>
      <c r="J256" s="11">
        <f>1/(H256*Utilities!$B$11)</f>
        <v>4.9888439783194602</v>
      </c>
      <c r="K256" s="11">
        <f>IF(B256&lt;C256,1,EXP(-1*(B256-C256)/(Utilities!$B$11*IterData!H256)))</f>
        <v>1</v>
      </c>
    </row>
    <row r="257" spans="1:11" x14ac:dyDescent="0.3">
      <c r="A257">
        <v>256</v>
      </c>
      <c r="B257">
        <v>0.19327396834142357</v>
      </c>
      <c r="C257">
        <v>0.36223344160369442</v>
      </c>
      <c r="D257">
        <v>1</v>
      </c>
      <c r="E257" s="10">
        <v>1.8764574875681884E-2</v>
      </c>
      <c r="F257" s="10">
        <v>1.1777905689598074</v>
      </c>
      <c r="H257">
        <v>0.79581313330279413</v>
      </c>
      <c r="I257" s="11">
        <f t="shared" si="3"/>
        <v>-0.16895947326227084</v>
      </c>
      <c r="J257" s="11">
        <f>1/(H257*Utilities!$B$11)</f>
        <v>5.0263055893525497</v>
      </c>
      <c r="K257" s="11">
        <f>IF(B257&lt;C257,1,EXP(-1*(B257-C257)/(Utilities!$B$11*IterData!H257)))</f>
        <v>1</v>
      </c>
    </row>
    <row r="258" spans="1:11" x14ac:dyDescent="0.3">
      <c r="A258">
        <v>257</v>
      </c>
      <c r="B258">
        <v>0.39030421928716602</v>
      </c>
      <c r="C258">
        <v>0.19327396834142357</v>
      </c>
      <c r="D258">
        <v>0.36873481780082246</v>
      </c>
      <c r="E258" s="10">
        <v>2.1086501944286379E-2</v>
      </c>
      <c r="F258" s="10">
        <v>0.99804916250007014</v>
      </c>
      <c r="H258">
        <v>0.78995564081011327</v>
      </c>
      <c r="I258" s="11">
        <f t="shared" si="3"/>
        <v>0.19703025094574245</v>
      </c>
      <c r="J258" s="11">
        <f>1/(H258*Utilities!$B$11)</f>
        <v>5.0635754634246686</v>
      </c>
      <c r="K258" s="11">
        <f>IF(B258&lt;C258,1,EXP(-1*(B258-C258)/(Utilities!$B$11*IterData!H258)))</f>
        <v>0.36873481780082246</v>
      </c>
    </row>
    <row r="259" spans="1:11" x14ac:dyDescent="0.3">
      <c r="A259">
        <v>258</v>
      </c>
      <c r="B259">
        <v>0.57494033035627023</v>
      </c>
      <c r="C259">
        <v>0.39030421928716602</v>
      </c>
      <c r="D259">
        <v>0.38993947263110013</v>
      </c>
      <c r="E259" s="10">
        <v>1.9073412853079664E-2</v>
      </c>
      <c r="F259" s="10">
        <v>1.1834176413857778</v>
      </c>
      <c r="H259">
        <v>0.78421413443988297</v>
      </c>
      <c r="I259" s="11">
        <f t="shared" ref="I259:I322" si="4">B259-C259</f>
        <v>0.18463611106910421</v>
      </c>
      <c r="J259" s="11">
        <f>1/(H259*Utilities!$B$11)</f>
        <v>5.1006476730452706</v>
      </c>
      <c r="K259" s="11">
        <f>IF(B259&lt;C259,1,EXP(-1*(B259-C259)/(Utilities!$B$11*IterData!H259)))</f>
        <v>0.38993947263110013</v>
      </c>
    </row>
    <row r="260" spans="1:11" x14ac:dyDescent="0.3">
      <c r="A260">
        <v>259</v>
      </c>
      <c r="B260">
        <v>0.75115994648542339</v>
      </c>
      <c r="C260">
        <v>0.57494033035627023</v>
      </c>
      <c r="D260">
        <v>0.40440793372684342</v>
      </c>
      <c r="E260" s="10">
        <v>2.1507666189599005E-2</v>
      </c>
      <c r="F260" s="10">
        <v>1.210058698293633</v>
      </c>
      <c r="H260">
        <v>0.77858631751300122</v>
      </c>
      <c r="I260" s="11">
        <f t="shared" si="4"/>
        <v>0.17621961612915316</v>
      </c>
      <c r="J260" s="11">
        <f>1/(H260*Utilities!$B$11)</f>
        <v>5.1375164320598348</v>
      </c>
      <c r="K260" s="11">
        <f>IF(B260&lt;C260,1,EXP(-1*(B260-C260)/(Utilities!$B$11*IterData!H260)))</f>
        <v>0.40440793372684342</v>
      </c>
    </row>
    <row r="261" spans="1:11" x14ac:dyDescent="0.3">
      <c r="A261">
        <v>260</v>
      </c>
      <c r="B261">
        <v>0.23697175089151695</v>
      </c>
      <c r="C261">
        <v>0.57494033035627023</v>
      </c>
      <c r="D261">
        <v>1</v>
      </c>
      <c r="E261" s="10">
        <v>2.1507666189599005E-2</v>
      </c>
      <c r="F261" s="10">
        <v>1.210058698293633</v>
      </c>
      <c r="H261">
        <v>0.77306993882765818</v>
      </c>
      <c r="I261" s="11">
        <f t="shared" si="4"/>
        <v>-0.33796857946475328</v>
      </c>
      <c r="J261" s="11">
        <f>1/(H261*Utilities!$B$11)</f>
        <v>5.1741760985634793</v>
      </c>
      <c r="K261" s="11">
        <f>IF(B261&lt;C261,1,EXP(-1*(B261-C261)/(Utilities!$B$11*IterData!H261)))</f>
        <v>1</v>
      </c>
    </row>
    <row r="262" spans="1:11" x14ac:dyDescent="0.3">
      <c r="A262">
        <v>261</v>
      </c>
      <c r="B262">
        <v>0.16746074690671153</v>
      </c>
      <c r="C262">
        <v>0.23697175089151695</v>
      </c>
      <c r="D262">
        <v>1</v>
      </c>
      <c r="E262" s="10">
        <v>1.9799077556268394E-2</v>
      </c>
      <c r="F262" s="10">
        <v>1.1056076293452819</v>
      </c>
      <c r="H262">
        <v>0.76766279175882757</v>
      </c>
      <c r="I262" s="11">
        <f t="shared" si="4"/>
        <v>-6.951100398480542E-2</v>
      </c>
      <c r="J262" s="11">
        <f>1/(H262*Utilities!$B$11)</f>
        <v>5.2106211776077043</v>
      </c>
      <c r="K262" s="11">
        <f>IF(B262&lt;C262,1,EXP(-1*(B262-C262)/(Utilities!$B$11*IterData!H262)))</f>
        <v>1</v>
      </c>
    </row>
    <row r="263" spans="1:11" x14ac:dyDescent="0.3">
      <c r="A263">
        <v>262</v>
      </c>
      <c r="B263">
        <v>0.17399752879649838</v>
      </c>
      <c r="C263">
        <v>0.16746074690671153</v>
      </c>
      <c r="D263">
        <v>0.96628400202095266</v>
      </c>
      <c r="E263" s="10">
        <v>1.6812027757092937E-2</v>
      </c>
      <c r="F263" s="10">
        <v>1.102345873613404</v>
      </c>
      <c r="H263">
        <v>0.76236271337558492</v>
      </c>
      <c r="I263" s="11">
        <f t="shared" si="4"/>
        <v>6.5367818897868468E-3</v>
      </c>
      <c r="J263" s="11">
        <f>1/(H263*Utilities!$B$11)</f>
        <v>5.2468463236991543</v>
      </c>
      <c r="K263" s="11">
        <f>IF(B263&lt;C263,1,EXP(-1*(B263-C263)/(Utilities!$B$11*IterData!H263)))</f>
        <v>0.96628400202095266</v>
      </c>
    </row>
    <row r="264" spans="1:11" x14ac:dyDescent="0.3">
      <c r="A264">
        <v>263</v>
      </c>
      <c r="B264">
        <v>0.7555120420880943</v>
      </c>
      <c r="C264">
        <v>0.17399752879649838</v>
      </c>
      <c r="D264">
        <v>4.6326004652583033E-2</v>
      </c>
      <c r="E264" s="10">
        <v>1.9483133244241464E-2</v>
      </c>
      <c r="F264" s="10">
        <v>1.040272294069813</v>
      </c>
      <c r="H264">
        <v>0.75716758357590896</v>
      </c>
      <c r="I264" s="11">
        <f t="shared" si="4"/>
        <v>0.58151451329159598</v>
      </c>
      <c r="J264" s="11">
        <f>1/(H264*Utilities!$B$11)</f>
        <v>5.2828463430896271</v>
      </c>
      <c r="K264" s="11">
        <f>IF(B264&lt;C264,1,EXP(-1*(B264-C264)/(Utilities!$B$11*IterData!H264)))</f>
        <v>4.6326004652583012E-2</v>
      </c>
    </row>
    <row r="265" spans="1:11" x14ac:dyDescent="0.3">
      <c r="A265">
        <v>264</v>
      </c>
      <c r="B265">
        <v>0.25470586034623877</v>
      </c>
      <c r="C265">
        <v>0.17399752879649838</v>
      </c>
      <c r="D265">
        <v>0.65099283738098679</v>
      </c>
      <c r="E265" s="10">
        <v>1.9483133244241464E-2</v>
      </c>
      <c r="F265" s="10">
        <v>1.040272294069813</v>
      </c>
      <c r="H265">
        <v>0.7520753242386099</v>
      </c>
      <c r="I265" s="11">
        <f t="shared" si="4"/>
        <v>8.0708331549740386E-2</v>
      </c>
      <c r="J265" s="11">
        <f>1/(H265*Utilities!$B$11)</f>
        <v>5.3186161958571656</v>
      </c>
      <c r="K265" s="11">
        <f>IF(B265&lt;C265,1,EXP(-1*(B265-C265)/(Utilities!$B$11*IterData!H265)))</f>
        <v>0.65099283738098679</v>
      </c>
    </row>
    <row r="266" spans="1:11" x14ac:dyDescent="0.3">
      <c r="A266">
        <v>265</v>
      </c>
      <c r="B266">
        <v>0.15591241554564628</v>
      </c>
      <c r="C266">
        <v>0.17399752879649838</v>
      </c>
      <c r="D266">
        <v>1</v>
      </c>
      <c r="E266" s="10">
        <v>1.9483133244241464E-2</v>
      </c>
      <c r="F266" s="10">
        <v>1.040272294069813</v>
      </c>
      <c r="H266">
        <v>0.74708389839205569</v>
      </c>
      <c r="I266" s="11">
        <f t="shared" si="4"/>
        <v>-1.8085113250852103E-2</v>
      </c>
      <c r="J266" s="11">
        <f>1/(H266*Utilities!$B$11)</f>
        <v>5.3541509977783974</v>
      </c>
      <c r="K266" s="11">
        <f>IF(B266&lt;C266,1,EXP(-1*(B266-C266)/(Utilities!$B$11*IterData!H266)))</f>
        <v>1</v>
      </c>
    </row>
    <row r="267" spans="1:11" x14ac:dyDescent="0.3">
      <c r="A267">
        <v>266</v>
      </c>
      <c r="B267">
        <v>0.79300510980401639</v>
      </c>
      <c r="C267">
        <v>0.15591241554564628</v>
      </c>
      <c r="D267">
        <v>3.2271309743471956E-2</v>
      </c>
      <c r="E267" s="10">
        <v>1.3523367952560875E-2</v>
      </c>
      <c r="F267" s="10">
        <v>1.1659239449469549</v>
      </c>
      <c r="H267">
        <v>0.74219130939935407</v>
      </c>
      <c r="I267" s="11">
        <f t="shared" si="4"/>
        <v>0.63709269425837012</v>
      </c>
      <c r="J267" s="11">
        <f>1/(H267*Utilities!$B$11)</f>
        <v>5.389446021992832</v>
      </c>
      <c r="K267" s="11">
        <f>IF(B267&lt;C267,1,EXP(-1*(B267-C267)/(Utilities!$B$11*IterData!H267)))</f>
        <v>3.2271309743471956E-2</v>
      </c>
    </row>
    <row r="268" spans="1:11" x14ac:dyDescent="0.3">
      <c r="A268">
        <v>267</v>
      </c>
      <c r="B268">
        <v>0.63225572728137591</v>
      </c>
      <c r="C268">
        <v>0.15591241554564628</v>
      </c>
      <c r="D268">
        <v>7.5477345844173413E-2</v>
      </c>
      <c r="E268" s="10">
        <v>1.3523367952560875E-2</v>
      </c>
      <c r="F268" s="10">
        <v>1.1659239449469549</v>
      </c>
      <c r="H268">
        <v>0.73739560015967287</v>
      </c>
      <c r="I268" s="11">
        <f t="shared" si="4"/>
        <v>0.47634331173572964</v>
      </c>
      <c r="J268" s="11">
        <f>1/(H268*Utilities!$B$11)</f>
        <v>5.4244967004601801</v>
      </c>
      <c r="K268" s="11">
        <f>IF(B268&lt;C268,1,EXP(-1*(B268-C268)/(Utilities!$B$11*IterData!H268)))</f>
        <v>7.5477345844173413E-2</v>
      </c>
    </row>
    <row r="269" spans="1:11" x14ac:dyDescent="0.3">
      <c r="A269">
        <v>268</v>
      </c>
      <c r="B269">
        <v>0.21292644642305711</v>
      </c>
      <c r="C269">
        <v>0.15591241554564628</v>
      </c>
      <c r="D269">
        <v>0.73252587067506525</v>
      </c>
      <c r="E269" s="10">
        <v>1.3523367952560875E-2</v>
      </c>
      <c r="F269" s="10">
        <v>1.1659239449469549</v>
      </c>
      <c r="H269">
        <v>0.73269485232537213</v>
      </c>
      <c r="I269" s="11">
        <f t="shared" si="4"/>
        <v>5.7014030877410832E-2</v>
      </c>
      <c r="J269" s="11">
        <f>1/(H269*Utilities!$B$11)</f>
        <v>5.4592986252122548</v>
      </c>
      <c r="K269" s="11">
        <f>IF(B269&lt;C269,1,EXP(-1*(B269-C269)/(Utilities!$B$11*IterData!H269)))</f>
        <v>0.73252587067506525</v>
      </c>
    </row>
    <row r="270" spans="1:11" x14ac:dyDescent="0.3">
      <c r="A270">
        <v>269</v>
      </c>
      <c r="B270">
        <v>0.16186892794449068</v>
      </c>
      <c r="C270">
        <v>0.21292644642305711</v>
      </c>
      <c r="D270">
        <v>1</v>
      </c>
      <c r="E270" s="10">
        <v>1.2907521980018991E-2</v>
      </c>
      <c r="F270" s="10">
        <v>1.0792317542432988</v>
      </c>
      <c r="H270">
        <v>0.72808718553464125</v>
      </c>
      <c r="I270" s="11">
        <f t="shared" si="4"/>
        <v>-5.1057518478566433E-2</v>
      </c>
      <c r="J270" s="11">
        <f>1/(H270*Utilities!$B$11)</f>
        <v>5.4938475494013295</v>
      </c>
      <c r="K270" s="11">
        <f>IF(B270&lt;C270,1,EXP(-1*(B270-C270)/(Utilities!$B$11*IterData!H270)))</f>
        <v>1</v>
      </c>
    </row>
    <row r="271" spans="1:11" x14ac:dyDescent="0.3">
      <c r="A271">
        <v>270</v>
      </c>
      <c r="B271">
        <v>0.15809126350807751</v>
      </c>
      <c r="C271">
        <v>0.16186892794449068</v>
      </c>
      <c r="D271">
        <v>1</v>
      </c>
      <c r="E271" s="10">
        <v>1.2165070071027101E-2</v>
      </c>
      <c r="F271" s="10">
        <v>1.2064012101967312</v>
      </c>
      <c r="H271">
        <v>0.72357075665932702</v>
      </c>
      <c r="I271" s="11">
        <f t="shared" si="4"/>
        <v>-3.7776644364131695E-3</v>
      </c>
      <c r="J271" s="11">
        <f>1/(H271*Utilities!$B$11)</f>
        <v>5.5281393881473404</v>
      </c>
      <c r="K271" s="11">
        <f>IF(B271&lt;C271,1,EXP(-1*(B271-C271)/(Utilities!$B$11*IterData!H271)))</f>
        <v>1</v>
      </c>
    </row>
    <row r="272" spans="1:11" x14ac:dyDescent="0.3">
      <c r="A272">
        <v>271</v>
      </c>
      <c r="B272">
        <v>0.80552051391975865</v>
      </c>
      <c r="C272">
        <v>0.15809126350807751</v>
      </c>
      <c r="D272">
        <v>2.7293363661348415E-2</v>
      </c>
      <c r="E272" s="10">
        <v>1.2349920525687383E-2</v>
      </c>
      <c r="F272" s="10">
        <v>1.1982573035157837</v>
      </c>
      <c r="H272">
        <v>0.71914375906765982</v>
      </c>
      <c r="I272" s="11">
        <f t="shared" si="4"/>
        <v>0.6474292504116812</v>
      </c>
      <c r="J272" s="11">
        <f>1/(H272*Utilities!$B$11)</f>
        <v>5.5621702191865428</v>
      </c>
      <c r="K272" s="11">
        <f>IF(B272&lt;C272,1,EXP(-1*(B272-C272)/(Utilities!$B$11*IterData!H272)))</f>
        <v>2.7293363661348404E-2</v>
      </c>
    </row>
    <row r="273" spans="1:11" x14ac:dyDescent="0.3">
      <c r="A273">
        <v>272</v>
      </c>
      <c r="B273">
        <v>0.51622406537478116</v>
      </c>
      <c r="C273">
        <v>0.15809126350807751</v>
      </c>
      <c r="D273">
        <v>0.13478311604845764</v>
      </c>
      <c r="E273" s="10">
        <v>1.2349920525687383E-2</v>
      </c>
      <c r="F273" s="10">
        <v>1.1982573035157837</v>
      </c>
      <c r="H273">
        <v>0.71480442190157534</v>
      </c>
      <c r="I273" s="11">
        <f t="shared" si="4"/>
        <v>0.35813280186670365</v>
      </c>
      <c r="J273" s="11">
        <f>1/(H273*Utilities!$B$11)</f>
        <v>5.595936283324753</v>
      </c>
      <c r="K273" s="11">
        <f>IF(B273&lt;C273,1,EXP(-1*(B273-C273)/(Utilities!$B$11*IterData!H273)))</f>
        <v>0.13478311604845764</v>
      </c>
    </row>
    <row r="274" spans="1:11" x14ac:dyDescent="0.3">
      <c r="A274">
        <v>273</v>
      </c>
      <c r="B274">
        <v>0.17128738131603019</v>
      </c>
      <c r="C274">
        <v>0.15809126350807751</v>
      </c>
      <c r="D274">
        <v>0.92840550591822579</v>
      </c>
      <c r="E274" s="10">
        <v>1.2349920525687383E-2</v>
      </c>
      <c r="F274" s="10">
        <v>1.1982573035157837</v>
      </c>
      <c r="H274">
        <v>0.7105510093683487</v>
      </c>
      <c r="I274" s="11">
        <f t="shared" si="4"/>
        <v>1.3196117807952684E-2</v>
      </c>
      <c r="J274" s="11">
        <f>1/(H274*Utilities!$B$11)</f>
        <v>5.629433984698494</v>
      </c>
      <c r="K274" s="11">
        <f>IF(B274&lt;C274,1,EXP(-1*(B274-C274)/(Utilities!$B$11*IterData!H274)))</f>
        <v>0.92840550591822579</v>
      </c>
    </row>
    <row r="275" spans="1:11" x14ac:dyDescent="0.3">
      <c r="A275">
        <v>274</v>
      </c>
      <c r="B275">
        <v>0.5404783631961535</v>
      </c>
      <c r="C275">
        <v>0.17128738131603019</v>
      </c>
      <c r="D275">
        <v>0.12361257926415907</v>
      </c>
      <c r="E275" s="10">
        <v>1.4409151977357881E-2</v>
      </c>
      <c r="F275" s="10">
        <v>1.1601572248937839</v>
      </c>
      <c r="H275">
        <v>0.70638182004625349</v>
      </c>
      <c r="I275" s="11">
        <f t="shared" si="4"/>
        <v>0.36919098188012334</v>
      </c>
      <c r="J275" s="11">
        <f>1/(H275*Utilities!$B$11)</f>
        <v>5.6626598908478165</v>
      </c>
      <c r="K275" s="11">
        <f>IF(B275&lt;C275,1,EXP(-1*(B275-C275)/(Utilities!$B$11*IterData!H275)))</f>
        <v>0.12361257926415907</v>
      </c>
    </row>
    <row r="276" spans="1:11" x14ac:dyDescent="0.3">
      <c r="A276">
        <v>275</v>
      </c>
      <c r="B276">
        <v>0.33066701698076767</v>
      </c>
      <c r="C276">
        <v>0.17128738131603019</v>
      </c>
      <c r="D276">
        <v>0.4034251285731838</v>
      </c>
      <c r="E276" s="10">
        <v>1.4409151977357881E-2</v>
      </c>
      <c r="F276" s="10">
        <v>1.1601572248937839</v>
      </c>
      <c r="H276">
        <v>0.70229518620397124</v>
      </c>
      <c r="I276" s="11">
        <f t="shared" si="4"/>
        <v>0.15937963566473748</v>
      </c>
      <c r="J276" s="11">
        <f>1/(H276*Utilities!$B$11)</f>
        <v>5.6956107326047647</v>
      </c>
      <c r="K276" s="11">
        <f>IF(B276&lt;C276,1,EXP(-1*(B276-C276)/(Utilities!$B$11*IterData!H276)))</f>
        <v>0.4034251285731838</v>
      </c>
    </row>
    <row r="277" spans="1:11" x14ac:dyDescent="0.3">
      <c r="A277">
        <v>276</v>
      </c>
      <c r="B277">
        <v>0.4206797470141635</v>
      </c>
      <c r="C277">
        <v>0.33066701698076767</v>
      </c>
      <c r="D277">
        <v>0.59713119800504566</v>
      </c>
      <c r="E277" s="10">
        <v>1.4172128148393652E-2</v>
      </c>
      <c r="F277" s="10">
        <v>1.2482908713531282</v>
      </c>
      <c r="H277">
        <v>0.69828947313347567</v>
      </c>
      <c r="I277" s="11">
        <f t="shared" si="4"/>
        <v>9.0012730033395827E-2</v>
      </c>
      <c r="J277" s="11">
        <f>1/(H277*Utilities!$B$11)</f>
        <v>5.7282834038018118</v>
      </c>
      <c r="K277" s="11">
        <f>IF(B277&lt;C277,1,EXP(-1*(B277-C277)/(Utilities!$B$11*IterData!H277)))</f>
        <v>0.59713119800504566</v>
      </c>
    </row>
    <row r="278" spans="1:11" x14ac:dyDescent="0.3">
      <c r="A278">
        <v>277</v>
      </c>
      <c r="B278">
        <v>0.68506136505871074</v>
      </c>
      <c r="C278">
        <v>0.33066701698076767</v>
      </c>
      <c r="D278">
        <v>0.12982723846563476</v>
      </c>
      <c r="E278" s="10">
        <v>1.4172128148393652E-2</v>
      </c>
      <c r="F278" s="10">
        <v>1.2482908713531282</v>
      </c>
      <c r="H278">
        <v>0.69436307849612844</v>
      </c>
      <c r="I278" s="11">
        <f t="shared" si="4"/>
        <v>0.35439434807794307</v>
      </c>
      <c r="J278" s="11">
        <f>1/(H278*Utilities!$B$11)</f>
        <v>5.7606749608048213</v>
      </c>
      <c r="K278" s="11">
        <f>IF(B278&lt;C278,1,EXP(-1*(B278-C278)/(Utilities!$B$11*IterData!H278)))</f>
        <v>0.12982723846563476</v>
      </c>
    </row>
    <row r="279" spans="1:11" x14ac:dyDescent="0.3">
      <c r="A279">
        <v>278</v>
      </c>
      <c r="B279">
        <v>0.66802963683227934</v>
      </c>
      <c r="C279">
        <v>0.33066701698076767</v>
      </c>
      <c r="D279">
        <v>0.1416680942743114</v>
      </c>
      <c r="E279" s="10">
        <v>1.4172128148393652E-2</v>
      </c>
      <c r="F279" s="10">
        <v>1.2482908713531282</v>
      </c>
      <c r="H279">
        <v>0.69051443168172166</v>
      </c>
      <c r="I279" s="11">
        <f t="shared" si="4"/>
        <v>0.33736261985151167</v>
      </c>
      <c r="J279" s="11">
        <f>1/(H279*Utilities!$B$11)</f>
        <v>5.7927826218753342</v>
      </c>
      <c r="K279" s="11">
        <f>IF(B279&lt;C279,1,EXP(-1*(B279-C279)/(Utilities!$B$11*IterData!H279)))</f>
        <v>0.1416680942743114</v>
      </c>
    </row>
    <row r="280" spans="1:11" x14ac:dyDescent="0.3">
      <c r="A280">
        <v>279</v>
      </c>
      <c r="B280">
        <v>0.70325315626345142</v>
      </c>
      <c r="C280">
        <v>0.33066701698076767</v>
      </c>
      <c r="D280">
        <v>0.11415859306103575</v>
      </c>
      <c r="E280" s="10">
        <v>1.4172128148393652E-2</v>
      </c>
      <c r="F280" s="10">
        <v>1.2482908713531282</v>
      </c>
      <c r="H280">
        <v>0.68674199318021412</v>
      </c>
      <c r="I280" s="11">
        <f t="shared" si="4"/>
        <v>0.37258613928268375</v>
      </c>
      <c r="J280" s="11">
        <f>1/(H280*Utilities!$B$11)</f>
        <v>5.8246037663672103</v>
      </c>
      <c r="K280" s="11">
        <f>IF(B280&lt;C280,1,EXP(-1*(B280-C280)/(Utilities!$B$11*IterData!H280)))</f>
        <v>0.11415859306103575</v>
      </c>
    </row>
    <row r="281" spans="1:11" x14ac:dyDescent="0.3">
      <c r="A281">
        <v>280</v>
      </c>
      <c r="B281">
        <v>0.34992512134678871</v>
      </c>
      <c r="C281">
        <v>0.33066701698076767</v>
      </c>
      <c r="D281">
        <v>0.89334889279069074</v>
      </c>
      <c r="E281" s="10">
        <v>1.4172128148393652E-2</v>
      </c>
      <c r="F281" s="10">
        <v>1.2482908713531282</v>
      </c>
      <c r="H281">
        <v>0.68304425396590496</v>
      </c>
      <c r="I281" s="11">
        <f t="shared" si="4"/>
        <v>1.9258104366021045E-2</v>
      </c>
      <c r="J281" s="11">
        <f>1/(H281*Utilities!$B$11)</f>
        <v>5.8561359337628875</v>
      </c>
      <c r="K281" s="11">
        <f>IF(B281&lt;C281,1,EXP(-1*(B281-C281)/(Utilities!$B$11*IterData!H281)))</f>
        <v>0.89334889279069074</v>
      </c>
    </row>
    <row r="282" spans="1:11" x14ac:dyDescent="0.3">
      <c r="A282">
        <v>281</v>
      </c>
      <c r="B282">
        <v>0.14073192181536454</v>
      </c>
      <c r="C282">
        <v>0.34992512134678871</v>
      </c>
      <c r="D282">
        <v>1</v>
      </c>
      <c r="E282" s="10">
        <v>1.6429832464398948E-2</v>
      </c>
      <c r="F282" s="10">
        <v>1.2123349997443678</v>
      </c>
      <c r="H282">
        <v>0.67941973489380492</v>
      </c>
      <c r="I282" s="11">
        <f t="shared" si="4"/>
        <v>-0.20919319953142418</v>
      </c>
      <c r="J282" s="11">
        <f>1/(H282*Utilities!$B$11)</f>
        <v>5.8873768225546321</v>
      </c>
      <c r="K282" s="11">
        <f>IF(B282&lt;C282,1,EXP(-1*(B282-C282)/(Utilities!$B$11*IterData!H282)))</f>
        <v>1</v>
      </c>
    </row>
    <row r="283" spans="1:11" x14ac:dyDescent="0.3">
      <c r="A283">
        <v>282</v>
      </c>
      <c r="B283">
        <v>0.14864991009180684</v>
      </c>
      <c r="C283">
        <v>0.14073192181536454</v>
      </c>
      <c r="D283">
        <v>0.95421981279829948</v>
      </c>
      <c r="E283" s="10">
        <v>1.3172648799906749E-2</v>
      </c>
      <c r="F283" s="10">
        <v>1.1494862926705656</v>
      </c>
      <c r="H283">
        <v>0.67586698610795737</v>
      </c>
      <c r="I283" s="11">
        <f t="shared" si="4"/>
        <v>7.9179882764423004E-3</v>
      </c>
      <c r="J283" s="11">
        <f>1/(H283*Utilities!$B$11)</f>
        <v>5.9183242889764012</v>
      </c>
      <c r="K283" s="11">
        <f>IF(B283&lt;C283,1,EXP(-1*(B283-C283)/(Utilities!$B$11*IterData!H283)))</f>
        <v>0.95421981279829948</v>
      </c>
    </row>
    <row r="284" spans="1:11" x14ac:dyDescent="0.3">
      <c r="A284">
        <v>283</v>
      </c>
      <c r="B284">
        <v>0.64080035151032189</v>
      </c>
      <c r="C284">
        <v>0.14864991009180684</v>
      </c>
      <c r="D284">
        <v>5.3515104679422922E-2</v>
      </c>
      <c r="E284" s="10">
        <v>1.3063560926869519E-2</v>
      </c>
      <c r="F284" s="10">
        <v>1.1182914053133519</v>
      </c>
      <c r="H284">
        <v>0.67238458646147736</v>
      </c>
      <c r="I284" s="11">
        <f t="shared" si="4"/>
        <v>0.49215044141851505</v>
      </c>
      <c r="J284" s="11">
        <f>1/(H284*Utilities!$B$11)</f>
        <v>5.9489763455920182</v>
      </c>
      <c r="K284" s="11">
        <f>IF(B284&lt;C284,1,EXP(-1*(B284-C284)/(Utilities!$B$11*IterData!H284)))</f>
        <v>5.3515104679422922E-2</v>
      </c>
    </row>
    <row r="285" spans="1:11" x14ac:dyDescent="0.3">
      <c r="A285">
        <v>284</v>
      </c>
      <c r="B285">
        <v>0.13518757809058513</v>
      </c>
      <c r="C285">
        <v>0.14864991009180684</v>
      </c>
      <c r="D285">
        <v>1</v>
      </c>
      <c r="E285" s="10">
        <v>1.3063560926869519E-2</v>
      </c>
      <c r="F285" s="10">
        <v>1.1182914053133519</v>
      </c>
      <c r="H285">
        <v>0.6689711429480738</v>
      </c>
      <c r="I285" s="11">
        <f t="shared" si="4"/>
        <v>-1.3462332001221711E-2</v>
      </c>
      <c r="J285" s="11">
        <f>1/(H285*Utilities!$B$11)</f>
        <v>5.9793311597455316</v>
      </c>
      <c r="K285" s="11">
        <f>IF(B285&lt;C285,1,EXP(-1*(B285-C285)/(Utilities!$B$11*IterData!H285)))</f>
        <v>1</v>
      </c>
    </row>
    <row r="286" spans="1:11" x14ac:dyDescent="0.3">
      <c r="A286">
        <v>285</v>
      </c>
      <c r="B286">
        <v>1.0881661845340107</v>
      </c>
      <c r="C286">
        <v>0.13518757809058513</v>
      </c>
      <c r="D286">
        <v>3.2574281751508042E-3</v>
      </c>
      <c r="E286" s="10">
        <v>1.242907456185924E-2</v>
      </c>
      <c r="F286" s="10">
        <v>1.1532619884889383</v>
      </c>
      <c r="H286">
        <v>0.66562529014482796</v>
      </c>
      <c r="I286" s="11">
        <f t="shared" si="4"/>
        <v>0.95297860644342558</v>
      </c>
      <c r="J286" s="11">
        <f>1/(H286*Utilities!$B$11)</f>
        <v>6.0093870518797035</v>
      </c>
      <c r="K286" s="11">
        <f>IF(B286&lt;C286,1,EXP(-1*(B286-C286)/(Utilities!$B$11*IterData!H286)))</f>
        <v>3.2574281751508042E-3</v>
      </c>
    </row>
    <row r="287" spans="1:11" x14ac:dyDescent="0.3">
      <c r="A287">
        <v>286</v>
      </c>
      <c r="B287">
        <v>0.13181660743608439</v>
      </c>
      <c r="C287">
        <v>0.13518757809058513</v>
      </c>
      <c r="D287">
        <v>1</v>
      </c>
      <c r="E287" s="10">
        <v>1.242907456185924E-2</v>
      </c>
      <c r="F287" s="10">
        <v>1.1532619884889383</v>
      </c>
      <c r="H287">
        <v>0.66234568966600682</v>
      </c>
      <c r="I287" s="11">
        <f t="shared" si="4"/>
        <v>-3.3709706545007323E-3</v>
      </c>
      <c r="J287" s="11">
        <f>1/(H287*Utilities!$B$11)</f>
        <v>6.0391424937286633</v>
      </c>
      <c r="K287" s="11">
        <f>IF(B287&lt;C287,1,EXP(-1*(B287-C287)/(Utilities!$B$11*IterData!H287)))</f>
        <v>1</v>
      </c>
    </row>
    <row r="288" spans="1:11" x14ac:dyDescent="0.3">
      <c r="A288">
        <v>287</v>
      </c>
      <c r="B288">
        <v>0.15347854558856697</v>
      </c>
      <c r="C288">
        <v>0.13181660743608439</v>
      </c>
      <c r="D288">
        <v>0.87681649211370027</v>
      </c>
      <c r="E288" s="10">
        <v>1.1840647682866162E-2</v>
      </c>
      <c r="F288" s="10">
        <v>1.1725933912103608</v>
      </c>
      <c r="H288">
        <v>0.6591310296276901</v>
      </c>
      <c r="I288" s="11">
        <f t="shared" si="4"/>
        <v>2.1661938152482574E-2</v>
      </c>
      <c r="J288" s="11">
        <f>1/(H288*Utilities!$B$11)</f>
        <v>6.0685961063908618</v>
      </c>
      <c r="K288" s="11">
        <f>IF(B288&lt;C288,1,EXP(-1*(B288-C288)/(Utilities!$B$11*IterData!H288)))</f>
        <v>0.87681649211370027</v>
      </c>
    </row>
    <row r="289" spans="1:11" x14ac:dyDescent="0.3">
      <c r="A289">
        <v>288</v>
      </c>
      <c r="B289">
        <v>1.0647412393421085</v>
      </c>
      <c r="C289">
        <v>0.15347854558856697</v>
      </c>
      <c r="D289">
        <v>3.8616951044991295E-3</v>
      </c>
      <c r="E289" s="10">
        <v>1.1573318487209544E-2</v>
      </c>
      <c r="F289" s="10">
        <v>1.2149274277249427</v>
      </c>
      <c r="H289">
        <v>0.65598002412299983</v>
      </c>
      <c r="I289" s="11">
        <f t="shared" si="4"/>
        <v>0.91126269375354152</v>
      </c>
      <c r="J289" s="11">
        <f>1/(H289*Utilities!$B$11)</f>
        <v>6.0977466582884512</v>
      </c>
      <c r="K289" s="11">
        <f>IF(B289&lt;C289,1,EXP(-1*(B289-C289)/(Utilities!$B$11*IterData!H289)))</f>
        <v>3.8616951044991329E-3</v>
      </c>
    </row>
    <row r="290" spans="1:11" x14ac:dyDescent="0.3">
      <c r="A290">
        <v>289</v>
      </c>
      <c r="B290">
        <v>0.21436934224886314</v>
      </c>
      <c r="C290">
        <v>0.15347854558856697</v>
      </c>
      <c r="D290">
        <v>0.68862864336514185</v>
      </c>
      <c r="E290" s="10">
        <v>1.1573318487209544E-2</v>
      </c>
      <c r="F290" s="10">
        <v>1.2149274277249427</v>
      </c>
      <c r="H290">
        <v>0.65289141270772</v>
      </c>
      <c r="I290" s="11">
        <f t="shared" si="4"/>
        <v>6.0890796660296176E-2</v>
      </c>
      <c r="J290" s="11">
        <f>1/(H290*Utilities!$B$11)</f>
        <v>6.1265930630193184</v>
      </c>
      <c r="K290" s="11">
        <f>IF(B290&lt;C290,1,EXP(-1*(B290-C290)/(Utilities!$B$11*IterData!H290)))</f>
        <v>0.68862864336514185</v>
      </c>
    </row>
    <row r="291" spans="1:11" x14ac:dyDescent="0.3">
      <c r="A291">
        <v>290</v>
      </c>
      <c r="B291">
        <v>1.2570789104220119</v>
      </c>
      <c r="C291">
        <v>0.21436934224886314</v>
      </c>
      <c r="D291">
        <v>1.6318882347377186E-3</v>
      </c>
      <c r="E291" s="10">
        <v>1.0192140496791988E-2</v>
      </c>
      <c r="F291" s="10">
        <v>1.2929604474061966</v>
      </c>
      <c r="H291">
        <v>0.64986395989610291</v>
      </c>
      <c r="I291" s="11">
        <f t="shared" si="4"/>
        <v>1.0427095681731489</v>
      </c>
      <c r="J291" s="11">
        <f>1/(H291*Utilities!$B$11)</f>
        <v>6.1551343771079416</v>
      </c>
      <c r="K291" s="11">
        <f>IF(B291&lt;C291,1,EXP(-1*(B291-C291)/(Utilities!$B$11*IterData!H291)))</f>
        <v>1.6318882347377186E-3</v>
      </c>
    </row>
    <row r="292" spans="1:11" x14ac:dyDescent="0.3">
      <c r="A292">
        <v>291</v>
      </c>
      <c r="B292">
        <v>0.17270670441088076</v>
      </c>
      <c r="C292">
        <v>0.21436934224886314</v>
      </c>
      <c r="D292">
        <v>1</v>
      </c>
      <c r="E292" s="10">
        <v>1.0192140496791988E-2</v>
      </c>
      <c r="F292" s="10">
        <v>1.2929604474061966</v>
      </c>
      <c r="H292">
        <v>0.64689645466665668</v>
      </c>
      <c r="I292" s="11">
        <f t="shared" si="4"/>
        <v>-4.166263783798238E-2</v>
      </c>
      <c r="J292" s="11">
        <f>1/(H292*Utilities!$B$11)</f>
        <v>6.1833697976613351</v>
      </c>
      <c r="K292" s="11">
        <f>IF(B292&lt;C292,1,EXP(-1*(B292-C292)/(Utilities!$B$11*IterData!H292)))</f>
        <v>1</v>
      </c>
    </row>
    <row r="293" spans="1:11" x14ac:dyDescent="0.3">
      <c r="A293">
        <v>292</v>
      </c>
      <c r="B293">
        <v>0.1989835356121572</v>
      </c>
      <c r="C293">
        <v>0.17270670441088076</v>
      </c>
      <c r="D293">
        <v>0.84941003544431992</v>
      </c>
      <c r="E293" s="10">
        <v>1.3649898700277933E-2</v>
      </c>
      <c r="F293" s="10">
        <v>1.1787776248649147</v>
      </c>
      <c r="H293">
        <v>0.64398770997772292</v>
      </c>
      <c r="I293" s="11">
        <f t="shared" si="4"/>
        <v>2.627683120127644E-2</v>
      </c>
      <c r="J293" s="11">
        <f>1/(H293*Utilities!$B$11)</f>
        <v>6.2112986599361806</v>
      </c>
      <c r="K293" s="11">
        <f>IF(B293&lt;C293,1,EXP(-1*(B293-C293)/(Utilities!$B$11*IterData!H293)))</f>
        <v>0.84941003544431992</v>
      </c>
    </row>
    <row r="294" spans="1:11" x14ac:dyDescent="0.3">
      <c r="A294">
        <v>293</v>
      </c>
      <c r="B294">
        <v>0.20060581100820996</v>
      </c>
      <c r="C294">
        <v>0.1989835356121572</v>
      </c>
      <c r="D294">
        <v>0.98992980033581801</v>
      </c>
      <c r="E294" s="10">
        <v>1.4333344974900677E-2</v>
      </c>
      <c r="F294" s="10">
        <v>1.1822265456127252</v>
      </c>
      <c r="H294">
        <v>0.64113656229264182</v>
      </c>
      <c r="I294" s="11">
        <f t="shared" si="4"/>
        <v>1.6222753960527525E-3</v>
      </c>
      <c r="J294" s="11">
        <f>1/(H294*Utilities!$B$11)</f>
        <v>6.2389204348234175</v>
      </c>
      <c r="K294" s="11">
        <f>IF(B294&lt;C294,1,EXP(-1*(B294-C294)/(Utilities!$B$11*IterData!H294)))</f>
        <v>0.98992980033581801</v>
      </c>
    </row>
    <row r="295" spans="1:11" x14ac:dyDescent="0.3">
      <c r="A295">
        <v>294</v>
      </c>
      <c r="B295">
        <v>0.14568495643481624</v>
      </c>
      <c r="C295">
        <v>0.20060581100820996</v>
      </c>
      <c r="D295">
        <v>1</v>
      </c>
      <c r="E295" s="10">
        <v>1.255965929950079E-2</v>
      </c>
      <c r="F295" s="10">
        <v>1.0903951542332091</v>
      </c>
      <c r="H295">
        <v>0.63834187111432372</v>
      </c>
      <c r="I295" s="11">
        <f t="shared" si="4"/>
        <v>-5.4920854573393713E-2</v>
      </c>
      <c r="J295" s="11">
        <f>1/(H295*Utilities!$B$11)</f>
        <v>6.2662347262563021</v>
      </c>
      <c r="K295" s="11">
        <f>IF(B295&lt;C295,1,EXP(-1*(B295-C295)/(Utilities!$B$11*IterData!H295)))</f>
        <v>1</v>
      </c>
    </row>
    <row r="296" spans="1:11" x14ac:dyDescent="0.3">
      <c r="A296">
        <v>295</v>
      </c>
      <c r="B296">
        <v>0.35985545408690833</v>
      </c>
      <c r="C296">
        <v>0.14568495643481624</v>
      </c>
      <c r="D296">
        <v>0.25980430243170616</v>
      </c>
      <c r="E296" s="10">
        <v>1.2842365959208209E-2</v>
      </c>
      <c r="F296" s="10">
        <v>1.1246370485265911</v>
      </c>
      <c r="H296">
        <v>0.63560251852903427</v>
      </c>
      <c r="I296" s="11">
        <f t="shared" si="4"/>
        <v>0.21417049765209209</v>
      </c>
      <c r="J296" s="11">
        <f>1/(H296*Utilities!$B$11)</f>
        <v>6.2932412685480577</v>
      </c>
      <c r="K296" s="11">
        <f>IF(B296&lt;C296,1,EXP(-1*(B296-C296)/(Utilities!$B$11*IterData!H296)))</f>
        <v>0.25980430243170616</v>
      </c>
    </row>
    <row r="297" spans="1:11" x14ac:dyDescent="0.3">
      <c r="A297">
        <v>296</v>
      </c>
      <c r="B297">
        <v>0.15777419296864445</v>
      </c>
      <c r="C297">
        <v>0.35985545408690833</v>
      </c>
      <c r="D297">
        <v>1</v>
      </c>
      <c r="E297" s="10">
        <v>1.0486095656651985E-2</v>
      </c>
      <c r="F297" s="10">
        <v>1.3476245159458198</v>
      </c>
      <c r="H297">
        <v>0.6329174087592141</v>
      </c>
      <c r="I297" s="11">
        <f t="shared" si="4"/>
        <v>-0.20208126111826388</v>
      </c>
      <c r="J297" s="11">
        <f>1/(H297*Utilities!$B$11)</f>
        <v>6.3199399236650677</v>
      </c>
      <c r="K297" s="11">
        <f>IF(B297&lt;C297,1,EXP(-1*(B297-C297)/(Utilities!$B$11*IterData!H297)))</f>
        <v>1</v>
      </c>
    </row>
    <row r="298" spans="1:11" x14ac:dyDescent="0.3">
      <c r="A298">
        <v>297</v>
      </c>
      <c r="B298">
        <v>0.54754685674586046</v>
      </c>
      <c r="C298">
        <v>0.15777419296864445</v>
      </c>
      <c r="D298">
        <v>8.4278691672629136E-2</v>
      </c>
      <c r="E298" s="10">
        <v>1.1451903205084662E-2</v>
      </c>
      <c r="F298" s="10">
        <v>1.2220562371943273</v>
      </c>
      <c r="H298">
        <v>0.63028546772515337</v>
      </c>
      <c r="I298" s="11">
        <f t="shared" si="4"/>
        <v>0.38977266377721598</v>
      </c>
      <c r="J298" s="11">
        <f>1/(H298*Utilities!$B$11)</f>
        <v>6.3463306784415146</v>
      </c>
      <c r="K298" s="11">
        <f>IF(B298&lt;C298,1,EXP(-1*(B298-C298)/(Utilities!$B$11*IterData!H298)))</f>
        <v>8.4278691672629177E-2</v>
      </c>
    </row>
    <row r="299" spans="1:11" x14ac:dyDescent="0.3">
      <c r="A299">
        <v>298</v>
      </c>
      <c r="B299">
        <v>0.19743824834306958</v>
      </c>
      <c r="C299">
        <v>0.15777419296864445</v>
      </c>
      <c r="D299">
        <v>0.77665754363300066</v>
      </c>
      <c r="E299" s="10">
        <v>1.1451903205084662E-2</v>
      </c>
      <c r="F299" s="10">
        <v>1.2220562371943273</v>
      </c>
      <c r="H299">
        <v>0.62770564261534545</v>
      </c>
      <c r="I299" s="11">
        <f t="shared" si="4"/>
        <v>3.9664055374425133E-2</v>
      </c>
      <c r="J299" s="11">
        <f>1/(H299*Utilities!$B$11)</f>
        <v>6.3724136417412742</v>
      </c>
      <c r="K299" s="11">
        <f>IF(B299&lt;C299,1,EXP(-1*(B299-C299)/(Utilities!$B$11*IterData!H299)))</f>
        <v>0.77665754363300066</v>
      </c>
    </row>
    <row r="300" spans="1:11" x14ac:dyDescent="0.3">
      <c r="A300">
        <v>299</v>
      </c>
      <c r="B300">
        <v>0.49909796833969217</v>
      </c>
      <c r="C300">
        <v>0.15777419296864445</v>
      </c>
      <c r="D300">
        <v>0.11260670260968102</v>
      </c>
      <c r="E300" s="10">
        <v>1.1451903205084662E-2</v>
      </c>
      <c r="F300" s="10">
        <v>1.2220562371943273</v>
      </c>
      <c r="H300">
        <v>0.6251769014653481</v>
      </c>
      <c r="I300" s="11">
        <f t="shared" si="4"/>
        <v>0.34132377537104774</v>
      </c>
      <c r="J300" s="11">
        <f>1/(H300*Utilities!$B$11)</f>
        <v>6.3981890415727545</v>
      </c>
      <c r="K300" s="11">
        <f>IF(B300&lt;C300,1,EXP(-1*(B300-C300)/(Utilities!$B$11*IterData!H300)))</f>
        <v>0.11260670260968102</v>
      </c>
    </row>
    <row r="301" spans="1:11" x14ac:dyDescent="0.3">
      <c r="A301">
        <v>300</v>
      </c>
      <c r="B301">
        <v>0.19621232771192074</v>
      </c>
      <c r="C301">
        <v>0.15777419296864445</v>
      </c>
      <c r="D301">
        <v>0.78120834179931853</v>
      </c>
      <c r="E301" s="10">
        <v>1.1451903205084662E-2</v>
      </c>
      <c r="F301" s="10">
        <v>1.2220562371943273</v>
      </c>
      <c r="H301">
        <v>0.6226982327449847</v>
      </c>
      <c r="I301" s="11">
        <f t="shared" si="4"/>
        <v>3.8438134743276287E-2</v>
      </c>
      <c r="J301" s="11">
        <f>1/(H301*Utilities!$B$11)</f>
        <v>6.423657222162265</v>
      </c>
      <c r="K301" s="11">
        <f>IF(B301&lt;C301,1,EXP(-1*(B301-C301)/(Utilities!$B$11*IterData!H301)))</f>
        <v>0.78120834179931853</v>
      </c>
    </row>
    <row r="302" spans="1:11" x14ac:dyDescent="0.3">
      <c r="A302">
        <v>301</v>
      </c>
      <c r="B302">
        <v>0.54101170052494163</v>
      </c>
      <c r="C302">
        <v>0.19621232771192074</v>
      </c>
      <c r="D302">
        <v>0.10822437909930087</v>
      </c>
      <c r="E302" s="10">
        <v>1.0402470940869449E-2</v>
      </c>
      <c r="F302" s="10">
        <v>1.1319610209775217</v>
      </c>
      <c r="H302">
        <v>0.62026864495371747</v>
      </c>
      <c r="I302" s="11">
        <f t="shared" si="4"/>
        <v>0.34479937281302087</v>
      </c>
      <c r="J302" s="11">
        <f>1/(H302*Utilities!$B$11)</f>
        <v>6.4488186409913846</v>
      </c>
      <c r="K302" s="11">
        <f>IF(B302&lt;C302,1,EXP(-1*(B302-C302)/(Utilities!$B$11*IterData!H302)))</f>
        <v>0.10822437909930091</v>
      </c>
    </row>
    <row r="303" spans="1:11" x14ac:dyDescent="0.3">
      <c r="A303">
        <v>302</v>
      </c>
      <c r="B303">
        <v>0.62411183874060705</v>
      </c>
      <c r="C303">
        <v>0.19621232771192074</v>
      </c>
      <c r="D303">
        <v>6.2656874078445279E-2</v>
      </c>
      <c r="E303" s="10">
        <v>1.0402470940869449E-2</v>
      </c>
      <c r="F303" s="10">
        <v>1.1319610209775217</v>
      </c>
      <c r="H303">
        <v>0.61788716622403506</v>
      </c>
      <c r="I303" s="11">
        <f t="shared" si="4"/>
        <v>0.42789951102868629</v>
      </c>
      <c r="J303" s="11">
        <f>1/(H303*Utilities!$B$11)</f>
        <v>6.4736738658036312</v>
      </c>
      <c r="K303" s="11">
        <f>IF(B303&lt;C303,1,EXP(-1*(B303-C303)/(Utilities!$B$11*IterData!H303)))</f>
        <v>6.2656874078445279E-2</v>
      </c>
    </row>
    <row r="304" spans="1:11" x14ac:dyDescent="0.3">
      <c r="A304">
        <v>303</v>
      </c>
      <c r="B304">
        <v>0.21224479207120098</v>
      </c>
      <c r="C304">
        <v>0.19621232771192074</v>
      </c>
      <c r="D304">
        <v>0.90106080474254679</v>
      </c>
      <c r="E304" s="10">
        <v>1.0402470940869449E-2</v>
      </c>
      <c r="F304" s="10">
        <v>1.1319610209775217</v>
      </c>
      <c r="H304">
        <v>0.61555284393269205</v>
      </c>
      <c r="I304" s="11">
        <f t="shared" si="4"/>
        <v>1.6032464359280241E-2</v>
      </c>
      <c r="J304" s="11">
        <f>1/(H304*Utilities!$B$11)</f>
        <v>6.4982235715856458</v>
      </c>
      <c r="K304" s="11">
        <f>IF(B304&lt;C304,1,EXP(-1*(B304-C304)/(Utilities!$B$11*IterData!H304)))</f>
        <v>0.90106080474254679</v>
      </c>
    </row>
    <row r="305" spans="1:11" x14ac:dyDescent="0.3">
      <c r="A305">
        <v>304</v>
      </c>
      <c r="B305">
        <v>0.45952648461925999</v>
      </c>
      <c r="C305">
        <v>0.21224479207120098</v>
      </c>
      <c r="D305">
        <v>0.19931135887153661</v>
      </c>
      <c r="E305" s="10">
        <v>9.6264151346606309E-3</v>
      </c>
      <c r="F305" s="10">
        <v>1.308614724013434</v>
      </c>
      <c r="H305">
        <v>0.61326474431964739</v>
      </c>
      <c r="I305" s="11">
        <f t="shared" si="4"/>
        <v>0.24728169254805901</v>
      </c>
      <c r="J305" s="11">
        <f>1/(H305*Utilities!$B$11)</f>
        <v>6.5224685375279128</v>
      </c>
      <c r="K305" s="11">
        <f>IF(B305&lt;C305,1,EXP(-1*(B305-C305)/(Utilities!$B$11*IterData!H305)))</f>
        <v>0.19931135887153661</v>
      </c>
    </row>
    <row r="306" spans="1:11" x14ac:dyDescent="0.3">
      <c r="A306">
        <v>305</v>
      </c>
      <c r="B306">
        <v>0.14579807926249447</v>
      </c>
      <c r="C306">
        <v>0.21224479207120098</v>
      </c>
      <c r="D306">
        <v>1</v>
      </c>
      <c r="E306" s="10">
        <v>9.6264151346606309E-3</v>
      </c>
      <c r="F306" s="10">
        <v>1.308614724013434</v>
      </c>
      <c r="H306">
        <v>0.61102195211454713</v>
      </c>
      <c r="I306" s="11">
        <f t="shared" si="4"/>
        <v>-6.644671280870651E-2</v>
      </c>
      <c r="J306" s="11">
        <f>1/(H306*Utilities!$B$11)</f>
        <v>6.5464096439699233</v>
      </c>
      <c r="K306" s="11">
        <f>IF(B306&lt;C306,1,EXP(-1*(B306-C306)/(Utilities!$B$11*IterData!H306)))</f>
        <v>1</v>
      </c>
    </row>
    <row r="307" spans="1:11" x14ac:dyDescent="0.3">
      <c r="A307">
        <v>306</v>
      </c>
      <c r="B307">
        <v>0.15677927780019621</v>
      </c>
      <c r="C307">
        <v>0.14579807926249447</v>
      </c>
      <c r="D307">
        <v>0.93039411777143743</v>
      </c>
      <c r="E307" s="10">
        <v>1.3016887695569043E-2</v>
      </c>
      <c r="F307" s="10">
        <v>1.122659467290791</v>
      </c>
      <c r="H307">
        <v>0.60882357017060529</v>
      </c>
      <c r="I307" s="11">
        <f t="shared" si="4"/>
        <v>1.0981198537701742E-2</v>
      </c>
      <c r="J307" s="11">
        <f>1/(H307*Utilities!$B$11)</f>
        <v>6.5700478693344859</v>
      </c>
      <c r="K307" s="11">
        <f>IF(B307&lt;C307,1,EXP(-1*(B307-C307)/(Utilities!$B$11*IterData!H307)))</f>
        <v>0.93039411777143743</v>
      </c>
    </row>
    <row r="308" spans="1:11" x14ac:dyDescent="0.3">
      <c r="A308">
        <v>307</v>
      </c>
      <c r="B308">
        <v>0.3685461027005652</v>
      </c>
      <c r="C308">
        <v>0.15677927780019621</v>
      </c>
      <c r="D308">
        <v>0.24752094957259713</v>
      </c>
      <c r="E308" s="10">
        <v>1.2421118337735846E-2</v>
      </c>
      <c r="F308" s="10">
        <v>1.1951691816433592</v>
      </c>
      <c r="H308">
        <v>0.60666871910573184</v>
      </c>
      <c r="I308" s="11">
        <f t="shared" si="4"/>
        <v>0.21176682490036899</v>
      </c>
      <c r="J308" s="11">
        <f>1/(H308*Utilities!$B$11)</f>
        <v>6.5933842870557982</v>
      </c>
      <c r="K308" s="11">
        <f>IF(B308&lt;C308,1,EXP(-1*(B308-C308)/(Utilities!$B$11*IterData!H308)))</f>
        <v>0.24752094957259713</v>
      </c>
    </row>
    <row r="309" spans="1:11" x14ac:dyDescent="0.3">
      <c r="A309">
        <v>308</v>
      </c>
      <c r="B309">
        <v>1.0031095399026309</v>
      </c>
      <c r="C309">
        <v>0.3685461027005652</v>
      </c>
      <c r="D309">
        <v>1.5017512530662424E-2</v>
      </c>
      <c r="E309" s="10">
        <v>1.2647179124279732E-2</v>
      </c>
      <c r="F309" s="10">
        <v>1.2962336051025469</v>
      </c>
      <c r="H309">
        <v>0.60455653695076939</v>
      </c>
      <c r="I309" s="11">
        <f t="shared" si="4"/>
        <v>0.63456343720206565</v>
      </c>
      <c r="J309" s="11">
        <f>1/(H309*Utilities!$B$11)</f>
        <v>6.6164200625056351</v>
      </c>
      <c r="K309" s="11">
        <f>IF(B309&lt;C309,1,EXP(-1*(B309-C309)/(Utilities!$B$11*IterData!H309)))</f>
        <v>1.5017512530662424E-2</v>
      </c>
    </row>
    <row r="310" spans="1:11" x14ac:dyDescent="0.3">
      <c r="A310">
        <v>309</v>
      </c>
      <c r="B310">
        <v>0.59092307445596537</v>
      </c>
      <c r="C310">
        <v>0.3685461027005652</v>
      </c>
      <c r="D310">
        <v>0.22845968754286511</v>
      </c>
      <c r="E310" s="10">
        <v>1.2647179124279732E-2</v>
      </c>
      <c r="F310" s="10">
        <v>1.2962336051025469</v>
      </c>
      <c r="H310">
        <v>0.60248617880469291</v>
      </c>
      <c r="I310" s="11">
        <f t="shared" si="4"/>
        <v>0.22237697175540017</v>
      </c>
      <c r="J310" s="11">
        <f>1/(H310*Utilities!$B$11)</f>
        <v>6.6391564499219395</v>
      </c>
      <c r="K310" s="11">
        <f>IF(B310&lt;C310,1,EXP(-1*(B310-C310)/(Utilities!$B$11*IterData!H310)))</f>
        <v>0.22845968754286511</v>
      </c>
    </row>
    <row r="311" spans="1:11" x14ac:dyDescent="0.3">
      <c r="A311">
        <v>310</v>
      </c>
      <c r="B311">
        <v>0.42881561274370034</v>
      </c>
      <c r="C311">
        <v>0.59092307445596537</v>
      </c>
      <c r="D311">
        <v>1</v>
      </c>
      <c r="E311" s="10">
        <v>1.213745676925738E-2</v>
      </c>
      <c r="F311" s="10">
        <v>1.386115224501733</v>
      </c>
      <c r="H311">
        <v>0.60045681649663885</v>
      </c>
      <c r="I311" s="11">
        <f t="shared" si="4"/>
        <v>-0.16210746171226503</v>
      </c>
      <c r="J311" s="11">
        <f>1/(H311*Utilities!$B$11)</f>
        <v>6.661594789343841</v>
      </c>
      <c r="K311" s="11">
        <f>IF(B311&lt;C311,1,EXP(-1*(B311-C311)/(Utilities!$B$11*IterData!H311)))</f>
        <v>1</v>
      </c>
    </row>
    <row r="312" spans="1:11" x14ac:dyDescent="0.3">
      <c r="A312">
        <v>311</v>
      </c>
      <c r="B312">
        <v>0.33744564592305171</v>
      </c>
      <c r="C312">
        <v>0.42881561274370034</v>
      </c>
      <c r="D312">
        <v>1</v>
      </c>
      <c r="E312" s="10">
        <v>1.1164439339327011E-2</v>
      </c>
      <c r="F312" s="10">
        <v>1.3547895489414361</v>
      </c>
      <c r="H312">
        <v>0.59846763825462557</v>
      </c>
      <c r="I312" s="11">
        <f t="shared" si="4"/>
        <v>-9.1369966820648629E-2</v>
      </c>
      <c r="J312" s="11">
        <f>1/(H312*Utilities!$B$11)</f>
        <v>6.6837365035570224</v>
      </c>
      <c r="K312" s="11">
        <f>IF(B312&lt;C312,1,EXP(-1*(B312-C312)/(Utilities!$B$11*IterData!H312)))</f>
        <v>1</v>
      </c>
    </row>
    <row r="313" spans="1:11" x14ac:dyDescent="0.3">
      <c r="A313">
        <v>312</v>
      </c>
      <c r="B313">
        <v>0.44567113781965445</v>
      </c>
      <c r="C313">
        <v>0.33744564592305171</v>
      </c>
      <c r="D313">
        <v>0.48397838666391252</v>
      </c>
      <c r="E313" s="10">
        <v>1.0604665611989464E-2</v>
      </c>
      <c r="F313" s="10">
        <v>1.3356892515085637</v>
      </c>
      <c r="H313">
        <v>0.59651784838083344</v>
      </c>
      <c r="I313" s="11">
        <f t="shared" si="4"/>
        <v>0.10822549189660274</v>
      </c>
      <c r="J313" s="11">
        <f>1/(H313*Utilities!$B$11)</f>
        <v>6.705583095053159</v>
      </c>
      <c r="K313" s="11">
        <f>IF(B313&lt;C313,1,EXP(-1*(B313-C313)/(Utilities!$B$11*IterData!H313)))</f>
        <v>0.48397838666391252</v>
      </c>
    </row>
    <row r="314" spans="1:11" x14ac:dyDescent="0.3">
      <c r="A314">
        <v>313</v>
      </c>
      <c r="B314">
        <v>0.74059113958167699</v>
      </c>
      <c r="C314">
        <v>0.33744564592305171</v>
      </c>
      <c r="D314">
        <v>6.6402895184020289E-2</v>
      </c>
      <c r="E314" s="10">
        <v>1.0604665611989464E-2</v>
      </c>
      <c r="F314" s="10">
        <v>1.3356892515085637</v>
      </c>
      <c r="H314">
        <v>0.59460666693331554</v>
      </c>
      <c r="I314" s="11">
        <f t="shared" si="4"/>
        <v>0.40314549365862529</v>
      </c>
      <c r="J314" s="11">
        <f>1/(H314*Utilities!$B$11)</f>
        <v>6.7271361430069456</v>
      </c>
      <c r="K314" s="11">
        <f>IF(B314&lt;C314,1,EXP(-1*(B314-C314)/(Utilities!$B$11*IterData!H314)))</f>
        <v>6.6402895184020289E-2</v>
      </c>
    </row>
    <row r="315" spans="1:11" x14ac:dyDescent="0.3">
      <c r="A315">
        <v>314</v>
      </c>
      <c r="B315">
        <v>0.21955246150649552</v>
      </c>
      <c r="C315">
        <v>0.33744564592305171</v>
      </c>
      <c r="D315">
        <v>1</v>
      </c>
      <c r="E315" s="10">
        <v>1.0604665611989464E-2</v>
      </c>
      <c r="F315" s="10">
        <v>1.3356892515085637</v>
      </c>
      <c r="H315">
        <v>0.59273332941400991</v>
      </c>
      <c r="I315" s="11">
        <f t="shared" si="4"/>
        <v>-0.11789318441655619</v>
      </c>
      <c r="J315" s="11">
        <f>1/(H315*Utilities!$B$11)</f>
        <v>6.748397300274128</v>
      </c>
      <c r="K315" s="11">
        <f>IF(B315&lt;C315,1,EXP(-1*(B315-C315)/(Utilities!$B$11*IterData!H315)))</f>
        <v>1</v>
      </c>
    </row>
    <row r="316" spans="1:11" x14ac:dyDescent="0.3">
      <c r="A316">
        <v>315</v>
      </c>
      <c r="B316">
        <v>0.95177931115111447</v>
      </c>
      <c r="C316">
        <v>0.21955246150649552</v>
      </c>
      <c r="D316">
        <v>7.0360157235991698E-3</v>
      </c>
      <c r="E316" s="10">
        <v>1.2699900878966042E-2</v>
      </c>
      <c r="F316" s="10">
        <v>1.2306161103062079</v>
      </c>
      <c r="H316">
        <v>0.59089708646293093</v>
      </c>
      <c r="I316" s="11">
        <f t="shared" si="4"/>
        <v>0.73222684964461893</v>
      </c>
      <c r="J316" s="11">
        <f>1/(H316*Utilities!$B$11)</f>
        <v>6.7693682904136878</v>
      </c>
      <c r="K316" s="11">
        <f>IF(B316&lt;C316,1,EXP(-1*(B316-C316)/(Utilities!$B$11*IterData!H316)))</f>
        <v>7.0360157235991759E-3</v>
      </c>
    </row>
    <row r="317" spans="1:11" x14ac:dyDescent="0.3">
      <c r="A317">
        <v>316</v>
      </c>
      <c r="B317">
        <v>0.51582696972397468</v>
      </c>
      <c r="C317">
        <v>0.21955246150649552</v>
      </c>
      <c r="D317">
        <v>0.13375854698278514</v>
      </c>
      <c r="E317" s="10">
        <v>1.2699900878966042E-2</v>
      </c>
      <c r="F317" s="10">
        <v>1.2306161103062079</v>
      </c>
      <c r="H317">
        <v>0.58909720355841422</v>
      </c>
      <c r="I317" s="11">
        <f t="shared" si="4"/>
        <v>0.29627450821747914</v>
      </c>
      <c r="J317" s="11">
        <f>1/(H317*Utilities!$B$11)</f>
        <v>6.7900509047372593</v>
      </c>
      <c r="K317" s="11">
        <f>IF(B317&lt;C317,1,EXP(-1*(B317-C317)/(Utilities!$B$11*IterData!H317)))</f>
        <v>0.13375854698278514</v>
      </c>
    </row>
    <row r="318" spans="1:11" x14ac:dyDescent="0.3">
      <c r="A318">
        <v>317</v>
      </c>
      <c r="B318">
        <v>0.12796497978323523</v>
      </c>
      <c r="C318">
        <v>0.21955246150649552</v>
      </c>
      <c r="D318">
        <v>1</v>
      </c>
      <c r="E318" s="10">
        <v>1.2699900878966042E-2</v>
      </c>
      <c r="F318" s="10">
        <v>1.2306161103062079</v>
      </c>
      <c r="H318">
        <v>0.58733296072329966</v>
      </c>
      <c r="I318" s="11">
        <f t="shared" si="4"/>
        <v>-9.1587481723260283E-2</v>
      </c>
      <c r="J318" s="11">
        <f>1/(H318*Utilities!$B$11)</f>
        <v>6.8104469993885681</v>
      </c>
      <c r="K318" s="11">
        <f>IF(B318&lt;C318,1,EXP(-1*(B318-C318)/(Utilities!$B$11*IterData!H318)))</f>
        <v>1</v>
      </c>
    </row>
    <row r="319" spans="1:11" x14ac:dyDescent="0.3">
      <c r="A319">
        <v>318</v>
      </c>
      <c r="B319">
        <v>0.59291096898292472</v>
      </c>
      <c r="C319">
        <v>0.12796497978323523</v>
      </c>
      <c r="D319">
        <v>4.1758979412546443E-2</v>
      </c>
      <c r="E319" s="10">
        <v>1.1249007948886135E-2</v>
      </c>
      <c r="F319" s="10">
        <v>1.1850192712214309</v>
      </c>
      <c r="H319">
        <v>0.58560365223692923</v>
      </c>
      <c r="I319" s="11">
        <f t="shared" si="4"/>
        <v>0.46494598919968949</v>
      </c>
      <c r="J319" s="11">
        <f>1/(H319*Utilities!$B$11)</f>
        <v>6.8305584924556468</v>
      </c>
      <c r="K319" s="11">
        <f>IF(B319&lt;C319,1,EXP(-1*(B319-C319)/(Utilities!$B$11*IterData!H319)))</f>
        <v>4.1758979412546443E-2</v>
      </c>
    </row>
    <row r="320" spans="1:11" x14ac:dyDescent="0.3">
      <c r="A320">
        <v>319</v>
      </c>
      <c r="B320">
        <v>0.28127895604136544</v>
      </c>
      <c r="C320">
        <v>0.12796497978323523</v>
      </c>
      <c r="D320">
        <v>0.34984673330793192</v>
      </c>
      <c r="E320" s="10">
        <v>1.1249007948886135E-2</v>
      </c>
      <c r="F320" s="10">
        <v>1.1850192712214309</v>
      </c>
      <c r="H320">
        <v>0.58390858635285092</v>
      </c>
      <c r="I320" s="11">
        <f t="shared" si="4"/>
        <v>0.1533139762581302</v>
      </c>
      <c r="J320" s="11">
        <f>1/(H320*Utilities!$B$11)</f>
        <v>6.8503873611182602</v>
      </c>
      <c r="K320" s="11">
        <f>IF(B320&lt;C320,1,EXP(-1*(B320-C320)/(Utilities!$B$11*IterData!H320)))</f>
        <v>0.34984673330793192</v>
      </c>
    </row>
    <row r="321" spans="1:11" x14ac:dyDescent="0.3">
      <c r="A321">
        <v>320</v>
      </c>
      <c r="B321">
        <v>0.98543973303345522</v>
      </c>
      <c r="C321">
        <v>0.12796497978323523</v>
      </c>
      <c r="D321">
        <v>2.7647740458420261E-3</v>
      </c>
      <c r="E321" s="10">
        <v>1.1249007948886135E-2</v>
      </c>
      <c r="F321" s="10">
        <v>1.1850192712214309</v>
      </c>
      <c r="H321">
        <v>0.58224708502210976</v>
      </c>
      <c r="I321" s="11">
        <f t="shared" si="4"/>
        <v>0.85747475325022005</v>
      </c>
      <c r="J321" s="11">
        <f>1/(H321*Utilities!$B$11)</f>
        <v>6.869935638832966</v>
      </c>
      <c r="K321" s="11">
        <f>IF(B321&lt;C321,1,EXP(-1*(B321-C321)/(Utilities!$B$11*IterData!H321)))</f>
        <v>2.7647740458420261E-3</v>
      </c>
    </row>
    <row r="322" spans="1:11" x14ac:dyDescent="0.3">
      <c r="A322">
        <v>321</v>
      </c>
      <c r="B322">
        <v>0.16210799753357283</v>
      </c>
      <c r="C322">
        <v>0.12796497978323523</v>
      </c>
      <c r="D322">
        <v>0.79039831634055324</v>
      </c>
      <c r="E322" s="10">
        <v>1.1249007948886135E-2</v>
      </c>
      <c r="F322" s="10">
        <v>1.1850192712214309</v>
      </c>
      <c r="H322">
        <v>0.58061848362201984</v>
      </c>
      <c r="I322" s="11">
        <f t="shared" si="4"/>
        <v>3.4143017750337595E-2</v>
      </c>
      <c r="J322" s="11">
        <f>1/(H322*Utilities!$B$11)</f>
        <v>6.8892054125579349</v>
      </c>
      <c r="K322" s="11">
        <f>IF(B322&lt;C322,1,EXP(-1*(B322-C322)/(Utilities!$B$11*IterData!H322)))</f>
        <v>0.79039831634055324</v>
      </c>
    </row>
    <row r="323" spans="1:11" x14ac:dyDescent="0.3">
      <c r="A323">
        <v>322</v>
      </c>
      <c r="B323">
        <v>0.45302024610400621</v>
      </c>
      <c r="C323">
        <v>0.16210799753357283</v>
      </c>
      <c r="D323">
        <v>0.13403160450796098</v>
      </c>
      <c r="E323" s="10">
        <v>1.0676713216217645E-2</v>
      </c>
      <c r="F323" s="10">
        <v>1.1440190845318829</v>
      </c>
      <c r="H323">
        <v>0.57902213069030628</v>
      </c>
      <c r="I323" s="11">
        <f t="shared" ref="I323:I386" si="5">B323-C323</f>
        <v>0.29091224857043341</v>
      </c>
      <c r="J323" s="11">
        <f>1/(H323*Utilities!$B$11)</f>
        <v>6.9081988200195852</v>
      </c>
      <c r="K323" s="11">
        <f>IF(B323&lt;C323,1,EXP(-1*(B323-C323)/(Utilities!$B$11*IterData!H323)))</f>
        <v>0.13403160450796098</v>
      </c>
    </row>
    <row r="324" spans="1:11" x14ac:dyDescent="0.3">
      <c r="A324">
        <v>323</v>
      </c>
      <c r="B324">
        <v>0.46265803871370242</v>
      </c>
      <c r="C324">
        <v>0.16210799753357283</v>
      </c>
      <c r="D324">
        <v>0.12469487768010841</v>
      </c>
      <c r="E324" s="10">
        <v>1.0676713216217645E-2</v>
      </c>
      <c r="F324" s="10">
        <v>1.1440190845318829</v>
      </c>
      <c r="H324">
        <v>0.57745738766451127</v>
      </c>
      <c r="I324" s="11">
        <f t="shared" si="5"/>
        <v>0.30055004118012962</v>
      </c>
      <c r="J324" s="11">
        <f>1/(H324*Utilities!$B$11)</f>
        <v>6.9269180470228964</v>
      </c>
      <c r="K324" s="11">
        <f>IF(B324&lt;C324,1,EXP(-1*(B324-C324)/(Utilities!$B$11*IterData!H324)))</f>
        <v>0.12469487768010835</v>
      </c>
    </row>
    <row r="325" spans="1:11" x14ac:dyDescent="0.3">
      <c r="A325">
        <v>324</v>
      </c>
      <c r="B325">
        <v>0.23039085294970121</v>
      </c>
      <c r="C325">
        <v>0.16210799753357283</v>
      </c>
      <c r="D325">
        <v>0.62235203337583367</v>
      </c>
      <c r="E325" s="10">
        <v>1.0676713216217645E-2</v>
      </c>
      <c r="F325" s="10">
        <v>1.1440190845318829</v>
      </c>
      <c r="H325">
        <v>0.57592362862656088</v>
      </c>
      <c r="I325" s="11">
        <f t="shared" si="5"/>
        <v>6.8282855416128385E-2</v>
      </c>
      <c r="J325" s="11">
        <f>1/(H325*Utilities!$B$11)</f>
        <v>6.9453653248071037</v>
      </c>
      <c r="K325" s="11">
        <f>IF(B325&lt;C325,1,EXP(-1*(B325-C325)/(Utilities!$B$11*IterData!H325)))</f>
        <v>0.62235203337583367</v>
      </c>
    </row>
    <row r="326" spans="1:11" x14ac:dyDescent="0.3">
      <c r="A326">
        <v>325</v>
      </c>
      <c r="B326">
        <v>0.27360586637987805</v>
      </c>
      <c r="C326">
        <v>0.16210799753357283</v>
      </c>
      <c r="D326">
        <v>0.46004995570800511</v>
      </c>
      <c r="E326" s="10">
        <v>1.0676713216217645E-2</v>
      </c>
      <c r="F326" s="10">
        <v>1.1440190845318829</v>
      </c>
      <c r="H326">
        <v>0.57442024005238979</v>
      </c>
      <c r="I326" s="11">
        <f t="shared" si="5"/>
        <v>0.11149786884630522</v>
      </c>
      <c r="J326" s="11">
        <f>1/(H326*Utilities!$B$11)</f>
        <v>6.963542927448346</v>
      </c>
      <c r="K326" s="11">
        <f>IF(B326&lt;C326,1,EXP(-1*(B326-C326)/(Utilities!$B$11*IterData!H326)))</f>
        <v>0.46004995570800511</v>
      </c>
    </row>
    <row r="327" spans="1:11" x14ac:dyDescent="0.3">
      <c r="A327">
        <v>326</v>
      </c>
      <c r="B327">
        <v>0.2001000632475381</v>
      </c>
      <c r="C327">
        <v>0.16210799753357283</v>
      </c>
      <c r="D327">
        <v>0.76702197488584933</v>
      </c>
      <c r="E327" s="10">
        <v>1.0676713216217645E-2</v>
      </c>
      <c r="F327" s="10">
        <v>1.1440190845318829</v>
      </c>
      <c r="H327">
        <v>0.57294662056652279</v>
      </c>
      <c r="I327" s="11">
        <f t="shared" si="5"/>
        <v>3.7992065713965267E-2</v>
      </c>
      <c r="J327" s="11">
        <f>1/(H327*Utilities!$B$11)</f>
        <v>6.98145316931069</v>
      </c>
      <c r="K327" s="11">
        <f>IF(B327&lt;C327,1,EXP(-1*(B327-C327)/(Utilities!$B$11*IterData!H327)))</f>
        <v>0.76702197488584933</v>
      </c>
    </row>
    <row r="328" spans="1:11" x14ac:dyDescent="0.3">
      <c r="A328">
        <v>327</v>
      </c>
      <c r="B328">
        <v>0.66225433334885775</v>
      </c>
      <c r="C328">
        <v>0.2001000632475381</v>
      </c>
      <c r="D328">
        <v>3.9373463154443525E-2</v>
      </c>
      <c r="E328" s="10">
        <v>1.352918021053743E-2</v>
      </c>
      <c r="F328" s="10">
        <v>1.0753066113367813</v>
      </c>
      <c r="H328">
        <v>0.57150218070151693</v>
      </c>
      <c r="I328" s="11">
        <f t="shared" si="5"/>
        <v>0.46215427010131965</v>
      </c>
      <c r="J328" s="11">
        <f>1/(H328*Utilities!$B$11)</f>
        <v>6.9990984025468004</v>
      </c>
      <c r="K328" s="11">
        <f>IF(B328&lt;C328,1,EXP(-1*(B328-C328)/(Utilities!$B$11*IterData!H328)))</f>
        <v>3.9373463154443525E-2</v>
      </c>
    </row>
    <row r="329" spans="1:11" x14ac:dyDescent="0.3">
      <c r="A329">
        <v>328</v>
      </c>
      <c r="B329">
        <v>0.2129617616974627</v>
      </c>
      <c r="C329">
        <v>0.2001000632475381</v>
      </c>
      <c r="D329">
        <v>0.91370833845284594</v>
      </c>
      <c r="E329" s="10">
        <v>1.352918021053743E-2</v>
      </c>
      <c r="F329" s="10">
        <v>1.0753066113367813</v>
      </c>
      <c r="H329">
        <v>0.57008634266216673</v>
      </c>
      <c r="I329" s="11">
        <f t="shared" si="5"/>
        <v>1.2861698449924602E-2</v>
      </c>
      <c r="J329" s="11">
        <f>1/(H329*Utilities!$B$11)</f>
        <v>7.0164810146493908</v>
      </c>
      <c r="K329" s="11">
        <f>IF(B329&lt;C329,1,EXP(-1*(B329-C329)/(Utilities!$B$11*IterData!H329)))</f>
        <v>0.91370833845284594</v>
      </c>
    </row>
    <row r="330" spans="1:11" x14ac:dyDescent="0.3">
      <c r="A330">
        <v>329</v>
      </c>
      <c r="B330">
        <v>0.36391500413373007</v>
      </c>
      <c r="C330">
        <v>0.2129617616974627</v>
      </c>
      <c r="D330">
        <v>0.3458516880155813</v>
      </c>
      <c r="E330" s="10">
        <v>1.3068714498608419E-2</v>
      </c>
      <c r="F330" s="10">
        <v>1.2184739731023875</v>
      </c>
      <c r="H330">
        <v>0.56869854009437848</v>
      </c>
      <c r="I330" s="11">
        <f t="shared" si="5"/>
        <v>0.15095324243626737</v>
      </c>
      <c r="J330" s="11">
        <f>1/(H330*Utilities!$B$11)</f>
        <v>7.0336034260544773</v>
      </c>
      <c r="K330" s="11">
        <f>IF(B330&lt;C330,1,EXP(-1*(B330-C330)/(Utilities!$B$11*IterData!H330)))</f>
        <v>0.3458516880155813</v>
      </c>
    </row>
    <row r="331" spans="1:11" x14ac:dyDescent="0.3">
      <c r="A331">
        <v>330</v>
      </c>
      <c r="B331">
        <v>0.22805237709377577</v>
      </c>
      <c r="C331">
        <v>0.2129617616974627</v>
      </c>
      <c r="D331">
        <v>0.89906863428781048</v>
      </c>
      <c r="E331" s="10">
        <v>1.3068714498608419E-2</v>
      </c>
      <c r="F331" s="10">
        <v>1.2184739731023875</v>
      </c>
      <c r="H331">
        <v>0.56733821785862071</v>
      </c>
      <c r="I331" s="11">
        <f t="shared" si="5"/>
        <v>1.5090615396313067E-2</v>
      </c>
      <c r="J331" s="11">
        <f>1/(H331*Utilities!$B$11)</f>
        <v>7.0504680877973041</v>
      </c>
      <c r="K331" s="11">
        <f>IF(B331&lt;C331,1,EXP(-1*(B331-C331)/(Utilities!$B$11*IterData!H331)))</f>
        <v>0.89906863428781048</v>
      </c>
    </row>
    <row r="332" spans="1:11" x14ac:dyDescent="0.3">
      <c r="A332">
        <v>331</v>
      </c>
      <c r="B332">
        <v>0.53514276025936558</v>
      </c>
      <c r="C332">
        <v>0.22805237709377577</v>
      </c>
      <c r="D332">
        <v>0.11415118431824174</v>
      </c>
      <c r="E332" s="10">
        <v>9.7060895698081635E-3</v>
      </c>
      <c r="F332" s="10">
        <v>1.3141778184842736</v>
      </c>
      <c r="H332">
        <v>0.56600483180786132</v>
      </c>
      <c r="I332" s="11">
        <f t="shared" si="5"/>
        <v>0.30709038316558979</v>
      </c>
      <c r="J332" s="11">
        <f>1/(H332*Utilities!$B$11)</f>
        <v>7.0670774792216946</v>
      </c>
      <c r="K332" s="11">
        <f>IF(B332&lt;C332,1,EXP(-1*(B332-C332)/(Utilities!$B$11*IterData!H332)))</f>
        <v>0.1141511843182418</v>
      </c>
    </row>
    <row r="333" spans="1:11" x14ac:dyDescent="0.3">
      <c r="A333">
        <v>332</v>
      </c>
      <c r="B333">
        <v>0.14115429358611875</v>
      </c>
      <c r="C333">
        <v>0.22805237709377577</v>
      </c>
      <c r="D333">
        <v>1</v>
      </c>
      <c r="E333" s="10">
        <v>9.7060895698081635E-3</v>
      </c>
      <c r="F333" s="10">
        <v>1.3141778184842736</v>
      </c>
      <c r="H333">
        <v>0.56469784856990113</v>
      </c>
      <c r="I333" s="11">
        <f t="shared" si="5"/>
        <v>-8.6898083507657015E-2</v>
      </c>
      <c r="J333" s="11">
        <f>1/(H333*Utilities!$B$11)</f>
        <v>7.0834341057434713</v>
      </c>
      <c r="K333" s="11">
        <f>IF(B333&lt;C333,1,EXP(-1*(B333-C333)/(Utilities!$B$11*IterData!H333)))</f>
        <v>1</v>
      </c>
    </row>
    <row r="334" spans="1:11" x14ac:dyDescent="0.3">
      <c r="A334">
        <v>333</v>
      </c>
      <c r="B334">
        <v>0.52255177655941976</v>
      </c>
      <c r="C334">
        <v>0.14115429358611875</v>
      </c>
      <c r="D334">
        <v>6.6686891427576361E-2</v>
      </c>
      <c r="E334" s="10">
        <v>1.2565422404870808E-2</v>
      </c>
      <c r="F334" s="10">
        <v>1.1716557713807791</v>
      </c>
      <c r="H334">
        <v>0.56341674533401842</v>
      </c>
      <c r="I334" s="11">
        <f t="shared" si="5"/>
        <v>0.38139748297330101</v>
      </c>
      <c r="J334" s="11">
        <f>1/(H334*Utilities!$B$11)</f>
        <v>7.0995404966684523</v>
      </c>
      <c r="K334" s="11">
        <f>IF(B334&lt;C334,1,EXP(-1*(B334-C334)/(Utilities!$B$11*IterData!H334)))</f>
        <v>6.6686891427576361E-2</v>
      </c>
    </row>
    <row r="335" spans="1:11" x14ac:dyDescent="0.3">
      <c r="A335">
        <v>334</v>
      </c>
      <c r="B335">
        <v>0.4741566471618886</v>
      </c>
      <c r="C335">
        <v>0.14115429358611875</v>
      </c>
      <c r="D335">
        <v>9.3532652294352439E-2</v>
      </c>
      <c r="E335" s="10">
        <v>1.2565422404870808E-2</v>
      </c>
      <c r="F335" s="10">
        <v>1.1716557713807791</v>
      </c>
      <c r="H335">
        <v>0.56216100964183724</v>
      </c>
      <c r="I335" s="11">
        <f t="shared" si="5"/>
        <v>0.33300235357576985</v>
      </c>
      <c r="J335" s="11">
        <f>1/(H335*Utilities!$B$11)</f>
        <v>7.1153992030654543</v>
      </c>
      <c r="K335" s="11">
        <f>IF(B335&lt;C335,1,EXP(-1*(B335-C335)/(Utilities!$B$11*IterData!H335)))</f>
        <v>9.3532652294352439E-2</v>
      </c>
    </row>
    <row r="336" spans="1:11" x14ac:dyDescent="0.3">
      <c r="A336">
        <v>335</v>
      </c>
      <c r="B336">
        <v>0.54197794288969714</v>
      </c>
      <c r="C336">
        <v>0.14115429358611875</v>
      </c>
      <c r="D336">
        <v>5.7367429214246479E-2</v>
      </c>
      <c r="E336" s="10">
        <v>1.2565422404870808E-2</v>
      </c>
      <c r="F336" s="10">
        <v>1.1716557713807791</v>
      </c>
      <c r="H336">
        <v>0.56093013918233736</v>
      </c>
      <c r="I336" s="11">
        <f t="shared" si="5"/>
        <v>0.40082364930357839</v>
      </c>
      <c r="J336" s="11">
        <f>1/(H336*Utilities!$B$11)</f>
        <v>7.1310127956945992</v>
      </c>
      <c r="K336" s="11">
        <f>IF(B336&lt;C336,1,EXP(-1*(B336-C336)/(Utilities!$B$11*IterData!H336)))</f>
        <v>5.7367429214246479E-2</v>
      </c>
    </row>
    <row r="337" spans="1:11" x14ac:dyDescent="0.3">
      <c r="A337">
        <v>336</v>
      </c>
      <c r="B337">
        <v>0.15025871768621793</v>
      </c>
      <c r="C337">
        <v>0.14115429358611875</v>
      </c>
      <c r="D337">
        <v>0.93700776520691964</v>
      </c>
      <c r="E337" s="10">
        <v>1.2565422404870808E-2</v>
      </c>
      <c r="F337" s="10">
        <v>1.1716557713807791</v>
      </c>
      <c r="H337">
        <v>0.55972364159092303</v>
      </c>
      <c r="I337" s="11">
        <f t="shared" si="5"/>
        <v>9.1044241000991788E-3</v>
      </c>
      <c r="J337" s="11">
        <f>1/(H337*Utilities!$B$11)</f>
        <v>7.146383862991124</v>
      </c>
      <c r="K337" s="11">
        <f>IF(B337&lt;C337,1,EXP(-1*(B337-C337)/(Utilities!$B$11*IterData!H337)))</f>
        <v>0.93700776520691964</v>
      </c>
    </row>
    <row r="338" spans="1:11" x14ac:dyDescent="0.3">
      <c r="A338">
        <v>337</v>
      </c>
      <c r="B338">
        <v>0.96387343980902995</v>
      </c>
      <c r="C338">
        <v>0.15025871768621793</v>
      </c>
      <c r="D338">
        <v>2.9477472509187967E-3</v>
      </c>
      <c r="E338" s="10">
        <v>1.3512377876930628E-2</v>
      </c>
      <c r="F338" s="10">
        <v>1.1589698840456779</v>
      </c>
      <c r="H338">
        <v>0.55854103425247081</v>
      </c>
      <c r="I338" s="11">
        <f t="shared" si="5"/>
        <v>0.81361472212281205</v>
      </c>
      <c r="J338" s="11">
        <f>1/(H338*Utilities!$B$11)</f>
        <v>7.1615150091048214</v>
      </c>
      <c r="K338" s="11">
        <f>IF(B338&lt;C338,1,EXP(-1*(B338-C338)/(Utilities!$B$11*IterData!H338)))</f>
        <v>2.9477472509187967E-3</v>
      </c>
    </row>
    <row r="339" spans="1:11" x14ac:dyDescent="0.3">
      <c r="A339">
        <v>338</v>
      </c>
      <c r="B339">
        <v>0.46737993605111788</v>
      </c>
      <c r="C339">
        <v>0.15025871768621793</v>
      </c>
      <c r="D339">
        <v>0.10271557495994781</v>
      </c>
      <c r="E339" s="10">
        <v>1.3512377876930628E-2</v>
      </c>
      <c r="F339" s="10">
        <v>1.1589698840456779</v>
      </c>
      <c r="H339">
        <v>0.55738184410827729</v>
      </c>
      <c r="I339" s="11">
        <f t="shared" si="5"/>
        <v>0.31712121836489993</v>
      </c>
      <c r="J339" s="11">
        <f>1/(H339*Utilities!$B$11)</f>
        <v>7.1764088519951104</v>
      </c>
      <c r="K339" s="11">
        <f>IF(B339&lt;C339,1,EXP(-1*(B339-C339)/(Utilities!$B$11*IterData!H339)))</f>
        <v>0.10271557495994781</v>
      </c>
    </row>
    <row r="340" spans="1:11" x14ac:dyDescent="0.3">
      <c r="A340">
        <v>339</v>
      </c>
      <c r="B340">
        <v>0.61629579194333162</v>
      </c>
      <c r="C340">
        <v>0.15025871768621793</v>
      </c>
      <c r="D340">
        <v>3.5038623352821666E-2</v>
      </c>
      <c r="E340" s="10">
        <v>1.3512377876930628E-2</v>
      </c>
      <c r="F340" s="10">
        <v>1.1589698840456779</v>
      </c>
      <c r="H340">
        <v>0.55624560746682838</v>
      </c>
      <c r="I340" s="11">
        <f t="shared" si="5"/>
        <v>0.46603707425711371</v>
      </c>
      <c r="J340" s="11">
        <f>1/(H340*Utilities!$B$11)</f>
        <v>7.1910680215817067</v>
      </c>
      <c r="K340" s="11">
        <f>IF(B340&lt;C340,1,EXP(-1*(B340-C340)/(Utilities!$B$11*IterData!H340)))</f>
        <v>3.5038623352821652E-2</v>
      </c>
    </row>
    <row r="341" spans="1:11" x14ac:dyDescent="0.3">
      <c r="A341">
        <v>340</v>
      </c>
      <c r="B341">
        <v>0.28817942422344439</v>
      </c>
      <c r="C341">
        <v>0.15025871768621793</v>
      </c>
      <c r="D341">
        <v>0.37017219743501883</v>
      </c>
      <c r="E341" s="10">
        <v>1.3512377876930628E-2</v>
      </c>
      <c r="F341" s="10">
        <v>1.1589698840456779</v>
      </c>
      <c r="H341">
        <v>0.55513186981831775</v>
      </c>
      <c r="I341" s="11">
        <f t="shared" si="5"/>
        <v>0.13792070653722646</v>
      </c>
      <c r="J341" s="11">
        <f>1/(H341*Utilities!$B$11)</f>
        <v>7.2054951579506881</v>
      </c>
      <c r="K341" s="11">
        <f>IF(B341&lt;C341,1,EXP(-1*(B341-C341)/(Utilities!$B$11*IterData!H341)))</f>
        <v>0.37017219743501883</v>
      </c>
    </row>
    <row r="342" spans="1:11" x14ac:dyDescent="0.3">
      <c r="A342">
        <v>341</v>
      </c>
      <c r="B342">
        <v>0.33714909030185292</v>
      </c>
      <c r="C342">
        <v>0.28817942422344439</v>
      </c>
      <c r="D342">
        <v>0.70219372536212588</v>
      </c>
      <c r="E342" s="10">
        <v>1.2776662379933031E-2</v>
      </c>
      <c r="F342" s="10">
        <v>1.0552422187640333</v>
      </c>
      <c r="H342">
        <v>0.55404018565283575</v>
      </c>
      <c r="I342" s="11">
        <f t="shared" si="5"/>
        <v>4.8969666078408525E-2</v>
      </c>
      <c r="J342" s="11">
        <f>1/(H342*Utilities!$B$11)</f>
        <v>7.2196929096158007</v>
      </c>
      <c r="K342" s="11">
        <f>IF(B342&lt;C342,1,EXP(-1*(B342-C342)/(Utilities!$B$11*IterData!H342)))</f>
        <v>0.70219372536212588</v>
      </c>
    </row>
    <row r="343" spans="1:11" x14ac:dyDescent="0.3">
      <c r="A343">
        <v>342</v>
      </c>
      <c r="B343">
        <v>0.1206598723195427</v>
      </c>
      <c r="C343">
        <v>0.28817942422344439</v>
      </c>
      <c r="D343">
        <v>1</v>
      </c>
      <c r="E343" s="10">
        <v>1.2776662379933031E-2</v>
      </c>
      <c r="F343" s="10">
        <v>1.0552422187640333</v>
      </c>
      <c r="H343">
        <v>0.55297011828216047</v>
      </c>
      <c r="I343" s="11">
        <f t="shared" si="5"/>
        <v>-0.16751955190390169</v>
      </c>
      <c r="J343" s="11">
        <f>1/(H343*Utilities!$B$11)</f>
        <v>7.2336639318346423</v>
      </c>
      <c r="K343" s="11">
        <f>IF(B343&lt;C343,1,EXP(-1*(B343-C343)/(Utilities!$B$11*IterData!H343)))</f>
        <v>1</v>
      </c>
    </row>
    <row r="344" spans="1:11" x14ac:dyDescent="0.3">
      <c r="A344">
        <v>343</v>
      </c>
      <c r="B344">
        <v>0.65776425034227382</v>
      </c>
      <c r="C344">
        <v>0.1206598723195427</v>
      </c>
      <c r="D344">
        <v>2.0391928551783307E-2</v>
      </c>
      <c r="E344" s="10">
        <v>1.0200165752090965E-2</v>
      </c>
      <c r="F344" s="10">
        <v>1.2031966515648478</v>
      </c>
      <c r="H344">
        <v>0.55192123966507556</v>
      </c>
      <c r="I344" s="11">
        <f t="shared" si="5"/>
        <v>0.53710437802273114</v>
      </c>
      <c r="J344" s="11">
        <f>1/(H344*Utilities!$B$11)</f>
        <v>7.2474108849794128</v>
      </c>
      <c r="K344" s="11">
        <f>IF(B344&lt;C344,1,EXP(-1*(B344-C344)/(Utilities!$B$11*IterData!H344)))</f>
        <v>2.03919285517833E-2</v>
      </c>
    </row>
    <row r="345" spans="1:11" x14ac:dyDescent="0.3">
      <c r="A345">
        <v>344</v>
      </c>
      <c r="B345">
        <v>0.15767145120715748</v>
      </c>
      <c r="C345">
        <v>0.1206598723195427</v>
      </c>
      <c r="D345">
        <v>0.76434293587063595</v>
      </c>
      <c r="E345" s="10">
        <v>1.0200165752090965E-2</v>
      </c>
      <c r="F345" s="10">
        <v>1.2031966515648478</v>
      </c>
      <c r="H345">
        <v>0.55089313023614916</v>
      </c>
      <c r="I345" s="11">
        <f t="shared" si="5"/>
        <v>3.7011578887614777E-2</v>
      </c>
      <c r="J345" s="11">
        <f>1/(H345*Utilities!$B$11)</f>
        <v>7.2609364329617545</v>
      </c>
      <c r="K345" s="11">
        <f>IF(B345&lt;C345,1,EXP(-1*(B345-C345)/(Utilities!$B$11*IterData!H345)))</f>
        <v>0.76434293587063595</v>
      </c>
    </row>
    <row r="346" spans="1:11" x14ac:dyDescent="0.3">
      <c r="A346">
        <v>345</v>
      </c>
      <c r="B346">
        <v>0.75102070793964137</v>
      </c>
      <c r="C346">
        <v>0.1206598723195427</v>
      </c>
      <c r="D346">
        <v>1.0199689010239234E-2</v>
      </c>
      <c r="E346" s="10">
        <v>1.0200165752090965E-2</v>
      </c>
      <c r="F346" s="10">
        <v>1.2031966515648478</v>
      </c>
      <c r="H346">
        <v>0.54988537873790122</v>
      </c>
      <c r="I346" s="11">
        <f t="shared" si="5"/>
        <v>0.6303608356200987</v>
      </c>
      <c r="J346" s="11">
        <f>1/(H346*Utilities!$B$11)</f>
        <v>7.2742432417112335</v>
      </c>
      <c r="K346" s="11">
        <f>IF(B346&lt;C346,1,EXP(-1*(B346-C346)/(Utilities!$B$11*IterData!H346)))</f>
        <v>1.0199689010239234E-2</v>
      </c>
    </row>
    <row r="347" spans="1:11" x14ac:dyDescent="0.3">
      <c r="A347">
        <v>346</v>
      </c>
      <c r="B347">
        <v>0.31886449362254204</v>
      </c>
      <c r="C347">
        <v>0.1206598723195427</v>
      </c>
      <c r="D347">
        <v>0.23589151275579809</v>
      </c>
      <c r="E347" s="10">
        <v>1.0200165752090965E-2</v>
      </c>
      <c r="F347" s="10">
        <v>1.2031966515648478</v>
      </c>
      <c r="H347">
        <v>0.54889758205629591</v>
      </c>
      <c r="I347" s="11">
        <f t="shared" si="5"/>
        <v>0.19820462130299935</v>
      </c>
      <c r="J347" s="11">
        <f>1/(H347*Utilities!$B$11)</f>
        <v>7.2873339777068882</v>
      </c>
      <c r="K347" s="11">
        <f>IF(B347&lt;C347,1,EXP(-1*(B347-C347)/(Utilities!$B$11*IterData!H347)))</f>
        <v>0.23589151275579809</v>
      </c>
    </row>
    <row r="348" spans="1:11" x14ac:dyDescent="0.3">
      <c r="A348">
        <v>347</v>
      </c>
      <c r="B348">
        <v>0.50462401187274342</v>
      </c>
      <c r="C348">
        <v>0.1206598723195427</v>
      </c>
      <c r="D348">
        <v>6.0626732495930612E-2</v>
      </c>
      <c r="E348" s="10">
        <v>1.0200165752090965E-2</v>
      </c>
      <c r="F348" s="10">
        <v>1.2031966515648478</v>
      </c>
      <c r="H348">
        <v>0.54792934505948943</v>
      </c>
      <c r="I348" s="11">
        <f t="shared" si="5"/>
        <v>0.38396413955320075</v>
      </c>
      <c r="J348" s="11">
        <f>1/(H348*Utilities!$B$11)</f>
        <v>7.3002113065612768</v>
      </c>
      <c r="K348" s="11">
        <f>IF(B348&lt;C348,1,EXP(-1*(B348-C348)/(Utilities!$B$11*IterData!H348)))</f>
        <v>6.0626732495930612E-2</v>
      </c>
    </row>
    <row r="349" spans="1:11" x14ac:dyDescent="0.3">
      <c r="A349">
        <v>348</v>
      </c>
      <c r="B349">
        <v>0.43538135030196679</v>
      </c>
      <c r="C349">
        <v>0.1206598723195427</v>
      </c>
      <c r="D349">
        <v>0.10010659223187908</v>
      </c>
      <c r="E349" s="10">
        <v>1.0200165752090965E-2</v>
      </c>
      <c r="F349" s="10">
        <v>1.2031966515648478</v>
      </c>
      <c r="H349">
        <v>0.5469802804397732</v>
      </c>
      <c r="I349" s="11">
        <f t="shared" si="5"/>
        <v>0.31472147798242411</v>
      </c>
      <c r="J349" s="11">
        <f>1/(H349*Utilities!$B$11)</f>
        <v>7.3128778916563357</v>
      </c>
      <c r="K349" s="11">
        <f>IF(B349&lt;C349,1,EXP(-1*(B349-C349)/(Utilities!$B$11*IterData!H349)))</f>
        <v>0.10010659223187902</v>
      </c>
    </row>
    <row r="350" spans="1:11" x14ac:dyDescent="0.3">
      <c r="A350">
        <v>349</v>
      </c>
      <c r="B350">
        <v>0.12531018224622953</v>
      </c>
      <c r="C350">
        <v>0.1206598723195427</v>
      </c>
      <c r="D350">
        <v>0.96650859781913401</v>
      </c>
      <c r="E350" s="10">
        <v>1.0200165752090965E-2</v>
      </c>
      <c r="F350" s="10">
        <v>1.2031966515648478</v>
      </c>
      <c r="H350">
        <v>0.54605000855864494</v>
      </c>
      <c r="I350" s="11">
        <f t="shared" si="5"/>
        <v>4.6503099266868297E-3</v>
      </c>
      <c r="J350" s="11">
        <f>1/(H350*Utilities!$B$11)</f>
        <v>7.3253363928304127</v>
      </c>
      <c r="K350" s="11">
        <f>IF(B350&lt;C350,1,EXP(-1*(B350-C350)/(Utilities!$B$11*IterData!H350)))</f>
        <v>0.96650859781913401</v>
      </c>
    </row>
    <row r="351" spans="1:11" x14ac:dyDescent="0.3">
      <c r="A351">
        <v>350</v>
      </c>
      <c r="B351">
        <v>0.89175455682563365</v>
      </c>
      <c r="C351">
        <v>0.12531018224622953</v>
      </c>
      <c r="D351">
        <v>3.6106980181105962E-3</v>
      </c>
      <c r="E351" s="10">
        <v>9.6387821745541058E-3</v>
      </c>
      <c r="F351" s="10">
        <v>1.2437523560341373</v>
      </c>
      <c r="H351">
        <v>0.54513815729494852</v>
      </c>
      <c r="I351" s="11">
        <f t="shared" si="5"/>
        <v>0.76644437457940406</v>
      </c>
      <c r="J351" s="11">
        <f>1/(H351*Utilities!$B$11)</f>
        <v>7.337589465115701</v>
      </c>
      <c r="K351" s="11">
        <f>IF(B351&lt;C351,1,EXP(-1*(B351-C351)/(Utilities!$B$11*IterData!H351)))</f>
        <v>3.6106980181105993E-3</v>
      </c>
    </row>
    <row r="352" spans="1:11" x14ac:dyDescent="0.3">
      <c r="A352">
        <v>351</v>
      </c>
      <c r="B352">
        <v>0.9505229379230612</v>
      </c>
      <c r="C352">
        <v>0.12531018224622953</v>
      </c>
      <c r="D352">
        <v>2.3227197415083799E-3</v>
      </c>
      <c r="E352" s="10">
        <v>9.6387821745541058E-3</v>
      </c>
      <c r="F352" s="10">
        <v>1.2437523560341373</v>
      </c>
      <c r="H352">
        <v>0.54424436189602021</v>
      </c>
      <c r="I352" s="11">
        <f t="shared" si="5"/>
        <v>0.82521275567683161</v>
      </c>
      <c r="J352" s="11">
        <f>1/(H352*Utilities!$B$11)</f>
        <v>7.3496397575253409</v>
      </c>
      <c r="K352" s="11">
        <f>IF(B352&lt;C352,1,EXP(-1*(B352-C352)/(Utilities!$B$11*IterData!H352)))</f>
        <v>2.322719741508382E-3</v>
      </c>
    </row>
    <row r="353" spans="1:11" x14ac:dyDescent="0.3">
      <c r="A353">
        <v>352</v>
      </c>
      <c r="B353">
        <v>0.14996114962863688</v>
      </c>
      <c r="C353">
        <v>0.12531018224622953</v>
      </c>
      <c r="D353">
        <v>0.83404506133614698</v>
      </c>
      <c r="E353" s="10">
        <v>9.6387821745541058E-3</v>
      </c>
      <c r="F353" s="10">
        <v>1.2437523560341373</v>
      </c>
      <c r="H353">
        <v>0.54336826483178291</v>
      </c>
      <c r="I353" s="11">
        <f t="shared" si="5"/>
        <v>2.4650967382407352E-2</v>
      </c>
      <c r="J353" s="11">
        <f>1/(H353*Utilities!$B$11)</f>
        <v>7.3614899118893673</v>
      </c>
      <c r="K353" s="11">
        <f>IF(B353&lt;C353,1,EXP(-1*(B353-C353)/(Utilities!$B$11*IterData!H353)))</f>
        <v>0.83404506133614698</v>
      </c>
    </row>
    <row r="354" spans="1:11" x14ac:dyDescent="0.3">
      <c r="A354">
        <v>353</v>
      </c>
      <c r="B354">
        <v>0.31361320459260039</v>
      </c>
      <c r="C354">
        <v>0.12531018224622953</v>
      </c>
      <c r="D354">
        <v>0.2494778791192008</v>
      </c>
      <c r="E354" s="10">
        <v>9.6387821745541058E-3</v>
      </c>
      <c r="F354" s="10">
        <v>1.2437523560341373</v>
      </c>
      <c r="H354">
        <v>0.54250951565172967</v>
      </c>
      <c r="I354" s="11">
        <f t="shared" si="5"/>
        <v>0.18830302234637086</v>
      </c>
      <c r="J354" s="11">
        <f>1/(H354*Utilities!$B$11)</f>
        <v>7.3731425617386712</v>
      </c>
      <c r="K354" s="11">
        <f>IF(B354&lt;C354,1,EXP(-1*(B354-C354)/(Utilities!$B$11*IterData!H354)))</f>
        <v>0.2494778791192008</v>
      </c>
    </row>
    <row r="355" spans="1:11" x14ac:dyDescent="0.3">
      <c r="A355">
        <v>354</v>
      </c>
      <c r="B355">
        <v>0.19070233504227083</v>
      </c>
      <c r="C355">
        <v>0.31361320459260039</v>
      </c>
      <c r="D355">
        <v>1</v>
      </c>
      <c r="E355" s="10">
        <v>8.3947045932289896E-3</v>
      </c>
      <c r="F355" s="10">
        <v>1.3939763824336082</v>
      </c>
      <c r="H355">
        <v>0.54166777084473816</v>
      </c>
      <c r="I355" s="11">
        <f t="shared" si="5"/>
        <v>-0.12291086955032957</v>
      </c>
      <c r="J355" s="11">
        <f>1/(H355*Utilities!$B$11)</f>
        <v>7.3846003312361495</v>
      </c>
      <c r="K355" s="11">
        <f>IF(B355&lt;C355,1,EXP(-1*(B355-C355)/(Utilities!$B$11*IterData!H355)))</f>
        <v>1</v>
      </c>
    </row>
    <row r="356" spans="1:11" x14ac:dyDescent="0.3">
      <c r="A356">
        <v>355</v>
      </c>
      <c r="B356">
        <v>0.13159096623779415</v>
      </c>
      <c r="C356">
        <v>0.19070233504227083</v>
      </c>
      <c r="D356">
        <v>1</v>
      </c>
      <c r="E356" s="10">
        <v>8.3794770104864257E-3</v>
      </c>
      <c r="F356" s="10">
        <v>1.3376706861255463</v>
      </c>
      <c r="H356">
        <v>0.54084269370166227</v>
      </c>
      <c r="I356" s="11">
        <f t="shared" si="5"/>
        <v>-5.9111368804476677E-2</v>
      </c>
      <c r="J356" s="11">
        <f>1/(H356*Utilities!$B$11)</f>
        <v>7.3958658341541099</v>
      </c>
      <c r="K356" s="11">
        <f>IF(B356&lt;C356,1,EXP(-1*(B356-C356)/(Utilities!$B$11*IterData!H356)))</f>
        <v>1</v>
      </c>
    </row>
    <row r="357" spans="1:11" x14ac:dyDescent="0.3">
      <c r="A357">
        <v>356</v>
      </c>
      <c r="B357">
        <v>0.3348123638482603</v>
      </c>
      <c r="C357">
        <v>0.13159096623779415</v>
      </c>
      <c r="D357">
        <v>0.22196200979898706</v>
      </c>
      <c r="E357" s="10">
        <v>8.7258486508816173E-3</v>
      </c>
      <c r="F357" s="10">
        <v>1.2841181674032343</v>
      </c>
      <c r="H357">
        <v>0.54003395418064348</v>
      </c>
      <c r="I357" s="11">
        <f t="shared" si="5"/>
        <v>0.20322139761046615</v>
      </c>
      <c r="J357" s="11">
        <f>1/(H357*Utilities!$B$11)</f>
        <v>7.4069416728970792</v>
      </c>
      <c r="K357" s="11">
        <f>IF(B357&lt;C357,1,EXP(-1*(B357-C357)/(Utilities!$B$11*IterData!H357)))</f>
        <v>0.22196200979898706</v>
      </c>
    </row>
    <row r="358" spans="1:11" x14ac:dyDescent="0.3">
      <c r="A358">
        <v>357</v>
      </c>
      <c r="B358">
        <v>0.16298128908645851</v>
      </c>
      <c r="C358">
        <v>0.13159096623779415</v>
      </c>
      <c r="D358">
        <v>0.79227391691425542</v>
      </c>
      <c r="E358" s="10">
        <v>8.7258486508816173E-3</v>
      </c>
      <c r="F358" s="10">
        <v>1.2841181674032343</v>
      </c>
      <c r="H358">
        <v>0.53924122877509018</v>
      </c>
      <c r="I358" s="11">
        <f t="shared" si="5"/>
        <v>3.1390322848664359E-2</v>
      </c>
      <c r="J358" s="11">
        <f>1/(H358*Utilities!$B$11)</f>
        <v>7.4178304375690516</v>
      </c>
      <c r="K358" s="11">
        <f>IF(B358&lt;C358,1,EXP(-1*(B358-C358)/(Utilities!$B$11*IterData!H358)))</f>
        <v>0.79227391691425542</v>
      </c>
    </row>
    <row r="359" spans="1:11" x14ac:dyDescent="0.3">
      <c r="A359">
        <v>358</v>
      </c>
      <c r="B359">
        <v>0.38612439707112084</v>
      </c>
      <c r="C359">
        <v>0.16298128908645851</v>
      </c>
      <c r="D359">
        <v>0.19059084491996339</v>
      </c>
      <c r="E359" s="10">
        <v>1.0255186050105655E-2</v>
      </c>
      <c r="F359" s="10">
        <v>1.2602737617545201</v>
      </c>
      <c r="H359">
        <v>0.53846420038427034</v>
      </c>
      <c r="I359" s="11">
        <f t="shared" si="5"/>
        <v>0.22314310798466233</v>
      </c>
      <c r="J359" s="11">
        <f>1/(H359*Utilities!$B$11)</f>
        <v>7.4285347050842647</v>
      </c>
      <c r="K359" s="11">
        <f>IF(B359&lt;C359,1,EXP(-1*(B359-C359)/(Utilities!$B$11*IterData!H359)))</f>
        <v>0.19059084491996339</v>
      </c>
    </row>
    <row r="360" spans="1:11" x14ac:dyDescent="0.3">
      <c r="A360">
        <v>359</v>
      </c>
      <c r="B360">
        <v>1.1441264136254961</v>
      </c>
      <c r="C360">
        <v>0.16298128908645851</v>
      </c>
      <c r="D360">
        <v>6.7635359826803633E-4</v>
      </c>
      <c r="E360" s="10">
        <v>1.0255186050105655E-2</v>
      </c>
      <c r="F360" s="10">
        <v>1.2602737617545201</v>
      </c>
      <c r="H360">
        <v>0.53770255818646695</v>
      </c>
      <c r="I360" s="11">
        <f t="shared" si="5"/>
        <v>0.98114512453903757</v>
      </c>
      <c r="J360" s="11">
        <f>1/(H360*Utilities!$B$11)</f>
        <v>7.4390570383205459</v>
      </c>
      <c r="K360" s="11">
        <f>IF(B360&lt;C360,1,EXP(-1*(B360-C360)/(Utilities!$B$11*IterData!H360)))</f>
        <v>6.7635359826803633E-4</v>
      </c>
    </row>
    <row r="361" spans="1:11" x14ac:dyDescent="0.3">
      <c r="A361">
        <v>360</v>
      </c>
      <c r="B361">
        <v>0.15436562249652341</v>
      </c>
      <c r="C361">
        <v>0.16298128908645851</v>
      </c>
      <c r="D361">
        <v>1</v>
      </c>
      <c r="E361" s="10">
        <v>1.0255186050105655E-2</v>
      </c>
      <c r="F361" s="10">
        <v>1.2602737617545201</v>
      </c>
      <c r="H361">
        <v>0.53695599751464562</v>
      </c>
      <c r="I361" s="11">
        <f t="shared" si="5"/>
        <v>-8.6156665899350948E-3</v>
      </c>
      <c r="J361" s="11">
        <f>1/(H361*Utilities!$B$11)</f>
        <v>7.4493999853142512</v>
      </c>
      <c r="K361" s="11">
        <f>IF(B361&lt;C361,1,EXP(-1*(B361-C361)/(Utilities!$B$11*IterData!H361)))</f>
        <v>1</v>
      </c>
    </row>
    <row r="362" spans="1:11" x14ac:dyDescent="0.3">
      <c r="A362">
        <v>361</v>
      </c>
      <c r="B362">
        <v>0.11364965974695858</v>
      </c>
      <c r="C362">
        <v>0.15436562249652341</v>
      </c>
      <c r="D362">
        <v>1</v>
      </c>
      <c r="E362" s="10">
        <v>1.0201371853821813E-2</v>
      </c>
      <c r="F362" s="10">
        <v>1.1580644893529115</v>
      </c>
      <c r="H362">
        <v>0.53622421973458345</v>
      </c>
      <c r="I362" s="11">
        <f t="shared" si="5"/>
        <v>-4.0715962749564835E-2</v>
      </c>
      <c r="J362" s="11">
        <f>1/(H362*Utilities!$B$11)</f>
        <v>7.4595660784958433</v>
      </c>
      <c r="K362" s="11">
        <f>IF(B362&lt;C362,1,EXP(-1*(B362-C362)/(Utilities!$B$11*IterData!H362)))</f>
        <v>1</v>
      </c>
    </row>
    <row r="363" spans="1:11" x14ac:dyDescent="0.3">
      <c r="A363">
        <v>362</v>
      </c>
      <c r="B363">
        <v>0.12462103217283831</v>
      </c>
      <c r="C363">
        <v>0.11364965974695858</v>
      </c>
      <c r="D363">
        <v>0.92131682494728462</v>
      </c>
      <c r="E363" s="10">
        <v>9.1995998051374196E-3</v>
      </c>
      <c r="F363" s="10">
        <v>1.2287224304837348</v>
      </c>
      <c r="H363">
        <v>0.53550693212541101</v>
      </c>
      <c r="I363" s="11">
        <f t="shared" si="5"/>
        <v>1.0971372425879727E-2</v>
      </c>
      <c r="J363" s="11">
        <f>1/(H363*Utilities!$B$11)</f>
        <v>7.4695578339651361</v>
      </c>
      <c r="K363" s="11">
        <f>IF(B363&lt;C363,1,EXP(-1*(B363-C363)/(Utilities!$B$11*IterData!H363)))</f>
        <v>0.92131682494728462</v>
      </c>
    </row>
    <row r="364" spans="1:11" x14ac:dyDescent="0.3">
      <c r="A364">
        <v>363</v>
      </c>
      <c r="B364">
        <v>0.73178818936238255</v>
      </c>
      <c r="C364">
        <v>0.12462103217283831</v>
      </c>
      <c r="D364">
        <v>1.0660259400838652E-2</v>
      </c>
      <c r="E364" s="10">
        <v>1.0399086673712395E-2</v>
      </c>
      <c r="F364" s="10">
        <v>1.2134226717763441</v>
      </c>
      <c r="H364">
        <v>0.53480384776252088</v>
      </c>
      <c r="I364" s="11">
        <f t="shared" si="5"/>
        <v>0.60716715718954428</v>
      </c>
      <c r="J364" s="11">
        <f>1/(H364*Utilities!$B$11)</f>
        <v>7.4793777508051811</v>
      </c>
      <c r="K364" s="11">
        <f>IF(B364&lt;C364,1,EXP(-1*(B364-C364)/(Utilities!$B$11*IterData!H364)))</f>
        <v>1.0660259400838652E-2</v>
      </c>
    </row>
    <row r="365" spans="1:11" x14ac:dyDescent="0.3">
      <c r="A365">
        <v>364</v>
      </c>
      <c r="B365">
        <v>0.62940089447262904</v>
      </c>
      <c r="C365">
        <v>0.12462103217283831</v>
      </c>
      <c r="D365">
        <v>2.2815601988623504E-2</v>
      </c>
      <c r="E365" s="10">
        <v>1.0399086673712395E-2</v>
      </c>
      <c r="F365" s="10">
        <v>1.2134226717763441</v>
      </c>
      <c r="H365">
        <v>0.53411468540279328</v>
      </c>
      <c r="I365" s="11">
        <f t="shared" si="5"/>
        <v>0.50477986229979077</v>
      </c>
      <c r="J365" s="11">
        <f>1/(H365*Utilities!$B$11)</f>
        <v>7.4890283104338717</v>
      </c>
      <c r="K365" s="11">
        <f>IF(B365&lt;C365,1,EXP(-1*(B365-C365)/(Utilities!$B$11*IterData!H365)))</f>
        <v>2.2815601988623497E-2</v>
      </c>
    </row>
    <row r="366" spans="1:11" x14ac:dyDescent="0.3">
      <c r="A366">
        <v>365</v>
      </c>
      <c r="B366">
        <v>0.24660200286432624</v>
      </c>
      <c r="C366">
        <v>0.12462103217283831</v>
      </c>
      <c r="D366">
        <v>0.40064650682190994</v>
      </c>
      <c r="E366" s="10">
        <v>1.0399086673712395E-2</v>
      </c>
      <c r="F366" s="10">
        <v>1.2134226717763441</v>
      </c>
      <c r="H366">
        <v>0.53343916937209535</v>
      </c>
      <c r="I366" s="11">
        <f t="shared" si="5"/>
        <v>0.12198097069148793</v>
      </c>
      <c r="J366" s="11">
        <f>1/(H366*Utilities!$B$11)</f>
        <v>7.4985119759922219</v>
      </c>
      <c r="K366" s="11">
        <f>IF(B366&lt;C366,1,EXP(-1*(B366-C366)/(Utilities!$B$11*IterData!H366)))</f>
        <v>0.40064650682190994</v>
      </c>
    </row>
    <row r="367" spans="1:11" x14ac:dyDescent="0.3">
      <c r="A367">
        <v>366</v>
      </c>
      <c r="B367">
        <v>0.34785070386276323</v>
      </c>
      <c r="C367">
        <v>0.24660200286432624</v>
      </c>
      <c r="D367">
        <v>0.46759246884928468</v>
      </c>
      <c r="E367" s="10">
        <v>8.9413729873457741E-3</v>
      </c>
      <c r="F367" s="10">
        <v>1.3468794111704336</v>
      </c>
      <c r="H367">
        <v>0.53277702945500771</v>
      </c>
      <c r="I367" s="11">
        <f t="shared" si="5"/>
        <v>0.101248700998437</v>
      </c>
      <c r="J367" s="11">
        <f>1/(H367*Utilities!$B$11)</f>
        <v>7.5078311917683651</v>
      </c>
      <c r="K367" s="11">
        <f>IF(B367&lt;C367,1,EXP(-1*(B367-C367)/(Utilities!$B$11*IterData!H367)))</f>
        <v>0.46759246884928468</v>
      </c>
    </row>
    <row r="368" spans="1:11" x14ac:dyDescent="0.3">
      <c r="A368">
        <v>367</v>
      </c>
      <c r="B368">
        <v>0.21772650957755052</v>
      </c>
      <c r="C368">
        <v>0.24660200286432624</v>
      </c>
      <c r="D368">
        <v>1</v>
      </c>
      <c r="E368" s="10">
        <v>8.9413729873457741E-3</v>
      </c>
      <c r="F368" s="10">
        <v>1.3468794111704336</v>
      </c>
      <c r="H368">
        <v>0.53212800078673494</v>
      </c>
      <c r="I368" s="11">
        <f t="shared" si="5"/>
        <v>-2.8875493286775716E-2</v>
      </c>
      <c r="J368" s="11">
        <f>1/(H368*Utilities!$B$11)</f>
        <v>7.5169883826562831</v>
      </c>
      <c r="K368" s="11">
        <f>IF(B368&lt;C368,1,EXP(-1*(B368-C368)/(Utilities!$B$11*IterData!H368)))</f>
        <v>1</v>
      </c>
    </row>
    <row r="369" spans="1:11" x14ac:dyDescent="0.3">
      <c r="A369">
        <v>368</v>
      </c>
      <c r="B369">
        <v>0.11908730940421977</v>
      </c>
      <c r="C369">
        <v>0.21772650957755052</v>
      </c>
      <c r="D369">
        <v>1</v>
      </c>
      <c r="E369" s="10">
        <v>1.0226691340800018E-2</v>
      </c>
      <c r="F369" s="10">
        <v>1.1269146485596988</v>
      </c>
      <c r="H369">
        <v>0.53149182374715598</v>
      </c>
      <c r="I369" s="11">
        <f t="shared" si="5"/>
        <v>-9.8639200173330749E-2</v>
      </c>
      <c r="J369" s="11">
        <f>1/(H369*Utilities!$B$11)</f>
        <v>7.5259859536482736</v>
      </c>
      <c r="K369" s="11">
        <f>IF(B369&lt;C369,1,EXP(-1*(B369-C369)/(Utilities!$B$11*IterData!H369)))</f>
        <v>1</v>
      </c>
    </row>
    <row r="370" spans="1:11" x14ac:dyDescent="0.3">
      <c r="A370">
        <v>369</v>
      </c>
      <c r="B370">
        <v>0.14002419954048215</v>
      </c>
      <c r="C370">
        <v>0.11908730940421977</v>
      </c>
      <c r="D370">
        <v>0.85405829174003711</v>
      </c>
      <c r="E370" s="10">
        <v>9.6851360727639672E-3</v>
      </c>
      <c r="F370" s="10">
        <v>1.2294875854595939</v>
      </c>
      <c r="H370">
        <v>0.53086824385697251</v>
      </c>
      <c r="I370" s="11">
        <f t="shared" si="5"/>
        <v>2.0936890136262376E-2</v>
      </c>
      <c r="J370" s="11">
        <f>1/(H370*Utilities!$B$11)</f>
        <v>7.534826289360204</v>
      </c>
      <c r="K370" s="11">
        <f>IF(B370&lt;C370,1,EXP(-1*(B370-C370)/(Utilities!$B$11*IterData!H370)))</f>
        <v>0.85405829174003711</v>
      </c>
    </row>
    <row r="371" spans="1:11" x14ac:dyDescent="0.3">
      <c r="A371">
        <v>370</v>
      </c>
      <c r="B371">
        <v>0.13593450967403004</v>
      </c>
      <c r="C371">
        <v>0.14002419954048215</v>
      </c>
      <c r="D371">
        <v>1</v>
      </c>
      <c r="E371" s="10">
        <v>8.6736294346204529E-3</v>
      </c>
      <c r="F371" s="10">
        <v>1.2936917601801889</v>
      </c>
      <c r="H371">
        <v>0.53025701167591388</v>
      </c>
      <c r="I371" s="11">
        <f t="shared" si="5"/>
        <v>-4.089689866452112E-3</v>
      </c>
      <c r="J371" s="11">
        <f>1/(H371*Utilities!$B$11)</f>
        <v>7.5435117535885547</v>
      </c>
      <c r="K371" s="11">
        <f>IF(B371&lt;C371,1,EXP(-1*(B371-C371)/(Utilities!$B$11*IterData!H371)))</f>
        <v>1</v>
      </c>
    </row>
    <row r="372" spans="1:11" x14ac:dyDescent="0.3">
      <c r="A372">
        <v>371</v>
      </c>
      <c r="B372">
        <v>0.12579984043636389</v>
      </c>
      <c r="C372">
        <v>0.13593450967403004</v>
      </c>
      <c r="D372">
        <v>1</v>
      </c>
      <c r="E372" s="10">
        <v>1.0737166362182231E-2</v>
      </c>
      <c r="F372" s="10">
        <v>1.1641570731052644</v>
      </c>
      <c r="H372">
        <v>0.52965788270295777</v>
      </c>
      <c r="I372" s="11">
        <f t="shared" si="5"/>
        <v>-1.013466923766615E-2</v>
      </c>
      <c r="J372" s="11">
        <f>1/(H372*Utilities!$B$11)</f>
        <v>7.5520446888983166</v>
      </c>
      <c r="K372" s="11">
        <f>IF(B372&lt;C372,1,EXP(-1*(B372-C372)/(Utilities!$B$11*IterData!H372)))</f>
        <v>1</v>
      </c>
    </row>
    <row r="373" spans="1:11" x14ac:dyDescent="0.3">
      <c r="A373">
        <v>372</v>
      </c>
      <c r="B373">
        <v>0.46524238631094911</v>
      </c>
      <c r="C373">
        <v>0.12579984043636389</v>
      </c>
      <c r="D373">
        <v>7.6816890849902203E-2</v>
      </c>
      <c r="E373" s="10">
        <v>7.9718667918055024E-3</v>
      </c>
      <c r="F373" s="10">
        <v>1.2278805437331253</v>
      </c>
      <c r="H373">
        <v>0.52907061727852656</v>
      </c>
      <c r="I373" s="11">
        <f t="shared" si="5"/>
        <v>0.33944254587458522</v>
      </c>
      <c r="J373" s="11">
        <f>1/(H373*Utilities!$B$11)</f>
        <v>7.5604274162407705</v>
      </c>
      <c r="K373" s="11">
        <f>IF(B373&lt;C373,1,EXP(-1*(B373-C373)/(Utilities!$B$11*IterData!H373)))</f>
        <v>7.6816890849902203E-2</v>
      </c>
    </row>
    <row r="374" spans="1:11" x14ac:dyDescent="0.3">
      <c r="A374">
        <v>373</v>
      </c>
      <c r="B374">
        <v>0.11172975843515418</v>
      </c>
      <c r="C374">
        <v>0.12579984043636389</v>
      </c>
      <c r="D374">
        <v>1</v>
      </c>
      <c r="E374" s="10">
        <v>7.9718667918055024E-3</v>
      </c>
      <c r="F374" s="10">
        <v>1.2278805437331253</v>
      </c>
      <c r="H374">
        <v>0.5284949804886202</v>
      </c>
      <c r="I374" s="11">
        <f t="shared" si="5"/>
        <v>-1.4070082001209711E-2</v>
      </c>
      <c r="J374" s="11">
        <f>1/(H374*Utilities!$B$11)</f>
        <v>7.5686622346002199</v>
      </c>
      <c r="K374" s="11">
        <f>IF(B374&lt;C374,1,EXP(-1*(B374-C374)/(Utilities!$B$11*IterData!H374)))</f>
        <v>1</v>
      </c>
    </row>
    <row r="375" spans="1:11" x14ac:dyDescent="0.3">
      <c r="A375">
        <v>374</v>
      </c>
      <c r="B375">
        <v>0.62844115363978104</v>
      </c>
      <c r="C375">
        <v>0.11172975843515418</v>
      </c>
      <c r="D375">
        <v>1.9940672323449982E-2</v>
      </c>
      <c r="E375" s="10">
        <v>8.9282946162021638E-3</v>
      </c>
      <c r="F375" s="10">
        <v>1.2353235495878006</v>
      </c>
      <c r="H375">
        <v>0.52793074207084734</v>
      </c>
      <c r="I375" s="11">
        <f t="shared" si="5"/>
        <v>0.51671139520462683</v>
      </c>
      <c r="J375" s="11">
        <f>1/(H375*Utilities!$B$11)</f>
        <v>7.5767514206687503</v>
      </c>
      <c r="K375" s="11">
        <f>IF(B375&lt;C375,1,EXP(-1*(B375-C375)/(Utilities!$B$11*IterData!H375)))</f>
        <v>1.9940672323449982E-2</v>
      </c>
    </row>
    <row r="376" spans="1:11" x14ac:dyDescent="0.3">
      <c r="A376">
        <v>375</v>
      </c>
      <c r="B376">
        <v>0.84720368361804754</v>
      </c>
      <c r="C376">
        <v>0.11172975843515418</v>
      </c>
      <c r="D376">
        <v>3.7788065678066346E-3</v>
      </c>
      <c r="E376" s="10">
        <v>8.9282946162021638E-3</v>
      </c>
      <c r="F376" s="10">
        <v>1.2353235495878006</v>
      </c>
      <c r="H376">
        <v>0.5273776763223178</v>
      </c>
      <c r="I376" s="11">
        <f t="shared" si="5"/>
        <v>0.73547392518289334</v>
      </c>
      <c r="J376" s="11">
        <f>1/(H376*Utilities!$B$11)</f>
        <v>7.5846972285480607</v>
      </c>
      <c r="K376" s="11">
        <f>IF(B376&lt;C376,1,EXP(-1*(B376-C376)/(Utilities!$B$11*IterData!H376)))</f>
        <v>3.7788065678066381E-3</v>
      </c>
    </row>
    <row r="377" spans="1:11" x14ac:dyDescent="0.3">
      <c r="A377">
        <v>376</v>
      </c>
      <c r="B377">
        <v>0.32874617828599967</v>
      </c>
      <c r="C377">
        <v>0.11172975843515418</v>
      </c>
      <c r="D377">
        <v>0.19249259803396604</v>
      </c>
      <c r="E377" s="10">
        <v>8.9282946162021638E-3</v>
      </c>
      <c r="F377" s="10">
        <v>1.2353235495878006</v>
      </c>
      <c r="H377">
        <v>0.52683556200935766</v>
      </c>
      <c r="I377" s="11">
        <f t="shared" si="5"/>
        <v>0.21701641985084549</v>
      </c>
      <c r="J377" s="11">
        <f>1/(H377*Utilities!$B$11)</f>
        <v>7.5925018894775214</v>
      </c>
      <c r="K377" s="11">
        <f>IF(B377&lt;C377,1,EXP(-1*(B377-C377)/(Utilities!$B$11*IterData!H377)))</f>
        <v>0.19249259803396604</v>
      </c>
    </row>
    <row r="378" spans="1:11" x14ac:dyDescent="0.3">
      <c r="A378">
        <v>377</v>
      </c>
      <c r="B378">
        <v>0.78286258801721043</v>
      </c>
      <c r="C378">
        <v>0.11172975843515418</v>
      </c>
      <c r="D378">
        <v>6.0923463369168609E-3</v>
      </c>
      <c r="E378" s="10">
        <v>8.9282946162021638E-3</v>
      </c>
      <c r="F378" s="10">
        <v>1.2353235495878006</v>
      </c>
      <c r="H378">
        <v>0.52630418227901354</v>
      </c>
      <c r="I378" s="11">
        <f t="shared" si="5"/>
        <v>0.67113282958205622</v>
      </c>
      <c r="J378" s="11">
        <f>1/(H378*Utilities!$B$11)</f>
        <v>7.6001676115874952</v>
      </c>
      <c r="K378" s="11">
        <f>IF(B378&lt;C378,1,EXP(-1*(B378-C378)/(Utilities!$B$11*IterData!H378)))</f>
        <v>6.0923463369168609E-3</v>
      </c>
    </row>
    <row r="379" spans="1:11" x14ac:dyDescent="0.3">
      <c r="A379">
        <v>378</v>
      </c>
      <c r="B379">
        <v>0.50758586571249364</v>
      </c>
      <c r="C379">
        <v>0.11172975843515418</v>
      </c>
      <c r="D379">
        <v>4.9215180645114001E-2</v>
      </c>
      <c r="E379" s="10">
        <v>8.9282946162021638E-3</v>
      </c>
      <c r="F379" s="10">
        <v>1.2353235495878006</v>
      </c>
      <c r="H379">
        <v>0.52578332457230814</v>
      </c>
      <c r="I379" s="11">
        <f t="shared" si="5"/>
        <v>0.39585610727733944</v>
      </c>
      <c r="J379" s="11">
        <f>1/(H379*Utilities!$B$11)</f>
        <v>7.6076965796770937</v>
      </c>
      <c r="K379" s="11">
        <f>IF(B379&lt;C379,1,EXP(-1*(B379-C379)/(Utilities!$B$11*IterData!H379)))</f>
        <v>4.9215180645114001E-2</v>
      </c>
    </row>
    <row r="380" spans="1:11" x14ac:dyDescent="0.3">
      <c r="A380">
        <v>379</v>
      </c>
      <c r="B380">
        <v>0.50292412509614914</v>
      </c>
      <c r="C380">
        <v>0.11172975843515418</v>
      </c>
      <c r="D380">
        <v>5.0844634249124061E-2</v>
      </c>
      <c r="E380" s="10">
        <v>8.9282946162021638E-3</v>
      </c>
      <c r="F380" s="10">
        <v>1.2353235495878006</v>
      </c>
      <c r="H380">
        <v>0.52527278053921389</v>
      </c>
      <c r="I380" s="11">
        <f t="shared" si="5"/>
        <v>0.39119436666099494</v>
      </c>
      <c r="J380" s="11">
        <f>1/(H380*Utilities!$B$11)</f>
        <v>7.6150909550154822</v>
      </c>
      <c r="K380" s="11">
        <f>IF(B380&lt;C380,1,EXP(-1*(B380-C380)/(Utilities!$B$11*IterData!H380)))</f>
        <v>5.0844634249124061E-2</v>
      </c>
    </row>
    <row r="381" spans="1:11" x14ac:dyDescent="0.3">
      <c r="A381">
        <v>380</v>
      </c>
      <c r="B381">
        <v>0.40901664002110627</v>
      </c>
      <c r="C381">
        <v>0.50292412509614914</v>
      </c>
      <c r="D381">
        <v>1</v>
      </c>
      <c r="E381" s="10">
        <v>7.6868337540223946E-3</v>
      </c>
      <c r="F381" s="10">
        <v>1.1212066008662653</v>
      </c>
      <c r="H381">
        <v>0.52477234595531019</v>
      </c>
      <c r="I381" s="11">
        <f t="shared" si="5"/>
        <v>-9.3907485075042874E-2</v>
      </c>
      <c r="J381" s="11">
        <f>1/(H381*Utilities!$B$11)</f>
        <v>7.6223528751658751</v>
      </c>
      <c r="K381" s="11">
        <f>IF(B381&lt;C381,1,EXP(-1*(B381-C381)/(Utilities!$B$11*IterData!H381)))</f>
        <v>1</v>
      </c>
    </row>
    <row r="382" spans="1:11" x14ac:dyDescent="0.3">
      <c r="A382">
        <v>381</v>
      </c>
      <c r="B382">
        <v>0.43370703930991628</v>
      </c>
      <c r="C382">
        <v>0.40901664002110627</v>
      </c>
      <c r="D382">
        <v>0.82830402044961449</v>
      </c>
      <c r="E382" s="10">
        <v>8.3130985411802288E-3</v>
      </c>
      <c r="F382" s="10">
        <v>1.4336189955929386</v>
      </c>
      <c r="H382">
        <v>0.5242818206400911</v>
      </c>
      <c r="I382" s="11">
        <f t="shared" si="5"/>
        <v>2.4690399288810005E-2</v>
      </c>
      <c r="J382" s="11">
        <f>1/(H382*Utilities!$B$11)</f>
        <v>7.6294844538314051</v>
      </c>
      <c r="K382" s="11">
        <f>IF(B382&lt;C382,1,EXP(-1*(B382-C382)/(Utilities!$B$11*IterData!H382)))</f>
        <v>0.82830402044961449</v>
      </c>
    </row>
    <row r="383" spans="1:11" x14ac:dyDescent="0.3">
      <c r="A383">
        <v>382</v>
      </c>
      <c r="B383">
        <v>0.44336925287823481</v>
      </c>
      <c r="C383">
        <v>0.43370703930991628</v>
      </c>
      <c r="D383">
        <v>0.92887103060543474</v>
      </c>
      <c r="E383" s="10">
        <v>9.6717035244649405E-3</v>
      </c>
      <c r="F383" s="10">
        <v>1.3985226007485145</v>
      </c>
      <c r="H383">
        <v>0.52380100837688981</v>
      </c>
      <c r="I383" s="11">
        <f t="shared" si="5"/>
        <v>9.662213568318534E-3</v>
      </c>
      <c r="J383" s="11">
        <f>1/(H383*Utilities!$B$11)</f>
        <v>7.6364877807220362</v>
      </c>
      <c r="K383" s="11">
        <f>IF(B383&lt;C383,1,EXP(-1*(B383-C383)/(Utilities!$B$11*IterData!H383)))</f>
        <v>0.92887103060543474</v>
      </c>
    </row>
    <row r="384" spans="1:11" x14ac:dyDescent="0.3">
      <c r="A384">
        <v>383</v>
      </c>
      <c r="B384">
        <v>0.10418173531215758</v>
      </c>
      <c r="C384">
        <v>0.44336925287823481</v>
      </c>
      <c r="D384">
        <v>1</v>
      </c>
      <c r="E384" s="10">
        <v>1.0094667049736805E-2</v>
      </c>
      <c r="F384" s="10">
        <v>1.3894819961435529</v>
      </c>
      <c r="H384">
        <v>0.52332971683439033</v>
      </c>
      <c r="I384" s="11">
        <f t="shared" si="5"/>
        <v>-0.33918751756607723</v>
      </c>
      <c r="J384" s="11">
        <f>1/(H384*Utilities!$B$11)</f>
        <v>7.6433649214417061</v>
      </c>
      <c r="K384" s="11">
        <f>IF(B384&lt;C384,1,EXP(-1*(B384-C384)/(Utilities!$B$11*IterData!H384)))</f>
        <v>1</v>
      </c>
    </row>
    <row r="385" spans="1:11" x14ac:dyDescent="0.3">
      <c r="A385">
        <v>384</v>
      </c>
      <c r="B385">
        <v>0.1048762493029835</v>
      </c>
      <c r="C385">
        <v>0.10418173531215758</v>
      </c>
      <c r="D385">
        <v>0.99470097570038551</v>
      </c>
      <c r="E385" s="10">
        <v>7.5188005761837474E-3</v>
      </c>
      <c r="F385" s="10">
        <v>1.2962390355652624</v>
      </c>
      <c r="H385">
        <v>0.52286775748969172</v>
      </c>
      <c r="I385" s="11">
        <f t="shared" si="5"/>
        <v>6.9451399082592902E-4</v>
      </c>
      <c r="J385" s="11">
        <f>1/(H385*Utilities!$B$11)</f>
        <v>7.6501179173949341</v>
      </c>
      <c r="K385" s="11">
        <f>IF(B385&lt;C385,1,EXP(-1*(B385-C385)/(Utilities!$B$11*IterData!H385)))</f>
        <v>0.99470097570038551</v>
      </c>
    </row>
    <row r="386" spans="1:11" x14ac:dyDescent="0.3">
      <c r="A386">
        <v>385</v>
      </c>
      <c r="B386">
        <v>0.33144595764390594</v>
      </c>
      <c r="C386">
        <v>0.1048762493029835</v>
      </c>
      <c r="D386">
        <v>0.17643771767988639</v>
      </c>
      <c r="E386" s="10">
        <v>7.9106560447379706E-3</v>
      </c>
      <c r="F386" s="10">
        <v>1.2759338240217351</v>
      </c>
      <c r="H386">
        <v>0.52241494555289647</v>
      </c>
      <c r="I386" s="11">
        <f t="shared" si="5"/>
        <v>0.22656970834092244</v>
      </c>
      <c r="J386" s="11">
        <f>1/(H386*Utilities!$B$11)</f>
        <v>7.6567487857121135</v>
      </c>
      <c r="K386" s="11">
        <f>IF(B386&lt;C386,1,EXP(-1*(B386-C386)/(Utilities!$B$11*IterData!H386)))</f>
        <v>0.17643771767988639</v>
      </c>
    </row>
    <row r="387" spans="1:11" x14ac:dyDescent="0.3">
      <c r="A387">
        <v>386</v>
      </c>
      <c r="B387">
        <v>0.27916439998642223</v>
      </c>
      <c r="C387">
        <v>0.1048762493029835</v>
      </c>
      <c r="D387">
        <v>0.26299629619629544</v>
      </c>
      <c r="E387" s="10">
        <v>7.9106560447379706E-3</v>
      </c>
      <c r="F387" s="10">
        <v>1.2759338240217351</v>
      </c>
      <c r="H387">
        <v>0.52197109989319224</v>
      </c>
      <c r="I387" s="11">
        <f t="shared" ref="I387:I450" si="6">B387-C387</f>
        <v>0.17428815068343873</v>
      </c>
      <c r="J387" s="11">
        <f>1/(H387*Utilities!$B$11)</f>
        <v>7.6632595191927209</v>
      </c>
      <c r="K387" s="11">
        <f>IF(B387&lt;C387,1,EXP(-1*(B387-C387)/(Utilities!$B$11*IterData!H387)))</f>
        <v>0.26299629619629544</v>
      </c>
    </row>
    <row r="388" spans="1:11" x14ac:dyDescent="0.3">
      <c r="A388">
        <v>387</v>
      </c>
      <c r="B388">
        <v>0.42473346459003808</v>
      </c>
      <c r="C388">
        <v>0.27916439998642223</v>
      </c>
      <c r="D388">
        <v>0.32743553596399955</v>
      </c>
      <c r="E388" s="10">
        <v>6.7670898687657672E-3</v>
      </c>
      <c r="F388" s="10">
        <v>1.1988440892224212</v>
      </c>
      <c r="H388">
        <v>0.52153604296639722</v>
      </c>
      <c r="I388" s="11">
        <f t="shared" si="6"/>
        <v>0.14556906460361585</v>
      </c>
      <c r="J388" s="11">
        <f>1/(H388*Utilities!$B$11)</f>
        <v>7.6696520862657263</v>
      </c>
      <c r="K388" s="11">
        <f>IF(B388&lt;C388,1,EXP(-1*(B388-C388)/(Utilities!$B$11*IterData!H388)))</f>
        <v>0.32743553596399955</v>
      </c>
    </row>
    <row r="389" spans="1:11" x14ac:dyDescent="0.3">
      <c r="A389">
        <v>388</v>
      </c>
      <c r="B389">
        <v>0.10143070174423111</v>
      </c>
      <c r="C389">
        <v>0.27916439998642223</v>
      </c>
      <c r="D389">
        <v>1</v>
      </c>
      <c r="E389" s="10">
        <v>6.7670898687657672E-3</v>
      </c>
      <c r="F389" s="10">
        <v>1.1988440892224212</v>
      </c>
      <c r="H389">
        <v>0.52110960074393986</v>
      </c>
      <c r="I389" s="11">
        <f t="shared" si="6"/>
        <v>-0.17773369824219112</v>
      </c>
      <c r="J389" s="11">
        <f>1/(H389*Utilities!$B$11)</f>
        <v>7.6759284309664819</v>
      </c>
      <c r="K389" s="11">
        <f>IF(B389&lt;C389,1,EXP(-1*(B389-C389)/(Utilities!$B$11*IterData!H389)))</f>
        <v>1</v>
      </c>
    </row>
    <row r="390" spans="1:11" x14ac:dyDescent="0.3">
      <c r="A390">
        <v>389</v>
      </c>
      <c r="B390">
        <v>0.11600773664236576</v>
      </c>
      <c r="C390">
        <v>0.10143070174423111</v>
      </c>
      <c r="D390">
        <v>0.89406026021816243</v>
      </c>
      <c r="E390" s="10">
        <v>7.3162921796739219E-3</v>
      </c>
      <c r="F390" s="10">
        <v>1.2749335387615246</v>
      </c>
      <c r="H390">
        <v>0.5206916026432451</v>
      </c>
      <c r="I390" s="11">
        <f t="shared" si="6"/>
        <v>1.4577034898134653E-2</v>
      </c>
      <c r="J390" s="11">
        <f>1/(H390*Utilities!$B$11)</f>
        <v>7.6820904729293735</v>
      </c>
      <c r="K390" s="11">
        <f>IF(B390&lt;C390,1,EXP(-1*(B390-C390)/(Utilities!$B$11*IterData!H390)))</f>
        <v>0.89406026021816243</v>
      </c>
    </row>
    <row r="391" spans="1:11" x14ac:dyDescent="0.3">
      <c r="A391">
        <v>390</v>
      </c>
      <c r="B391">
        <v>0.20177682616836903</v>
      </c>
      <c r="C391">
        <v>0.11600773664236576</v>
      </c>
      <c r="D391">
        <v>0.51715906778690313</v>
      </c>
      <c r="E391" s="10">
        <v>8.3863904896803541E-3</v>
      </c>
      <c r="F391" s="10">
        <v>1.2292848485441266</v>
      </c>
      <c r="H391">
        <v>0.5202818814594995</v>
      </c>
      <c r="I391" s="11">
        <f t="shared" si="6"/>
        <v>8.5769089526003275E-2</v>
      </c>
      <c r="J391" s="11">
        <f>1/(H391*Utilities!$B$11)</f>
        <v>7.6881401073955589</v>
      </c>
      <c r="K391" s="11">
        <f>IF(B391&lt;C391,1,EXP(-1*(B391-C391)/(Utilities!$B$11*IterData!H391)))</f>
        <v>0.51715906778690313</v>
      </c>
    </row>
    <row r="392" spans="1:11" x14ac:dyDescent="0.3">
      <c r="A392">
        <v>391</v>
      </c>
      <c r="B392">
        <v>1.2604630371676813</v>
      </c>
      <c r="C392">
        <v>0.20177682616836903</v>
      </c>
      <c r="D392">
        <v>2.9000408150750209E-4</v>
      </c>
      <c r="E392" s="10">
        <v>6.9666366104406329E-3</v>
      </c>
      <c r="F392" s="10">
        <v>1.2168064798274831</v>
      </c>
      <c r="H392">
        <v>0.51988027329876618</v>
      </c>
      <c r="I392" s="11">
        <f t="shared" si="6"/>
        <v>1.0586862109993123</v>
      </c>
      <c r="J392" s="11">
        <f>1/(H392*Utilities!$B$11)</f>
        <v>7.694079205235143</v>
      </c>
      <c r="K392" s="11">
        <f>IF(B392&lt;C392,1,EXP(-1*(B392-C392)/(Utilities!$B$11*IterData!H392)))</f>
        <v>2.9000408150750209E-4</v>
      </c>
    </row>
    <row r="393" spans="1:11" x14ac:dyDescent="0.3">
      <c r="A393">
        <v>392</v>
      </c>
      <c r="B393">
        <v>0.17703811579928869</v>
      </c>
      <c r="C393">
        <v>0.20177682616836903</v>
      </c>
      <c r="D393">
        <v>1</v>
      </c>
      <c r="E393" s="10">
        <v>6.9666366104406329E-3</v>
      </c>
      <c r="F393" s="10">
        <v>1.2168064798274831</v>
      </c>
      <c r="H393">
        <v>0.51948661751242642</v>
      </c>
      <c r="I393" s="11">
        <f t="shared" si="6"/>
        <v>-2.4738710369080347E-2</v>
      </c>
      <c r="J393" s="11">
        <f>1/(H393*Utilities!$B$11)</f>
        <v>7.6999096129830864</v>
      </c>
      <c r="K393" s="11">
        <f>IF(B393&lt;C393,1,EXP(-1*(B393-C393)/(Utilities!$B$11*IterData!H393)))</f>
        <v>1</v>
      </c>
    </row>
    <row r="394" spans="1:11" x14ac:dyDescent="0.3">
      <c r="A394">
        <v>393</v>
      </c>
      <c r="B394">
        <v>0.3026788851679712</v>
      </c>
      <c r="C394">
        <v>0.17703811579928869</v>
      </c>
      <c r="D394">
        <v>0.37978815148911166</v>
      </c>
      <c r="E394" s="10">
        <v>8.2853594913249295E-3</v>
      </c>
      <c r="F394" s="10">
        <v>1.1891023621131016</v>
      </c>
      <c r="H394">
        <v>0.51910075663291655</v>
      </c>
      <c r="I394" s="11">
        <f t="shared" si="6"/>
        <v>0.12564076936868251</v>
      </c>
      <c r="J394" s="11">
        <f>1/(H394*Utilities!$B$11)</f>
        <v>7.7056331528882946</v>
      </c>
      <c r="K394" s="11">
        <f>IF(B394&lt;C394,1,EXP(-1*(B394-C394)/(Utilities!$B$11*IterData!H394)))</f>
        <v>0.37978815148911166</v>
      </c>
    </row>
    <row r="395" spans="1:11" x14ac:dyDescent="0.3">
      <c r="A395">
        <v>394</v>
      </c>
      <c r="B395">
        <v>0.16719468371527238</v>
      </c>
      <c r="C395">
        <v>0.17703811579928869</v>
      </c>
      <c r="D395">
        <v>1</v>
      </c>
      <c r="E395" s="10">
        <v>8.2853594913249295E-3</v>
      </c>
      <c r="F395" s="10">
        <v>1.1891023621131016</v>
      </c>
      <c r="H395">
        <v>0.51872253631073995</v>
      </c>
      <c r="I395" s="11">
        <f t="shared" si="6"/>
        <v>-9.843432084016307E-3</v>
      </c>
      <c r="J395" s="11">
        <f>1/(H395*Utilities!$B$11)</f>
        <v>7.7112516229751895</v>
      </c>
      <c r="K395" s="11">
        <f>IF(B395&lt;C395,1,EXP(-1*(B395-C395)/(Utilities!$B$11*IterData!H395)))</f>
        <v>1</v>
      </c>
    </row>
    <row r="396" spans="1:11" x14ac:dyDescent="0.3">
      <c r="A396">
        <v>395</v>
      </c>
      <c r="B396">
        <v>0.12136567598767614</v>
      </c>
      <c r="C396">
        <v>0.16719468371527238</v>
      </c>
      <c r="D396">
        <v>1</v>
      </c>
      <c r="E396" s="10">
        <v>8.3162085873775965E-3</v>
      </c>
      <c r="F396" s="10">
        <v>1.1929878976695241</v>
      </c>
      <c r="H396">
        <v>0.51835180525272484</v>
      </c>
      <c r="I396" s="11">
        <f t="shared" si="6"/>
        <v>-4.5829007727596238E-2</v>
      </c>
      <c r="J396" s="11">
        <f>1/(H396*Utilities!$B$11)</f>
        <v>7.7167667971172227</v>
      </c>
      <c r="K396" s="11">
        <f>IF(B396&lt;C396,1,EXP(-1*(B396-C396)/(Utilities!$B$11*IterData!H396)))</f>
        <v>1</v>
      </c>
    </row>
    <row r="397" spans="1:11" x14ac:dyDescent="0.3">
      <c r="A397">
        <v>396</v>
      </c>
      <c r="B397">
        <v>0.20130341823633957</v>
      </c>
      <c r="C397">
        <v>0.12136567598767614</v>
      </c>
      <c r="D397">
        <v>0.53940226540678826</v>
      </c>
      <c r="E397" s="10">
        <v>8.5295178891813851E-3</v>
      </c>
      <c r="F397" s="10">
        <v>1.280140882152107</v>
      </c>
      <c r="H397">
        <v>0.51798841516150484</v>
      </c>
      <c r="I397" s="11">
        <f t="shared" si="6"/>
        <v>7.9937742248663429E-2</v>
      </c>
      <c r="J397" s="11">
        <f>1/(H397*Utilities!$B$11)</f>
        <v>7.7221804251217288</v>
      </c>
      <c r="K397" s="11">
        <f>IF(B397&lt;C397,1,EXP(-1*(B397-C397)/(Utilities!$B$11*IterData!H397)))</f>
        <v>0.53940226540678826</v>
      </c>
    </row>
    <row r="398" spans="1:11" x14ac:dyDescent="0.3">
      <c r="A398">
        <v>397</v>
      </c>
      <c r="B398">
        <v>0.35260280561697838</v>
      </c>
      <c r="C398">
        <v>0.12136567598767614</v>
      </c>
      <c r="D398">
        <v>0.16748129834443126</v>
      </c>
      <c r="E398" s="10">
        <v>8.5295178891813851E-3</v>
      </c>
      <c r="F398" s="10">
        <v>1.280140882152107</v>
      </c>
      <c r="H398">
        <v>0.51763222067619818</v>
      </c>
      <c r="I398" s="11">
        <f t="shared" si="6"/>
        <v>0.23123712962930223</v>
      </c>
      <c r="J398" s="11">
        <f>1/(H398*Utilities!$B$11)</f>
        <v>7.727494232825542</v>
      </c>
      <c r="K398" s="11">
        <f>IF(B398&lt;C398,1,EXP(-1*(B398-C398)/(Utilities!$B$11*IterData!H398)))</f>
        <v>0.16748129834443126</v>
      </c>
    </row>
    <row r="399" spans="1:11" x14ac:dyDescent="0.3">
      <c r="A399">
        <v>398</v>
      </c>
      <c r="B399">
        <v>0.50783942351435807</v>
      </c>
      <c r="C399">
        <v>0.12136567598767614</v>
      </c>
      <c r="D399">
        <v>5.0363459228164299E-2</v>
      </c>
      <c r="E399" s="10">
        <v>8.5295178891813851E-3</v>
      </c>
      <c r="F399" s="10">
        <v>1.280140882152107</v>
      </c>
      <c r="H399">
        <v>0.51728307931426143</v>
      </c>
      <c r="I399" s="11">
        <f t="shared" si="6"/>
        <v>0.38647374752668195</v>
      </c>
      <c r="J399" s="11">
        <f>1/(H399*Utilities!$B$11)</f>
        <v>7.7327099222008524</v>
      </c>
      <c r="K399" s="11">
        <f>IF(B399&lt;C399,1,EXP(-1*(B399-C399)/(Utilities!$B$11*IterData!H399)))</f>
        <v>5.0363459228164299E-2</v>
      </c>
    </row>
    <row r="400" spans="1:11" x14ac:dyDescent="0.3">
      <c r="A400">
        <v>399</v>
      </c>
      <c r="B400">
        <v>0.19800113973495514</v>
      </c>
      <c r="C400">
        <v>0.12136567598767614</v>
      </c>
      <c r="D400">
        <v>0.55267114604932543</v>
      </c>
      <c r="E400" s="10">
        <v>8.5295178891813851E-3</v>
      </c>
      <c r="F400" s="10">
        <v>1.280140882152107</v>
      </c>
      <c r="H400">
        <v>0.51694085141449442</v>
      </c>
      <c r="I400" s="11">
        <f t="shared" si="6"/>
        <v>7.6635463747279003E-2</v>
      </c>
      <c r="J400" s="11">
        <f>1/(H400*Utilities!$B$11)</f>
        <v>7.7378291714707474</v>
      </c>
      <c r="K400" s="11">
        <f>IF(B400&lt;C400,1,EXP(-1*(B400-C400)/(Utilities!$B$11*IterData!H400)))</f>
        <v>0.55267114604932543</v>
      </c>
    </row>
    <row r="401" spans="1:11" x14ac:dyDescent="0.3">
      <c r="A401">
        <v>400</v>
      </c>
      <c r="B401">
        <v>0.19443721401937011</v>
      </c>
      <c r="C401">
        <v>0.12136567598767614</v>
      </c>
      <c r="D401">
        <v>0.56791573571495668</v>
      </c>
      <c r="E401" s="10">
        <v>8.5295178891813851E-3</v>
      </c>
      <c r="F401" s="10">
        <v>1.280140882152107</v>
      </c>
      <c r="H401">
        <v>0.51660540008117428</v>
      </c>
      <c r="I401" s="11">
        <f t="shared" si="6"/>
        <v>7.3071538031693972E-2</v>
      </c>
      <c r="J401" s="11">
        <f>1/(H401*Utilities!$B$11)</f>
        <v>7.7428536352339314</v>
      </c>
      <c r="K401" s="11">
        <f>IF(B401&lt;C401,1,EXP(-1*(B401-C401)/(Utilities!$B$11*IterData!H401)))</f>
        <v>0.56791573571495668</v>
      </c>
    </row>
    <row r="402" spans="1:11" x14ac:dyDescent="0.3">
      <c r="A402">
        <v>401</v>
      </c>
      <c r="B402">
        <v>0.53907652945100337</v>
      </c>
      <c r="C402">
        <v>0.19443721401937011</v>
      </c>
      <c r="D402">
        <v>6.9238978666039799E-2</v>
      </c>
      <c r="E402" s="10">
        <v>8.0876853766269855E-3</v>
      </c>
      <c r="F402" s="10">
        <v>1.1868884102818125</v>
      </c>
      <c r="H402">
        <v>0.51627659112929503</v>
      </c>
      <c r="I402" s="11">
        <f t="shared" si="6"/>
        <v>0.34463931543163329</v>
      </c>
      <c r="J402" s="11">
        <f>1/(H402*Utilities!$B$11)</f>
        <v>7.7477849445981368</v>
      </c>
      <c r="K402" s="11">
        <f>IF(B402&lt;C402,1,EXP(-1*(B402-C402)/(Utilities!$B$11*IterData!H402)))</f>
        <v>6.9238978666039772E-2</v>
      </c>
    </row>
    <row r="403" spans="1:11" x14ac:dyDescent="0.3">
      <c r="A403">
        <v>402</v>
      </c>
      <c r="B403">
        <v>9.7810628567429031E-2</v>
      </c>
      <c r="C403">
        <v>0.19443721401937011</v>
      </c>
      <c r="D403">
        <v>1</v>
      </c>
      <c r="E403" s="10">
        <v>8.0876853766269855E-3</v>
      </c>
      <c r="F403" s="10">
        <v>1.1868884102818125</v>
      </c>
      <c r="H403">
        <v>0.51595429303089146</v>
      </c>
      <c r="I403" s="11">
        <f t="shared" si="6"/>
        <v>-9.6626585451941083E-2</v>
      </c>
      <c r="J403" s="11">
        <f>1/(H403*Utilities!$B$11)</f>
        <v>7.7526247073217203</v>
      </c>
      <c r="K403" s="11">
        <f>IF(B403&lt;C403,1,EXP(-1*(B403-C403)/(Utilities!$B$11*IterData!H403)))</f>
        <v>1</v>
      </c>
    </row>
    <row r="404" spans="1:11" x14ac:dyDescent="0.3">
      <c r="A404">
        <v>403</v>
      </c>
      <c r="B404">
        <v>0.25133139327608717</v>
      </c>
      <c r="C404">
        <v>9.7810628567429031E-2</v>
      </c>
      <c r="D404">
        <v>0.30394209685365609</v>
      </c>
      <c r="E404" s="10">
        <v>7.1187769162497439E-3</v>
      </c>
      <c r="F404" s="10">
        <v>1.2970634426449996</v>
      </c>
      <c r="H404">
        <v>0.51563837686242697</v>
      </c>
      <c r="I404" s="11">
        <f t="shared" si="6"/>
        <v>0.15352076470865814</v>
      </c>
      <c r="J404" s="11">
        <f>1/(H404*Utilities!$B$11)</f>
        <v>7.7573745079629814</v>
      </c>
      <c r="K404" s="11">
        <f>IF(B404&lt;C404,1,EXP(-1*(B404-C404)/(Utilities!$B$11*IterData!H404)))</f>
        <v>0.30394209685365609</v>
      </c>
    </row>
    <row r="405" spans="1:11" x14ac:dyDescent="0.3">
      <c r="A405">
        <v>404</v>
      </c>
      <c r="B405">
        <v>9.7491288899526213E-2</v>
      </c>
      <c r="C405">
        <v>9.7810628567429031E-2</v>
      </c>
      <c r="D405">
        <v>1</v>
      </c>
      <c r="E405" s="10">
        <v>7.1187769162497439E-3</v>
      </c>
      <c r="F405" s="10">
        <v>1.2970634426449996</v>
      </c>
      <c r="H405">
        <v>0.51532871625322196</v>
      </c>
      <c r="I405" s="11">
        <f t="shared" si="6"/>
        <v>-3.193396679028182E-4</v>
      </c>
      <c r="J405" s="11">
        <f>1/(H405*Utilities!$B$11)</f>
        <v>7.7620359080367685</v>
      </c>
      <c r="K405" s="11">
        <f>IF(B405&lt;C405,1,EXP(-1*(B405-C405)/(Utilities!$B$11*IterData!H405)))</f>
        <v>1</v>
      </c>
    </row>
    <row r="406" spans="1:11" x14ac:dyDescent="0.3">
      <c r="A406">
        <v>405</v>
      </c>
      <c r="B406">
        <v>0.15612000780956239</v>
      </c>
      <c r="C406">
        <v>9.7491288899526213E-2</v>
      </c>
      <c r="D406">
        <v>0.63422822008310753</v>
      </c>
      <c r="E406" s="10">
        <v>5.7516706162935713E-3</v>
      </c>
      <c r="F406" s="10">
        <v>1.3781067908300961</v>
      </c>
      <c r="H406">
        <v>0.51502518733490388</v>
      </c>
      <c r="I406" s="11">
        <f t="shared" si="6"/>
        <v>5.8628718910036182E-2</v>
      </c>
      <c r="J406" s="11">
        <f>1/(H406*Utilities!$B$11)</f>
        <v>7.7666104461779106</v>
      </c>
      <c r="K406" s="11">
        <f>IF(B406&lt;C406,1,EXP(-1*(B406-C406)/(Utilities!$B$11*IterData!H406)))</f>
        <v>0.63422822008310753</v>
      </c>
    </row>
    <row r="407" spans="1:11" x14ac:dyDescent="0.3">
      <c r="A407">
        <v>406</v>
      </c>
      <c r="B407">
        <v>0.3007568515932294</v>
      </c>
      <c r="C407">
        <v>0.15612000780956239</v>
      </c>
      <c r="D407">
        <v>0.32498140150975441</v>
      </c>
      <c r="E407" s="10">
        <v>4.8817296167192143E-3</v>
      </c>
      <c r="F407" s="10">
        <v>1.3141662150428082</v>
      </c>
      <c r="H407">
        <v>0.51472766869185826</v>
      </c>
      <c r="I407" s="11">
        <f t="shared" si="6"/>
        <v>0.14463684378366701</v>
      </c>
      <c r="J407" s="11">
        <f>1/(H407*Utilities!$B$11)</f>
        <v>7.7710996383110702</v>
      </c>
      <c r="K407" s="11">
        <f>IF(B407&lt;C407,1,EXP(-1*(B407-C407)/(Utilities!$B$11*IterData!H407)))</f>
        <v>0.32498140150975441</v>
      </c>
    </row>
    <row r="408" spans="1:11" x14ac:dyDescent="0.3">
      <c r="A408">
        <v>407</v>
      </c>
      <c r="B408">
        <v>0.26771707567980207</v>
      </c>
      <c r="C408">
        <v>0.15612000780956239</v>
      </c>
      <c r="D408">
        <v>0.41990635504819207</v>
      </c>
      <c r="E408" s="10">
        <v>4.8817296167192143E-3</v>
      </c>
      <c r="F408" s="10">
        <v>1.3141662150428082</v>
      </c>
      <c r="H408">
        <v>0.51443604131266085</v>
      </c>
      <c r="I408" s="11">
        <f t="shared" si="6"/>
        <v>0.11159706787023968</v>
      </c>
      <c r="J408" s="11">
        <f>1/(H408*Utilities!$B$11)</f>
        <v>7.7755049778265901</v>
      </c>
      <c r="K408" s="11">
        <f>IF(B408&lt;C408,1,EXP(-1*(B408-C408)/(Utilities!$B$11*IterData!H408)))</f>
        <v>0.41990635504819207</v>
      </c>
    </row>
    <row r="409" spans="1:11" x14ac:dyDescent="0.3">
      <c r="A409">
        <v>408</v>
      </c>
      <c r="B409">
        <v>0.14276349661533716</v>
      </c>
      <c r="C409">
        <v>0.26771707567980207</v>
      </c>
      <c r="D409">
        <v>1</v>
      </c>
      <c r="E409" s="10">
        <v>6.1184570059101316E-3</v>
      </c>
      <c r="F409" s="10">
        <v>1.2247269568289281</v>
      </c>
      <c r="H409">
        <v>0.51415018854247174</v>
      </c>
      <c r="I409" s="11">
        <f t="shared" si="6"/>
        <v>-0.12495357906446491</v>
      </c>
      <c r="J409" s="11">
        <f>1/(H409*Utilities!$B$11)</f>
        <v>7.7798279357619595</v>
      </c>
      <c r="K409" s="11">
        <f>IF(B409&lt;C409,1,EXP(-1*(B409-C409)/(Utilities!$B$11*IterData!H409)))</f>
        <v>1</v>
      </c>
    </row>
    <row r="410" spans="1:11" x14ac:dyDescent="0.3">
      <c r="A410">
        <v>409</v>
      </c>
      <c r="B410">
        <v>1.4178408541857053</v>
      </c>
      <c r="C410">
        <v>0.14276349661533716</v>
      </c>
      <c r="D410">
        <v>4.8921609012363388E-5</v>
      </c>
      <c r="E410" s="10">
        <v>6.7186710211573847E-3</v>
      </c>
      <c r="F410" s="10">
        <v>1.3727454213900951</v>
      </c>
      <c r="H410">
        <v>0.51386999603637129</v>
      </c>
      <c r="I410" s="11">
        <f t="shared" si="6"/>
        <v>1.275077357570368</v>
      </c>
      <c r="J410" s="11">
        <f>1/(H410*Utilities!$B$11)</f>
        <v>7.7840699609885053</v>
      </c>
      <c r="K410" s="11">
        <f>IF(B410&lt;C410,1,EXP(-1*(B410-C410)/(Utilities!$B$11*IterData!H410)))</f>
        <v>4.8921609012363476E-5</v>
      </c>
    </row>
    <row r="411" spans="1:11" x14ac:dyDescent="0.3">
      <c r="A411">
        <v>410</v>
      </c>
      <c r="B411">
        <v>0.458129605335933</v>
      </c>
      <c r="C411">
        <v>0.14276349661533716</v>
      </c>
      <c r="D411">
        <v>8.5764975125093193E-2</v>
      </c>
      <c r="E411" s="10">
        <v>6.7186710211573847E-3</v>
      </c>
      <c r="F411" s="10">
        <v>1.3727454213900951</v>
      </c>
      <c r="H411">
        <v>0.51359535171362103</v>
      </c>
      <c r="I411" s="11">
        <f t="shared" si="6"/>
        <v>0.31536610872059584</v>
      </c>
      <c r="J411" s="11">
        <f>1/(H411*Utilities!$B$11)</f>
        <v>7.7882324804029492</v>
      </c>
      <c r="K411" s="11">
        <f>IF(B411&lt;C411,1,EXP(-1*(B411-C411)/(Utilities!$B$11*IterData!H411)))</f>
        <v>8.5764975125093193E-2</v>
      </c>
    </row>
    <row r="412" spans="1:11" x14ac:dyDescent="0.3">
      <c r="A412">
        <v>411</v>
      </c>
      <c r="B412">
        <v>0.30500383441607076</v>
      </c>
      <c r="C412">
        <v>0.14276349661533716</v>
      </c>
      <c r="D412">
        <v>0.28245723342435414</v>
      </c>
      <c r="E412" s="10">
        <v>6.7186710211573847E-3</v>
      </c>
      <c r="F412" s="10">
        <v>1.3727454213900951</v>
      </c>
      <c r="H412">
        <v>0.51332614571283008</v>
      </c>
      <c r="I412" s="11">
        <f t="shared" si="6"/>
        <v>0.1622403378007336</v>
      </c>
      <c r="J412" s="11">
        <f>1/(H412*Utilities!$B$11)</f>
        <v>7.792316899123465</v>
      </c>
      <c r="K412" s="11">
        <f>IF(B412&lt;C412,1,EXP(-1*(B412-C412)/(Utilities!$B$11*IterData!H412)))</f>
        <v>0.28245723342435414</v>
      </c>
    </row>
    <row r="413" spans="1:11" x14ac:dyDescent="0.3">
      <c r="A413">
        <v>412</v>
      </c>
      <c r="B413">
        <v>0.16728058845185798</v>
      </c>
      <c r="C413">
        <v>0.14276349661533716</v>
      </c>
      <c r="D413">
        <v>0.82601428929477749</v>
      </c>
      <c r="E413" s="10">
        <v>6.7186710211573847E-3</v>
      </c>
      <c r="F413" s="10">
        <v>1.3727454213900951</v>
      </c>
      <c r="H413">
        <v>0.51306227034800855</v>
      </c>
      <c r="I413" s="11">
        <f t="shared" si="6"/>
        <v>2.4517091836520816E-2</v>
      </c>
      <c r="J413" s="11">
        <f>1/(H413*Utilities!$B$11)</f>
        <v>7.7963246006899167</v>
      </c>
      <c r="K413" s="11">
        <f>IF(B413&lt;C413,1,EXP(-1*(B413-C413)/(Utilities!$B$11*IterData!H413)))</f>
        <v>0.82601428929477749</v>
      </c>
    </row>
    <row r="414" spans="1:11" x14ac:dyDescent="0.3">
      <c r="A414">
        <v>413</v>
      </c>
      <c r="B414">
        <v>0.61628681308718558</v>
      </c>
      <c r="C414">
        <v>0.16728058845185798</v>
      </c>
      <c r="D414">
        <v>3.0126083437785698E-2</v>
      </c>
      <c r="E414" s="10">
        <v>6.583580424774596E-3</v>
      </c>
      <c r="F414" s="10">
        <v>1.2433001484656792</v>
      </c>
      <c r="H414">
        <v>0.51280362006549218</v>
      </c>
      <c r="I414" s="11">
        <f t="shared" si="6"/>
        <v>0.44900622463532758</v>
      </c>
      <c r="J414" s="11">
        <f>1/(H414*Utilities!$B$11)</f>
        <v>7.8002569472679308</v>
      </c>
      <c r="K414" s="11">
        <f>IF(B414&lt;C414,1,EXP(-1*(B414-C414)/(Utilities!$B$11*IterData!H414)))</f>
        <v>3.0126083437785712E-2</v>
      </c>
    </row>
    <row r="415" spans="1:11" x14ac:dyDescent="0.3">
      <c r="A415">
        <v>414</v>
      </c>
      <c r="B415">
        <v>0.35996209987370836</v>
      </c>
      <c r="C415">
        <v>0.16728058845185798</v>
      </c>
      <c r="D415">
        <v>0.22230416384668047</v>
      </c>
      <c r="E415" s="10">
        <v>6.583580424774596E-3</v>
      </c>
      <c r="F415" s="10">
        <v>1.2433001484656792</v>
      </c>
      <c r="H415">
        <v>0.51255009140171914</v>
      </c>
      <c r="I415" s="11">
        <f t="shared" si="6"/>
        <v>0.19268151142185039</v>
      </c>
      <c r="J415" s="11">
        <f>1/(H415*Utilities!$B$11)</f>
        <v>7.8041152798564957</v>
      </c>
      <c r="K415" s="11">
        <f>IF(B415&lt;C415,1,EXP(-1*(B415-C415)/(Utilities!$B$11*IterData!H415)))</f>
        <v>0.22230416384668047</v>
      </c>
    </row>
    <row r="416" spans="1:11" x14ac:dyDescent="0.3">
      <c r="A416">
        <v>415</v>
      </c>
      <c r="B416">
        <v>1.2146590291065649</v>
      </c>
      <c r="C416">
        <v>0.16728058845185798</v>
      </c>
      <c r="D416">
        <v>2.8081145603378675E-4</v>
      </c>
      <c r="E416" s="10">
        <v>6.583580424774596E-3</v>
      </c>
      <c r="F416" s="10">
        <v>1.2433001484656792</v>
      </c>
      <c r="H416">
        <v>0.51230158294184358</v>
      </c>
      <c r="I416" s="11">
        <f t="shared" si="6"/>
        <v>1.0473784406547069</v>
      </c>
      <c r="J416" s="11">
        <f>1/(H416*Utilities!$B$11)</f>
        <v>7.8079009184987811</v>
      </c>
      <c r="K416" s="11">
        <f>IF(B416&lt;C416,1,EXP(-1*(B416-C416)/(Utilities!$B$11*IterData!H416)))</f>
        <v>2.8081145603378675E-4</v>
      </c>
    </row>
    <row r="417" spans="1:11" x14ac:dyDescent="0.3">
      <c r="A417">
        <v>416</v>
      </c>
      <c r="B417">
        <v>9.7341669169699482E-2</v>
      </c>
      <c r="C417">
        <v>0.16728058845185798</v>
      </c>
      <c r="D417">
        <v>1</v>
      </c>
      <c r="E417" s="10">
        <v>6.583580424774596E-3</v>
      </c>
      <c r="F417" s="10">
        <v>1.2433001484656792</v>
      </c>
      <c r="H417">
        <v>0.51205799527916818</v>
      </c>
      <c r="I417" s="11">
        <f t="shared" si="6"/>
        <v>-6.9938919282158493E-2</v>
      </c>
      <c r="J417" s="11">
        <f>1/(H417*Utilities!$B$11)</f>
        <v>7.8116151624958921</v>
      </c>
      <c r="K417" s="11">
        <f>IF(B417&lt;C417,1,EXP(-1*(B417-C417)/(Utilities!$B$11*IterData!H417)))</f>
        <v>1</v>
      </c>
    </row>
    <row r="418" spans="1:11" x14ac:dyDescent="0.3">
      <c r="A418">
        <v>417</v>
      </c>
      <c r="B418">
        <v>0.21840633655934344</v>
      </c>
      <c r="C418">
        <v>9.7341669169699482E-2</v>
      </c>
      <c r="D418">
        <v>0.38823216046609649</v>
      </c>
      <c r="E418" s="10">
        <v>5.9941772703265544E-3</v>
      </c>
      <c r="F418" s="10">
        <v>1.3111259935267203</v>
      </c>
      <c r="H418">
        <v>0.51181923097537974</v>
      </c>
      <c r="I418" s="11">
        <f t="shared" si="6"/>
        <v>0.12106466738964396</v>
      </c>
      <c r="J418" s="11">
        <f>1/(H418*Utilities!$B$11)</f>
        <v>7.8152592906232821</v>
      </c>
      <c r="K418" s="11">
        <f>IF(B418&lt;C418,1,EXP(-1*(B418-C418)/(Utilities!$B$11*IterData!H418)))</f>
        <v>0.38823216046609649</v>
      </c>
    </row>
    <row r="419" spans="1:11" x14ac:dyDescent="0.3">
      <c r="A419">
        <v>418</v>
      </c>
      <c r="B419">
        <v>0.785793081934133</v>
      </c>
      <c r="C419">
        <v>0.21840633655934344</v>
      </c>
      <c r="D419">
        <v>1.1839627698690357E-2</v>
      </c>
      <c r="E419" s="10">
        <v>6.5884980471064463E-3</v>
      </c>
      <c r="F419" s="10">
        <v>1.4217221014569794</v>
      </c>
      <c r="H419">
        <v>0.51158519452157336</v>
      </c>
      <c r="I419" s="11">
        <f t="shared" si="6"/>
        <v>0.56738674537478961</v>
      </c>
      <c r="J419" s="11">
        <f>1/(H419*Utilities!$B$11)</f>
        <v>7.8188345613495303</v>
      </c>
      <c r="K419" s="11">
        <f>IF(B419&lt;C419,1,EXP(-1*(B419-C419)/(Utilities!$B$11*IterData!H419)))</f>
        <v>1.1839627698690357E-2</v>
      </c>
    </row>
    <row r="420" spans="1:11" x14ac:dyDescent="0.3">
      <c r="A420">
        <v>419</v>
      </c>
      <c r="B420">
        <v>0.47994290262383138</v>
      </c>
      <c r="C420">
        <v>0.21840633655934344</v>
      </c>
      <c r="D420">
        <v>0.12927304016908578</v>
      </c>
      <c r="E420" s="10">
        <v>6.5884980471064463E-3</v>
      </c>
      <c r="F420" s="10">
        <v>1.4217221014569794</v>
      </c>
      <c r="H420">
        <v>0.5113557923000468</v>
      </c>
      <c r="I420" s="11">
        <f t="shared" si="6"/>
        <v>0.26153656606448794</v>
      </c>
      <c r="J420" s="11">
        <f>1/(H420*Utilities!$B$11)</f>
        <v>7.8223422130572668</v>
      </c>
      <c r="K420" s="11">
        <f>IF(B420&lt;C420,1,EXP(-1*(B420-C420)/(Utilities!$B$11*IterData!H420)))</f>
        <v>0.12927304016908578</v>
      </c>
    </row>
    <row r="421" spans="1:11" x14ac:dyDescent="0.3">
      <c r="A421">
        <v>420</v>
      </c>
      <c r="B421">
        <v>0.28036708625303941</v>
      </c>
      <c r="C421">
        <v>0.21840633655934344</v>
      </c>
      <c r="D421">
        <v>0.61576405871513784</v>
      </c>
      <c r="E421" s="10">
        <v>6.5884980471064463E-3</v>
      </c>
      <c r="F421" s="10">
        <v>1.4217221014569794</v>
      </c>
      <c r="H421">
        <v>0.51113093254685293</v>
      </c>
      <c r="I421" s="11">
        <f t="shared" si="6"/>
        <v>6.1960749693695971E-2</v>
      </c>
      <c r="J421" s="11">
        <f>1/(H421*Utilities!$B$11)</f>
        <v>7.8257834642659567</v>
      </c>
      <c r="K421" s="11">
        <f>IF(B421&lt;C421,1,EXP(-1*(B421-C421)/(Utilities!$B$11*IterData!H421)))</f>
        <v>0.61576405871513784</v>
      </c>
    </row>
    <row r="422" spans="1:11" x14ac:dyDescent="0.3">
      <c r="A422">
        <v>421</v>
      </c>
      <c r="B422">
        <v>0.27951889961677545</v>
      </c>
      <c r="C422">
        <v>0.28036708625303941</v>
      </c>
      <c r="D422">
        <v>1</v>
      </c>
      <c r="E422" s="10">
        <v>6.9907674451288844E-3</v>
      </c>
      <c r="F422" s="10">
        <v>1.1912006590750288</v>
      </c>
      <c r="H422">
        <v>0.51091052531509229</v>
      </c>
      <c r="I422" s="11">
        <f t="shared" si="6"/>
        <v>-8.4818663626395896E-4</v>
      </c>
      <c r="J422" s="11">
        <f>1/(H422*Utilities!$B$11)</f>
        <v>7.8291595138563492</v>
      </c>
      <c r="K422" s="11">
        <f>IF(B422&lt;C422,1,EXP(-1*(B422-C422)/(Utilities!$B$11*IterData!H422)))</f>
        <v>1</v>
      </c>
    </row>
    <row r="423" spans="1:11" x14ac:dyDescent="0.3">
      <c r="A423">
        <v>422</v>
      </c>
      <c r="B423">
        <v>8.9467855117964623E-2</v>
      </c>
      <c r="C423">
        <v>0.27951889961677545</v>
      </c>
      <c r="D423">
        <v>1</v>
      </c>
      <c r="E423" s="10">
        <v>6.6575322041153E-3</v>
      </c>
      <c r="F423" s="10">
        <v>1.4465830235596493</v>
      </c>
      <c r="H423">
        <v>0.51069448243893323</v>
      </c>
      <c r="I423" s="11">
        <f t="shared" si="6"/>
        <v>-0.19005104449881083</v>
      </c>
      <c r="J423" s="11">
        <f>1/(H423*Utilities!$B$11)</f>
        <v>7.8324715412963242</v>
      </c>
      <c r="K423" s="11">
        <f>IF(B423&lt;C423,1,EXP(-1*(B423-C423)/(Utilities!$B$11*IterData!H423)))</f>
        <v>1</v>
      </c>
    </row>
    <row r="424" spans="1:11" x14ac:dyDescent="0.3">
      <c r="A424">
        <v>423</v>
      </c>
      <c r="B424">
        <v>0.26683838462467924</v>
      </c>
      <c r="C424">
        <v>8.9467855117964623E-2</v>
      </c>
      <c r="D424">
        <v>0.2491186647334705</v>
      </c>
      <c r="E424" s="10">
        <v>5.1711389278446766E-3</v>
      </c>
      <c r="F424" s="10">
        <v>1.3481180566276108</v>
      </c>
      <c r="H424">
        <v>0.51048271749834473</v>
      </c>
      <c r="I424" s="11">
        <f t="shared" si="6"/>
        <v>0.17737052950671461</v>
      </c>
      <c r="J424" s="11">
        <f>1/(H424*Utilities!$B$11)</f>
        <v>7.8357207068679466</v>
      </c>
      <c r="K424" s="11">
        <f>IF(B424&lt;C424,1,EXP(-1*(B424-C424)/(Utilities!$B$11*IterData!H424)))</f>
        <v>0.2491186647334705</v>
      </c>
    </row>
    <row r="425" spans="1:11" x14ac:dyDescent="0.3">
      <c r="A425">
        <v>424</v>
      </c>
      <c r="B425">
        <v>8.0523272915453289E-2</v>
      </c>
      <c r="C425">
        <v>8.9467855117964623E-2</v>
      </c>
      <c r="D425">
        <v>1</v>
      </c>
      <c r="E425" s="10">
        <v>5.1711389278446766E-3</v>
      </c>
      <c r="F425" s="10">
        <v>1.3481180566276108</v>
      </c>
      <c r="H425">
        <v>0.51027514578452704</v>
      </c>
      <c r="I425" s="11">
        <f t="shared" si="6"/>
        <v>-8.9445822025113336E-3</v>
      </c>
      <c r="J425" s="11">
        <f>1/(H425*Utilities!$B$11)</f>
        <v>7.8389081518955122</v>
      </c>
      <c r="K425" s="11">
        <f>IF(B425&lt;C425,1,EXP(-1*(B425-C425)/(Utilities!$B$11*IterData!H425)))</f>
        <v>1</v>
      </c>
    </row>
    <row r="426" spans="1:11" x14ac:dyDescent="0.3">
      <c r="A426">
        <v>425</v>
      </c>
      <c r="B426">
        <v>0.59319013040525537</v>
      </c>
      <c r="C426">
        <v>8.0523272915453289E-2</v>
      </c>
      <c r="D426">
        <v>1.7946656671534177E-2</v>
      </c>
      <c r="E426" s="10">
        <v>5.1077647784377941E-3</v>
      </c>
      <c r="F426" s="10">
        <v>1.3836257138276533</v>
      </c>
      <c r="H426">
        <v>0.51007168426602689</v>
      </c>
      <c r="I426" s="11">
        <f t="shared" si="6"/>
        <v>0.51266685748980212</v>
      </c>
      <c r="J426" s="11">
        <f>1/(H426*Utilities!$B$11)</f>
        <v>7.8420349989743947</v>
      </c>
      <c r="K426" s="11">
        <f>IF(B426&lt;C426,1,EXP(-1*(B426-C426)/(Utilities!$B$11*IterData!H426)))</f>
        <v>1.7946656671534177E-2</v>
      </c>
    </row>
    <row r="427" spans="1:11" x14ac:dyDescent="0.3">
      <c r="A427">
        <v>426</v>
      </c>
      <c r="B427">
        <v>0.28052779608657447</v>
      </c>
      <c r="C427">
        <v>8.0523272915453289E-2</v>
      </c>
      <c r="D427">
        <v>0.20824167906990509</v>
      </c>
      <c r="E427" s="10">
        <v>5.1077647784377941E-3</v>
      </c>
      <c r="F427" s="10">
        <v>1.3836257138276533</v>
      </c>
      <c r="H427">
        <v>0.50987225155552407</v>
      </c>
      <c r="I427" s="11">
        <f t="shared" si="6"/>
        <v>0.20000452317112116</v>
      </c>
      <c r="J427" s="11">
        <f>1/(H427*Utilities!$B$11)</f>
        <v>7.8451023522004864</v>
      </c>
      <c r="K427" s="11">
        <f>IF(B427&lt;C427,1,EXP(-1*(B427-C427)/(Utilities!$B$11*IterData!H427)))</f>
        <v>0.20824167906990515</v>
      </c>
    </row>
    <row r="428" spans="1:11" x14ac:dyDescent="0.3">
      <c r="A428">
        <v>427</v>
      </c>
      <c r="B428">
        <v>0.23634273130912498</v>
      </c>
      <c r="C428">
        <v>0.28052779608657447</v>
      </c>
      <c r="D428">
        <v>1</v>
      </c>
      <c r="E428" s="10">
        <v>4.200593901556738E-3</v>
      </c>
      <c r="F428" s="10">
        <v>1.5787148747279727</v>
      </c>
      <c r="H428">
        <v>0.50967676787727523</v>
      </c>
      <c r="I428" s="11">
        <f t="shared" si="6"/>
        <v>-4.418506477744949E-2</v>
      </c>
      <c r="J428" s="11">
        <f>1/(H428*Utilities!$B$11)</f>
        <v>7.8481112974000764</v>
      </c>
      <c r="K428" s="11">
        <f>IF(B428&lt;C428,1,EXP(-1*(B428-C428)/(Utilities!$B$11*IterData!H428)))</f>
        <v>1</v>
      </c>
    </row>
    <row r="429" spans="1:11" x14ac:dyDescent="0.3">
      <c r="A429">
        <v>428</v>
      </c>
      <c r="B429">
        <v>7.2469778632103618E-2</v>
      </c>
      <c r="C429">
        <v>0.23634273130912498</v>
      </c>
      <c r="D429">
        <v>1</v>
      </c>
      <c r="E429" s="10">
        <v>5.5693428019375065E-3</v>
      </c>
      <c r="F429" s="10">
        <v>1.2551802455616639</v>
      </c>
      <c r="H429">
        <v>0.50948515503520264</v>
      </c>
      <c r="I429" s="11">
        <f t="shared" si="6"/>
        <v>-0.16387295267702134</v>
      </c>
      <c r="J429" s="11">
        <f>1/(H429*Utilities!$B$11)</f>
        <v>7.8510629023599749</v>
      </c>
      <c r="K429" s="11">
        <f>IF(B429&lt;C429,1,EXP(-1*(B429-C429)/(Utilities!$B$11*IterData!H429)))</f>
        <v>1</v>
      </c>
    </row>
    <row r="430" spans="1:11" x14ac:dyDescent="0.3">
      <c r="A430">
        <v>429</v>
      </c>
      <c r="B430">
        <v>8.0344211706759275E-2</v>
      </c>
      <c r="C430">
        <v>7.2469778632103618E-2</v>
      </c>
      <c r="D430">
        <v>0.94002813966590448</v>
      </c>
      <c r="E430" s="10">
        <v>4.196937716827014E-3</v>
      </c>
      <c r="F430" s="10">
        <v>1.4377527003460862</v>
      </c>
      <c r="H430">
        <v>0.50929733638161445</v>
      </c>
      <c r="I430" s="11">
        <f t="shared" si="6"/>
        <v>7.8744330746556568E-3</v>
      </c>
      <c r="J430" s="11">
        <f>1/(H430*Utilities!$B$11)</f>
        <v>7.8539582170577384</v>
      </c>
      <c r="K430" s="11">
        <f>IF(B430&lt;C430,1,EXP(-1*(B430-C430)/(Utilities!$B$11*IterData!H430)))</f>
        <v>0.94002813966590448</v>
      </c>
    </row>
    <row r="431" spans="1:11" x14ac:dyDescent="0.3">
      <c r="A431">
        <v>430</v>
      </c>
      <c r="B431">
        <v>0.75375008670799104</v>
      </c>
      <c r="C431">
        <v>8.0344211706759275E-2</v>
      </c>
      <c r="D431">
        <v>5.0376573506391263E-3</v>
      </c>
      <c r="E431" s="10">
        <v>4.8403304606857919E-3</v>
      </c>
      <c r="F431" s="10">
        <v>1.406072967485873</v>
      </c>
      <c r="H431">
        <v>0.50911323678654519</v>
      </c>
      <c r="I431" s="11">
        <f t="shared" si="6"/>
        <v>0.67340587500123172</v>
      </c>
      <c r="J431" s="11">
        <f>1/(H431*Utilities!$B$11)</f>
        <v>7.8567982738918092</v>
      </c>
      <c r="K431" s="11">
        <f>IF(B431&lt;C431,1,EXP(-1*(B431-C431)/(Utilities!$B$11*IterData!H431)))</f>
        <v>5.0376573506391307E-3</v>
      </c>
    </row>
    <row r="432" spans="1:11" x14ac:dyDescent="0.3">
      <c r="A432">
        <v>431</v>
      </c>
      <c r="B432">
        <v>0.34790929499707529</v>
      </c>
      <c r="C432">
        <v>8.0344211706759275E-2</v>
      </c>
      <c r="D432">
        <v>0.12209568100332142</v>
      </c>
      <c r="E432" s="10">
        <v>4.8403304606857919E-3</v>
      </c>
      <c r="F432" s="10">
        <v>1.406072967485873</v>
      </c>
      <c r="H432">
        <v>0.50893278260770192</v>
      </c>
      <c r="I432" s="11">
        <f t="shared" si="6"/>
        <v>0.26756508329031603</v>
      </c>
      <c r="J432" s="11">
        <f>1/(H432*Utilities!$B$11)</f>
        <v>7.8595840879114673</v>
      </c>
      <c r="K432" s="11">
        <f>IF(B432&lt;C432,1,EXP(-1*(B432-C432)/(Utilities!$B$11*IterData!H432)))</f>
        <v>0.12209568100332137</v>
      </c>
    </row>
    <row r="433" spans="1:11" x14ac:dyDescent="0.3">
      <c r="A433">
        <v>432</v>
      </c>
      <c r="B433">
        <v>0.43392022300535738</v>
      </c>
      <c r="C433">
        <v>8.0344211706759275E-2</v>
      </c>
      <c r="D433">
        <v>6.2043063456278372E-2</v>
      </c>
      <c r="E433" s="10">
        <v>4.8403304606857919E-3</v>
      </c>
      <c r="F433" s="10">
        <v>1.406072967485873</v>
      </c>
      <c r="H433">
        <v>0.50875590166100704</v>
      </c>
      <c r="I433" s="11">
        <f t="shared" si="6"/>
        <v>0.35357601129859811</v>
      </c>
      <c r="J433" s="11">
        <f>1/(H433*Utilities!$B$11)</f>
        <v>7.8623166570464083</v>
      </c>
      <c r="K433" s="11">
        <f>IF(B433&lt;C433,1,EXP(-1*(B433-C433)/(Utilities!$B$11*IterData!H433)))</f>
        <v>6.2043063456278372E-2</v>
      </c>
    </row>
    <row r="434" spans="1:11" x14ac:dyDescent="0.3">
      <c r="A434">
        <v>433</v>
      </c>
      <c r="B434">
        <v>0.31493665043590852</v>
      </c>
      <c r="C434">
        <v>8.0344211706759275E-2</v>
      </c>
      <c r="D434">
        <v>0.15801444627861286</v>
      </c>
      <c r="E434" s="10">
        <v>4.8403304606857919E-3</v>
      </c>
      <c r="F434" s="10">
        <v>1.406072967485873</v>
      </c>
      <c r="H434">
        <v>0.50858252319172348</v>
      </c>
      <c r="I434" s="11">
        <f t="shared" si="6"/>
        <v>0.23459243872914926</v>
      </c>
      <c r="J434" s="11">
        <f>1/(H434*Utilities!$B$11)</f>
        <v>7.8649969623358356</v>
      </c>
      <c r="K434" s="11">
        <f>IF(B434&lt;C434,1,EXP(-1*(B434-C434)/(Utilities!$B$11*IterData!H434)))</f>
        <v>0.15801444627861286</v>
      </c>
    </row>
    <row r="435" spans="1:11" x14ac:dyDescent="0.3">
      <c r="A435">
        <v>434</v>
      </c>
      <c r="B435">
        <v>0.57254965087382825</v>
      </c>
      <c r="C435">
        <v>8.0344211706759275E-2</v>
      </c>
      <c r="D435">
        <v>2.0806532171740375E-2</v>
      </c>
      <c r="E435" s="10">
        <v>4.8403304606857919E-3</v>
      </c>
      <c r="F435" s="10">
        <v>1.406072967485873</v>
      </c>
      <c r="H435">
        <v>0.5084125778461519</v>
      </c>
      <c r="I435" s="11">
        <f t="shared" si="6"/>
        <v>0.49220543916706899</v>
      </c>
      <c r="J435" s="11">
        <f>1/(H435*Utilities!$B$11)</f>
        <v>7.8676259681569469</v>
      </c>
      <c r="K435" s="11">
        <f>IF(B435&lt;C435,1,EXP(-1*(B435-C435)/(Utilities!$B$11*IterData!H435)))</f>
        <v>2.0806532171740375E-2</v>
      </c>
    </row>
    <row r="436" spans="1:11" x14ac:dyDescent="0.3">
      <c r="A436">
        <v>435</v>
      </c>
      <c r="B436">
        <v>0.22177301868529609</v>
      </c>
      <c r="C436">
        <v>8.0344211706759275E-2</v>
      </c>
      <c r="D436">
        <v>0.32854756716453398</v>
      </c>
      <c r="E436" s="10">
        <v>4.8403304606857919E-3</v>
      </c>
      <c r="F436" s="10">
        <v>1.406072967485873</v>
      </c>
      <c r="H436">
        <v>0.50824599764388789</v>
      </c>
      <c r="I436" s="11">
        <f t="shared" si="6"/>
        <v>0.14142880697853683</v>
      </c>
      <c r="J436" s="11">
        <f>1/(H436*Utilities!$B$11)</f>
        <v>7.8702046224526789</v>
      </c>
      <c r="K436" s="11">
        <f>IF(B436&lt;C436,1,EXP(-1*(B436-C436)/(Utilities!$B$11*IterData!H436)))</f>
        <v>0.32854756716453398</v>
      </c>
    </row>
    <row r="437" spans="1:11" x14ac:dyDescent="0.3">
      <c r="A437">
        <v>436</v>
      </c>
      <c r="B437">
        <v>8.3969248730216522E-2</v>
      </c>
      <c r="C437">
        <v>8.0344211706759275E-2</v>
      </c>
      <c r="D437">
        <v>0.97186443762974328</v>
      </c>
      <c r="E437" s="10">
        <v>4.8403304606857919E-3</v>
      </c>
      <c r="F437" s="10">
        <v>1.406072967485873</v>
      </c>
      <c r="H437">
        <v>0.50808271595062948</v>
      </c>
      <c r="I437" s="11">
        <f t="shared" si="6"/>
        <v>3.6250370234572477E-3</v>
      </c>
      <c r="J437" s="11">
        <f>1/(H437*Utilities!$B$11)</f>
        <v>7.8727338569586003</v>
      </c>
      <c r="K437" s="11">
        <f>IF(B437&lt;C437,1,EXP(-1*(B437-C437)/(Utilities!$B$11*IterData!H437)))</f>
        <v>0.97186443762974328</v>
      </c>
    </row>
    <row r="438" spans="1:11" x14ac:dyDescent="0.3">
      <c r="A438">
        <v>437</v>
      </c>
      <c r="B438">
        <v>0.72933074638277895</v>
      </c>
      <c r="C438">
        <v>8.3969248730216522E-2</v>
      </c>
      <c r="D438">
        <v>6.2052455978120801E-3</v>
      </c>
      <c r="E438" s="10">
        <v>4.5988732799592466E-3</v>
      </c>
      <c r="F438" s="10">
        <v>1.3770262659426646</v>
      </c>
      <c r="H438">
        <v>0.50792266745152237</v>
      </c>
      <c r="I438" s="11">
        <f t="shared" si="6"/>
        <v>0.64536149765256245</v>
      </c>
      <c r="J438" s="11">
        <f>1/(H438*Utilities!$B$11)</f>
        <v>7.8752145874288466</v>
      </c>
      <c r="K438" s="11">
        <f>IF(B438&lt;C438,1,EXP(-1*(B438-C438)/(Utilities!$B$11*IterData!H438)))</f>
        <v>6.2052455978120749E-3</v>
      </c>
    </row>
    <row r="439" spans="1:11" x14ac:dyDescent="0.3">
      <c r="A439">
        <v>438</v>
      </c>
      <c r="B439">
        <v>1.034085594141543</v>
      </c>
      <c r="C439">
        <v>8.3969248730216522E-2</v>
      </c>
      <c r="D439">
        <v>5.6162181797792129E-4</v>
      </c>
      <c r="E439" s="10">
        <v>4.5988732799592466E-3</v>
      </c>
      <c r="F439" s="10">
        <v>1.3770262659426646</v>
      </c>
      <c r="H439">
        <v>0.50776578812503281</v>
      </c>
      <c r="I439" s="11">
        <f t="shared" si="6"/>
        <v>0.9501163454113265</v>
      </c>
      <c r="J439" s="11">
        <f>1/(H439*Utilities!$B$11)</f>
        <v>7.8776477138610126</v>
      </c>
      <c r="K439" s="11">
        <f>IF(B439&lt;C439,1,EXP(-1*(B439-C439)/(Utilities!$B$11*IterData!H439)))</f>
        <v>5.6162181797792129E-4</v>
      </c>
    </row>
    <row r="440" spans="1:11" x14ac:dyDescent="0.3">
      <c r="A440">
        <v>439</v>
      </c>
      <c r="B440">
        <v>0.11398226970083593</v>
      </c>
      <c r="C440">
        <v>8.3969248730216522E-2</v>
      </c>
      <c r="D440">
        <v>0.78938301737764804</v>
      </c>
      <c r="E440" s="10">
        <v>4.5988732799592466E-3</v>
      </c>
      <c r="F440" s="10">
        <v>1.3770262659426646</v>
      </c>
      <c r="H440">
        <v>0.50761201521733856</v>
      </c>
      <c r="I440" s="11">
        <f t="shared" si="6"/>
        <v>3.0013020970619406E-2</v>
      </c>
      <c r="J440" s="11">
        <f>1/(H440*Utilities!$B$11)</f>
        <v>7.8800341207198663</v>
      </c>
      <c r="K440" s="11">
        <f>IF(B440&lt;C440,1,EXP(-1*(B440-C440)/(Utilities!$B$11*IterData!H440)))</f>
        <v>0.78938301737764804</v>
      </c>
    </row>
    <row r="441" spans="1:11" x14ac:dyDescent="0.3">
      <c r="A441">
        <v>440</v>
      </c>
      <c r="B441">
        <v>0.27486140126077258</v>
      </c>
      <c r="C441">
        <v>8.3969248730216522E-2</v>
      </c>
      <c r="D441">
        <v>0.22208758027236958</v>
      </c>
      <c r="E441" s="10">
        <v>4.5988732799592466E-3</v>
      </c>
      <c r="F441" s="10">
        <v>1.3770262659426646</v>
      </c>
      <c r="H441">
        <v>0.50746128721722605</v>
      </c>
      <c r="I441" s="11">
        <f t="shared" si="6"/>
        <v>0.19089215253055605</v>
      </c>
      <c r="J441" s="11">
        <f>1/(H441*Utilities!$B$11)</f>
        <v>7.8823746771598415</v>
      </c>
      <c r="K441" s="11">
        <f>IF(B441&lt;C441,1,EXP(-1*(B441-C441)/(Utilities!$B$11*IterData!H441)))</f>
        <v>0.22208758027236958</v>
      </c>
    </row>
    <row r="442" spans="1:11" x14ac:dyDescent="0.3">
      <c r="A442">
        <v>441</v>
      </c>
      <c r="B442">
        <v>0.43313933234153662</v>
      </c>
      <c r="C442">
        <v>0.27486140126077258</v>
      </c>
      <c r="D442">
        <v>0.28708719546756034</v>
      </c>
      <c r="E442" s="10">
        <v>4.9363307544046291E-3</v>
      </c>
      <c r="F442" s="10">
        <v>1.2713827015268495</v>
      </c>
      <c r="H442">
        <v>0.50731354383148564</v>
      </c>
      <c r="I442" s="11">
        <f t="shared" si="6"/>
        <v>0.15827793108076404</v>
      </c>
      <c r="J442" s="11">
        <f>1/(H442*Utilities!$B$11)</f>
        <v>7.8846702372461799</v>
      </c>
      <c r="K442" s="11">
        <f>IF(B442&lt;C442,1,EXP(-1*(B442-C442)/(Utilities!$B$11*IterData!H442)))</f>
        <v>0.28708719546756034</v>
      </c>
    </row>
    <row r="443" spans="1:11" x14ac:dyDescent="0.3">
      <c r="A443">
        <v>442</v>
      </c>
      <c r="B443">
        <v>0.42017347426273566</v>
      </c>
      <c r="C443">
        <v>0.27486140126077258</v>
      </c>
      <c r="D443">
        <v>0.31788521097718037</v>
      </c>
      <c r="E443" s="10">
        <v>4.9363307544046291E-3</v>
      </c>
      <c r="F443" s="10">
        <v>1.2713827015268495</v>
      </c>
      <c r="H443">
        <v>0.5071687259607931</v>
      </c>
      <c r="I443" s="11">
        <f t="shared" si="6"/>
        <v>0.14531207300196308</v>
      </c>
      <c r="J443" s="11">
        <f>1/(H443*Utilities!$B$11)</f>
        <v>7.8869216401746778</v>
      </c>
      <c r="K443" s="11">
        <f>IF(B443&lt;C443,1,EXP(-1*(B443-C443)/(Utilities!$B$11*IterData!H443)))</f>
        <v>0.31788521097718037</v>
      </c>
    </row>
    <row r="444" spans="1:11" x14ac:dyDescent="0.3">
      <c r="A444">
        <v>443</v>
      </c>
      <c r="B444">
        <v>0.11193056271955079</v>
      </c>
      <c r="C444">
        <v>0.27486140126077258</v>
      </c>
      <c r="D444">
        <v>1</v>
      </c>
      <c r="E444" s="10">
        <v>4.9363307544046291E-3</v>
      </c>
      <c r="F444" s="10">
        <v>1.2713827015268495</v>
      </c>
      <c r="H444">
        <v>0.50702677567606902</v>
      </c>
      <c r="I444" s="11">
        <f t="shared" si="6"/>
        <v>-0.16293083854122178</v>
      </c>
      <c r="J444" s="11">
        <f>1/(H444*Utilities!$B$11)</f>
        <v>7.8891297104899518</v>
      </c>
      <c r="K444" s="11">
        <f>IF(B444&lt;C444,1,EXP(-1*(B444-C444)/(Utilities!$B$11*IterData!H444)))</f>
        <v>1</v>
      </c>
    </row>
    <row r="445" spans="1:11" x14ac:dyDescent="0.3">
      <c r="A445">
        <v>444</v>
      </c>
      <c r="B445">
        <v>0.10853761926164077</v>
      </c>
      <c r="C445">
        <v>0.11193056271955079</v>
      </c>
      <c r="D445">
        <v>1</v>
      </c>
      <c r="E445" s="10">
        <v>4.3453800376330289E-3</v>
      </c>
      <c r="F445" s="10">
        <v>1.3633441893252833</v>
      </c>
      <c r="H445">
        <v>0.50688763619530708</v>
      </c>
      <c r="I445" s="11">
        <f t="shared" si="6"/>
        <v>-3.3929434579100248E-3</v>
      </c>
      <c r="J445" s="11">
        <f>1/(H445*Utilities!$B$11)</f>
        <v>7.8912952583021267</v>
      </c>
      <c r="K445" s="11">
        <f>IF(B445&lt;C445,1,EXP(-1*(B445-C445)/(Utilities!$B$11*IterData!H445)))</f>
        <v>1</v>
      </c>
    </row>
    <row r="446" spans="1:11" x14ac:dyDescent="0.3">
      <c r="A446">
        <v>445</v>
      </c>
      <c r="B446">
        <v>0.37275042545911069</v>
      </c>
      <c r="C446">
        <v>0.10853761926164077</v>
      </c>
      <c r="D446">
        <v>0.12423971358412435</v>
      </c>
      <c r="E446" s="10">
        <v>4.1601990968948149E-3</v>
      </c>
      <c r="F446" s="10">
        <v>1.4875488458532495</v>
      </c>
      <c r="H446">
        <v>0.50675125186085956</v>
      </c>
      <c r="I446" s="11">
        <f t="shared" si="6"/>
        <v>0.2642128061974699</v>
      </c>
      <c r="J446" s="11">
        <f>1/(H446*Utilities!$B$11)</f>
        <v>7.8934190795019363</v>
      </c>
      <c r="K446" s="11">
        <f>IF(B446&lt;C446,1,EXP(-1*(B446-C446)/(Utilities!$B$11*IterData!H446)))</f>
        <v>0.12423971358412435</v>
      </c>
    </row>
    <row r="447" spans="1:11" x14ac:dyDescent="0.3">
      <c r="A447">
        <v>446</v>
      </c>
      <c r="B447">
        <v>0.76137807063284502</v>
      </c>
      <c r="C447">
        <v>0.10853761926164077</v>
      </c>
      <c r="D447">
        <v>5.7733483658173063E-3</v>
      </c>
      <c r="E447" s="10">
        <v>4.1601990968948149E-3</v>
      </c>
      <c r="F447" s="10">
        <v>1.4875488458532495</v>
      </c>
      <c r="H447">
        <v>0.50661756811717429</v>
      </c>
      <c r="I447" s="11">
        <f t="shared" si="6"/>
        <v>0.65284045137120428</v>
      </c>
      <c r="J447" s="11">
        <f>1/(H447*Utilities!$B$11)</f>
        <v>7.8955019559741171</v>
      </c>
      <c r="K447" s="11">
        <f>IF(B447&lt;C447,1,EXP(-1*(B447-C447)/(Utilities!$B$11*IterData!H447)))</f>
        <v>5.7733483658173063E-3</v>
      </c>
    </row>
    <row r="448" spans="1:11" x14ac:dyDescent="0.3">
      <c r="A448">
        <v>447</v>
      </c>
      <c r="B448">
        <v>0.70347827862602064</v>
      </c>
      <c r="C448">
        <v>0.10853761926164077</v>
      </c>
      <c r="D448">
        <v>9.1082887818601955E-3</v>
      </c>
      <c r="E448" s="10">
        <v>4.1601990968948149E-3</v>
      </c>
      <c r="F448" s="10">
        <v>1.4875488458532495</v>
      </c>
      <c r="H448">
        <v>0.50648653148897138</v>
      </c>
      <c r="I448" s="11">
        <f t="shared" si="6"/>
        <v>0.5949406593643799</v>
      </c>
      <c r="J448" s="11">
        <f>1/(H448*Utilities!$B$11)</f>
        <v>7.8975446558090736</v>
      </c>
      <c r="K448" s="11">
        <f>IF(B448&lt;C448,1,EXP(-1*(B448-C448)/(Utilities!$B$11*IterData!H448)))</f>
        <v>9.1082887818601955E-3</v>
      </c>
    </row>
    <row r="449" spans="1:11" x14ac:dyDescent="0.3">
      <c r="A449">
        <v>448</v>
      </c>
      <c r="B449">
        <v>7.9317638773567692E-2</v>
      </c>
      <c r="C449">
        <v>0.10853761926164077</v>
      </c>
      <c r="D449">
        <v>1</v>
      </c>
      <c r="E449" s="10">
        <v>4.1601990968948149E-3</v>
      </c>
      <c r="F449" s="10">
        <v>1.4875488458532495</v>
      </c>
      <c r="H449">
        <v>0.50635808955985218</v>
      </c>
      <c r="I449" s="11">
        <f t="shared" si="6"/>
        <v>-2.9219980488073075E-2</v>
      </c>
      <c r="J449" s="11">
        <f>1/(H449*Utilities!$B$11)</f>
        <v>7.8995479335127614</v>
      </c>
      <c r="K449" s="11">
        <f>IF(B449&lt;C449,1,EXP(-1*(B449-C449)/(Utilities!$B$11*IterData!H449)))</f>
        <v>1</v>
      </c>
    </row>
    <row r="450" spans="1:11" x14ac:dyDescent="0.3">
      <c r="A450">
        <v>449</v>
      </c>
      <c r="B450">
        <v>0.31263666322747424</v>
      </c>
      <c r="C450">
        <v>7.9317638773567692E-2</v>
      </c>
      <c r="D450">
        <v>0.15825095309480278</v>
      </c>
      <c r="E450" s="10">
        <v>4.9818899417350361E-3</v>
      </c>
      <c r="F450" s="10">
        <v>1.3767483212683354</v>
      </c>
      <c r="H450">
        <v>0.50623219095133265</v>
      </c>
      <c r="I450" s="11">
        <f t="shared" si="6"/>
        <v>0.23331902445390656</v>
      </c>
      <c r="J450" s="11">
        <f>1/(H450*Utilities!$B$11)</f>
        <v>7.9015125302147089</v>
      </c>
      <c r="K450" s="11">
        <f>IF(B450&lt;C450,1,EXP(-1*(B450-C450)/(Utilities!$B$11*IterData!H450)))</f>
        <v>0.15825095309480278</v>
      </c>
    </row>
    <row r="451" spans="1:11" x14ac:dyDescent="0.3">
      <c r="A451">
        <v>450</v>
      </c>
      <c r="B451">
        <v>1.204311735413365</v>
      </c>
      <c r="C451">
        <v>7.9317638773567692E-2</v>
      </c>
      <c r="D451">
        <v>1.375776031167354E-4</v>
      </c>
      <c r="E451" s="10">
        <v>4.9818899417350361E-3</v>
      </c>
      <c r="F451" s="10">
        <v>1.3767483212683354</v>
      </c>
      <c r="H451">
        <v>0.50610878530229064</v>
      </c>
      <c r="I451" s="11">
        <f t="shared" ref="I451:I514" si="7">B451-C451</f>
        <v>1.1249940966397973</v>
      </c>
      <c r="J451" s="11">
        <f>1/(H451*Utilities!$B$11)</f>
        <v>7.9034391738741787</v>
      </c>
      <c r="K451" s="11">
        <f>IF(B451&lt;C451,1,EXP(-1*(B451-C451)/(Utilities!$B$11*IterData!H451)))</f>
        <v>1.375776031167354E-4</v>
      </c>
    </row>
    <row r="452" spans="1:11" x14ac:dyDescent="0.3">
      <c r="A452">
        <v>451</v>
      </c>
      <c r="B452">
        <v>0.1455752225053987</v>
      </c>
      <c r="C452">
        <v>7.9317638773567692E-2</v>
      </c>
      <c r="D452">
        <v>0.59227278172553732</v>
      </c>
      <c r="E452" s="10">
        <v>4.9818899417350361E-3</v>
      </c>
      <c r="F452" s="10">
        <v>1.3767483212683354</v>
      </c>
      <c r="H452">
        <v>0.50598782324882108</v>
      </c>
      <c r="I452" s="11">
        <f t="shared" si="7"/>
        <v>6.6257583731831007E-2</v>
      </c>
      <c r="J452" s="11">
        <f>1/(H452*Utilities!$B$11)</f>
        <v>7.9053285794843875</v>
      </c>
      <c r="K452" s="11">
        <f>IF(B452&lt;C452,1,EXP(-1*(B452-C452)/(Utilities!$B$11*IterData!H452)))</f>
        <v>0.59227278172553732</v>
      </c>
    </row>
    <row r="453" spans="1:11" x14ac:dyDescent="0.3">
      <c r="A453">
        <v>452</v>
      </c>
      <c r="B453">
        <v>0.15274777616137536</v>
      </c>
      <c r="C453">
        <v>7.9317638773567692E-2</v>
      </c>
      <c r="D453">
        <v>0.55954830431289027</v>
      </c>
      <c r="E453" s="10">
        <v>4.9818899417350361E-3</v>
      </c>
      <c r="F453" s="10">
        <v>1.3767483212683354</v>
      </c>
      <c r="H453">
        <v>0.50586925640448976</v>
      </c>
      <c r="I453" s="11">
        <f t="shared" si="7"/>
        <v>7.3430137387807667E-2</v>
      </c>
      <c r="J453" s="11">
        <f>1/(H453*Utilities!$B$11)</f>
        <v>7.9071814492747627</v>
      </c>
      <c r="K453" s="11">
        <f>IF(B453&lt;C453,1,EXP(-1*(B453-C453)/(Utilities!$B$11*IterData!H453)))</f>
        <v>0.55954830431289027</v>
      </c>
    </row>
    <row r="454" spans="1:11" x14ac:dyDescent="0.3">
      <c r="A454">
        <v>453</v>
      </c>
      <c r="B454">
        <v>0.24550754682976089</v>
      </c>
      <c r="C454">
        <v>0.15274777616137536</v>
      </c>
      <c r="D454">
        <v>0.48015952595085831</v>
      </c>
      <c r="E454" s="10">
        <v>3.9990887133401192E-3</v>
      </c>
      <c r="F454" s="10">
        <v>1.3602061107694006</v>
      </c>
      <c r="H454">
        <v>0.5057530373409781</v>
      </c>
      <c r="I454" s="11">
        <f t="shared" si="7"/>
        <v>9.2759770668385533E-2</v>
      </c>
      <c r="J454" s="11">
        <f>1/(H454*Utilities!$B$11)</f>
        <v>7.9089984729112066</v>
      </c>
      <c r="K454" s="11">
        <f>IF(B454&lt;C454,1,EXP(-1*(B454-C454)/(Utilities!$B$11*IterData!H454)))</f>
        <v>0.48015952595085831</v>
      </c>
    </row>
    <row r="455" spans="1:11" x14ac:dyDescent="0.3">
      <c r="A455">
        <v>454</v>
      </c>
      <c r="B455">
        <v>7.9659153485867426E-2</v>
      </c>
      <c r="C455">
        <v>0.15274777616137536</v>
      </c>
      <c r="D455">
        <v>1</v>
      </c>
      <c r="E455" s="10">
        <v>3.9990887133401192E-3</v>
      </c>
      <c r="F455" s="10">
        <v>1.3602061107694006</v>
      </c>
      <c r="H455">
        <v>0.5056391195691109</v>
      </c>
      <c r="I455" s="11">
        <f t="shared" si="7"/>
        <v>-7.3088622675507933E-2</v>
      </c>
      <c r="J455" s="11">
        <f>1/(H455*Utilities!$B$11)</f>
        <v>7.9107803276943232</v>
      </c>
      <c r="K455" s="11">
        <f>IF(B455&lt;C455,1,EXP(-1*(B455-C455)/(Utilities!$B$11*IterData!H455)))</f>
        <v>1</v>
      </c>
    </row>
    <row r="456" spans="1:11" x14ac:dyDescent="0.3">
      <c r="A456">
        <v>455</v>
      </c>
      <c r="B456">
        <v>0.48965296181532325</v>
      </c>
      <c r="C456">
        <v>7.9659153485867426E-2</v>
      </c>
      <c r="D456">
        <v>3.9004144997016786E-2</v>
      </c>
      <c r="E456" s="10">
        <v>4.6764222697751731E-3</v>
      </c>
      <c r="F456" s="10">
        <v>1.41708695935802</v>
      </c>
      <c r="H456">
        <v>0.50552745752026074</v>
      </c>
      <c r="I456" s="11">
        <f t="shared" si="7"/>
        <v>0.40999380832945581</v>
      </c>
      <c r="J456" s="11">
        <f>1/(H456*Utilities!$B$11)</f>
        <v>7.9125276787555823</v>
      </c>
      <c r="K456" s="11">
        <f>IF(B456&lt;C456,1,EXP(-1*(B456-C456)/(Utilities!$B$11*IterData!H456)))</f>
        <v>3.9004144997016786E-2</v>
      </c>
    </row>
    <row r="457" spans="1:11" x14ac:dyDescent="0.3">
      <c r="A457">
        <v>456</v>
      </c>
      <c r="B457">
        <v>0.35357687220443523</v>
      </c>
      <c r="C457">
        <v>7.9659153485867426E-2</v>
      </c>
      <c r="D457">
        <v>0.1144232611231871</v>
      </c>
      <c r="E457" s="10">
        <v>4.6764222697751731E-3</v>
      </c>
      <c r="F457" s="10">
        <v>1.41708695935802</v>
      </c>
      <c r="H457">
        <v>0.50541800652811897</v>
      </c>
      <c r="I457" s="11">
        <f t="shared" si="7"/>
        <v>0.27391771871856779</v>
      </c>
      <c r="J457" s="11">
        <f>1/(H457*Utilities!$B$11)</f>
        <v>7.914241179251416</v>
      </c>
      <c r="K457" s="11">
        <f>IF(B457&lt;C457,1,EXP(-1*(B457-C457)/(Utilities!$B$11*IterData!H457)))</f>
        <v>0.1144232611231871</v>
      </c>
    </row>
    <row r="458" spans="1:11" x14ac:dyDescent="0.3">
      <c r="A458">
        <v>457</v>
      </c>
      <c r="B458">
        <v>0.26143358813575995</v>
      </c>
      <c r="C458">
        <v>7.9659153485867426E-2</v>
      </c>
      <c r="D458">
        <v>0.2371856407772707</v>
      </c>
      <c r="E458" s="10">
        <v>4.6764222697751731E-3</v>
      </c>
      <c r="F458" s="10">
        <v>1.41708695935802</v>
      </c>
      <c r="H458">
        <v>0.50531072281082956</v>
      </c>
      <c r="I458" s="11">
        <f t="shared" si="7"/>
        <v>0.18177443464989251</v>
      </c>
      <c r="J458" s="11">
        <f>1/(H458*Utilities!$B$11)</f>
        <v>7.9159214705551744</v>
      </c>
      <c r="K458" s="11">
        <f>IF(B458&lt;C458,1,EXP(-1*(B458-C458)/(Utilities!$B$11*IterData!H458)))</f>
        <v>0.23718564077727072</v>
      </c>
    </row>
    <row r="459" spans="1:11" x14ac:dyDescent="0.3">
      <c r="A459">
        <v>458</v>
      </c>
      <c r="B459">
        <v>7.2656651876511671E-2</v>
      </c>
      <c r="C459">
        <v>0.26143358813575995</v>
      </c>
      <c r="D459">
        <v>1</v>
      </c>
      <c r="E459" s="10">
        <v>3.8418695129595328E-3</v>
      </c>
      <c r="F459" s="10">
        <v>1.3322509871009804</v>
      </c>
      <c r="H459">
        <v>0.505205563453475</v>
      </c>
      <c r="I459" s="11">
        <f t="shared" si="7"/>
        <v>-0.1887769362592483</v>
      </c>
      <c r="J459" s="11">
        <f>1/(H459*Utilities!$B$11)</f>
        <v>7.9175691824469876</v>
      </c>
      <c r="K459" s="11">
        <f>IF(B459&lt;C459,1,EXP(-1*(B459-C459)/(Utilities!$B$11*IterData!H459)))</f>
        <v>1</v>
      </c>
    </row>
    <row r="460" spans="1:11" x14ac:dyDescent="0.3">
      <c r="A460">
        <v>459</v>
      </c>
      <c r="B460">
        <v>0.18071808842600462</v>
      </c>
      <c r="C460">
        <v>7.2656651876511671E-2</v>
      </c>
      <c r="D460">
        <v>0.42496073600605827</v>
      </c>
      <c r="E460" s="10">
        <v>3.9026421617479323E-3</v>
      </c>
      <c r="F460" s="10">
        <v>1.4245097548497865</v>
      </c>
      <c r="H460">
        <v>0.50510248639091038</v>
      </c>
      <c r="I460" s="11">
        <f t="shared" si="7"/>
        <v>0.10806143654949295</v>
      </c>
      <c r="J460" s="11">
        <f>1/(H460*Utilities!$B$11)</f>
        <v>7.9191849333014535</v>
      </c>
      <c r="K460" s="11">
        <f>IF(B460&lt;C460,1,EXP(-1*(B460-C460)/(Utilities!$B$11*IterData!H460)))</f>
        <v>0.42496073600605827</v>
      </c>
    </row>
    <row r="461" spans="1:11" x14ac:dyDescent="0.3">
      <c r="A461">
        <v>460</v>
      </c>
      <c r="B461">
        <v>0.23804105472965981</v>
      </c>
      <c r="C461">
        <v>0.18071808842600462</v>
      </c>
      <c r="D461">
        <v>0.63505606451103136</v>
      </c>
      <c r="E461" s="10">
        <v>3.4240591207151932E-3</v>
      </c>
      <c r="F461" s="10">
        <v>1.5890984755659774</v>
      </c>
      <c r="H461">
        <v>0.50500145039093614</v>
      </c>
      <c r="I461" s="11">
        <f t="shared" si="7"/>
        <v>5.7322966303655187E-2</v>
      </c>
      <c r="J461" s="11">
        <f>1/(H461*Utilities!$B$11)</f>
        <v>7.9207693302731803</v>
      </c>
      <c r="K461" s="11">
        <f>IF(B461&lt;C461,1,EXP(-1*(B461-C461)/(Utilities!$B$11*IterData!H461)))</f>
        <v>0.63505606451103136</v>
      </c>
    </row>
    <row r="462" spans="1:11" x14ac:dyDescent="0.3">
      <c r="A462">
        <v>461</v>
      </c>
      <c r="B462">
        <v>0.2747567287636411</v>
      </c>
      <c r="C462">
        <v>0.18071808842600462</v>
      </c>
      <c r="D462">
        <v>0.4747321729614794</v>
      </c>
      <c r="E462" s="10">
        <v>3.4240591207151932E-3</v>
      </c>
      <c r="F462" s="10">
        <v>1.5890984755659774</v>
      </c>
      <c r="H462">
        <v>0.50490241503780509</v>
      </c>
      <c r="I462" s="11">
        <f t="shared" si="7"/>
        <v>9.4038640337636481E-2</v>
      </c>
      <c r="J462" s="11">
        <f>1/(H462*Utilities!$B$11)</f>
        <v>7.9223229694801436</v>
      </c>
      <c r="K462" s="11">
        <f>IF(B462&lt;C462,1,EXP(-1*(B462-C462)/(Utilities!$B$11*IterData!H462)))</f>
        <v>0.4747321729614794</v>
      </c>
    </row>
    <row r="463" spans="1:11" x14ac:dyDescent="0.3">
      <c r="A463">
        <v>462</v>
      </c>
      <c r="B463">
        <v>0.111335191054034</v>
      </c>
      <c r="C463">
        <v>0.2747567287636411</v>
      </c>
      <c r="D463">
        <v>1</v>
      </c>
      <c r="E463" s="10">
        <v>4.0413425870816358E-3</v>
      </c>
      <c r="F463" s="10">
        <v>1.5871918643444642</v>
      </c>
      <c r="H463">
        <v>0.50480534071605565</v>
      </c>
      <c r="I463" s="11">
        <f t="shared" si="7"/>
        <v>-0.1634215377096071</v>
      </c>
      <c r="J463" s="11">
        <f>1/(H463*Utilities!$B$11)</f>
        <v>7.9238464361848573</v>
      </c>
      <c r="K463" s="11">
        <f>IF(B463&lt;C463,1,EXP(-1*(B463-C463)/(Utilities!$B$11*IterData!H463)))</f>
        <v>1</v>
      </c>
    </row>
    <row r="464" spans="1:11" x14ac:dyDescent="0.3">
      <c r="A464">
        <v>463</v>
      </c>
      <c r="B464">
        <v>0.12858005333696015</v>
      </c>
      <c r="C464">
        <v>0.111335191054034</v>
      </c>
      <c r="D464">
        <v>0.87225680079461398</v>
      </c>
      <c r="E464" s="10">
        <v>4.9371544463487991E-3</v>
      </c>
      <c r="F464" s="10">
        <v>1.3364691197240988</v>
      </c>
      <c r="H464">
        <v>0.50471018859466477</v>
      </c>
      <c r="I464" s="11">
        <f t="shared" si="7"/>
        <v>1.7244862282926154E-2</v>
      </c>
      <c r="J464" s="11">
        <f>1/(H464*Utilities!$B$11)</f>
        <v>7.9253403049733553</v>
      </c>
      <c r="K464" s="11">
        <f>IF(B464&lt;C464,1,EXP(-1*(B464-C464)/(Utilities!$B$11*IterData!H464)))</f>
        <v>0.87225680079461398</v>
      </c>
    </row>
    <row r="465" spans="1:11" x14ac:dyDescent="0.3">
      <c r="A465">
        <v>464</v>
      </c>
      <c r="B465">
        <v>0.41266823493314542</v>
      </c>
      <c r="C465">
        <v>0.12858005333696015</v>
      </c>
      <c r="D465">
        <v>0.10519792974832801</v>
      </c>
      <c r="E465" s="10">
        <v>3.8629127150123801E-3</v>
      </c>
      <c r="F465" s="10">
        <v>1.5238825642395704</v>
      </c>
      <c r="H465">
        <v>0.50461692061151497</v>
      </c>
      <c r="I465" s="11">
        <f t="shared" si="7"/>
        <v>0.28408818159618526</v>
      </c>
      <c r="J465" s="11">
        <f>1/(H465*Utilities!$B$11)</f>
        <v>7.9268051399319708</v>
      </c>
      <c r="K465" s="11">
        <f>IF(B465&lt;C465,1,EXP(-1*(B465-C465)/(Utilities!$B$11*IterData!H465)))</f>
        <v>0.10519792974832801</v>
      </c>
    </row>
    <row r="466" spans="1:11" x14ac:dyDescent="0.3">
      <c r="A466">
        <v>465</v>
      </c>
      <c r="B466">
        <v>9.044986617939807E-2</v>
      </c>
      <c r="C466">
        <v>0.12858005333696015</v>
      </c>
      <c r="D466">
        <v>1</v>
      </c>
      <c r="E466" s="10">
        <v>3.8629127150123801E-3</v>
      </c>
      <c r="F466" s="10">
        <v>1.5238825642395704</v>
      </c>
      <c r="H466">
        <v>0.5045254994581696</v>
      </c>
      <c r="I466" s="11">
        <f t="shared" si="7"/>
        <v>-3.8130187157562084E-2</v>
      </c>
      <c r="J466" s="11">
        <f>1/(H466*Utilities!$B$11)</f>
        <v>7.9282414948218918</v>
      </c>
      <c r="K466" s="11">
        <f>IF(B466&lt;C466,1,EXP(-1*(B466-C466)/(Utilities!$B$11*IterData!H466)))</f>
        <v>1</v>
      </c>
    </row>
    <row r="467" spans="1:11" x14ac:dyDescent="0.3">
      <c r="A467">
        <v>466</v>
      </c>
      <c r="B467">
        <v>0.28999395371230668</v>
      </c>
      <c r="C467">
        <v>9.044986617939807E-2</v>
      </c>
      <c r="D467">
        <v>0.20549886742083237</v>
      </c>
      <c r="E467" s="10">
        <v>4.919929261382263E-3</v>
      </c>
      <c r="F467" s="10">
        <v>1.4186492407837772</v>
      </c>
      <c r="H467">
        <v>0.50443588856494825</v>
      </c>
      <c r="I467" s="11">
        <f t="shared" si="7"/>
        <v>0.19954408753290862</v>
      </c>
      <c r="J467" s="11">
        <f>1/(H467*Utilities!$B$11)</f>
        <v>7.929649913251529</v>
      </c>
      <c r="K467" s="11">
        <f>IF(B467&lt;C467,1,EXP(-1*(B467-C467)/(Utilities!$B$11*IterData!H467)))</f>
        <v>0.20549886742083237</v>
      </c>
    </row>
    <row r="468" spans="1:11" x14ac:dyDescent="0.3">
      <c r="A468">
        <v>467</v>
      </c>
      <c r="B468">
        <v>0.77150613842364635</v>
      </c>
      <c r="C468">
        <v>9.044986617939807E-2</v>
      </c>
      <c r="D468">
        <v>4.5099087456436969E-3</v>
      </c>
      <c r="E468" s="10">
        <v>4.919929261382263E-3</v>
      </c>
      <c r="F468" s="10">
        <v>1.4186492407837772</v>
      </c>
      <c r="H468">
        <v>0.50434805208629885</v>
      </c>
      <c r="I468" s="11">
        <f t="shared" si="7"/>
        <v>0.68105627224424825</v>
      </c>
      <c r="J468" s="11">
        <f>1/(H468*Utilities!$B$11)</f>
        <v>7.9310309288466554</v>
      </c>
      <c r="K468" s="11">
        <f>IF(B468&lt;C468,1,EXP(-1*(B468-C468)/(Utilities!$B$11*IterData!H468)))</f>
        <v>4.5099087456436969E-3</v>
      </c>
    </row>
    <row r="469" spans="1:11" x14ac:dyDescent="0.3">
      <c r="A469">
        <v>468</v>
      </c>
      <c r="B469">
        <v>0.4483192247256832</v>
      </c>
      <c r="C469">
        <v>9.044986617939807E-2</v>
      </c>
      <c r="D469">
        <v>5.8498301748645253E-2</v>
      </c>
      <c r="E469" s="10">
        <v>4.919929261382263E-3</v>
      </c>
      <c r="F469" s="10">
        <v>1.4186492407837772</v>
      </c>
      <c r="H469">
        <v>0.50426195488645886</v>
      </c>
      <c r="I469" s="11">
        <f t="shared" si="7"/>
        <v>0.3578693585462851</v>
      </c>
      <c r="J469" s="11">
        <f>1/(H469*Utilities!$B$11)</f>
        <v>7.9323850654183339</v>
      </c>
      <c r="K469" s="11">
        <f>IF(B469&lt;C469,1,EXP(-1*(B469-C469)/(Utilities!$B$11*IterData!H469)))</f>
        <v>5.8498301748645253E-2</v>
      </c>
    </row>
    <row r="470" spans="1:11" x14ac:dyDescent="0.3">
      <c r="A470">
        <v>469</v>
      </c>
      <c r="B470">
        <v>0.312428941552363</v>
      </c>
      <c r="C470">
        <v>9.044986617939807E-2</v>
      </c>
      <c r="D470">
        <v>0.17185258392609873</v>
      </c>
      <c r="E470" s="10">
        <v>4.919929261382263E-3</v>
      </c>
      <c r="F470" s="10">
        <v>1.4186492407837772</v>
      </c>
      <c r="H470">
        <v>0.50417756252540025</v>
      </c>
      <c r="I470" s="11">
        <f t="shared" si="7"/>
        <v>0.22197907537296493</v>
      </c>
      <c r="J470" s="11">
        <f>1/(H470*Utilities!$B$11)</f>
        <v>7.9337128371286489</v>
      </c>
      <c r="K470" s="11">
        <f>IF(B470&lt;C470,1,EXP(-1*(B470-C470)/(Utilities!$B$11*IterData!H470)))</f>
        <v>0.17185258392609873</v>
      </c>
    </row>
    <row r="471" spans="1:11" x14ac:dyDescent="0.3">
      <c r="A471">
        <v>470</v>
      </c>
      <c r="B471">
        <v>0.16103423141173387</v>
      </c>
      <c r="C471">
        <v>9.044986617939807E-2</v>
      </c>
      <c r="D471">
        <v>0.57115881157552351</v>
      </c>
      <c r="E471" s="10">
        <v>4.919929261382263E-3</v>
      </c>
      <c r="F471" s="10">
        <v>1.4186492407837772</v>
      </c>
      <c r="H471">
        <v>0.50409484124505333</v>
      </c>
      <c r="I471" s="11">
        <f t="shared" si="7"/>
        <v>7.05843652323358E-2</v>
      </c>
      <c r="J471" s="11">
        <f>1/(H471*Utilities!$B$11)</f>
        <v>7.9350147486542086</v>
      </c>
      <c r="K471" s="11">
        <f>IF(B471&lt;C471,1,EXP(-1*(B471-C471)/(Utilities!$B$11*IterData!H471)))</f>
        <v>0.57115881157552351</v>
      </c>
    </row>
    <row r="472" spans="1:11" x14ac:dyDescent="0.3">
      <c r="A472">
        <v>471</v>
      </c>
      <c r="B472">
        <v>0.49041731728964782</v>
      </c>
      <c r="C472">
        <v>9.044986617939807E-2</v>
      </c>
      <c r="D472">
        <v>4.1825118425173446E-2</v>
      </c>
      <c r="E472" s="10">
        <v>4.919929261382263E-3</v>
      </c>
      <c r="F472" s="10">
        <v>1.4186492407837772</v>
      </c>
      <c r="H472">
        <v>0.50401375795580305</v>
      </c>
      <c r="I472" s="11">
        <f t="shared" si="7"/>
        <v>0.39996745111024978</v>
      </c>
      <c r="J472" s="11">
        <f>1/(H472*Utilities!$B$11)</f>
        <v>7.9362912953474574</v>
      </c>
      <c r="K472" s="11">
        <f>IF(B472&lt;C472,1,EXP(-1*(B472-C472)/(Utilities!$B$11*IterData!H472)))</f>
        <v>4.1825118425173446E-2</v>
      </c>
    </row>
    <row r="473" spans="1:11" x14ac:dyDescent="0.3">
      <c r="A473">
        <v>472</v>
      </c>
      <c r="B473">
        <v>0.86641548358301557</v>
      </c>
      <c r="C473">
        <v>9.044986617939807E-2</v>
      </c>
      <c r="D473">
        <v>2.1138160165978096E-3</v>
      </c>
      <c r="E473" s="10">
        <v>4.919929261382263E-3</v>
      </c>
      <c r="F473" s="10">
        <v>1.4186492407837772</v>
      </c>
      <c r="H473">
        <v>0.5039342802232526</v>
      </c>
      <c r="I473" s="11">
        <f t="shared" si="7"/>
        <v>0.77596561740361747</v>
      </c>
      <c r="J473" s="11">
        <f>1/(H473*Utilities!$B$11)</f>
        <v>7.9375429633957886</v>
      </c>
      <c r="K473" s="11">
        <f>IF(B473&lt;C473,1,EXP(-1*(B473-C473)/(Utilities!$B$11*IterData!H473)))</f>
        <v>2.1138160165978096E-3</v>
      </c>
    </row>
    <row r="474" spans="1:11" x14ac:dyDescent="0.3">
      <c r="A474">
        <v>473</v>
      </c>
      <c r="B474">
        <v>0.10118370304193611</v>
      </c>
      <c r="C474">
        <v>9.044986617939807E-2</v>
      </c>
      <c r="D474">
        <v>0.91831623552672415</v>
      </c>
      <c r="E474" s="10">
        <v>4.919929261382263E-3</v>
      </c>
      <c r="F474" s="10">
        <v>1.4186492407837772</v>
      </c>
      <c r="H474">
        <v>0.50385637625524915</v>
      </c>
      <c r="I474" s="11">
        <f t="shared" si="7"/>
        <v>1.0733836862538038E-2</v>
      </c>
      <c r="J474" s="11">
        <f>1/(H474*Utilities!$B$11)</f>
        <v>7.9387702299784646</v>
      </c>
      <c r="K474" s="11">
        <f>IF(B474&lt;C474,1,EXP(-1*(B474-C474)/(Utilities!$B$11*IterData!H474)))</f>
        <v>0.91831623552672415</v>
      </c>
    </row>
    <row r="475" spans="1:11" x14ac:dyDescent="0.3">
      <c r="A475">
        <v>474</v>
      </c>
      <c r="B475">
        <v>1.2977062181666315</v>
      </c>
      <c r="C475">
        <v>0.10118370304193611</v>
      </c>
      <c r="D475">
        <v>7.4825102218278305E-5</v>
      </c>
      <c r="E475" s="10">
        <v>3.5249823720734661E-3</v>
      </c>
      <c r="F475" s="10">
        <v>1.5296596728890048</v>
      </c>
      <c r="H475">
        <v>0.5037800148891669</v>
      </c>
      <c r="I475" s="11">
        <f t="shared" si="7"/>
        <v>1.1965225151246954</v>
      </c>
      <c r="J475" s="11">
        <f>1/(H475*Utilities!$B$11)</f>
        <v>7.9399735634213515</v>
      </c>
      <c r="K475" s="11">
        <f>IF(B475&lt;C475,1,EXP(-1*(B475-C475)/(Utilities!$B$11*IterData!H475)))</f>
        <v>7.4825102218278305E-5</v>
      </c>
    </row>
    <row r="476" spans="1:11" x14ac:dyDescent="0.3">
      <c r="A476">
        <v>475</v>
      </c>
      <c r="B476">
        <v>0.4822895530759993</v>
      </c>
      <c r="C476">
        <v>0.10118370304193611</v>
      </c>
      <c r="D476">
        <v>4.8488916852580929E-2</v>
      </c>
      <c r="E476" s="10">
        <v>3.5249823720734661E-3</v>
      </c>
      <c r="F476" s="10">
        <v>1.5296596728890048</v>
      </c>
      <c r="H476">
        <v>0.50370516557944123</v>
      </c>
      <c r="I476" s="11">
        <f t="shared" si="7"/>
        <v>0.38110585003406316</v>
      </c>
      <c r="J476" s="11">
        <f>1/(H476*Utilities!$B$11)</f>
        <v>7.9411534233494869</v>
      </c>
      <c r="K476" s="11">
        <f>IF(B476&lt;C476,1,EXP(-1*(B476-C476)/(Utilities!$B$11*IterData!H476)))</f>
        <v>4.848891685258095E-2</v>
      </c>
    </row>
    <row r="477" spans="1:11" x14ac:dyDescent="0.3">
      <c r="A477">
        <v>476</v>
      </c>
      <c r="B477">
        <v>9.8190273825729785E-2</v>
      </c>
      <c r="C477">
        <v>0.10118370304193611</v>
      </c>
      <c r="D477">
        <v>1</v>
      </c>
      <c r="E477" s="10">
        <v>3.5249823720734661E-3</v>
      </c>
      <c r="F477" s="10">
        <v>1.5296596728890048</v>
      </c>
      <c r="H477">
        <v>0.5036317983853501</v>
      </c>
      <c r="I477" s="11">
        <f t="shared" si="7"/>
        <v>-2.9934292162063225E-3</v>
      </c>
      <c r="J477" s="11">
        <f>1/(H477*Utilities!$B$11)</f>
        <v>7.9423102608374814</v>
      </c>
      <c r="K477" s="11">
        <f>IF(B477&lt;C477,1,EXP(-1*(B477-C477)/(Utilities!$B$11*IterData!H477)))</f>
        <v>1</v>
      </c>
    </row>
    <row r="478" spans="1:11" x14ac:dyDescent="0.3">
      <c r="A478">
        <v>477</v>
      </c>
      <c r="B478">
        <v>0.16292752683750655</v>
      </c>
      <c r="C478">
        <v>9.8190273825729785E-2</v>
      </c>
      <c r="D478">
        <v>0.59795679453514639</v>
      </c>
      <c r="E478" s="10">
        <v>3.8301394364358291E-3</v>
      </c>
      <c r="F478" s="10">
        <v>1.5028152110743389</v>
      </c>
      <c r="H478">
        <v>0.50355988395903784</v>
      </c>
      <c r="I478" s="11">
        <f t="shared" si="7"/>
        <v>6.4737253011776769E-2</v>
      </c>
      <c r="J478" s="11">
        <f>1/(H478*Utilities!$B$11)</f>
        <v>7.943444518557758</v>
      </c>
      <c r="K478" s="11">
        <f>IF(B478&lt;C478,1,EXP(-1*(B478-C478)/(Utilities!$B$11*IterData!H478)))</f>
        <v>0.59795679453514639</v>
      </c>
    </row>
    <row r="479" spans="1:11" x14ac:dyDescent="0.3">
      <c r="A479">
        <v>478</v>
      </c>
      <c r="B479">
        <v>0.13323648891414086</v>
      </c>
      <c r="C479">
        <v>9.8190273825729785E-2</v>
      </c>
      <c r="D479">
        <v>0.75697379695541422</v>
      </c>
      <c r="E479" s="10">
        <v>3.8301394364358291E-3</v>
      </c>
      <c r="F479" s="10">
        <v>1.5028152110743389</v>
      </c>
      <c r="H479">
        <v>0.50348939353377486</v>
      </c>
      <c r="I479" s="11">
        <f t="shared" si="7"/>
        <v>3.5046215088411076E-2</v>
      </c>
      <c r="J479" s="11">
        <f>1/(H479*Utilities!$B$11)</f>
        <v>7.9445566309266722</v>
      </c>
      <c r="K479" s="11">
        <f>IF(B479&lt;C479,1,EXP(-1*(B479-C479)/(Utilities!$B$11*IterData!H479)))</f>
        <v>0.75697379695541422</v>
      </c>
    </row>
    <row r="480" spans="1:11" x14ac:dyDescent="0.3">
      <c r="A480">
        <v>479</v>
      </c>
      <c r="B480">
        <v>0.65014739762583074</v>
      </c>
      <c r="C480">
        <v>9.8190273825729785E-2</v>
      </c>
      <c r="D480">
        <v>1.2454709204465389E-2</v>
      </c>
      <c r="E480" s="10">
        <v>3.8301394364358291E-3</v>
      </c>
      <c r="F480" s="10">
        <v>1.5028152110743389</v>
      </c>
      <c r="H480">
        <v>0.50342029891245121</v>
      </c>
      <c r="I480" s="11">
        <f t="shared" si="7"/>
        <v>0.55195712380010098</v>
      </c>
      <c r="J480" s="11">
        <f>1/(H480*Utilities!$B$11)</f>
        <v>7.9456470242484833</v>
      </c>
      <c r="K480" s="11">
        <f>IF(B480&lt;C480,1,EXP(-1*(B480-C480)/(Utilities!$B$11*IterData!H480)))</f>
        <v>1.2454709204465389E-2</v>
      </c>
    </row>
    <row r="481" spans="1:11" x14ac:dyDescent="0.3">
      <c r="A481">
        <v>480</v>
      </c>
      <c r="B481">
        <v>0.20562878916489272</v>
      </c>
      <c r="C481">
        <v>9.8190273825729785E-2</v>
      </c>
      <c r="D481">
        <v>0.42580091338703785</v>
      </c>
      <c r="E481" s="10">
        <v>3.8301394364358291E-3</v>
      </c>
      <c r="F481" s="10">
        <v>1.5028152110743389</v>
      </c>
      <c r="H481">
        <v>0.50335257245629728</v>
      </c>
      <c r="I481" s="11">
        <f t="shared" si="7"/>
        <v>0.10743851533916293</v>
      </c>
      <c r="J481" s="11">
        <f>1/(H481*Utilities!$B$11)</f>
        <v>7.946716116857222</v>
      </c>
      <c r="K481" s="11">
        <f>IF(B481&lt;C481,1,EXP(-1*(B481-C481)/(Utilities!$B$11*IterData!H481)))</f>
        <v>0.42580091338703785</v>
      </c>
    </row>
    <row r="482" spans="1:11" x14ac:dyDescent="0.3">
      <c r="A482">
        <v>481</v>
      </c>
      <c r="B482">
        <v>0.71231224419949435</v>
      </c>
      <c r="C482">
        <v>0.20562878916489272</v>
      </c>
      <c r="D482">
        <v>1.7827720794602143E-2</v>
      </c>
      <c r="E482" s="10">
        <v>3.8646551702110417E-3</v>
      </c>
      <c r="F482" s="10">
        <v>1.5676884042667767</v>
      </c>
      <c r="H482">
        <v>0.50328618707382733</v>
      </c>
      <c r="I482" s="11">
        <f t="shared" si="7"/>
        <v>0.50668345503460166</v>
      </c>
      <c r="J482" s="11">
        <f>1/(H482*Utilities!$B$11)</f>
        <v>7.9477643192564669</v>
      </c>
      <c r="K482" s="11">
        <f>IF(B482&lt;C482,1,EXP(-1*(B482-C482)/(Utilities!$B$11*IterData!H482)))</f>
        <v>1.7827720794602143E-2</v>
      </c>
    </row>
    <row r="483" spans="1:11" x14ac:dyDescent="0.3">
      <c r="A483">
        <v>482</v>
      </c>
      <c r="B483">
        <v>0.33468719061845137</v>
      </c>
      <c r="C483">
        <v>0.20562878916489272</v>
      </c>
      <c r="D483">
        <v>0.35848860902790985</v>
      </c>
      <c r="E483" s="10">
        <v>3.8646551702110417E-3</v>
      </c>
      <c r="F483" s="10">
        <v>1.5676884042667767</v>
      </c>
      <c r="H483">
        <v>0.50322111621000343</v>
      </c>
      <c r="I483" s="11">
        <f t="shared" si="7"/>
        <v>0.12905840145355865</v>
      </c>
      <c r="J483" s="11">
        <f>1/(H483*Utilities!$B$11)</f>
        <v>7.9487920342570169</v>
      </c>
      <c r="K483" s="11">
        <f>IF(B483&lt;C483,1,EXP(-1*(B483-C483)/(Utilities!$B$11*IterData!H483)))</f>
        <v>0.35848860902790985</v>
      </c>
    </row>
    <row r="484" spans="1:11" x14ac:dyDescent="0.3">
      <c r="A484">
        <v>483</v>
      </c>
      <c r="B484">
        <v>0.2344376690649296</v>
      </c>
      <c r="C484">
        <v>0.20562878916489272</v>
      </c>
      <c r="D484">
        <v>0.7953087908716362</v>
      </c>
      <c r="E484" s="10">
        <v>3.8646551702110417E-3</v>
      </c>
      <c r="F484" s="10">
        <v>1.5676884042667767</v>
      </c>
      <c r="H484">
        <v>0.50315733383561223</v>
      </c>
      <c r="I484" s="11">
        <f t="shared" si="7"/>
        <v>2.8808879900036888E-2</v>
      </c>
      <c r="J484" s="11">
        <f>1/(H484*Utilities!$B$11)</f>
        <v>7.9497996571125205</v>
      </c>
      <c r="K484" s="11">
        <f>IF(B484&lt;C484,1,EXP(-1*(B484-C484)/(Utilities!$B$11*IterData!H484)))</f>
        <v>0.7953087908716362</v>
      </c>
    </row>
    <row r="485" spans="1:11" x14ac:dyDescent="0.3">
      <c r="A485">
        <v>484</v>
      </c>
      <c r="B485">
        <v>8.783219016958374E-2</v>
      </c>
      <c r="C485">
        <v>0.2344376690649296</v>
      </c>
      <c r="D485">
        <v>1</v>
      </c>
      <c r="E485" s="10">
        <v>3.5491342434528588E-3</v>
      </c>
      <c r="F485" s="10">
        <v>1.6057436048000953</v>
      </c>
      <c r="H485">
        <v>0.50309481443685355</v>
      </c>
      <c r="I485" s="11">
        <f t="shared" si="7"/>
        <v>-0.14660547889534586</v>
      </c>
      <c r="J485" s="11">
        <f>1/(H485*Utilities!$B$11)</f>
        <v>7.9507875756530266</v>
      </c>
      <c r="K485" s="11">
        <f>IF(B485&lt;C485,1,EXP(-1*(B485-C485)/(Utilities!$B$11*IterData!H485)))</f>
        <v>1</v>
      </c>
    </row>
    <row r="486" spans="1:11" x14ac:dyDescent="0.3">
      <c r="A486">
        <v>485</v>
      </c>
      <c r="B486">
        <v>7.3361976429797013E-2</v>
      </c>
      <c r="C486">
        <v>8.783219016958374E-2</v>
      </c>
      <c r="D486">
        <v>1</v>
      </c>
      <c r="E486" s="10">
        <v>4.9297223484451053E-3</v>
      </c>
      <c r="F486" s="10">
        <v>1.4142575647295081</v>
      </c>
      <c r="H486">
        <v>0.50303353300513454</v>
      </c>
      <c r="I486" s="11">
        <f t="shared" si="7"/>
        <v>-1.4470213739786728E-2</v>
      </c>
      <c r="J486" s="11">
        <f>1/(H486*Utilities!$B$11)</f>
        <v>7.9517561704165187</v>
      </c>
      <c r="K486" s="11">
        <f>IF(B486&lt;C486,1,EXP(-1*(B486-C486)/(Utilities!$B$11*IterData!H486)))</f>
        <v>1</v>
      </c>
    </row>
    <row r="487" spans="1:11" x14ac:dyDescent="0.3">
      <c r="A487">
        <v>486</v>
      </c>
      <c r="B487">
        <v>1.0566367201913915</v>
      </c>
      <c r="C487">
        <v>7.3361976429797013E-2</v>
      </c>
      <c r="D487">
        <v>4.0174428760116906E-4</v>
      </c>
      <c r="E487" s="10">
        <v>3.6436409583644981E-3</v>
      </c>
      <c r="F487" s="10">
        <v>1.4354710951005922</v>
      </c>
      <c r="H487">
        <v>0.50297346502706508</v>
      </c>
      <c r="I487" s="11">
        <f t="shared" si="7"/>
        <v>0.98327474376159452</v>
      </c>
      <c r="J487" s="11">
        <f>1/(H487*Utilities!$B$11)</f>
        <v>7.9527058147784384</v>
      </c>
      <c r="K487" s="11">
        <f>IF(B487&lt;C487,1,EXP(-1*(B487-C487)/(Utilities!$B$11*IterData!H487)))</f>
        <v>4.0174428760116906E-4</v>
      </c>
    </row>
    <row r="488" spans="1:11" x14ac:dyDescent="0.3">
      <c r="A488">
        <v>487</v>
      </c>
      <c r="B488">
        <v>0.78555572788217209</v>
      </c>
      <c r="C488">
        <v>7.3361976429797013E-2</v>
      </c>
      <c r="D488">
        <v>3.4667750978968829E-3</v>
      </c>
      <c r="E488" s="10">
        <v>3.6436409583644981E-3</v>
      </c>
      <c r="F488" s="10">
        <v>1.4354710951005922</v>
      </c>
      <c r="H488">
        <v>0.50291458647465326</v>
      </c>
      <c r="I488" s="11">
        <f t="shared" si="7"/>
        <v>0.71219375145237507</v>
      </c>
      <c r="J488" s="11">
        <f>1/(H488*Utilities!$B$11)</f>
        <v>7.9536368750791819</v>
      </c>
      <c r="K488" s="11">
        <f>IF(B488&lt;C488,1,EXP(-1*(B488-C488)/(Utilities!$B$11*IterData!H488)))</f>
        <v>3.466775097896886E-3</v>
      </c>
    </row>
    <row r="489" spans="1:11" x14ac:dyDescent="0.3">
      <c r="A489">
        <v>488</v>
      </c>
      <c r="B489">
        <v>0.27499950137250412</v>
      </c>
      <c r="C489">
        <v>7.3361976429797013E-2</v>
      </c>
      <c r="D489">
        <v>0.20110347232197007</v>
      </c>
      <c r="E489" s="10">
        <v>3.6436409583644981E-3</v>
      </c>
      <c r="F489" s="10">
        <v>1.4354710951005922</v>
      </c>
      <c r="H489">
        <v>0.50285687379569288</v>
      </c>
      <c r="I489" s="11">
        <f t="shared" si="7"/>
        <v>0.20163752494270709</v>
      </c>
      <c r="J489" s="11">
        <f>1/(H489*Utilities!$B$11)</f>
        <v>7.9545497107496459</v>
      </c>
      <c r="K489" s="11">
        <f>IF(B489&lt;C489,1,EXP(-1*(B489-C489)/(Utilities!$B$11*IterData!H489)))</f>
        <v>0.20110347232197007</v>
      </c>
    </row>
    <row r="490" spans="1:11" x14ac:dyDescent="0.3">
      <c r="A490">
        <v>489</v>
      </c>
      <c r="B490">
        <v>0.70108513980569331</v>
      </c>
      <c r="C490">
        <v>7.3361976429797013E-2</v>
      </c>
      <c r="D490">
        <v>6.779737483019287E-3</v>
      </c>
      <c r="E490" s="10">
        <v>3.6436409583644981E-3</v>
      </c>
      <c r="F490" s="10">
        <v>1.4354710951005922</v>
      </c>
      <c r="H490">
        <v>0.50280030390434305</v>
      </c>
      <c r="I490" s="11">
        <f t="shared" si="7"/>
        <v>0.62772316337589629</v>
      </c>
      <c r="J490" s="11">
        <f>1/(H490*Utilities!$B$11)</f>
        <v>7.9554446744347906</v>
      </c>
      <c r="K490" s="11">
        <f>IF(B490&lt;C490,1,EXP(-1*(B490-C490)/(Utilities!$B$11*IterData!H490)))</f>
        <v>6.779737483019287E-3</v>
      </c>
    </row>
    <row r="491" spans="1:11" x14ac:dyDescent="0.3">
      <c r="A491">
        <v>490</v>
      </c>
      <c r="B491">
        <v>0.1975708209495104</v>
      </c>
      <c r="C491">
        <v>7.3361976429797013E-2</v>
      </c>
      <c r="D491">
        <v>0.37222916621417629</v>
      </c>
      <c r="E491" s="10">
        <v>3.6436409583644981E-3</v>
      </c>
      <c r="F491" s="10">
        <v>1.4354710951005922</v>
      </c>
      <c r="H491">
        <v>0.50274485417189274</v>
      </c>
      <c r="I491" s="11">
        <f t="shared" si="7"/>
        <v>0.12420884451971338</v>
      </c>
      <c r="J491" s="11">
        <f>1/(H491*Utilities!$B$11)</f>
        <v>7.9563221121152754</v>
      </c>
      <c r="K491" s="11">
        <f>IF(B491&lt;C491,1,EXP(-1*(B491-C491)/(Utilities!$B$11*IterData!H491)))</f>
        <v>0.37222916621417629</v>
      </c>
    </row>
    <row r="492" spans="1:11" x14ac:dyDescent="0.3">
      <c r="A492">
        <v>491</v>
      </c>
      <c r="B492">
        <v>0.2936422109203819</v>
      </c>
      <c r="C492">
        <v>0.1975708209495104</v>
      </c>
      <c r="D492">
        <v>0.465586410581184</v>
      </c>
      <c r="E492" s="10">
        <v>4.1664769735362608E-3</v>
      </c>
      <c r="F492" s="10">
        <v>1.5422902502833991</v>
      </c>
      <c r="H492">
        <v>0.50269050241770985</v>
      </c>
      <c r="I492" s="11">
        <f t="shared" si="7"/>
        <v>9.6071389970871501E-2</v>
      </c>
      <c r="J492" s="11">
        <f>1/(H492*Utilities!$B$11)</f>
        <v>7.9571823632271581</v>
      </c>
      <c r="K492" s="11">
        <f>IF(B492&lt;C492,1,EXP(-1*(B492-C492)/(Utilities!$B$11*IterData!H492)))</f>
        <v>0.465586410581184</v>
      </c>
    </row>
    <row r="493" spans="1:11" x14ac:dyDescent="0.3">
      <c r="A493">
        <v>492</v>
      </c>
      <c r="B493">
        <v>0.18946735150801991</v>
      </c>
      <c r="C493">
        <v>0.2936422109203819</v>
      </c>
      <c r="D493">
        <v>1</v>
      </c>
      <c r="E493" s="10">
        <v>3.493613653776876E-3</v>
      </c>
      <c r="F493" s="10">
        <v>1.3454848556005037</v>
      </c>
      <c r="H493">
        <v>0.50263722690036772</v>
      </c>
      <c r="I493" s="11">
        <f t="shared" si="7"/>
        <v>-0.10417485941236199</v>
      </c>
      <c r="J493" s="11">
        <f>1/(H493*Utilities!$B$11)</f>
        <v>7.9580257607797051</v>
      </c>
      <c r="K493" s="11">
        <f>IF(B493&lt;C493,1,EXP(-1*(B493-C493)/(Utilities!$B$11*IterData!H493)))</f>
        <v>1</v>
      </c>
    </row>
    <row r="494" spans="1:11" x14ac:dyDescent="0.3">
      <c r="A494">
        <v>493</v>
      </c>
      <c r="B494">
        <v>0.39512689572331577</v>
      </c>
      <c r="C494">
        <v>0.18946735150801991</v>
      </c>
      <c r="D494">
        <v>0.19459904735070752</v>
      </c>
      <c r="E494" s="10">
        <v>4.094904636216601E-3</v>
      </c>
      <c r="F494" s="10">
        <v>1.340311191714799</v>
      </c>
      <c r="H494">
        <v>0.50258500630894931</v>
      </c>
      <c r="I494" s="11">
        <f t="shared" si="7"/>
        <v>0.20565954421529586</v>
      </c>
      <c r="J494" s="11">
        <f>1/(H494*Utilities!$B$11)</f>
        <v>7.9588526314712977</v>
      </c>
      <c r="K494" s="11">
        <f>IF(B494&lt;C494,1,EXP(-1*(B494-C494)/(Utilities!$B$11*IterData!H494)))</f>
        <v>0.19459904735070752</v>
      </c>
    </row>
    <row r="495" spans="1:11" x14ac:dyDescent="0.3">
      <c r="A495">
        <v>494</v>
      </c>
      <c r="B495">
        <v>0.13190751139949167</v>
      </c>
      <c r="C495">
        <v>0.18946735150801991</v>
      </c>
      <c r="D495">
        <v>1</v>
      </c>
      <c r="E495" s="10">
        <v>4.094904636216601E-3</v>
      </c>
      <c r="F495" s="10">
        <v>1.340311191714799</v>
      </c>
      <c r="H495">
        <v>0.50253381975452172</v>
      </c>
      <c r="I495" s="11">
        <f t="shared" si="7"/>
        <v>-5.7559840108528243E-2</v>
      </c>
      <c r="J495" s="11">
        <f>1/(H495*Utilities!$B$11)</f>
        <v>7.9596632958035034</v>
      </c>
      <c r="K495" s="11">
        <f>IF(B495&lt;C495,1,EXP(-1*(B495-C495)/(Utilities!$B$11*IterData!H495)))</f>
        <v>1</v>
      </c>
    </row>
    <row r="496" spans="1:11" x14ac:dyDescent="0.3">
      <c r="A496">
        <v>495</v>
      </c>
      <c r="B496">
        <v>0.79415934045209569</v>
      </c>
      <c r="C496">
        <v>0.13190751139949167</v>
      </c>
      <c r="D496">
        <v>5.1342170740910761E-3</v>
      </c>
      <c r="E496" s="10">
        <v>4.1123407154861537E-3</v>
      </c>
      <c r="F496" s="10">
        <v>1.5081838352504151</v>
      </c>
      <c r="H496">
        <v>0.5024836467617807</v>
      </c>
      <c r="I496" s="11">
        <f t="shared" si="7"/>
        <v>0.66225182905260405</v>
      </c>
      <c r="J496" s="11">
        <f>1/(H496*Utilities!$B$11)</f>
        <v>7.9604580681932813</v>
      </c>
      <c r="K496" s="11">
        <f>IF(B496&lt;C496,1,EXP(-1*(B496-C496)/(Utilities!$B$11*IterData!H496)))</f>
        <v>5.1342170740910761E-3</v>
      </c>
    </row>
    <row r="497" spans="1:11" x14ac:dyDescent="0.3">
      <c r="A497">
        <v>496</v>
      </c>
      <c r="B497">
        <v>7.012878734805221E-2</v>
      </c>
      <c r="C497">
        <v>0.13190751139949167</v>
      </c>
      <c r="D497">
        <v>1</v>
      </c>
      <c r="E497" s="10">
        <v>4.1123407154861537E-3</v>
      </c>
      <c r="F497" s="10">
        <v>1.5081838352504151</v>
      </c>
      <c r="H497">
        <v>0.50243446726086005</v>
      </c>
      <c r="I497" s="11">
        <f t="shared" si="7"/>
        <v>-6.1778724051439457E-2</v>
      </c>
      <c r="J497" s="11">
        <f>1/(H497*Utilities!$B$11)</f>
        <v>7.9612372570833827</v>
      </c>
      <c r="K497" s="11">
        <f>IF(B497&lt;C497,1,EXP(-1*(B497-C497)/(Utilities!$B$11*IterData!H497)))</f>
        <v>1</v>
      </c>
    </row>
    <row r="498" spans="1:11" x14ac:dyDescent="0.3">
      <c r="A498">
        <v>497</v>
      </c>
      <c r="B498">
        <v>6.3035183141693235E-2</v>
      </c>
      <c r="C498">
        <v>7.012878734805221E-2</v>
      </c>
      <c r="D498">
        <v>1</v>
      </c>
      <c r="E498" s="10">
        <v>3.4487178493209287E-3</v>
      </c>
      <c r="F498" s="10">
        <v>1.5011619942113934</v>
      </c>
      <c r="H498">
        <v>0.50238626157930377</v>
      </c>
      <c r="I498" s="11">
        <f t="shared" si="7"/>
        <v>-7.0936042063589749E-3</v>
      </c>
      <c r="J498" s="11">
        <f>1/(H498*Utilities!$B$11)</f>
        <v>7.9620011650509346</v>
      </c>
      <c r="K498" s="11">
        <f>IF(B498&lt;C498,1,EXP(-1*(B498-C498)/(Utilities!$B$11*IterData!H498)))</f>
        <v>1</v>
      </c>
    </row>
    <row r="499" spans="1:11" x14ac:dyDescent="0.3">
      <c r="A499">
        <v>498</v>
      </c>
      <c r="B499">
        <v>0.26657431532308318</v>
      </c>
      <c r="C499">
        <v>6.3035183141693235E-2</v>
      </c>
      <c r="D499">
        <v>0.19775403996687904</v>
      </c>
      <c r="E499" s="10">
        <v>3.4436625577802388E-3</v>
      </c>
      <c r="F499" s="10">
        <v>1.469807837857747</v>
      </c>
      <c r="H499">
        <v>0.50233901043419638</v>
      </c>
      <c r="I499" s="11">
        <f t="shared" si="7"/>
        <v>0.20353913218138994</v>
      </c>
      <c r="J499" s="11">
        <f>1/(H499*Utilities!$B$11)</f>
        <v>7.9627500889142633</v>
      </c>
      <c r="K499" s="11">
        <f>IF(B499&lt;C499,1,EXP(-1*(B499-C499)/(Utilities!$B$11*IterData!H499)))</f>
        <v>0.19775403996687904</v>
      </c>
    </row>
    <row r="500" spans="1:11" x14ac:dyDescent="0.3">
      <c r="A500">
        <v>499</v>
      </c>
      <c r="B500">
        <v>0.48216380446051516</v>
      </c>
      <c r="C500">
        <v>6.3035183141693235E-2</v>
      </c>
      <c r="D500">
        <v>3.551769685097262E-2</v>
      </c>
      <c r="E500" s="10">
        <v>3.4436625577802388E-3</v>
      </c>
      <c r="F500" s="10">
        <v>1.469807837857747</v>
      </c>
      <c r="H500">
        <v>0.50229269492444995</v>
      </c>
      <c r="I500" s="11">
        <f t="shared" si="7"/>
        <v>0.41912862131882189</v>
      </c>
      <c r="J500" s="11">
        <f>1/(H500*Utilities!$B$11)</f>
        <v>7.9634843198379412</v>
      </c>
      <c r="K500" s="11">
        <f>IF(B500&lt;C500,1,EXP(-1*(B500-C500)/(Utilities!$B$11*IterData!H500)))</f>
        <v>3.551769685097262E-2</v>
      </c>
    </row>
    <row r="501" spans="1:11" x14ac:dyDescent="0.3">
      <c r="A501">
        <v>500</v>
      </c>
      <c r="B501">
        <v>8.2462559314861919E-2</v>
      </c>
      <c r="C501">
        <v>6.3035183141693235E-2</v>
      </c>
      <c r="D501">
        <v>0.85665193208092005</v>
      </c>
      <c r="E501" s="10">
        <v>3.4436625577802388E-3</v>
      </c>
      <c r="F501" s="10">
        <v>1.469807837857747</v>
      </c>
      <c r="H501">
        <v>0.50224729652324296</v>
      </c>
      <c r="I501" s="11">
        <f t="shared" si="7"/>
        <v>1.9427376173168684E-2</v>
      </c>
      <c r="J501" s="11">
        <f>1/(H501*Utilities!$B$11)</f>
        <v>7.9642041434361177</v>
      </c>
      <c r="K501" s="11">
        <f>IF(B501&lt;C501,1,EXP(-1*(B501-C501)/(Utilities!$B$11*IterData!H501)))</f>
        <v>0.85665193208092005</v>
      </c>
    </row>
    <row r="502" spans="1:11" x14ac:dyDescent="0.3">
      <c r="A502">
        <v>501</v>
      </c>
      <c r="B502">
        <v>7.4430911275558509E-2</v>
      </c>
      <c r="C502">
        <v>8.2462559314861919E-2</v>
      </c>
      <c r="D502">
        <v>1</v>
      </c>
      <c r="E502" s="10">
        <v>3.9496085684412839E-3</v>
      </c>
      <c r="F502" s="10">
        <v>1.4769033822228144</v>
      </c>
      <c r="H502">
        <v>0.50220279707060966</v>
      </c>
      <c r="I502" s="11">
        <f t="shared" si="7"/>
        <v>-8.0316480393034101E-3</v>
      </c>
      <c r="J502" s="11">
        <f>1/(H502*Utilities!$B$11)</f>
        <v>7.9649098398741103</v>
      </c>
      <c r="K502" s="11">
        <f>IF(B502&lt;C502,1,EXP(-1*(B502-C502)/(Utilities!$B$11*IterData!H502)))</f>
        <v>1</v>
      </c>
    </row>
    <row r="503" spans="1:11" x14ac:dyDescent="0.3">
      <c r="A503">
        <v>502</v>
      </c>
      <c r="B503">
        <v>0.40608559484592344</v>
      </c>
      <c r="C503">
        <v>7.4430911275558509E-2</v>
      </c>
      <c r="D503">
        <v>7.1230861535464443E-2</v>
      </c>
      <c r="E503" s="10">
        <v>3.9785847718502975E-3</v>
      </c>
      <c r="F503" s="10">
        <v>1.4620918754860561</v>
      </c>
      <c r="H503">
        <v>0.50215917876617555</v>
      </c>
      <c r="I503" s="11">
        <f t="shared" si="7"/>
        <v>0.33165468357036493</v>
      </c>
      <c r="J503" s="11">
        <f>1/(H503*Utilities!$B$11)</f>
        <v>7.9656016839683268</v>
      </c>
      <c r="K503" s="11">
        <f>IF(B503&lt;C503,1,EXP(-1*(B503-C503)/(Utilities!$B$11*IterData!H503)))</f>
        <v>7.1230861535464443E-2</v>
      </c>
    </row>
    <row r="504" spans="1:11" x14ac:dyDescent="0.3">
      <c r="A504">
        <v>503</v>
      </c>
      <c r="B504">
        <v>0.67582060924865628</v>
      </c>
      <c r="C504">
        <v>7.4430911275558509E-2</v>
      </c>
      <c r="D504">
        <v>8.3054887275285441E-3</v>
      </c>
      <c r="E504" s="10">
        <v>3.9785847718502975E-3</v>
      </c>
      <c r="F504" s="10">
        <v>1.4620918754860561</v>
      </c>
      <c r="H504">
        <v>0.5021164241620375</v>
      </c>
      <c r="I504" s="11">
        <f t="shared" si="7"/>
        <v>0.60138969797309771</v>
      </c>
      <c r="J504" s="11">
        <f>1/(H504*Utilities!$B$11)</f>
        <v>7.9662799452844899</v>
      </c>
      <c r="K504" s="11">
        <f>IF(B504&lt;C504,1,EXP(-1*(B504-C504)/(Utilities!$B$11*IterData!H504)))</f>
        <v>8.3054887275285511E-3</v>
      </c>
    </row>
    <row r="505" spans="1:11" x14ac:dyDescent="0.3">
      <c r="A505">
        <v>504</v>
      </c>
      <c r="B505">
        <v>0.26040211188932882</v>
      </c>
      <c r="C505">
        <v>7.4430911275558509E-2</v>
      </c>
      <c r="D505">
        <v>0.2272686897712165</v>
      </c>
      <c r="E505" s="10">
        <v>3.9785847718502975E-3</v>
      </c>
      <c r="F505" s="10">
        <v>1.4620918754860561</v>
      </c>
      <c r="H505">
        <v>0.50207451615578347</v>
      </c>
      <c r="I505" s="11">
        <f t="shared" si="7"/>
        <v>0.18597120061377032</v>
      </c>
      <c r="J505" s="11">
        <f>1/(H505*Utilities!$B$11)</f>
        <v>7.9669448882342433</v>
      </c>
      <c r="K505" s="11">
        <f>IF(B505&lt;C505,1,EXP(-1*(B505-C505)/(Utilities!$B$11*IterData!H505)))</f>
        <v>0.2272686897712165</v>
      </c>
    </row>
    <row r="506" spans="1:11" x14ac:dyDescent="0.3">
      <c r="A506">
        <v>505</v>
      </c>
      <c r="B506">
        <v>8.4740878892343635E-2</v>
      </c>
      <c r="C506">
        <v>7.4430911275558509E-2</v>
      </c>
      <c r="D506">
        <v>0.92113777166195421</v>
      </c>
      <c r="E506" s="10">
        <v>3.9785847718502975E-3</v>
      </c>
      <c r="F506" s="10">
        <v>1.4620918754860561</v>
      </c>
      <c r="H506">
        <v>0.50203343798365241</v>
      </c>
      <c r="I506" s="11">
        <f t="shared" si="7"/>
        <v>1.0309967616785126E-2</v>
      </c>
      <c r="J506" s="11">
        <f>1/(H506*Utilities!$B$11)</f>
        <v>7.9675967721700864</v>
      </c>
      <c r="K506" s="11">
        <f>IF(B506&lt;C506,1,EXP(-1*(B506-C506)/(Utilities!$B$11*IterData!H506)))</f>
        <v>0.92113777166195421</v>
      </c>
    </row>
    <row r="507" spans="1:11" x14ac:dyDescent="0.3">
      <c r="A507">
        <v>506</v>
      </c>
      <c r="B507">
        <v>0.93470859455029798</v>
      </c>
      <c r="C507">
        <v>8.4740878892343635E-2</v>
      </c>
      <c r="D507">
        <v>1.1445505812267395E-3</v>
      </c>
      <c r="E507" s="10">
        <v>3.0085040192073644E-3</v>
      </c>
      <c r="F507" s="10">
        <v>1.5608028829718616</v>
      </c>
      <c r="H507">
        <v>0.50199317321382764</v>
      </c>
      <c r="I507" s="11">
        <f t="shared" si="7"/>
        <v>0.84996771565795437</v>
      </c>
      <c r="J507" s="11">
        <f>1/(H507*Utilities!$B$11)</f>
        <v>7.9682358514787435</v>
      </c>
      <c r="K507" s="11">
        <f>IF(B507&lt;C507,1,EXP(-1*(B507-C507)/(Utilities!$B$11*IterData!H507)))</f>
        <v>1.1445505812267395E-3</v>
      </c>
    </row>
    <row r="508" spans="1:11" x14ac:dyDescent="0.3">
      <c r="A508">
        <v>507</v>
      </c>
      <c r="B508">
        <v>0.95270036683286319</v>
      </c>
      <c r="C508">
        <v>8.4740878892343635E-2</v>
      </c>
      <c r="D508">
        <v>9.9114501033600801E-4</v>
      </c>
      <c r="E508" s="10">
        <v>3.0085040192073644E-3</v>
      </c>
      <c r="F508" s="10">
        <v>1.5608028829718616</v>
      </c>
      <c r="H508">
        <v>0.50195370573986442</v>
      </c>
      <c r="I508" s="11">
        <f t="shared" si="7"/>
        <v>0.86795948794051958</v>
      </c>
      <c r="J508" s="11">
        <f>1/(H508*Utilities!$B$11)</f>
        <v>7.9688623756729164</v>
      </c>
      <c r="K508" s="11">
        <f>IF(B508&lt;C508,1,EXP(-1*(B508-C508)/(Utilities!$B$11*IterData!H508)))</f>
        <v>9.9114501033600801E-4</v>
      </c>
    </row>
    <row r="509" spans="1:11" x14ac:dyDescent="0.3">
      <c r="A509">
        <v>508</v>
      </c>
      <c r="B509">
        <v>1.3112324489200771</v>
      </c>
      <c r="C509">
        <v>8.4740878892343635E-2</v>
      </c>
      <c r="D509">
        <v>5.6884033955287298E-5</v>
      </c>
      <c r="E509" s="10">
        <v>3.0085040192073644E-3</v>
      </c>
      <c r="F509" s="10">
        <v>1.5608028829718616</v>
      </c>
      <c r="H509">
        <v>0.50191501977424691</v>
      </c>
      <c r="I509" s="11">
        <f t="shared" si="7"/>
        <v>1.2264915700277335</v>
      </c>
      <c r="J509" s="11">
        <f>1/(H509*Utilities!$B$11)</f>
        <v>7.9694765894814905</v>
      </c>
      <c r="K509" s="11">
        <f>IF(B509&lt;C509,1,EXP(-1*(B509-C509)/(Utilities!$B$11*IterData!H509)))</f>
        <v>5.6884033955287298E-5</v>
      </c>
    </row>
    <row r="510" spans="1:11" x14ac:dyDescent="0.3">
      <c r="A510">
        <v>509</v>
      </c>
      <c r="B510">
        <v>0.14125102203258</v>
      </c>
      <c r="C510">
        <v>8.4740878892343635E-2</v>
      </c>
      <c r="D510">
        <v>0.63737934026415477</v>
      </c>
      <c r="E510" s="10">
        <v>3.0085040192073644E-3</v>
      </c>
      <c r="F510" s="10">
        <v>1.5608028829718616</v>
      </c>
      <c r="H510">
        <v>0.50187709984207296</v>
      </c>
      <c r="I510" s="11">
        <f t="shared" si="7"/>
        <v>5.6510143140236363E-2</v>
      </c>
      <c r="J510" s="11">
        <f>1/(H510*Utilities!$B$11)</f>
        <v>7.9700787329381857</v>
      </c>
      <c r="K510" s="11">
        <f>IF(B510&lt;C510,1,EXP(-1*(B510-C510)/(Utilities!$B$11*IterData!H510)))</f>
        <v>0.63737934026415477</v>
      </c>
    </row>
    <row r="511" spans="1:11" x14ac:dyDescent="0.3">
      <c r="A511">
        <v>510</v>
      </c>
      <c r="B511">
        <v>0.26589955741993354</v>
      </c>
      <c r="C511">
        <v>0.14125102203258</v>
      </c>
      <c r="D511">
        <v>0.37026651490964946</v>
      </c>
      <c r="E511" s="10">
        <v>4.1246184351876203E-3</v>
      </c>
      <c r="F511" s="10">
        <v>1.5134369500999378</v>
      </c>
      <c r="H511">
        <v>0.50183993077486422</v>
      </c>
      <c r="I511" s="11">
        <f t="shared" si="7"/>
        <v>0.12464853538735354</v>
      </c>
      <c r="J511" s="11">
        <f>1/(H511*Utilities!$B$11)</f>
        <v>7.9706690414686889</v>
      </c>
      <c r="K511" s="11">
        <f>IF(B511&lt;C511,1,EXP(-1*(B511-C511)/(Utilities!$B$11*IterData!H511)))</f>
        <v>0.37026651490964946</v>
      </c>
    </row>
    <row r="512" spans="1:11" x14ac:dyDescent="0.3">
      <c r="A512">
        <v>511</v>
      </c>
      <c r="B512">
        <v>0.66349245395779211</v>
      </c>
      <c r="C512">
        <v>0.14125102203258</v>
      </c>
      <c r="D512">
        <v>1.5562115107841879E-2</v>
      </c>
      <c r="E512" s="10">
        <v>4.1246184351876203E-3</v>
      </c>
      <c r="F512" s="10">
        <v>1.5134369500999378</v>
      </c>
      <c r="H512">
        <v>0.50180349770449828</v>
      </c>
      <c r="I512" s="11">
        <f t="shared" si="7"/>
        <v>0.52224143192521211</v>
      </c>
      <c r="J512" s="11">
        <f>1/(H512*Utilities!$B$11)</f>
        <v>7.9712477459762896</v>
      </c>
      <c r="K512" s="11">
        <f>IF(B512&lt;C512,1,EXP(-1*(B512-C512)/(Utilities!$B$11*IterData!H512)))</f>
        <v>1.5562115107841879E-2</v>
      </c>
    </row>
    <row r="513" spans="1:11" x14ac:dyDescent="0.3">
      <c r="A513">
        <v>512</v>
      </c>
      <c r="B513">
        <v>6.1643221295633613E-2</v>
      </c>
      <c r="C513">
        <v>0.14125102203258</v>
      </c>
      <c r="D513">
        <v>1</v>
      </c>
      <c r="E513" s="10">
        <v>4.1246184351876203E-3</v>
      </c>
      <c r="F513" s="10">
        <v>1.5134369500999378</v>
      </c>
      <c r="H513">
        <v>0.50176778605726091</v>
      </c>
      <c r="I513" s="11">
        <f t="shared" si="7"/>
        <v>-7.9607800736946385E-2</v>
      </c>
      <c r="J513" s="11">
        <f>1/(H513*Utilities!$B$11)</f>
        <v>7.971815072926038</v>
      </c>
      <c r="K513" s="11">
        <f>IF(B513&lt;C513,1,EXP(-1*(B513-C513)/(Utilities!$B$11*IterData!H513)))</f>
        <v>1</v>
      </c>
    </row>
    <row r="514" spans="1:11" x14ac:dyDescent="0.3">
      <c r="A514">
        <v>513</v>
      </c>
      <c r="B514">
        <v>0.64006946765695616</v>
      </c>
      <c r="C514">
        <v>6.1643221295633613E-2</v>
      </c>
      <c r="D514">
        <v>9.937609566396834E-3</v>
      </c>
      <c r="E514" s="10">
        <v>3.0473308432781752E-3</v>
      </c>
      <c r="F514" s="10">
        <v>1.5246436057750201</v>
      </c>
      <c r="H514">
        <v>0.50173278154801737</v>
      </c>
      <c r="I514" s="11">
        <f t="shared" si="7"/>
        <v>0.57842624636132256</v>
      </c>
      <c r="J514" s="11">
        <f>1/(H514*Utilities!$B$11)</f>
        <v>7.972371244427424</v>
      </c>
      <c r="K514" s="11">
        <f>IF(B514&lt;C514,1,EXP(-1*(B514-C514)/(Utilities!$B$11*IterData!H514)))</f>
        <v>9.937609566396834E-3</v>
      </c>
    </row>
    <row r="515" spans="1:11" x14ac:dyDescent="0.3">
      <c r="A515">
        <v>514</v>
      </c>
      <c r="B515">
        <v>0.60985551112426106</v>
      </c>
      <c r="C515">
        <v>6.1643221295633613E-2</v>
      </c>
      <c r="D515">
        <v>1.2640481480340391E-2</v>
      </c>
      <c r="E515" s="10">
        <v>3.0473308432781752E-3</v>
      </c>
      <c r="F515" s="10">
        <v>1.5246436057750201</v>
      </c>
      <c r="H515">
        <v>0.50169847017449709</v>
      </c>
      <c r="I515" s="11">
        <f t="shared" ref="I515:I578" si="8">B515-C515</f>
        <v>0.54821228982862746</v>
      </c>
      <c r="J515" s="11">
        <f>1/(H515*Utilities!$B$11)</f>
        <v>7.972916478315649</v>
      </c>
      <c r="K515" s="11">
        <f>IF(B515&lt;C515,1,EXP(-1*(B515-C515)/(Utilities!$B$11*IterData!H515)))</f>
        <v>1.2640481480340391E-2</v>
      </c>
    </row>
    <row r="516" spans="1:11" x14ac:dyDescent="0.3">
      <c r="A516">
        <v>515</v>
      </c>
      <c r="B516">
        <v>0.5435883993091859</v>
      </c>
      <c r="C516">
        <v>6.1643221295633613E-2</v>
      </c>
      <c r="D516">
        <v>2.1434226704025436E-2</v>
      </c>
      <c r="E516" s="10">
        <v>3.0473308432781752E-3</v>
      </c>
      <c r="F516" s="10">
        <v>1.5246436057750201</v>
      </c>
      <c r="H516">
        <v>0.50166483821169305</v>
      </c>
      <c r="I516" s="11">
        <f t="shared" si="8"/>
        <v>0.4819451780135523</v>
      </c>
      <c r="J516" s="11">
        <f>1/(H516*Utilities!$B$11)</f>
        <v>7.9734509882314608</v>
      </c>
      <c r="K516" s="11">
        <f>IF(B516&lt;C516,1,EXP(-1*(B516-C516)/(Utilities!$B$11*IterData!H516)))</f>
        <v>2.1434226704025425E-2</v>
      </c>
    </row>
    <row r="517" spans="1:11" x14ac:dyDescent="0.3">
      <c r="A517">
        <v>516</v>
      </c>
      <c r="B517">
        <v>0.21106761826806741</v>
      </c>
      <c r="C517">
        <v>6.1643221295633613E-2</v>
      </c>
      <c r="D517">
        <v>0.30376332912031379</v>
      </c>
      <c r="E517" s="10">
        <v>3.0473308432781752E-3</v>
      </c>
      <c r="F517" s="10">
        <v>1.5246436057750201</v>
      </c>
      <c r="H517">
        <v>0.50163187220637195</v>
      </c>
      <c r="I517" s="11">
        <f t="shared" si="8"/>
        <v>0.14942439697243382</v>
      </c>
      <c r="J517" s="11">
        <f>1/(H517*Utilities!$B$11)</f>
        <v>7.9739749836995903</v>
      </c>
      <c r="K517" s="11">
        <f>IF(B517&lt;C517,1,EXP(-1*(B517-C517)/(Utilities!$B$11*IterData!H517)))</f>
        <v>0.30376332912031373</v>
      </c>
    </row>
    <row r="518" spans="1:11" x14ac:dyDescent="0.3">
      <c r="A518">
        <v>517</v>
      </c>
      <c r="B518">
        <v>0.89672940044385441</v>
      </c>
      <c r="C518">
        <v>6.1643221295633613E-2</v>
      </c>
      <c r="D518">
        <v>1.2819341661453518E-3</v>
      </c>
      <c r="E518" s="10">
        <v>3.0473308432781752E-3</v>
      </c>
      <c r="F518" s="10">
        <v>1.5246436057750201</v>
      </c>
      <c r="H518">
        <v>0.50159955897169195</v>
      </c>
      <c r="I518" s="11">
        <f t="shared" si="8"/>
        <v>0.83508617914822081</v>
      </c>
      <c r="J518" s="11">
        <f>1/(H518*Utilities!$B$11)</f>
        <v>7.9744886702058331</v>
      </c>
      <c r="K518" s="11">
        <f>IF(B518&lt;C518,1,EXP(-1*(B518-C518)/(Utilities!$B$11*IterData!H518)))</f>
        <v>1.2819341661453518E-3</v>
      </c>
    </row>
    <row r="519" spans="1:11" x14ac:dyDescent="0.3">
      <c r="A519">
        <v>518</v>
      </c>
      <c r="B519">
        <v>0.17671053733008424</v>
      </c>
      <c r="C519">
        <v>6.1643221295633613E-2</v>
      </c>
      <c r="D519">
        <v>0.39945228667194066</v>
      </c>
      <c r="E519" s="10">
        <v>3.0473308432781752E-3</v>
      </c>
      <c r="F519" s="10">
        <v>1.5246436057750201</v>
      </c>
      <c r="H519">
        <v>0.50156788558192833</v>
      </c>
      <c r="I519" s="11">
        <f t="shared" si="8"/>
        <v>0.11506731603445063</v>
      </c>
      <c r="J519" s="11">
        <f>1/(H519*Utilities!$B$11)</f>
        <v>7.9749922492727503</v>
      </c>
      <c r="K519" s="11">
        <f>IF(B519&lt;C519,1,EXP(-1*(B519-C519)/(Utilities!$B$11*IterData!H519)))</f>
        <v>0.39945228667194066</v>
      </c>
    </row>
    <row r="520" spans="1:11" x14ac:dyDescent="0.3">
      <c r="A520">
        <v>519</v>
      </c>
      <c r="B520">
        <v>0.42373515780170606</v>
      </c>
      <c r="C520">
        <v>6.1643221295633613E-2</v>
      </c>
      <c r="D520">
        <v>5.5695320908055672E-2</v>
      </c>
      <c r="E520" s="10">
        <v>3.0473308432781752E-3</v>
      </c>
      <c r="F520" s="10">
        <v>1.5246436057750201</v>
      </c>
      <c r="H520">
        <v>0.50153683936730298</v>
      </c>
      <c r="I520" s="11">
        <f t="shared" si="8"/>
        <v>0.36209193650607246</v>
      </c>
      <c r="J520" s="11">
        <f>1/(H520*Utilities!$B$11)</f>
        <v>7.9754859185340523</v>
      </c>
      <c r="K520" s="11">
        <f>IF(B520&lt;C520,1,EXP(-1*(B520-C520)/(Utilities!$B$11*IterData!H520)))</f>
        <v>5.5695320908055651E-2</v>
      </c>
    </row>
    <row r="521" spans="1:11" x14ac:dyDescent="0.3">
      <c r="A521">
        <v>520</v>
      </c>
      <c r="B521">
        <v>0.28339608830619512</v>
      </c>
      <c r="C521">
        <v>6.1643221295633613E-2</v>
      </c>
      <c r="D521">
        <v>0.17055555726688409</v>
      </c>
      <c r="E521" s="10">
        <v>3.0473308432781752E-3</v>
      </c>
      <c r="F521" s="10">
        <v>1.5246436057750201</v>
      </c>
      <c r="H521">
        <v>0.50150640790891599</v>
      </c>
      <c r="I521" s="11">
        <f t="shared" si="8"/>
        <v>0.22175286701056152</v>
      </c>
      <c r="J521" s="11">
        <f>1/(H521*Utilities!$B$11)</f>
        <v>7.975969871807667</v>
      </c>
      <c r="K521" s="11">
        <f>IF(B521&lt;C521,1,EXP(-1*(B521-C521)/(Utilities!$B$11*IterData!H521)))</f>
        <v>0.17055555726688409</v>
      </c>
    </row>
    <row r="522" spans="1:11" x14ac:dyDescent="0.3">
      <c r="A522">
        <v>521</v>
      </c>
      <c r="B522">
        <v>0.16636767313051268</v>
      </c>
      <c r="C522">
        <v>0.28339608830619512</v>
      </c>
      <c r="D522">
        <v>1</v>
      </c>
      <c r="E522" s="10">
        <v>2.6988068090440919E-3</v>
      </c>
      <c r="F522" s="10">
        <v>1.4075864459742311</v>
      </c>
      <c r="H522">
        <v>0.50147657903377829</v>
      </c>
      <c r="I522" s="11">
        <f t="shared" si="8"/>
        <v>-0.11702841517568244</v>
      </c>
      <c r="J522" s="11">
        <f>1/(H522*Utilities!$B$11)</f>
        <v>7.9764442991674978</v>
      </c>
      <c r="K522" s="11">
        <f>IF(B522&lt;C522,1,EXP(-1*(B522-C522)/(Utilities!$B$11*IterData!H522)))</f>
        <v>1</v>
      </c>
    </row>
    <row r="523" spans="1:11" x14ac:dyDescent="0.3">
      <c r="A523">
        <v>522</v>
      </c>
      <c r="B523">
        <v>0.53830268320596397</v>
      </c>
      <c r="C523">
        <v>0.16636767313051268</v>
      </c>
      <c r="D523">
        <v>5.1463015587673612E-2</v>
      </c>
      <c r="E523" s="10">
        <v>2.9847592332192603E-3</v>
      </c>
      <c r="F523" s="10">
        <v>1.420932615095081</v>
      </c>
      <c r="H523">
        <v>0.50144734080994202</v>
      </c>
      <c r="I523" s="11">
        <f t="shared" si="8"/>
        <v>0.37193501007545127</v>
      </c>
      <c r="J523" s="11">
        <f>1/(H523*Utilities!$B$11)</f>
        <v>7.9769093870139303</v>
      </c>
      <c r="K523" s="11">
        <f>IF(B523&lt;C523,1,EXP(-1*(B523-C523)/(Utilities!$B$11*IterData!H523)))</f>
        <v>5.1463015587673633E-2</v>
      </c>
    </row>
    <row r="524" spans="1:11" x14ac:dyDescent="0.3">
      <c r="A524">
        <v>523</v>
      </c>
      <c r="B524">
        <v>0.26870380487984735</v>
      </c>
      <c r="C524">
        <v>0.16636767313051268</v>
      </c>
      <c r="D524">
        <v>0.44203212957062898</v>
      </c>
      <c r="E524" s="10">
        <v>2.9847592332192603E-3</v>
      </c>
      <c r="F524" s="10">
        <v>1.420932615095081</v>
      </c>
      <c r="H524">
        <v>0.50141868154172786</v>
      </c>
      <c r="I524" s="11">
        <f t="shared" si="8"/>
        <v>0.10233613174933467</v>
      </c>
      <c r="J524" s="11">
        <f>1/(H524*Utilities!$B$11)</f>
        <v>7.977365318143061</v>
      </c>
      <c r="K524" s="11">
        <f>IF(B524&lt;C524,1,EXP(-1*(B524-C524)/(Utilities!$B$11*IterData!H524)))</f>
        <v>0.44203212957062898</v>
      </c>
    </row>
    <row r="525" spans="1:11" x14ac:dyDescent="0.3">
      <c r="A525">
        <v>524</v>
      </c>
      <c r="B525">
        <v>0.29103691954806382</v>
      </c>
      <c r="C525">
        <v>0.26870380487984735</v>
      </c>
      <c r="D525">
        <v>0.83680066057313984</v>
      </c>
      <c r="E525" s="10">
        <v>2.5161086996562491E-3</v>
      </c>
      <c r="F525" s="10">
        <v>1.4276764822227224</v>
      </c>
      <c r="H525">
        <v>0.50139058976504647</v>
      </c>
      <c r="I525" s="11">
        <f t="shared" si="8"/>
        <v>2.2333114668216469E-2</v>
      </c>
      <c r="J525" s="11">
        <f>1/(H525*Utilities!$B$11)</f>
        <v>7.9778122718147051</v>
      </c>
      <c r="K525" s="11">
        <f>IF(B525&lt;C525,1,EXP(-1*(B525-C525)/(Utilities!$B$11*IterData!H525)))</f>
        <v>0.83680066057313984</v>
      </c>
    </row>
    <row r="526" spans="1:11" x14ac:dyDescent="0.3">
      <c r="A526">
        <v>525</v>
      </c>
      <c r="B526">
        <v>0.26287559936342686</v>
      </c>
      <c r="C526">
        <v>0.26870380487984735</v>
      </c>
      <c r="D526">
        <v>1</v>
      </c>
      <c r="E526" s="10">
        <v>2.5161086996562491E-3</v>
      </c>
      <c r="F526" s="10">
        <v>1.4276764822227224</v>
      </c>
      <c r="H526">
        <v>0.50136305424281247</v>
      </c>
      <c r="I526" s="11">
        <f t="shared" si="8"/>
        <v>-5.8282055164204927E-3</v>
      </c>
      <c r="J526" s="11">
        <f>1/(H526*Utilities!$B$11)</f>
        <v>7.978250423819186</v>
      </c>
      <c r="K526" s="11">
        <f>IF(B526&lt;C526,1,EXP(-1*(B526-C526)/(Utilities!$B$11*IterData!H526)))</f>
        <v>1</v>
      </c>
    </row>
    <row r="527" spans="1:11" x14ac:dyDescent="0.3">
      <c r="A527">
        <v>526</v>
      </c>
      <c r="B527">
        <v>0.63557543186154064</v>
      </c>
      <c r="C527">
        <v>0.26287559936342686</v>
      </c>
      <c r="D527">
        <v>5.1116257604999889E-2</v>
      </c>
      <c r="E527" s="10">
        <v>2.9469275780208272E-3</v>
      </c>
      <c r="F527" s="10">
        <v>1.3927655795480469</v>
      </c>
      <c r="H527">
        <v>0.50133606396044994</v>
      </c>
      <c r="I527" s="11">
        <f t="shared" si="8"/>
        <v>0.37269983249811378</v>
      </c>
      <c r="J527" s="11">
        <f>1/(H527*Utilities!$B$11)</f>
        <v>7.9786799465429183</v>
      </c>
      <c r="K527" s="11">
        <f>IF(B527&lt;C527,1,EXP(-1*(B527-C527)/(Utilities!$B$11*IterData!H527)))</f>
        <v>5.1116257604999889E-2</v>
      </c>
    </row>
    <row r="528" spans="1:11" x14ac:dyDescent="0.3">
      <c r="A528">
        <v>527</v>
      </c>
      <c r="B528">
        <v>0.31927630598480983</v>
      </c>
      <c r="C528">
        <v>0.26287559936342686</v>
      </c>
      <c r="D528">
        <v>0.63761097726685623</v>
      </c>
      <c r="E528" s="10">
        <v>2.9469275780208272E-3</v>
      </c>
      <c r="F528" s="10">
        <v>1.3927655795480469</v>
      </c>
      <c r="H528">
        <v>0.50130960812148595</v>
      </c>
      <c r="I528" s="11">
        <f t="shared" si="8"/>
        <v>5.6400706621382968E-2</v>
      </c>
      <c r="J528" s="11">
        <f>1/(H528*Utilities!$B$11)</f>
        <v>7.9791010090328278</v>
      </c>
      <c r="K528" s="11">
        <f>IF(B528&lt;C528,1,EXP(-1*(B528-C528)/(Utilities!$B$11*IterData!H528)))</f>
        <v>0.63761097726685623</v>
      </c>
    </row>
    <row r="529" spans="1:11" x14ac:dyDescent="0.3">
      <c r="A529">
        <v>528</v>
      </c>
      <c r="B529">
        <v>0.13993222351703874</v>
      </c>
      <c r="C529">
        <v>0.31927630598480983</v>
      </c>
      <c r="D529">
        <v>1</v>
      </c>
      <c r="E529" s="10">
        <v>2.8298718818381935E-3</v>
      </c>
      <c r="F529" s="10">
        <v>1.7077106215939379</v>
      </c>
      <c r="H529">
        <v>0.50128367614323233</v>
      </c>
      <c r="I529" s="11">
        <f t="shared" si="8"/>
        <v>-0.17934408246777109</v>
      </c>
      <c r="J529" s="11">
        <f>1/(H529*Utilities!$B$11)</f>
        <v>7.9795137770595899</v>
      </c>
      <c r="K529" s="11">
        <f>IF(B529&lt;C529,1,EXP(-1*(B529-C529)/(Utilities!$B$11*IterData!H529)))</f>
        <v>1</v>
      </c>
    </row>
    <row r="530" spans="1:11" x14ac:dyDescent="0.3">
      <c r="A530">
        <v>529</v>
      </c>
      <c r="B530">
        <v>0.28915564074171607</v>
      </c>
      <c r="C530">
        <v>0.13993222351703874</v>
      </c>
      <c r="D530">
        <v>0.30398081297280294</v>
      </c>
      <c r="E530" s="10">
        <v>2.5579364328926473E-3</v>
      </c>
      <c r="F530" s="10">
        <v>1.6480282953733616</v>
      </c>
      <c r="H530">
        <v>0.50125825765255183</v>
      </c>
      <c r="I530" s="11">
        <f t="shared" si="8"/>
        <v>0.14922341722467733</v>
      </c>
      <c r="J530" s="11">
        <f>1/(H530*Utilities!$B$11)</f>
        <v>7.9799184131797549</v>
      </c>
      <c r="K530" s="11">
        <f>IF(B530&lt;C530,1,EXP(-1*(B530-C530)/(Utilities!$B$11*IterData!H530)))</f>
        <v>0.30398081297280294</v>
      </c>
    </row>
    <row r="531" spans="1:11" x14ac:dyDescent="0.3">
      <c r="A531">
        <v>530</v>
      </c>
      <c r="B531">
        <v>0.30502438609997362</v>
      </c>
      <c r="C531">
        <v>0.28915564074171607</v>
      </c>
      <c r="D531">
        <v>0.88105291904246852</v>
      </c>
      <c r="E531" s="10">
        <v>2.8848636738605716E-3</v>
      </c>
      <c r="F531" s="10">
        <v>1.6891975324812383</v>
      </c>
      <c r="H531">
        <v>0.50123334248170937</v>
      </c>
      <c r="I531" s="11">
        <f t="shared" si="8"/>
        <v>1.5868745358257552E-2</v>
      </c>
      <c r="J531" s="11">
        <f>1/(H531*Utilities!$B$11)</f>
        <v>7.9803150767967219</v>
      </c>
      <c r="K531" s="11">
        <f>IF(B531&lt;C531,1,EXP(-1*(B531-C531)/(Utilities!$B$11*IterData!H531)))</f>
        <v>0.88105291904246852</v>
      </c>
    </row>
    <row r="532" spans="1:11" x14ac:dyDescent="0.3">
      <c r="A532">
        <v>531</v>
      </c>
      <c r="B532">
        <v>0.28935241142806989</v>
      </c>
      <c r="C532">
        <v>0.30502438609997362</v>
      </c>
      <c r="D532">
        <v>1</v>
      </c>
      <c r="E532" s="10">
        <v>2.8499710451843851E-3</v>
      </c>
      <c r="F532" s="10">
        <v>1.3895198958736892</v>
      </c>
      <c r="H532">
        <v>0.50120892066430445</v>
      </c>
      <c r="I532" s="11">
        <f t="shared" si="8"/>
        <v>-1.5671974671903732E-2</v>
      </c>
      <c r="J532" s="11">
        <f>1/(H532*Utilities!$B$11)</f>
        <v>7.9807039242206281</v>
      </c>
      <c r="K532" s="11">
        <f>IF(B532&lt;C532,1,EXP(-1*(B532-C532)/(Utilities!$B$11*IterData!H532)))</f>
        <v>1</v>
      </c>
    </row>
    <row r="533" spans="1:11" x14ac:dyDescent="0.3">
      <c r="A533">
        <v>532</v>
      </c>
      <c r="B533">
        <v>0.16266911605809981</v>
      </c>
      <c r="C533">
        <v>0.28935241142806989</v>
      </c>
      <c r="D533">
        <v>1</v>
      </c>
      <c r="E533" s="10">
        <v>3.6159435153835006E-3</v>
      </c>
      <c r="F533" s="10">
        <v>1.6251818399901679</v>
      </c>
      <c r="H533">
        <v>0.50118498243128429</v>
      </c>
      <c r="I533" s="11">
        <f t="shared" si="8"/>
        <v>-0.12668329536997008</v>
      </c>
      <c r="J533" s="11">
        <f>1/(H533*Utilities!$B$11)</f>
        <v>7.9810851087271475</v>
      </c>
      <c r="K533" s="11">
        <f>IF(B533&lt;C533,1,EXP(-1*(B533-C533)/(Utilities!$B$11*IterData!H533)))</f>
        <v>1</v>
      </c>
    </row>
    <row r="534" spans="1:11" x14ac:dyDescent="0.3">
      <c r="A534">
        <v>533</v>
      </c>
      <c r="B534">
        <v>0.13441593562836124</v>
      </c>
      <c r="C534">
        <v>0.16266911605809981</v>
      </c>
      <c r="D534">
        <v>1</v>
      </c>
      <c r="E534" s="10">
        <v>3.0113041952336628E-3</v>
      </c>
      <c r="F534" s="10">
        <v>1.4203630226826367</v>
      </c>
      <c r="H534">
        <v>0.50116151820703669</v>
      </c>
      <c r="I534" s="11">
        <f t="shared" si="8"/>
        <v>-2.8253180429738567E-2</v>
      </c>
      <c r="J534" s="11">
        <f>1/(H534*Utilities!$B$11)</f>
        <v>7.9814587806152053</v>
      </c>
      <c r="K534" s="11">
        <f>IF(B534&lt;C534,1,EXP(-1*(B534-C534)/(Utilities!$B$11*IterData!H534)))</f>
        <v>1</v>
      </c>
    </row>
    <row r="535" spans="1:11" x14ac:dyDescent="0.3">
      <c r="A535">
        <v>534</v>
      </c>
      <c r="B535">
        <v>0.33814262978771087</v>
      </c>
      <c r="C535">
        <v>0.13441593562836124</v>
      </c>
      <c r="D535">
        <v>0.1966930596024305</v>
      </c>
      <c r="E535" s="10">
        <v>3.1626725368313013E-3</v>
      </c>
      <c r="F535" s="10">
        <v>1.4214468290374043</v>
      </c>
      <c r="H535">
        <v>0.50113851860555902</v>
      </c>
      <c r="I535" s="11">
        <f t="shared" si="8"/>
        <v>0.20372669415934963</v>
      </c>
      <c r="J535" s="11">
        <f>1/(H535*Utilities!$B$11)</f>
        <v>7.9818250872636654</v>
      </c>
      <c r="K535" s="11">
        <f>IF(B535&lt;C535,1,EXP(-1*(B535-C535)/(Utilities!$B$11*IterData!H535)))</f>
        <v>0.1966930596024305</v>
      </c>
    </row>
    <row r="536" spans="1:11" x14ac:dyDescent="0.3">
      <c r="A536">
        <v>535</v>
      </c>
      <c r="B536">
        <v>0.55031413283473074</v>
      </c>
      <c r="C536">
        <v>0.13441593562836124</v>
      </c>
      <c r="D536">
        <v>3.6160930627922527E-2</v>
      </c>
      <c r="E536" s="10">
        <v>3.1626725368313013E-3</v>
      </c>
      <c r="F536" s="10">
        <v>1.4214468290374043</v>
      </c>
      <c r="H536">
        <v>0.50111597442670397</v>
      </c>
      <c r="I536" s="11">
        <f t="shared" si="8"/>
        <v>0.4158981972063695</v>
      </c>
      <c r="J536" s="11">
        <f>1/(H536*Utilities!$B$11)</f>
        <v>7.9821841731869645</v>
      </c>
      <c r="K536" s="11">
        <f>IF(B536&lt;C536,1,EXP(-1*(B536-C536)/(Utilities!$B$11*IterData!H536)))</f>
        <v>3.6160930627922527E-2</v>
      </c>
    </row>
    <row r="537" spans="1:11" x14ac:dyDescent="0.3">
      <c r="A537">
        <v>536</v>
      </c>
      <c r="B537">
        <v>0.91415135864509645</v>
      </c>
      <c r="C537">
        <v>0.13441593562836124</v>
      </c>
      <c r="D537">
        <v>1.9807767264207674E-3</v>
      </c>
      <c r="E537" s="10">
        <v>3.1626725368313013E-3</v>
      </c>
      <c r="F537" s="10">
        <v>1.4214468290374043</v>
      </c>
      <c r="H537">
        <v>0.50109387665249949</v>
      </c>
      <c r="I537" s="11">
        <f t="shared" si="8"/>
        <v>0.77973542301673526</v>
      </c>
      <c r="J537" s="11">
        <f>1/(H537*Utilities!$B$11)</f>
        <v>7.9825361800897348</v>
      </c>
      <c r="K537" s="11">
        <f>IF(B537&lt;C537,1,EXP(-1*(B537-C537)/(Utilities!$B$11*IterData!H537)))</f>
        <v>1.9807767264207656E-3</v>
      </c>
    </row>
    <row r="538" spans="1:11" x14ac:dyDescent="0.3">
      <c r="A538">
        <v>537</v>
      </c>
      <c r="B538">
        <v>0.62699558904400854</v>
      </c>
      <c r="C538">
        <v>0.13441593562836124</v>
      </c>
      <c r="D538">
        <v>1.9600408367889007E-2</v>
      </c>
      <c r="E538" s="10">
        <v>3.1626725368313013E-3</v>
      </c>
      <c r="F538" s="10">
        <v>1.4214468290374043</v>
      </c>
      <c r="H538">
        <v>0.50107221644354127</v>
      </c>
      <c r="I538" s="11">
        <f t="shared" si="8"/>
        <v>0.4925796534156473</v>
      </c>
      <c r="J538" s="11">
        <f>1/(H538*Utilities!$B$11)</f>
        <v>7.9828812469204289</v>
      </c>
      <c r="K538" s="11">
        <f>IF(B538&lt;C538,1,EXP(-1*(B538-C538)/(Utilities!$B$11*IterData!H538)))</f>
        <v>1.9600408367889007E-2</v>
      </c>
    </row>
    <row r="539" spans="1:11" x14ac:dyDescent="0.3">
      <c r="A539">
        <v>538</v>
      </c>
      <c r="B539">
        <v>6.5856107212448847E-2</v>
      </c>
      <c r="C539">
        <v>0.13441593562836124</v>
      </c>
      <c r="D539">
        <v>1</v>
      </c>
      <c r="E539" s="10">
        <v>3.1626725368313013E-3</v>
      </c>
      <c r="F539" s="10">
        <v>1.4214468290374043</v>
      </c>
      <c r="H539">
        <v>0.50105098513545687</v>
      </c>
      <c r="I539" s="11">
        <f t="shared" si="8"/>
        <v>-6.8559828415912391E-2</v>
      </c>
      <c r="J539" s="11">
        <f>1/(H539*Utilities!$B$11)</f>
        <v>7.9832195099239609</v>
      </c>
      <c r="K539" s="11">
        <f>IF(B539&lt;C539,1,EXP(-1*(B539-C539)/(Utilities!$B$11*IterData!H539)))</f>
        <v>1</v>
      </c>
    </row>
    <row r="540" spans="1:11" x14ac:dyDescent="0.3">
      <c r="A540">
        <v>539</v>
      </c>
      <c r="B540">
        <v>6.2356798463563394E-2</v>
      </c>
      <c r="C540">
        <v>6.5856107212448847E-2</v>
      </c>
      <c r="D540">
        <v>1</v>
      </c>
      <c r="E540" s="10">
        <v>3.5974823305548421E-3</v>
      </c>
      <c r="F540" s="10">
        <v>1.4536732675544113</v>
      </c>
      <c r="H540">
        <v>0.50103017423543994</v>
      </c>
      <c r="I540" s="11">
        <f t="shared" si="8"/>
        <v>-3.4993087488854532E-3</v>
      </c>
      <c r="J540" s="11">
        <f>1/(H540*Utilities!$B$11)</f>
        <v>7.9835511026933741</v>
      </c>
      <c r="K540" s="11">
        <f>IF(B540&lt;C540,1,EXP(-1*(B540-C540)/(Utilities!$B$11*IterData!H540)))</f>
        <v>1</v>
      </c>
    </row>
    <row r="541" spans="1:11" x14ac:dyDescent="0.3">
      <c r="A541">
        <v>540</v>
      </c>
      <c r="B541">
        <v>0.20952230865377586</v>
      </c>
      <c r="C541">
        <v>6.2356798463563394E-2</v>
      </c>
      <c r="D541">
        <v>0.30883404800511771</v>
      </c>
      <c r="E541" s="10">
        <v>2.9057783549139814E-3</v>
      </c>
      <c r="F541" s="10">
        <v>1.495539994306875</v>
      </c>
      <c r="H541">
        <v>0.50100977541885305</v>
      </c>
      <c r="I541" s="11">
        <f t="shared" si="8"/>
        <v>0.14716551019021246</v>
      </c>
      <c r="J541" s="11">
        <f>1/(H541*Utilities!$B$11)</f>
        <v>7.9838761562205631</v>
      </c>
      <c r="K541" s="11">
        <f>IF(B541&lt;C541,1,EXP(-1*(B541-C541)/(Utilities!$B$11*IterData!H541)))</f>
        <v>0.30883404800511777</v>
      </c>
    </row>
    <row r="542" spans="1:11" x14ac:dyDescent="0.3">
      <c r="A542">
        <v>541</v>
      </c>
      <c r="B542">
        <v>0.11692510714881127</v>
      </c>
      <c r="C542">
        <v>6.2356798463563394E-2</v>
      </c>
      <c r="D542">
        <v>0.64682208529005369</v>
      </c>
      <c r="E542" s="10">
        <v>2.9057783549139814E-3</v>
      </c>
      <c r="F542" s="10">
        <v>1.495539994306875</v>
      </c>
      <c r="H542">
        <v>0.50098978052589749</v>
      </c>
      <c r="I542" s="11">
        <f t="shared" si="8"/>
        <v>5.4568308685247875E-2</v>
      </c>
      <c r="J542" s="11">
        <f>1/(H542*Utilities!$B$11)</f>
        <v>7.9841947989460627</v>
      </c>
      <c r="K542" s="11">
        <f>IF(B542&lt;C542,1,EXP(-1*(B542-C542)/(Utilities!$B$11*IterData!H542)))</f>
        <v>0.64682208529005369</v>
      </c>
    </row>
    <row r="543" spans="1:11" x14ac:dyDescent="0.3">
      <c r="A543">
        <v>542</v>
      </c>
      <c r="B543">
        <v>0.39026128361176898</v>
      </c>
      <c r="C543">
        <v>0.11692510714881127</v>
      </c>
      <c r="D543">
        <v>0.11276439271374193</v>
      </c>
      <c r="E543" s="10">
        <v>2.6050365963508084E-3</v>
      </c>
      <c r="F543" s="10">
        <v>1.6279518626776845</v>
      </c>
      <c r="H543">
        <v>0.5009701815583496</v>
      </c>
      <c r="I543" s="11">
        <f t="shared" si="8"/>
        <v>0.27333617646295771</v>
      </c>
      <c r="J543" s="11">
        <f>1/(H543*Utilities!$B$11)</f>
        <v>7.9845071568079087</v>
      </c>
      <c r="K543" s="11">
        <f>IF(B543&lt;C543,1,EXP(-1*(B543-C543)/(Utilities!$B$11*IterData!H543)))</f>
        <v>0.11276439271374193</v>
      </c>
    </row>
    <row r="544" spans="1:11" x14ac:dyDescent="0.3">
      <c r="A544">
        <v>543</v>
      </c>
      <c r="B544">
        <v>0.17012747314129312</v>
      </c>
      <c r="C544">
        <v>0.11692510714881127</v>
      </c>
      <c r="D544">
        <v>0.65389338388081475</v>
      </c>
      <c r="E544" s="10">
        <v>2.6050365963508084E-3</v>
      </c>
      <c r="F544" s="10">
        <v>1.6279518626776845</v>
      </c>
      <c r="H544">
        <v>0.50095097067636096</v>
      </c>
      <c r="I544" s="11">
        <f t="shared" si="8"/>
        <v>5.3202365992481848E-2</v>
      </c>
      <c r="J544" s="11">
        <f>1/(H544*Utilities!$B$11)</f>
        <v>7.9848133532896126</v>
      </c>
      <c r="K544" s="11">
        <f>IF(B544&lt;C544,1,EXP(-1*(B544-C544)/(Utilities!$B$11*IterData!H544)))</f>
        <v>0.65389338388081475</v>
      </c>
    </row>
    <row r="545" spans="1:11" x14ac:dyDescent="0.3">
      <c r="A545">
        <v>544</v>
      </c>
      <c r="B545">
        <v>0.51694642741619179</v>
      </c>
      <c r="C545">
        <v>0.17012747314129312</v>
      </c>
      <c r="D545">
        <v>6.2700320662631759E-2</v>
      </c>
      <c r="E545" s="10">
        <v>2.8626129644872206E-3</v>
      </c>
      <c r="F545" s="10">
        <v>1.633872770968875</v>
      </c>
      <c r="H545">
        <v>0.50093214019532262</v>
      </c>
      <c r="I545" s="11">
        <f t="shared" si="8"/>
        <v>0.34681895427489867</v>
      </c>
      <c r="J545" s="11">
        <f>1/(H545*Utilities!$B$11)</f>
        <v>7.9851135094672241</v>
      </c>
      <c r="K545" s="11">
        <f>IF(B545&lt;C545,1,EXP(-1*(B545-C545)/(Utilities!$B$11*IterData!H545)))</f>
        <v>6.2700320662631759E-2</v>
      </c>
    </row>
    <row r="546" spans="1:11" x14ac:dyDescent="0.3">
      <c r="A546">
        <v>545</v>
      </c>
      <c r="B546">
        <v>0.11600089758285244</v>
      </c>
      <c r="C546">
        <v>0.17012747314129312</v>
      </c>
      <c r="D546">
        <v>1</v>
      </c>
      <c r="E546" s="10">
        <v>2.8626129644872206E-3</v>
      </c>
      <c r="F546" s="10">
        <v>1.633872770968875</v>
      </c>
      <c r="H546">
        <v>0.50091368258279112</v>
      </c>
      <c r="I546" s="11">
        <f t="shared" si="8"/>
        <v>-5.4126575558440679E-2</v>
      </c>
      <c r="J546" s="11">
        <f>1/(H546*Utilities!$B$11)</f>
        <v>7.985407744055542</v>
      </c>
      <c r="K546" s="11">
        <f>IF(B546&lt;C546,1,EXP(-1*(B546-C546)/(Utilities!$B$11*IterData!H546)))</f>
        <v>1</v>
      </c>
    </row>
    <row r="547" spans="1:11" x14ac:dyDescent="0.3">
      <c r="A547">
        <v>546</v>
      </c>
      <c r="B547">
        <v>0.14675243188208117</v>
      </c>
      <c r="C547">
        <v>0.11600089758285244</v>
      </c>
      <c r="D547">
        <v>0.78225663871167517</v>
      </c>
      <c r="E547" s="10">
        <v>2.9708893375987558E-3</v>
      </c>
      <c r="F547" s="10">
        <v>1.4449192854019468</v>
      </c>
      <c r="H547">
        <v>0.50089559045547538</v>
      </c>
      <c r="I547" s="11">
        <f t="shared" si="8"/>
        <v>3.0751534299228736E-2</v>
      </c>
      <c r="J547" s="11">
        <f>1/(H547*Utilities!$B$11)</f>
        <v>7.9856961734534577</v>
      </c>
      <c r="K547" s="11">
        <f>IF(B547&lt;C547,1,EXP(-1*(B547-C547)/(Utilities!$B$11*IterData!H547)))</f>
        <v>0.78225663871167517</v>
      </c>
    </row>
    <row r="548" spans="1:11" x14ac:dyDescent="0.3">
      <c r="A548">
        <v>547</v>
      </c>
      <c r="B548">
        <v>0.36090476130943749</v>
      </c>
      <c r="C548">
        <v>0.11600089758285244</v>
      </c>
      <c r="D548">
        <v>0.14145168186443707</v>
      </c>
      <c r="E548" s="10">
        <v>2.9708893375987558E-3</v>
      </c>
      <c r="F548" s="10">
        <v>1.4449192854019468</v>
      </c>
      <c r="H548">
        <v>0.50087785657628314</v>
      </c>
      <c r="I548" s="11">
        <f t="shared" si="8"/>
        <v>0.24490386372658507</v>
      </c>
      <c r="J548" s="11">
        <f>1/(H548*Utilities!$B$11)</f>
        <v>7.9859789117884556</v>
      </c>
      <c r="K548" s="11">
        <f>IF(B548&lt;C548,1,EXP(-1*(B548-C548)/(Utilities!$B$11*IterData!H548)))</f>
        <v>0.14145168186443705</v>
      </c>
    </row>
    <row r="549" spans="1:11" x14ac:dyDescent="0.3">
      <c r="A549">
        <v>548</v>
      </c>
      <c r="B549">
        <v>8.5186937698172122E-2</v>
      </c>
      <c r="C549">
        <v>0.11600089758285244</v>
      </c>
      <c r="D549">
        <v>1</v>
      </c>
      <c r="E549" s="10">
        <v>2.9708893375987558E-3</v>
      </c>
      <c r="F549" s="10">
        <v>1.4449192854019468</v>
      </c>
      <c r="H549">
        <v>0.5008604738514264</v>
      </c>
      <c r="I549" s="11">
        <f t="shared" si="8"/>
        <v>-3.0813959884680317E-2</v>
      </c>
      <c r="J549" s="11">
        <f>1/(H549*Utilities!$B$11)</f>
        <v>7.9862560709602866</v>
      </c>
      <c r="K549" s="11">
        <f>IF(B549&lt;C549,1,EXP(-1*(B549-C549)/(Utilities!$B$11*IterData!H549)))</f>
        <v>1</v>
      </c>
    </row>
    <row r="550" spans="1:11" x14ac:dyDescent="0.3">
      <c r="A550">
        <v>549</v>
      </c>
      <c r="B550">
        <v>9.8356195927314038E-2</v>
      </c>
      <c r="C550">
        <v>8.5186937698172122E-2</v>
      </c>
      <c r="D550">
        <v>0.90016549751533692</v>
      </c>
      <c r="E550" s="10">
        <v>3.2511974666214775E-3</v>
      </c>
      <c r="F550" s="10">
        <v>1.5385018634368843</v>
      </c>
      <c r="H550">
        <v>0.50084343532758324</v>
      </c>
      <c r="I550" s="11">
        <f t="shared" si="8"/>
        <v>1.3169258229141917E-2</v>
      </c>
      <c r="J550" s="11">
        <f>1/(H550*Utilities!$B$11)</f>
        <v>7.9865277606838303</v>
      </c>
      <c r="K550" s="11">
        <f>IF(B550&lt;C550,1,EXP(-1*(B550-C550)/(Utilities!$B$11*IterData!H550)))</f>
        <v>0.90016549751533692</v>
      </c>
    </row>
    <row r="551" spans="1:11" x14ac:dyDescent="0.3">
      <c r="A551">
        <v>550</v>
      </c>
      <c r="B551">
        <v>1.1490119720620857</v>
      </c>
      <c r="C551">
        <v>9.8356195927314038E-2</v>
      </c>
      <c r="D551">
        <v>2.2681602266968659E-4</v>
      </c>
      <c r="E551" s="10">
        <v>2.9897467763230243E-3</v>
      </c>
      <c r="F551" s="10">
        <v>1.5748334860863213</v>
      </c>
      <c r="H551">
        <v>0.50082673418911716</v>
      </c>
      <c r="I551" s="11">
        <f t="shared" si="8"/>
        <v>1.0506557761347717</v>
      </c>
      <c r="J551" s="11">
        <f>1/(H551*Utilities!$B$11)</f>
        <v>7.9867940885311448</v>
      </c>
      <c r="K551" s="11">
        <f>IF(B551&lt;C551,1,EXP(-1*(B551-C551)/(Utilities!$B$11*IterData!H551)))</f>
        <v>2.2681602266968659E-4</v>
      </c>
    </row>
    <row r="552" spans="1:11" x14ac:dyDescent="0.3">
      <c r="A552">
        <v>551</v>
      </c>
      <c r="B552">
        <v>6.0026625934562587E-2</v>
      </c>
      <c r="C552">
        <v>9.8356195927314038E-2</v>
      </c>
      <c r="D552">
        <v>1</v>
      </c>
      <c r="E552" s="10">
        <v>2.9897467763230243E-3</v>
      </c>
      <c r="F552" s="10">
        <v>1.5748334860863213</v>
      </c>
      <c r="H552">
        <v>0.50081036375534993</v>
      </c>
      <c r="I552" s="11">
        <f t="shared" si="8"/>
        <v>-3.8329569992751451E-2</v>
      </c>
      <c r="J552" s="11">
        <f>1/(H552*Utilities!$B$11)</f>
        <v>7.9870551599727548</v>
      </c>
      <c r="K552" s="11">
        <f>IF(B552&lt;C552,1,EXP(-1*(B552-C552)/(Utilities!$B$11*IterData!H552)))</f>
        <v>1</v>
      </c>
    </row>
    <row r="553" spans="1:11" x14ac:dyDescent="0.3">
      <c r="A553">
        <v>552</v>
      </c>
      <c r="B553">
        <v>0.38041587414132239</v>
      </c>
      <c r="C553">
        <v>6.0026625934562587E-2</v>
      </c>
      <c r="D553">
        <v>7.7378323820476547E-2</v>
      </c>
      <c r="E553" s="10">
        <v>3.0074161480727816E-3</v>
      </c>
      <c r="F553" s="10">
        <v>1.494920097501631</v>
      </c>
      <c r="H553">
        <v>0.50079431747788994</v>
      </c>
      <c r="I553" s="11">
        <f t="shared" si="8"/>
        <v>0.32038924820675979</v>
      </c>
      <c r="J553" s="11">
        <f>1/(H553*Utilities!$B$11)</f>
        <v>7.9873110784181369</v>
      </c>
      <c r="K553" s="11">
        <f>IF(B553&lt;C553,1,EXP(-1*(B553-C553)/(Utilities!$B$11*IterData!H553)))</f>
        <v>7.7378323820476547E-2</v>
      </c>
    </row>
    <row r="554" spans="1:11" x14ac:dyDescent="0.3">
      <c r="A554">
        <v>553</v>
      </c>
      <c r="B554">
        <v>9.3955011434066107E-2</v>
      </c>
      <c r="C554">
        <v>6.0026625934562587E-2</v>
      </c>
      <c r="D554">
        <v>0.76261262165216337</v>
      </c>
      <c r="E554" s="10">
        <v>3.0074161480727816E-3</v>
      </c>
      <c r="F554" s="10">
        <v>1.494920097501631</v>
      </c>
      <c r="H554">
        <v>0.50077858893801208</v>
      </c>
      <c r="I554" s="11">
        <f t="shared" si="8"/>
        <v>3.392838549950352E-2</v>
      </c>
      <c r="J554" s="11">
        <f>1/(H554*Utilities!$B$11)</f>
        <v>7.987561945255476</v>
      </c>
      <c r="K554" s="11">
        <f>IF(B554&lt;C554,1,EXP(-1*(B554-C554)/(Utilities!$B$11*IterData!H554)))</f>
        <v>0.76261262165216337</v>
      </c>
    </row>
    <row r="555" spans="1:11" x14ac:dyDescent="0.3">
      <c r="A555">
        <v>554</v>
      </c>
      <c r="B555">
        <v>0.23964719058297454</v>
      </c>
      <c r="C555">
        <v>9.3955011434066107E-2</v>
      </c>
      <c r="D555">
        <v>0.31230933196412358</v>
      </c>
      <c r="E555" s="10">
        <v>2.7378893200552808E-3</v>
      </c>
      <c r="F555" s="10">
        <v>1.4765549354792686</v>
      </c>
      <c r="H555">
        <v>0.5007631718440908</v>
      </c>
      <c r="I555" s="11">
        <f t="shared" si="8"/>
        <v>0.14569217914890842</v>
      </c>
      <c r="J555" s="11">
        <f>1/(H555*Utilities!$B$11)</f>
        <v>7.9878078598906486</v>
      </c>
      <c r="K555" s="11">
        <f>IF(B555&lt;C555,1,EXP(-1*(B555-C555)/(Utilities!$B$11*IterData!H555)))</f>
        <v>0.31230933196412358</v>
      </c>
    </row>
    <row r="556" spans="1:11" x14ac:dyDescent="0.3">
      <c r="A556">
        <v>555</v>
      </c>
      <c r="B556">
        <v>1.2386114635181387</v>
      </c>
      <c r="C556">
        <v>9.3955011434066107E-2</v>
      </c>
      <c r="D556">
        <v>1.0690481107194759E-4</v>
      </c>
      <c r="E556" s="10">
        <v>2.7378893200552808E-3</v>
      </c>
      <c r="F556" s="10">
        <v>1.4765549354792686</v>
      </c>
      <c r="H556">
        <v>0.50074806002908279</v>
      </c>
      <c r="I556" s="11">
        <f t="shared" si="8"/>
        <v>1.1446564520840725</v>
      </c>
      <c r="J556" s="11">
        <f>1/(H556*Utilities!$B$11)</f>
        <v>7.9880489197855011</v>
      </c>
      <c r="K556" s="11">
        <f>IF(B556&lt;C556,1,EXP(-1*(B556-C556)/(Utilities!$B$11*IterData!H556)))</f>
        <v>1.0690481107194759E-4</v>
      </c>
    </row>
    <row r="557" spans="1:11" x14ac:dyDescent="0.3">
      <c r="A557">
        <v>556</v>
      </c>
      <c r="B557">
        <v>1.0770496088818788</v>
      </c>
      <c r="C557">
        <v>9.3955011434066107E-2</v>
      </c>
      <c r="D557">
        <v>3.8849119863816302E-4</v>
      </c>
      <c r="E557" s="10">
        <v>2.7378893200552808E-3</v>
      </c>
      <c r="F557" s="10">
        <v>1.4765549354792686</v>
      </c>
      <c r="H557">
        <v>0.5007332474480608</v>
      </c>
      <c r="I557" s="11">
        <f t="shared" si="8"/>
        <v>0.98309459744781269</v>
      </c>
      <c r="J557" s="11">
        <f>1/(H557*Utilities!$B$11)</f>
        <v>7.9882852204953796</v>
      </c>
      <c r="K557" s="11">
        <f>IF(B557&lt;C557,1,EXP(-1*(B557-C557)/(Utilities!$B$11*IterData!H557)))</f>
        <v>3.8849119863816302E-4</v>
      </c>
    </row>
    <row r="558" spans="1:11" x14ac:dyDescent="0.3">
      <c r="A558">
        <v>557</v>
      </c>
      <c r="B558">
        <v>0.20536149093004707</v>
      </c>
      <c r="C558">
        <v>9.3955011434066107E-2</v>
      </c>
      <c r="D558">
        <v>0.41066702980633196</v>
      </c>
      <c r="E558" s="10">
        <v>2.7378893200552808E-3</v>
      </c>
      <c r="F558" s="10">
        <v>1.4765549354792686</v>
      </c>
      <c r="H558">
        <v>0.50071872817579477</v>
      </c>
      <c r="I558" s="11">
        <f t="shared" si="8"/>
        <v>0.11140647949598097</v>
      </c>
      <c r="J558" s="11">
        <f>1/(H558*Utilities!$B$11)</f>
        <v>7.9885168557059849</v>
      </c>
      <c r="K558" s="11">
        <f>IF(B558&lt;C558,1,EXP(-1*(B558-C558)/(Utilities!$B$11*IterData!H558)))</f>
        <v>0.41066702980633196</v>
      </c>
    </row>
    <row r="559" spans="1:11" x14ac:dyDescent="0.3">
      <c r="A559">
        <v>558</v>
      </c>
      <c r="B559">
        <v>0.80715740144498838</v>
      </c>
      <c r="C559">
        <v>9.3955011434066107E-2</v>
      </c>
      <c r="D559">
        <v>3.3540347496300335E-3</v>
      </c>
      <c r="E559" s="10">
        <v>2.7378893200552808E-3</v>
      </c>
      <c r="F559" s="10">
        <v>1.4765549354792686</v>
      </c>
      <c r="H559">
        <v>0.50070449640438219</v>
      </c>
      <c r="I559" s="11">
        <f t="shared" si="8"/>
        <v>0.71320239001092223</v>
      </c>
      <c r="J559" s="11">
        <f>1/(H559*Utilities!$B$11)</f>
        <v>7.9887439172695069</v>
      </c>
      <c r="K559" s="11">
        <f>IF(B559&lt;C559,1,EXP(-1*(B559-C559)/(Utilities!$B$11*IterData!H559)))</f>
        <v>3.3540347496300335E-3</v>
      </c>
    </row>
    <row r="560" spans="1:11" x14ac:dyDescent="0.3">
      <c r="A560">
        <v>559</v>
      </c>
      <c r="B560">
        <v>0.37551711511851138</v>
      </c>
      <c r="C560">
        <v>9.3955011434066107E-2</v>
      </c>
      <c r="D560">
        <v>0.10546351527402845</v>
      </c>
      <c r="E560" s="10">
        <v>2.7378893200552808E-3</v>
      </c>
      <c r="F560" s="10">
        <v>1.4765549354792686</v>
      </c>
      <c r="H560">
        <v>0.50069054644092481</v>
      </c>
      <c r="I560" s="11">
        <f t="shared" si="8"/>
        <v>0.28156210368444529</v>
      </c>
      <c r="J560" s="11">
        <f>1/(H560*Utilities!$B$11)</f>
        <v>7.9889664952400885</v>
      </c>
      <c r="K560" s="11">
        <f>IF(B560&lt;C560,1,EXP(-1*(B560-C560)/(Utilities!$B$11*IterData!H560)))</f>
        <v>0.10546351527402845</v>
      </c>
    </row>
    <row r="561" spans="1:11" x14ac:dyDescent="0.3">
      <c r="A561">
        <v>560</v>
      </c>
      <c r="B561">
        <v>0.13763888943680339</v>
      </c>
      <c r="C561">
        <v>9.3955011434066107E-2</v>
      </c>
      <c r="D561">
        <v>0.70539413982149624</v>
      </c>
      <c r="E561" s="10">
        <v>2.7378893200552808E-3</v>
      </c>
      <c r="F561" s="10">
        <v>1.4765549354792686</v>
      </c>
      <c r="H561">
        <v>0.50067687270525119</v>
      </c>
      <c r="I561" s="11">
        <f t="shared" si="8"/>
        <v>4.3683878002737278E-2</v>
      </c>
      <c r="J561" s="11">
        <f>1/(H561*Utilities!$B$11)</f>
        <v>7.9891846779086251</v>
      </c>
      <c r="K561" s="11">
        <f>IF(B561&lt;C561,1,EXP(-1*(B561-C561)/(Utilities!$B$11*IterData!H561)))</f>
        <v>0.70539413982149624</v>
      </c>
    </row>
    <row r="562" spans="1:11" x14ac:dyDescent="0.3">
      <c r="A562">
        <v>561</v>
      </c>
      <c r="B562">
        <v>5.7649472858059242E-2</v>
      </c>
      <c r="C562">
        <v>9.3955011434066107E-2</v>
      </c>
      <c r="D562">
        <v>1</v>
      </c>
      <c r="E562" s="10">
        <v>2.7378893200552808E-3</v>
      </c>
      <c r="F562" s="10">
        <v>1.4765549354792686</v>
      </c>
      <c r="H562">
        <v>0.50066346972768483</v>
      </c>
      <c r="I562" s="11">
        <f t="shared" si="8"/>
        <v>-3.6305538576006866E-2</v>
      </c>
      <c r="J562" s="11">
        <f>1/(H562*Utilities!$B$11)</f>
        <v>7.9893985518368948</v>
      </c>
      <c r="K562" s="11">
        <f>IF(B562&lt;C562,1,EXP(-1*(B562-C562)/(Utilities!$B$11*IterData!H562)))</f>
        <v>1</v>
      </c>
    </row>
    <row r="563" spans="1:11" x14ac:dyDescent="0.3">
      <c r="A563">
        <v>562</v>
      </c>
      <c r="B563">
        <v>0.344882784959607</v>
      </c>
      <c r="C563">
        <v>5.7649472858059242E-2</v>
      </c>
      <c r="D563">
        <v>0.10077332148099474</v>
      </c>
      <c r="E563" s="10">
        <v>3.0187332874530644E-3</v>
      </c>
      <c r="F563" s="10">
        <v>1.5108565465165706</v>
      </c>
      <c r="H563">
        <v>0.50065033214685584</v>
      </c>
      <c r="I563" s="11">
        <f t="shared" si="8"/>
        <v>0.28723331210154779</v>
      </c>
      <c r="J563" s="11">
        <f>1/(H563*Utilities!$B$11)</f>
        <v>7.9896082018910546</v>
      </c>
      <c r="K563" s="11">
        <f>IF(B563&lt;C563,1,EXP(-1*(B563-C563)/(Utilities!$B$11*IterData!H563)))</f>
        <v>0.10077332148099474</v>
      </c>
    </row>
    <row r="564" spans="1:11" x14ac:dyDescent="0.3">
      <c r="A564">
        <v>563</v>
      </c>
      <c r="B564">
        <v>0.60508704685788406</v>
      </c>
      <c r="C564">
        <v>5.7649472858059242E-2</v>
      </c>
      <c r="D564">
        <v>1.2601691414214066E-2</v>
      </c>
      <c r="E564" s="10">
        <v>3.0187332874530644E-3</v>
      </c>
      <c r="F564" s="10">
        <v>1.5108565465165706</v>
      </c>
      <c r="H564">
        <v>0.50063745470755683</v>
      </c>
      <c r="I564" s="11">
        <f t="shared" si="8"/>
        <v>0.54743757399982484</v>
      </c>
      <c r="J564" s="11">
        <f>1/(H564*Utilities!$B$11)</f>
        <v>7.9898137112744916</v>
      </c>
      <c r="K564" s="11">
        <f>IF(B564&lt;C564,1,EXP(-1*(B564-C564)/(Utilities!$B$11*IterData!H564)))</f>
        <v>1.2601691414214055E-2</v>
      </c>
    </row>
    <row r="565" spans="1:11" x14ac:dyDescent="0.3">
      <c r="A565">
        <v>564</v>
      </c>
      <c r="B565">
        <v>0.64999947650551682</v>
      </c>
      <c r="C565">
        <v>5.7649472858059242E-2</v>
      </c>
      <c r="D565">
        <v>8.8010388784779958E-3</v>
      </c>
      <c r="E565" s="10">
        <v>3.0187332874530644E-3</v>
      </c>
      <c r="F565" s="10">
        <v>1.5108565465165706</v>
      </c>
      <c r="H565">
        <v>0.5006248322586403</v>
      </c>
      <c r="I565" s="11">
        <f t="shared" si="8"/>
        <v>0.5923500036474576</v>
      </c>
      <c r="J565" s="11">
        <f>1/(H565*Utilities!$B$11)</f>
        <v>7.9900151615600645</v>
      </c>
      <c r="K565" s="11">
        <f>IF(B565&lt;C565,1,EXP(-1*(B565-C565)/(Utilities!$B$11*IterData!H565)))</f>
        <v>8.8010388784779958E-3</v>
      </c>
    </row>
    <row r="566" spans="1:11" x14ac:dyDescent="0.3">
      <c r="A566">
        <v>565</v>
      </c>
      <c r="B566">
        <v>6.6413066862594239E-2</v>
      </c>
      <c r="C566">
        <v>5.7649472858059242E-2</v>
      </c>
      <c r="D566">
        <v>0.93237239418682161</v>
      </c>
      <c r="E566" s="10">
        <v>3.0187332874530644E-3</v>
      </c>
      <c r="F566" s="10">
        <v>1.5108565465165706</v>
      </c>
      <c r="H566">
        <v>0.50061245975095847</v>
      </c>
      <c r="I566" s="11">
        <f t="shared" si="8"/>
        <v>8.7635940045349969E-3</v>
      </c>
      <c r="J566" s="11">
        <f>1/(H566*Utilities!$B$11)</f>
        <v>7.9902126327217164</v>
      </c>
      <c r="K566" s="11">
        <f>IF(B566&lt;C566,1,EXP(-1*(B566-C566)/(Utilities!$B$11*IterData!H566)))</f>
        <v>0.93237239418682161</v>
      </c>
    </row>
    <row r="567" spans="1:11" x14ac:dyDescent="0.3">
      <c r="A567">
        <v>566</v>
      </c>
      <c r="B567">
        <v>0.10834477792914333</v>
      </c>
      <c r="C567">
        <v>6.6413066862594239E-2</v>
      </c>
      <c r="D567">
        <v>0.71530131590450152</v>
      </c>
      <c r="E567" s="10">
        <v>3.5936976887021585E-3</v>
      </c>
      <c r="F567" s="10">
        <v>1.4519130463638392</v>
      </c>
      <c r="H567">
        <v>0.50060033223534328</v>
      </c>
      <c r="I567" s="11">
        <f t="shared" si="8"/>
        <v>4.1931711066549096E-2</v>
      </c>
      <c r="J567" s="11">
        <f>1/(H567*Utilities!$B$11)</f>
        <v>7.9904062031655059</v>
      </c>
      <c r="K567" s="11">
        <f>IF(B567&lt;C567,1,EXP(-1*(B567-C567)/(Utilities!$B$11*IterData!H567)))</f>
        <v>0.71530131590450152</v>
      </c>
    </row>
    <row r="568" spans="1:11" x14ac:dyDescent="0.3">
      <c r="A568">
        <v>567</v>
      </c>
      <c r="B568">
        <v>0.21327746623233287</v>
      </c>
      <c r="C568">
        <v>0.10834477792914333</v>
      </c>
      <c r="D568">
        <v>0.43236950782253475</v>
      </c>
      <c r="E568" s="10">
        <v>3.1081396091223483E-3</v>
      </c>
      <c r="F568" s="10">
        <v>1.4391729662720267</v>
      </c>
      <c r="H568">
        <v>0.50058844486062681</v>
      </c>
      <c r="I568" s="11">
        <f t="shared" si="8"/>
        <v>0.10493268830318954</v>
      </c>
      <c r="J568" s="11">
        <f>1/(H568*Utilities!$B$11)</f>
        <v>7.9905959497600367</v>
      </c>
      <c r="K568" s="11">
        <f>IF(B568&lt;C568,1,EXP(-1*(B568-C568)/(Utilities!$B$11*IterData!H568)))</f>
        <v>0.43236950782253475</v>
      </c>
    </row>
    <row r="569" spans="1:11" x14ac:dyDescent="0.3">
      <c r="A569">
        <v>568</v>
      </c>
      <c r="B569">
        <v>6.37836229177106E-2</v>
      </c>
      <c r="C569">
        <v>0.10834477792914333</v>
      </c>
      <c r="D569">
        <v>1</v>
      </c>
      <c r="E569" s="10">
        <v>3.1081396091223483E-3</v>
      </c>
      <c r="F569" s="10">
        <v>1.4391729662720267</v>
      </c>
      <c r="H569">
        <v>0.50057679287170054</v>
      </c>
      <c r="I569" s="11">
        <f t="shared" si="8"/>
        <v>-4.4561155011432735E-2</v>
      </c>
      <c r="J569" s="11">
        <f>1/(H569*Utilities!$B$11)</f>
        <v>7.9907819478663145</v>
      </c>
      <c r="K569" s="11">
        <f>IF(B569&lt;C569,1,EXP(-1*(B569-C569)/(Utilities!$B$11*IterData!H569)))</f>
        <v>1</v>
      </c>
    </row>
    <row r="570" spans="1:11" x14ac:dyDescent="0.3">
      <c r="A570">
        <v>569</v>
      </c>
      <c r="B570">
        <v>7.5939434641445966E-2</v>
      </c>
      <c r="C570">
        <v>6.37836229177106E-2</v>
      </c>
      <c r="D570">
        <v>0.90743199056837998</v>
      </c>
      <c r="E570" s="10">
        <v>2.4196474949171906E-3</v>
      </c>
      <c r="F570" s="10">
        <v>1.6009840346303617</v>
      </c>
      <c r="H570">
        <v>0.50056537160761372</v>
      </c>
      <c r="I570" s="11">
        <f t="shared" si="8"/>
        <v>1.2155811723735366E-2</v>
      </c>
      <c r="J570" s="11">
        <f>1/(H570*Utilities!$B$11)</f>
        <v>7.9909642713670266</v>
      </c>
      <c r="K570" s="11">
        <f>IF(B570&lt;C570,1,EXP(-1*(B570-C570)/(Utilities!$B$11*IterData!H570)))</f>
        <v>0.90743199056837998</v>
      </c>
    </row>
    <row r="571" spans="1:11" x14ac:dyDescent="0.3">
      <c r="A571">
        <v>570</v>
      </c>
      <c r="B571">
        <v>6.1236624818623436E-2</v>
      </c>
      <c r="C571">
        <v>7.5939434641445966E-2</v>
      </c>
      <c r="D571">
        <v>1</v>
      </c>
      <c r="E571" s="10">
        <v>2.8156064391540508E-3</v>
      </c>
      <c r="F571" s="10">
        <v>1.4848044737268971</v>
      </c>
      <c r="H571">
        <v>0.50055417649970824</v>
      </c>
      <c r="I571" s="11">
        <f t="shared" si="8"/>
        <v>-1.470280982282253E-2</v>
      </c>
      <c r="J571" s="11">
        <f>1/(H571*Utilities!$B$11)</f>
        <v>7.9911429926952806</v>
      </c>
      <c r="K571" s="11">
        <f>IF(B571&lt;C571,1,EXP(-1*(B571-C571)/(Utilities!$B$11*IterData!H571)))</f>
        <v>1</v>
      </c>
    </row>
    <row r="572" spans="1:11" x14ac:dyDescent="0.3">
      <c r="A572">
        <v>571</v>
      </c>
      <c r="B572">
        <v>0.38923051337066056</v>
      </c>
      <c r="C572">
        <v>6.1236624818623436E-2</v>
      </c>
      <c r="D572">
        <v>7.2722567327411433E-2</v>
      </c>
      <c r="E572" s="10">
        <v>3.0479877140936781E-3</v>
      </c>
      <c r="F572" s="10">
        <v>1.489670144884959</v>
      </c>
      <c r="H572">
        <v>0.50054320306979183</v>
      </c>
      <c r="I572" s="11">
        <f t="shared" si="8"/>
        <v>0.32799388855203715</v>
      </c>
      <c r="J572" s="11">
        <f>1/(H572*Utilities!$B$11)</f>
        <v>7.9913181828627717</v>
      </c>
      <c r="K572" s="11">
        <f>IF(B572&lt;C572,1,EXP(-1*(B572-C572)/(Utilities!$B$11*IterData!H572)))</f>
        <v>7.2722567327411433E-2</v>
      </c>
    </row>
    <row r="573" spans="1:11" x14ac:dyDescent="0.3">
      <c r="A573">
        <v>572</v>
      </c>
      <c r="B573">
        <v>0.99666492621825409</v>
      </c>
      <c r="C573">
        <v>6.1236624818623436E-2</v>
      </c>
      <c r="D573">
        <v>5.6682166157869429E-4</v>
      </c>
      <c r="E573" s="10">
        <v>3.0479877140936781E-3</v>
      </c>
      <c r="F573" s="10">
        <v>1.489670144884959</v>
      </c>
      <c r="H573">
        <v>0.50053244692834609</v>
      </c>
      <c r="I573" s="11">
        <f t="shared" si="8"/>
        <v>0.93542830139963062</v>
      </c>
      <c r="J573" s="11">
        <f>1/(H573*Utilities!$B$11)</f>
        <v>7.9914899114874398</v>
      </c>
      <c r="K573" s="11">
        <f>IF(B573&lt;C573,1,EXP(-1*(B573-C573)/(Utilities!$B$11*IterData!H573)))</f>
        <v>5.6682166157869429E-4</v>
      </c>
    </row>
    <row r="574" spans="1:11" x14ac:dyDescent="0.3">
      <c r="A574">
        <v>573</v>
      </c>
      <c r="B574">
        <v>5.7294322677570869E-2</v>
      </c>
      <c r="C574">
        <v>6.1236624818623436E-2</v>
      </c>
      <c r="D574">
        <v>1</v>
      </c>
      <c r="E574" s="10">
        <v>3.0479877140936781E-3</v>
      </c>
      <c r="F574" s="10">
        <v>1.489670144884959</v>
      </c>
      <c r="H574">
        <v>0.50052190377277106</v>
      </c>
      <c r="I574" s="11">
        <f t="shared" si="8"/>
        <v>-3.9423021410525672E-3</v>
      </c>
      <c r="J574" s="11">
        <f>1/(H574*Utilities!$B$11)</f>
        <v>7.9916582468205748</v>
      </c>
      <c r="K574" s="11">
        <f>IF(B574&lt;C574,1,EXP(-1*(B574-C574)/(Utilities!$B$11*IterData!H574)))</f>
        <v>1</v>
      </c>
    </row>
    <row r="575" spans="1:11" x14ac:dyDescent="0.3">
      <c r="A575">
        <v>574</v>
      </c>
      <c r="B575">
        <v>0.14928317292259266</v>
      </c>
      <c r="C575">
        <v>5.7294322677570869E-2</v>
      </c>
      <c r="D575">
        <v>0.47942939978133681</v>
      </c>
      <c r="E575" s="10">
        <v>2.9561652014082188E-3</v>
      </c>
      <c r="F575" s="10">
        <v>1.5204000216964608</v>
      </c>
      <c r="H575">
        <v>0.50051156938566399</v>
      </c>
      <c r="I575" s="11">
        <f t="shared" si="8"/>
        <v>9.1988850245021792E-2</v>
      </c>
      <c r="J575" s="11">
        <f>1/(H575*Utilities!$B$11)</f>
        <v>7.9918232557734177</v>
      </c>
      <c r="K575" s="11">
        <f>IF(B575&lt;C575,1,EXP(-1*(B575-C575)/(Utilities!$B$11*IterData!H575)))</f>
        <v>0.47942939978133681</v>
      </c>
    </row>
    <row r="576" spans="1:11" x14ac:dyDescent="0.3">
      <c r="A576">
        <v>575</v>
      </c>
      <c r="B576">
        <v>0.11273221570544291</v>
      </c>
      <c r="C576">
        <v>5.7294322677570869E-2</v>
      </c>
      <c r="D576">
        <v>0.64206944604735017</v>
      </c>
      <c r="E576" s="10">
        <v>2.9561652014082188E-3</v>
      </c>
      <c r="F576" s="10">
        <v>1.5204000216964608</v>
      </c>
      <c r="H576">
        <v>0.50050143963313221</v>
      </c>
      <c r="I576" s="11">
        <f t="shared" si="8"/>
        <v>5.543789302787204E-2</v>
      </c>
      <c r="J576" s="11">
        <f>1/(H576*Utilities!$B$11)</f>
        <v>7.991985003943249</v>
      </c>
      <c r="K576" s="11">
        <f>IF(B576&lt;C576,1,EXP(-1*(B576-C576)/(Utilities!$B$11*IterData!H576)))</f>
        <v>0.64206944604735017</v>
      </c>
    </row>
    <row r="577" spans="1:11" x14ac:dyDescent="0.3">
      <c r="A577">
        <v>576</v>
      </c>
      <c r="B577">
        <v>0.24483308775443785</v>
      </c>
      <c r="C577">
        <v>0.11273221570544291</v>
      </c>
      <c r="D577">
        <v>0.34792472389920026</v>
      </c>
      <c r="E577" s="10">
        <v>3.3492488775632031E-3</v>
      </c>
      <c r="F577" s="10">
        <v>1.419956155586783</v>
      </c>
      <c r="H577">
        <v>0.50049151046313967</v>
      </c>
      <c r="I577" s="11">
        <f t="shared" si="8"/>
        <v>0.13210087204899496</v>
      </c>
      <c r="J577" s="11">
        <f>1/(H577*Utilities!$B$11)</f>
        <v>7.9921435556389779</v>
      </c>
      <c r="K577" s="11">
        <f>IF(B577&lt;C577,1,EXP(-1*(B577-C577)/(Utilities!$B$11*IterData!H577)))</f>
        <v>0.34792472389920026</v>
      </c>
    </row>
    <row r="578" spans="1:11" x14ac:dyDescent="0.3">
      <c r="A578">
        <v>577</v>
      </c>
      <c r="B578">
        <v>0.31857433458276369</v>
      </c>
      <c r="C578">
        <v>0.11273221570544291</v>
      </c>
      <c r="D578">
        <v>0.19298327430013948</v>
      </c>
      <c r="E578" s="10">
        <v>3.3492488775632031E-3</v>
      </c>
      <c r="F578" s="10">
        <v>1.419956155586783</v>
      </c>
      <c r="H578">
        <v>0.50048177790388582</v>
      </c>
      <c r="I578" s="11">
        <f t="shared" si="8"/>
        <v>0.20584211887732079</v>
      </c>
      <c r="J578" s="11">
        <f>1/(H578*Utilities!$B$11)</f>
        <v>7.9922989739062453</v>
      </c>
      <c r="K578" s="11">
        <f>IF(B578&lt;C578,1,EXP(-1*(B578-C578)/(Utilities!$B$11*IterData!H578)))</f>
        <v>0.19298327430013948</v>
      </c>
    </row>
    <row r="579" spans="1:11" x14ac:dyDescent="0.3">
      <c r="A579">
        <v>578</v>
      </c>
      <c r="B579">
        <v>0.11261013459378193</v>
      </c>
      <c r="C579">
        <v>0.11273221570544291</v>
      </c>
      <c r="D579">
        <v>1</v>
      </c>
      <c r="E579" s="10">
        <v>3.3492488775632031E-3</v>
      </c>
      <c r="F579" s="10">
        <v>1.419956155586783</v>
      </c>
      <c r="H579">
        <v>0.50047223806221741</v>
      </c>
      <c r="I579" s="11">
        <f t="shared" ref="I579:I642" si="9">B579-C579</f>
        <v>-1.2208111166098212E-4</v>
      </c>
      <c r="J579" s="11">
        <f>1/(H579*Utilities!$B$11)</f>
        <v>7.9924513205520311</v>
      </c>
      <c r="K579" s="11">
        <f>IF(B579&lt;C579,1,EXP(-1*(B579-C579)/(Utilities!$B$11*IterData!H579)))</f>
        <v>1</v>
      </c>
    </row>
    <row r="580" spans="1:11" x14ac:dyDescent="0.3">
      <c r="A580">
        <v>579</v>
      </c>
      <c r="B580">
        <v>0.40218726050085168</v>
      </c>
      <c r="C580">
        <v>0.11261013459378193</v>
      </c>
      <c r="D580">
        <v>9.8818116412719023E-2</v>
      </c>
      <c r="E580" s="10">
        <v>3.4169158330202968E-3</v>
      </c>
      <c r="F580" s="10">
        <v>1.4155858055038946</v>
      </c>
      <c r="H580">
        <v>0.50046288712207043</v>
      </c>
      <c r="I580" s="11">
        <f t="shared" si="9"/>
        <v>0.28957712590706974</v>
      </c>
      <c r="J580" s="11">
        <f>1/(H580*Utilities!$B$11)</f>
        <v>7.9926006561688157</v>
      </c>
      <c r="K580" s="11">
        <f>IF(B580&lt;C580,1,EXP(-1*(B580-C580)/(Utilities!$B$11*IterData!H580)))</f>
        <v>9.8818116412719065E-2</v>
      </c>
    </row>
    <row r="581" spans="1:11" x14ac:dyDescent="0.3">
      <c r="A581">
        <v>580</v>
      </c>
      <c r="B581">
        <v>0.38482768087211666</v>
      </c>
      <c r="C581">
        <v>0.11261013459378193</v>
      </c>
      <c r="D581">
        <v>0.11352116458892832</v>
      </c>
      <c r="E581" s="10">
        <v>3.4169158330202968E-3</v>
      </c>
      <c r="F581" s="10">
        <v>1.4155858055038946</v>
      </c>
      <c r="H581">
        <v>0.5004537213429443</v>
      </c>
      <c r="I581" s="11">
        <f t="shared" si="9"/>
        <v>0.27221754627833472</v>
      </c>
      <c r="J581" s="11">
        <f>1/(H581*Utilities!$B$11)</f>
        <v>7.9927470401582505</v>
      </c>
      <c r="K581" s="11">
        <f>IF(B581&lt;C581,1,EXP(-1*(B581-C581)/(Utilities!$B$11*IterData!H581)))</f>
        <v>0.11352116458892837</v>
      </c>
    </row>
    <row r="582" spans="1:11" x14ac:dyDescent="0.3">
      <c r="A582">
        <v>581</v>
      </c>
      <c r="B582">
        <v>7.5327116822232768E-2</v>
      </c>
      <c r="C582">
        <v>0.11261013459378193</v>
      </c>
      <c r="D582">
        <v>1</v>
      </c>
      <c r="E582" s="10">
        <v>3.4169158330202968E-3</v>
      </c>
      <c r="F582" s="10">
        <v>1.4155858055038946</v>
      </c>
      <c r="H582">
        <v>0.50044473705840486</v>
      </c>
      <c r="I582" s="11">
        <f t="shared" si="9"/>
        <v>-3.728301777154916E-2</v>
      </c>
      <c r="J582" s="11">
        <f>1/(H582*Utilities!$B$11)</f>
        <v>7.9928905307544005</v>
      </c>
      <c r="K582" s="11">
        <f>IF(B582&lt;C582,1,EXP(-1*(B582-C582)/(Utilities!$B$11*IterData!H582)))</f>
        <v>1</v>
      </c>
    </row>
    <row r="583" spans="1:11" x14ac:dyDescent="0.3">
      <c r="A583">
        <v>582</v>
      </c>
      <c r="B583">
        <v>6.4163370665263855E-2</v>
      </c>
      <c r="C583">
        <v>7.5327116822232768E-2</v>
      </c>
      <c r="D583">
        <v>1</v>
      </c>
      <c r="E583" s="10">
        <v>2.6273192983330656E-3</v>
      </c>
      <c r="F583" s="10">
        <v>1.5906545668881191</v>
      </c>
      <c r="H583">
        <v>0.50043593067461889</v>
      </c>
      <c r="I583" s="11">
        <f t="shared" si="9"/>
        <v>-1.1163746156968912E-2</v>
      </c>
      <c r="J583" s="11">
        <f>1/(H583*Utilities!$B$11)</f>
        <v>7.9930311850465054</v>
      </c>
      <c r="K583" s="11">
        <f>IF(B583&lt;C583,1,EXP(-1*(B583-C583)/(Utilities!$B$11*IterData!H583)))</f>
        <v>1</v>
      </c>
    </row>
    <row r="584" spans="1:11" x14ac:dyDescent="0.3">
      <c r="A584">
        <v>583</v>
      </c>
      <c r="B584">
        <v>0.10345556367560343</v>
      </c>
      <c r="C584">
        <v>6.4163370665263855E-2</v>
      </c>
      <c r="D584">
        <v>0.73046852077486646</v>
      </c>
      <c r="E584" s="10">
        <v>3.1099226820292653E-3</v>
      </c>
      <c r="F584" s="10">
        <v>1.5235167531060396</v>
      </c>
      <c r="H584">
        <v>0.50042729866891511</v>
      </c>
      <c r="I584" s="11">
        <f t="shared" si="9"/>
        <v>3.9292193010339579E-2</v>
      </c>
      <c r="J584" s="11">
        <f>1/(H584*Utilities!$B$11)</f>
        <v>7.9931690590013504</v>
      </c>
      <c r="K584" s="11">
        <f>IF(B584&lt;C584,1,EXP(-1*(B584-C584)/(Utilities!$B$11*IterData!H584)))</f>
        <v>0.73046852077486646</v>
      </c>
    </row>
    <row r="585" spans="1:11" x14ac:dyDescent="0.3">
      <c r="A585">
        <v>584</v>
      </c>
      <c r="B585">
        <v>1.5990454733577373</v>
      </c>
      <c r="C585">
        <v>0.10345556367560343</v>
      </c>
      <c r="D585">
        <v>6.4289127916576642E-6</v>
      </c>
      <c r="E585" s="10">
        <v>2.499561167186306E-3</v>
      </c>
      <c r="F585" s="10">
        <v>1.6299033211767808</v>
      </c>
      <c r="H585">
        <v>0.50041883758837635</v>
      </c>
      <c r="I585" s="11">
        <f t="shared" si="9"/>
        <v>1.4955899096821339</v>
      </c>
      <c r="J585" s="11">
        <f>1/(H585*Utilities!$B$11)</f>
        <v>7.9933042074851564</v>
      </c>
      <c r="K585" s="11">
        <f>IF(B585&lt;C585,1,EXP(-1*(B585-C585)/(Utilities!$B$11*IterData!H585)))</f>
        <v>6.4289127916576642E-6</v>
      </c>
    </row>
    <row r="586" spans="1:11" x14ac:dyDescent="0.3">
      <c r="A586">
        <v>585</v>
      </c>
      <c r="B586">
        <v>6.2982547005370981E-2</v>
      </c>
      <c r="C586">
        <v>0.10345556367560343</v>
      </c>
      <c r="D586">
        <v>1</v>
      </c>
      <c r="E586" s="10">
        <v>2.499561167186306E-3</v>
      </c>
      <c r="F586" s="10">
        <v>1.6299033211767808</v>
      </c>
      <c r="H586">
        <v>0.50041054404845753</v>
      </c>
      <c r="I586" s="11">
        <f t="shared" si="9"/>
        <v>-4.0473016670232453E-2</v>
      </c>
      <c r="J586" s="11">
        <f>1/(H586*Utilities!$B$11)</f>
        <v>7.993436684285089</v>
      </c>
      <c r="K586" s="11">
        <f>IF(B586&lt;C586,1,EXP(-1*(B586-C586)/(Utilities!$B$11*IterData!H586)))</f>
        <v>1</v>
      </c>
    </row>
    <row r="587" spans="1:11" x14ac:dyDescent="0.3">
      <c r="A587">
        <v>586</v>
      </c>
      <c r="B587">
        <v>6.0763899620965872E-2</v>
      </c>
      <c r="C587">
        <v>6.2982547005370981E-2</v>
      </c>
      <c r="D587">
        <v>1</v>
      </c>
      <c r="E587" s="10">
        <v>2.6332980709513668E-3</v>
      </c>
      <c r="F587" s="10">
        <v>1.5135553352270279</v>
      </c>
      <c r="H587">
        <v>0.50040241473163205</v>
      </c>
      <c r="I587" s="11">
        <f t="shared" si="9"/>
        <v>-2.2186473844051091E-3</v>
      </c>
      <c r="J587" s="11">
        <f>1/(H587*Utilities!$B$11)</f>
        <v>7.9935665421303312</v>
      </c>
      <c r="K587" s="11">
        <f>IF(B587&lt;C587,1,EXP(-1*(B587-C587)/(Utilities!$B$11*IterData!H587)))</f>
        <v>1</v>
      </c>
    </row>
    <row r="588" spans="1:11" x14ac:dyDescent="0.3">
      <c r="A588">
        <v>587</v>
      </c>
      <c r="B588">
        <v>0.69685346469539511</v>
      </c>
      <c r="C588">
        <v>6.0763899620965872E-2</v>
      </c>
      <c r="D588">
        <v>6.1907116364775311E-3</v>
      </c>
      <c r="E588" s="10">
        <v>3.2290491800405201E-3</v>
      </c>
      <c r="F588" s="10">
        <v>1.4993607299166576</v>
      </c>
      <c r="H588">
        <v>0.50039444638606478</v>
      </c>
      <c r="I588" s="11">
        <f t="shared" si="9"/>
        <v>0.63608956507442926</v>
      </c>
      <c r="J588" s="11">
        <f>1/(H588*Utilities!$B$11)</f>
        <v>7.993693832712756</v>
      </c>
      <c r="K588" s="11">
        <f>IF(B588&lt;C588,1,EXP(-1*(B588-C588)/(Utilities!$B$11*IterData!H588)))</f>
        <v>6.1907116364775311E-3</v>
      </c>
    </row>
    <row r="589" spans="1:11" x14ac:dyDescent="0.3">
      <c r="A589">
        <v>588</v>
      </c>
      <c r="B589">
        <v>0.22485307844972202</v>
      </c>
      <c r="C589">
        <v>6.0763899620965872E-2</v>
      </c>
      <c r="D589">
        <v>0.26936198606559214</v>
      </c>
      <c r="E589" s="10">
        <v>3.2290491800405201E-3</v>
      </c>
      <c r="F589" s="10">
        <v>1.4993607299166576</v>
      </c>
      <c r="H589">
        <v>0.50038663582431131</v>
      </c>
      <c r="I589" s="11">
        <f t="shared" si="9"/>
        <v>0.16408917882875615</v>
      </c>
      <c r="J589" s="11">
        <f>1/(H589*Utilities!$B$11)</f>
        <v>7.993818606707201</v>
      </c>
      <c r="K589" s="11">
        <f>IF(B589&lt;C589,1,EXP(-1*(B589-C589)/(Utilities!$B$11*IterData!H589)))</f>
        <v>0.26936198606559214</v>
      </c>
    </row>
    <row r="590" spans="1:11" x14ac:dyDescent="0.3">
      <c r="A590">
        <v>589</v>
      </c>
      <c r="B590">
        <v>7.2570894852805087E-2</v>
      </c>
      <c r="C590">
        <v>0.22485307844972202</v>
      </c>
      <c r="D590">
        <v>1</v>
      </c>
      <c r="E590" s="10">
        <v>2.5900499136143392E-3</v>
      </c>
      <c r="F590" s="10">
        <v>1.690071078021981</v>
      </c>
      <c r="H590">
        <v>0.50037897992204283</v>
      </c>
      <c r="I590" s="11">
        <f t="shared" si="9"/>
        <v>-0.15228218359691692</v>
      </c>
      <c r="J590" s="11">
        <f>1/(H590*Utilities!$B$11)</f>
        <v>7.9939409137913531</v>
      </c>
      <c r="K590" s="11">
        <f>IF(B590&lt;C590,1,EXP(-1*(B590-C590)/(Utilities!$B$11*IterData!H590)))</f>
        <v>1</v>
      </c>
    </row>
    <row r="591" spans="1:11" x14ac:dyDescent="0.3">
      <c r="A591">
        <v>590</v>
      </c>
      <c r="B591">
        <v>6.7603279059944427E-2</v>
      </c>
      <c r="C591">
        <v>7.2570894852805087E-2</v>
      </c>
      <c r="D591">
        <v>1</v>
      </c>
      <c r="E591" s="10">
        <v>2.5494211691511849E-3</v>
      </c>
      <c r="F591" s="10">
        <v>1.5964148616035254</v>
      </c>
      <c r="H591">
        <v>0.50037147561679629</v>
      </c>
      <c r="I591" s="11">
        <f t="shared" si="9"/>
        <v>-4.9676157928606607E-3</v>
      </c>
      <c r="J591" s="11">
        <f>1/(H591*Utilities!$B$11)</f>
        <v>7.9940608026652455</v>
      </c>
      <c r="K591" s="11">
        <f>IF(B591&lt;C591,1,EXP(-1*(B591-C591)/(Utilities!$B$11*IterData!H591)))</f>
        <v>1</v>
      </c>
    </row>
    <row r="592" spans="1:11" x14ac:dyDescent="0.3">
      <c r="A592">
        <v>591</v>
      </c>
      <c r="B592">
        <v>0.42979647923016562</v>
      </c>
      <c r="C592">
        <v>6.7603279059944427E-2</v>
      </c>
      <c r="D592">
        <v>5.5274863106034786E-2</v>
      </c>
      <c r="E592" s="10">
        <v>3.3481556619321018E-3</v>
      </c>
      <c r="F592" s="10">
        <v>1.5061088235020448</v>
      </c>
      <c r="H592">
        <v>0.50036411990674956</v>
      </c>
      <c r="I592" s="11">
        <f t="shared" si="9"/>
        <v>0.36219320017022116</v>
      </c>
      <c r="J592" s="11">
        <f>1/(H592*Utilities!$B$11)</f>
        <v>7.9941783210703852</v>
      </c>
      <c r="K592" s="11">
        <f>IF(B592&lt;C592,1,EXP(-1*(B592-C592)/(Utilities!$B$11*IterData!H592)))</f>
        <v>5.5274863106034786E-2</v>
      </c>
    </row>
    <row r="593" spans="1:11" x14ac:dyDescent="0.3">
      <c r="A593">
        <v>592</v>
      </c>
      <c r="B593">
        <v>0.12707837258083696</v>
      </c>
      <c r="C593">
        <v>6.7603279059944427E-2</v>
      </c>
      <c r="D593">
        <v>0.62159821317764119</v>
      </c>
      <c r="E593" s="10">
        <v>3.3481556619321018E-3</v>
      </c>
      <c r="F593" s="10">
        <v>1.5061088235020448</v>
      </c>
      <c r="H593">
        <v>0.50035690984952053</v>
      </c>
      <c r="I593" s="11">
        <f t="shared" si="9"/>
        <v>5.947509352089253E-2</v>
      </c>
      <c r="J593" s="11">
        <f>1/(H593*Utilities!$B$11)</f>
        <v>7.9942935158084998</v>
      </c>
      <c r="K593" s="11">
        <f>IF(B593&lt;C593,1,EXP(-1*(B593-C593)/(Utilities!$B$11*IterData!H593)))</f>
        <v>0.62159821317764119</v>
      </c>
    </row>
    <row r="594" spans="1:11" x14ac:dyDescent="0.3">
      <c r="A594">
        <v>593</v>
      </c>
      <c r="B594">
        <v>0.45893274495772191</v>
      </c>
      <c r="C594">
        <v>6.7603279059944427E-2</v>
      </c>
      <c r="D594">
        <v>4.3785752517642614E-2</v>
      </c>
      <c r="E594" s="10">
        <v>3.3481556619321018E-3</v>
      </c>
      <c r="F594" s="10">
        <v>1.5061088235020448</v>
      </c>
      <c r="H594">
        <v>0.50034984256099013</v>
      </c>
      <c r="I594" s="11">
        <f t="shared" si="9"/>
        <v>0.39132946589777751</v>
      </c>
      <c r="J594" s="11">
        <f>1/(H594*Utilities!$B$11)</f>
        <v>7.9944064327599342</v>
      </c>
      <c r="K594" s="11">
        <f>IF(B594&lt;C594,1,EXP(-1*(B594-C594)/(Utilities!$B$11*IterData!H594)))</f>
        <v>4.3785752517642593E-2</v>
      </c>
    </row>
    <row r="595" spans="1:11" x14ac:dyDescent="0.3">
      <c r="A595">
        <v>594</v>
      </c>
      <c r="B595">
        <v>0.48929920039466351</v>
      </c>
      <c r="C595">
        <v>6.7603279059944427E-2</v>
      </c>
      <c r="D595">
        <v>3.4346496446937574E-2</v>
      </c>
      <c r="E595" s="10">
        <v>3.3481556619321018E-3</v>
      </c>
      <c r="F595" s="10">
        <v>1.5061088235020448</v>
      </c>
      <c r="H595">
        <v>0.50034291521414875</v>
      </c>
      <c r="I595" s="11">
        <f t="shared" si="9"/>
        <v>0.42169592133471911</v>
      </c>
      <c r="J595" s="11">
        <f>1/(H595*Utilities!$B$11)</f>
        <v>7.994517116901684</v>
      </c>
      <c r="K595" s="11">
        <f>IF(B595&lt;C595,1,EXP(-1*(B595-C595)/(Utilities!$B$11*IterData!H595)))</f>
        <v>3.4346496446937554E-2</v>
      </c>
    </row>
    <row r="596" spans="1:11" x14ac:dyDescent="0.3">
      <c r="A596">
        <v>595</v>
      </c>
      <c r="B596">
        <v>1.3495950521748732</v>
      </c>
      <c r="C596">
        <v>6.7603279059944427E-2</v>
      </c>
      <c r="D596">
        <v>3.5391309435547071E-5</v>
      </c>
      <c r="E596" s="10">
        <v>3.3481556619321018E-3</v>
      </c>
      <c r="F596" s="10">
        <v>1.5061088235020448</v>
      </c>
      <c r="H596">
        <v>0.50033612503796532</v>
      </c>
      <c r="I596" s="11">
        <f t="shared" si="9"/>
        <v>1.2819917731149288</v>
      </c>
      <c r="J596" s="11">
        <f>1/(H596*Utilities!$B$11)</f>
        <v>7.9946256123250778</v>
      </c>
      <c r="K596" s="11">
        <f>IF(B596&lt;C596,1,EXP(-1*(B596-C596)/(Utilities!$B$11*IterData!H596)))</f>
        <v>3.5391309435547071E-5</v>
      </c>
    </row>
    <row r="597" spans="1:11" x14ac:dyDescent="0.3">
      <c r="A597">
        <v>596</v>
      </c>
      <c r="B597">
        <v>1.2720062600243762</v>
      </c>
      <c r="C597">
        <v>6.7603279059944427E-2</v>
      </c>
      <c r="D597">
        <v>6.5800770672781411E-5</v>
      </c>
      <c r="E597" s="10">
        <v>3.3481556619321018E-3</v>
      </c>
      <c r="F597" s="10">
        <v>1.5061088235020448</v>
      </c>
      <c r="H597">
        <v>0.50032946931627875</v>
      </c>
      <c r="I597" s="11">
        <f t="shared" si="9"/>
        <v>1.2044029809644319</v>
      </c>
      <c r="J597" s="11">
        <f>1/(H597*Utilities!$B$11)</f>
        <v>7.9947319622531294</v>
      </c>
      <c r="K597" s="11">
        <f>IF(B597&lt;C597,1,EXP(-1*(B597-C597)/(Utilities!$B$11*IterData!H597)))</f>
        <v>6.5800770672781411E-5</v>
      </c>
    </row>
    <row r="598" spans="1:11" x14ac:dyDescent="0.3">
      <c r="A598">
        <v>597</v>
      </c>
      <c r="B598">
        <v>0.24820972440310041</v>
      </c>
      <c r="C598">
        <v>6.7603279059944427E-2</v>
      </c>
      <c r="D598">
        <v>0.23600106793495887</v>
      </c>
      <c r="E598" s="10">
        <v>3.3481556619321018E-3</v>
      </c>
      <c r="F598" s="10">
        <v>1.5061088235020448</v>
      </c>
      <c r="H598">
        <v>0.50032294538671174</v>
      </c>
      <c r="I598" s="11">
        <f t="shared" si="9"/>
        <v>0.18060644534315598</v>
      </c>
      <c r="J598" s="11">
        <f>1/(H598*Utilities!$B$11)</f>
        <v>7.9948362090575378</v>
      </c>
      <c r="K598" s="11">
        <f>IF(B598&lt;C598,1,EXP(-1*(B598-C598)/(Utilities!$B$11*IterData!H598)))</f>
        <v>0.23600106793495887</v>
      </c>
    </row>
    <row r="599" spans="1:11" x14ac:dyDescent="0.3">
      <c r="A599">
        <v>598</v>
      </c>
      <c r="B599">
        <v>0.12014513226762044</v>
      </c>
      <c r="C599">
        <v>6.7603279059944427E-2</v>
      </c>
      <c r="D599">
        <v>0.65700156430644296</v>
      </c>
      <c r="E599" s="10">
        <v>3.3481556619321018E-3</v>
      </c>
      <c r="F599" s="10">
        <v>1.5061088235020448</v>
      </c>
      <c r="H599">
        <v>0.50031655063960534</v>
      </c>
      <c r="I599" s="11">
        <f t="shared" si="9"/>
        <v>5.2541853207676015E-2</v>
      </c>
      <c r="J599" s="11">
        <f>1/(H599*Utilities!$B$11)</f>
        <v>7.9949383942753736</v>
      </c>
      <c r="K599" s="11">
        <f>IF(B599&lt;C599,1,EXP(-1*(B599-C599)/(Utilities!$B$11*IterData!H599)))</f>
        <v>0.65700156430644296</v>
      </c>
    </row>
    <row r="600" spans="1:11" x14ac:dyDescent="0.3">
      <c r="A600">
        <v>599</v>
      </c>
      <c r="B600">
        <v>9.3338155961434383E-2</v>
      </c>
      <c r="C600">
        <v>0.12014513226762044</v>
      </c>
      <c r="D600">
        <v>1</v>
      </c>
      <c r="E600" s="10">
        <v>2.3822911323184933E-3</v>
      </c>
      <c r="F600" s="10">
        <v>1.49279312478487</v>
      </c>
      <c r="H600">
        <v>0.50031028251697562</v>
      </c>
      <c r="I600" s="11">
        <f t="shared" si="9"/>
        <v>-2.6806976306186059E-2</v>
      </c>
      <c r="J600" s="11">
        <f>1/(H600*Utilities!$B$11)</f>
        <v>7.9950385586254251</v>
      </c>
      <c r="K600" s="11">
        <f>IF(B600&lt;C600,1,EXP(-1*(B600-C600)/(Utilities!$B$11*IterData!H600)))</f>
        <v>1</v>
      </c>
    </row>
    <row r="601" spans="1:11" x14ac:dyDescent="0.3">
      <c r="A601">
        <v>600</v>
      </c>
      <c r="B601">
        <v>0.38882361560970469</v>
      </c>
      <c r="C601">
        <v>9.3338155961434383E-2</v>
      </c>
      <c r="D601">
        <v>9.4189491844399481E-2</v>
      </c>
      <c r="E601" s="10">
        <v>3.0036332694987691E-3</v>
      </c>
      <c r="F601" s="10">
        <v>1.5692404638830377</v>
      </c>
      <c r="H601">
        <v>0.50030413851148969</v>
      </c>
      <c r="I601" s="11">
        <f t="shared" si="9"/>
        <v>0.29548545964827033</v>
      </c>
      <c r="J601" s="11">
        <f>1/(H601*Utilities!$B$11)</f>
        <v>7.9951367420242487</v>
      </c>
      <c r="K601" s="11">
        <f>IF(B601&lt;C601,1,EXP(-1*(B601-C601)/(Utilities!$B$11*IterData!H601)))</f>
        <v>9.4189491844399439E-2</v>
      </c>
    </row>
    <row r="602" spans="1:11" x14ac:dyDescent="0.3">
      <c r="A602">
        <v>601</v>
      </c>
      <c r="B602">
        <v>7.4123640605331317E-2</v>
      </c>
      <c r="C602">
        <v>9.3338155961434383E-2</v>
      </c>
      <c r="D602">
        <v>1</v>
      </c>
      <c r="E602" s="10">
        <v>3.0036332694987691E-3</v>
      </c>
      <c r="F602" s="10">
        <v>1.5692404638830377</v>
      </c>
      <c r="H602">
        <v>0.50029811616546371</v>
      </c>
      <c r="I602" s="11">
        <f t="shared" si="9"/>
        <v>-1.9214515356103065E-2</v>
      </c>
      <c r="J602" s="11">
        <f>1/(H602*Utilities!$B$11)</f>
        <v>7.9952329836018796</v>
      </c>
      <c r="K602" s="11">
        <f>IF(B602&lt;C602,1,EXP(-1*(B602-C602)/(Utilities!$B$11*IterData!H602)))</f>
        <v>1</v>
      </c>
    </row>
    <row r="603" spans="1:11" x14ac:dyDescent="0.3">
      <c r="A603">
        <v>602</v>
      </c>
      <c r="B603">
        <v>0.27523377597768967</v>
      </c>
      <c r="C603">
        <v>7.4123640605331317E-2</v>
      </c>
      <c r="D603">
        <v>0.20029953456212662</v>
      </c>
      <c r="E603" s="10">
        <v>2.7584168317975818E-3</v>
      </c>
      <c r="F603" s="10">
        <v>1.4909444689275539</v>
      </c>
      <c r="H603">
        <v>0.50029221306987881</v>
      </c>
      <c r="I603" s="11">
        <f t="shared" si="9"/>
        <v>0.20111013537235833</v>
      </c>
      <c r="J603" s="11">
        <f>1/(H603*Utilities!$B$11)</f>
        <v>7.9953273217172702</v>
      </c>
      <c r="K603" s="11">
        <f>IF(B603&lt;C603,1,EXP(-1*(B603-C603)/(Utilities!$B$11*IterData!H603)))</f>
        <v>0.20029953456212662</v>
      </c>
    </row>
    <row r="604" spans="1:11" x14ac:dyDescent="0.3">
      <c r="A604">
        <v>603</v>
      </c>
      <c r="B604">
        <v>0.26887958257074479</v>
      </c>
      <c r="C604">
        <v>0.27523377597768967</v>
      </c>
      <c r="D604">
        <v>1</v>
      </c>
      <c r="E604" s="10">
        <v>2.8861978156062831E-3</v>
      </c>
      <c r="F604" s="10">
        <v>1.6828987136109319</v>
      </c>
      <c r="H604">
        <v>0.50028642686341818</v>
      </c>
      <c r="I604" s="11">
        <f t="shared" si="9"/>
        <v>-6.3541934069448747E-3</v>
      </c>
      <c r="J604" s="11">
        <f>1/(H604*Utilities!$B$11)</f>
        <v>7.9954197939734009</v>
      </c>
      <c r="K604" s="11">
        <f>IF(B604&lt;C604,1,EXP(-1*(B604-C604)/(Utilities!$B$11*IterData!H604)))</f>
        <v>1</v>
      </c>
    </row>
    <row r="605" spans="1:11" x14ac:dyDescent="0.3">
      <c r="A605">
        <v>604</v>
      </c>
      <c r="B605">
        <v>1.3982584729837664</v>
      </c>
      <c r="C605">
        <v>0.26887958257074479</v>
      </c>
      <c r="D605">
        <v>1.1976719922542082E-4</v>
      </c>
      <c r="E605" s="10">
        <v>2.641261512905189E-3</v>
      </c>
      <c r="F605" s="10">
        <v>1.7051141633305116</v>
      </c>
      <c r="H605">
        <v>0.50028075523152193</v>
      </c>
      <c r="I605" s="11">
        <f t="shared" si="9"/>
        <v>1.1293788904130215</v>
      </c>
      <c r="J605" s="11">
        <f>1/(H605*Utilities!$B$11)</f>
        <v>7.9955104372321175</v>
      </c>
      <c r="K605" s="11">
        <f>IF(B605&lt;C605,1,EXP(-1*(B605-C605)/(Utilities!$B$11*IterData!H605)))</f>
        <v>1.1976719922542104E-4</v>
      </c>
    </row>
    <row r="606" spans="1:11" x14ac:dyDescent="0.3">
      <c r="A606">
        <v>605</v>
      </c>
      <c r="B606">
        <v>0.18760229255235369</v>
      </c>
      <c r="C606">
        <v>0.26887958257074479</v>
      </c>
      <c r="D606">
        <v>1</v>
      </c>
      <c r="E606" s="10">
        <v>2.641261512905189E-3</v>
      </c>
      <c r="F606" s="10">
        <v>1.7051141633305116</v>
      </c>
      <c r="H606">
        <v>0.50027519590546166</v>
      </c>
      <c r="I606" s="11">
        <f t="shared" si="9"/>
        <v>-8.1277290018391096E-2</v>
      </c>
      <c r="J606" s="11">
        <f>1/(H606*Utilities!$B$11)</f>
        <v>7.9955992876286652</v>
      </c>
      <c r="K606" s="11">
        <f>IF(B606&lt;C606,1,EXP(-1*(B606-C606)/(Utilities!$B$11*IterData!H606)))</f>
        <v>1</v>
      </c>
    </row>
    <row r="607" spans="1:11" x14ac:dyDescent="0.3">
      <c r="A607">
        <v>606</v>
      </c>
      <c r="B607">
        <v>0.42678888940503595</v>
      </c>
      <c r="C607">
        <v>0.18760229255235369</v>
      </c>
      <c r="D607">
        <v>0.14771640662531563</v>
      </c>
      <c r="E607" s="10">
        <v>2.8308040066188779E-3</v>
      </c>
      <c r="F607" s="10">
        <v>1.6463811688215861</v>
      </c>
      <c r="H607">
        <v>0.50026974666143298</v>
      </c>
      <c r="I607" s="11">
        <f t="shared" si="9"/>
        <v>0.23918659685268226</v>
      </c>
      <c r="J607" s="11">
        <f>1/(H607*Utilities!$B$11)</f>
        <v>7.9956863805859433</v>
      </c>
      <c r="K607" s="11">
        <f>IF(B607&lt;C607,1,EXP(-1*(B607-C607)/(Utilities!$B$11*IterData!H607)))</f>
        <v>0.14771640662531563</v>
      </c>
    </row>
    <row r="608" spans="1:11" x14ac:dyDescent="0.3">
      <c r="A608">
        <v>607</v>
      </c>
      <c r="B608">
        <v>0.66895810266555955</v>
      </c>
      <c r="C608">
        <v>0.18760229255235369</v>
      </c>
      <c r="D608">
        <v>2.1305049074631034E-2</v>
      </c>
      <c r="E608" s="10">
        <v>2.8308040066188779E-3</v>
      </c>
      <c r="F608" s="10">
        <v>1.6463811688215861</v>
      </c>
      <c r="H608">
        <v>0.50026440531966554</v>
      </c>
      <c r="I608" s="11">
        <f t="shared" si="9"/>
        <v>0.48135581011320583</v>
      </c>
      <c r="J608" s="11">
        <f>1/(H608*Utilities!$B$11)</f>
        <v>7.9957717508284993</v>
      </c>
      <c r="K608" s="11">
        <f>IF(B608&lt;C608,1,EXP(-1*(B608-C608)/(Utilities!$B$11*IterData!H608)))</f>
        <v>2.1305049074631034E-2</v>
      </c>
    </row>
    <row r="609" spans="1:11" x14ac:dyDescent="0.3">
      <c r="A609">
        <v>608</v>
      </c>
      <c r="B609">
        <v>7.451836425473457E-2</v>
      </c>
      <c r="C609">
        <v>0.18760229255235369</v>
      </c>
      <c r="D609">
        <v>1</v>
      </c>
      <c r="E609" s="10">
        <v>2.8308040066188779E-3</v>
      </c>
      <c r="F609" s="10">
        <v>1.6463811688215861</v>
      </c>
      <c r="H609">
        <v>0.50025916974355145</v>
      </c>
      <c r="I609" s="11">
        <f t="shared" si="9"/>
        <v>-0.11308392829761912</v>
      </c>
      <c r="J609" s="11">
        <f>1/(H609*Utilities!$B$11)</f>
        <v>7.9958554323962225</v>
      </c>
      <c r="K609" s="11">
        <f>IF(B609&lt;C609,1,EXP(-1*(B609-C609)/(Utilities!$B$11*IterData!H609)))</f>
        <v>1</v>
      </c>
    </row>
    <row r="610" spans="1:11" x14ac:dyDescent="0.3">
      <c r="A610">
        <v>609</v>
      </c>
      <c r="B610">
        <v>0.32321388263025108</v>
      </c>
      <c r="C610">
        <v>7.451836425473457E-2</v>
      </c>
      <c r="D610">
        <v>0.13689325585725512</v>
      </c>
      <c r="E610" s="10">
        <v>2.7324830898715676E-3</v>
      </c>
      <c r="F610" s="10">
        <v>1.5782346734318278</v>
      </c>
      <c r="H610">
        <v>0.5002540378387903</v>
      </c>
      <c r="I610" s="11">
        <f t="shared" si="9"/>
        <v>0.24869551837551651</v>
      </c>
      <c r="J610" s="11">
        <f>1/(H610*Utilities!$B$11)</f>
        <v>7.9959374586578003</v>
      </c>
      <c r="K610" s="11">
        <f>IF(B610&lt;C610,1,EXP(-1*(B610-C610)/(Utilities!$B$11*IterData!H610)))</f>
        <v>0.13689325585725512</v>
      </c>
    </row>
    <row r="611" spans="1:11" x14ac:dyDescent="0.3">
      <c r="A611">
        <v>610</v>
      </c>
      <c r="B611">
        <v>6.1715421647557646E-2</v>
      </c>
      <c r="C611">
        <v>7.451836425473457E-2</v>
      </c>
      <c r="D611">
        <v>1</v>
      </c>
      <c r="E611" s="10">
        <v>2.7324830898715676E-3</v>
      </c>
      <c r="F611" s="10">
        <v>1.5782346734318278</v>
      </c>
      <c r="H611">
        <v>0.50024900755255197</v>
      </c>
      <c r="I611" s="11">
        <f t="shared" si="9"/>
        <v>-1.2802942607176925E-2</v>
      </c>
      <c r="J611" s="11">
        <f>1/(H611*Utilities!$B$11)</f>
        <v>7.9960178623238818</v>
      </c>
      <c r="K611" s="11">
        <f>IF(B611&lt;C611,1,EXP(-1*(B611-C611)/(Utilities!$B$11*IterData!H611)))</f>
        <v>1</v>
      </c>
    </row>
    <row r="612" spans="1:11" x14ac:dyDescent="0.3">
      <c r="A612">
        <v>611</v>
      </c>
      <c r="B612">
        <v>0.22601891721901529</v>
      </c>
      <c r="C612">
        <v>6.1715421647557646E-2</v>
      </c>
      <c r="D612">
        <v>0.26880027837688353</v>
      </c>
      <c r="E612" s="10">
        <v>2.5036365006566629E-3</v>
      </c>
      <c r="F612" s="10">
        <v>1.5254996455340817</v>
      </c>
      <c r="H612">
        <v>0.50024407687265482</v>
      </c>
      <c r="I612" s="11">
        <f t="shared" si="9"/>
        <v>0.16430349557145765</v>
      </c>
      <c r="J612" s="11">
        <f>1/(H612*Utilities!$B$11)</f>
        <v>7.9960966754600165</v>
      </c>
      <c r="K612" s="11">
        <f>IF(B612&lt;C612,1,EXP(-1*(B612-C612)/(Utilities!$B$11*IterData!H612)))</f>
        <v>0.26880027837688347</v>
      </c>
    </row>
    <row r="613" spans="1:11" x14ac:dyDescent="0.3">
      <c r="A613">
        <v>612</v>
      </c>
      <c r="B613">
        <v>0.32529303512553642</v>
      </c>
      <c r="C613">
        <v>6.1715421647557646E-2</v>
      </c>
      <c r="D613">
        <v>0.12152777502569261</v>
      </c>
      <c r="E613" s="10">
        <v>2.5036365006566629E-3</v>
      </c>
      <c r="F613" s="10">
        <v>1.5254996455340817</v>
      </c>
      <c r="H613">
        <v>0.5002392438267611</v>
      </c>
      <c r="I613" s="11">
        <f t="shared" si="9"/>
        <v>0.26357761347797876</v>
      </c>
      <c r="J613" s="11">
        <f>1/(H613*Utilities!$B$11)</f>
        <v>7.9961739294993182</v>
      </c>
      <c r="K613" s="11">
        <f>IF(B613&lt;C613,1,EXP(-1*(B613-C613)/(Utilities!$B$11*IterData!H613)))</f>
        <v>0.12152777502569261</v>
      </c>
    </row>
    <row r="614" spans="1:11" x14ac:dyDescent="0.3">
      <c r="A614">
        <v>613</v>
      </c>
      <c r="B614">
        <v>0.25638974318051599</v>
      </c>
      <c r="C614">
        <v>0.32529303512553642</v>
      </c>
      <c r="D614">
        <v>1</v>
      </c>
      <c r="E614" s="10">
        <v>3.3788699002462804E-3</v>
      </c>
      <c r="F614" s="10">
        <v>1.3453858434979247</v>
      </c>
      <c r="H614">
        <v>0.50023450648158807</v>
      </c>
      <c r="I614" s="11">
        <f t="shared" si="9"/>
        <v>-6.8903291945020428E-2</v>
      </c>
      <c r="J614" s="11">
        <f>1/(H614*Utilities!$B$11)</f>
        <v>7.9962496552548927</v>
      </c>
      <c r="K614" s="11">
        <f>IF(B614&lt;C614,1,EXP(-1*(B614-C614)/(Utilities!$B$11*IterData!H614)))</f>
        <v>1</v>
      </c>
    </row>
    <row r="615" spans="1:11" x14ac:dyDescent="0.3">
      <c r="A615">
        <v>614</v>
      </c>
      <c r="B615">
        <v>5.9357170918898056E-2</v>
      </c>
      <c r="C615">
        <v>0.25638974318051599</v>
      </c>
      <c r="D615">
        <v>1</v>
      </c>
      <c r="E615" s="10">
        <v>2.800767910917754E-3</v>
      </c>
      <c r="F615" s="10">
        <v>1.6828663928314289</v>
      </c>
      <c r="H615">
        <v>0.50022986294213445</v>
      </c>
      <c r="I615" s="11">
        <f t="shared" si="9"/>
        <v>-0.19703257226161794</v>
      </c>
      <c r="J615" s="11">
        <f>1/(H615*Utilities!$B$11)</f>
        <v>7.9963238829320185</v>
      </c>
      <c r="K615" s="11">
        <f>IF(B615&lt;C615,1,EXP(-1*(B615-C615)/(Utilities!$B$11*IterData!H615)))</f>
        <v>1</v>
      </c>
    </row>
    <row r="616" spans="1:11" x14ac:dyDescent="0.3">
      <c r="A616">
        <v>615</v>
      </c>
      <c r="B616">
        <v>0.1762277777960452</v>
      </c>
      <c r="C616">
        <v>5.9357170918898056E-2</v>
      </c>
      <c r="D616">
        <v>0.3927650321848038</v>
      </c>
      <c r="E616" s="10">
        <v>3.1296835716358453E-3</v>
      </c>
      <c r="F616" s="10">
        <v>1.505758251226373</v>
      </c>
      <c r="H616">
        <v>0.50022531135092263</v>
      </c>
      <c r="I616" s="11">
        <f t="shared" si="9"/>
        <v>0.11687060687714715</v>
      </c>
      <c r="J616" s="11">
        <f>1/(H616*Utilities!$B$11)</f>
        <v>7.996396642140092</v>
      </c>
      <c r="K616" s="11">
        <f>IF(B616&lt;C616,1,EXP(-1*(B616-C616)/(Utilities!$B$11*IterData!H616)))</f>
        <v>0.3927650321848038</v>
      </c>
    </row>
    <row r="617" spans="1:11" x14ac:dyDescent="0.3">
      <c r="A617">
        <v>616</v>
      </c>
      <c r="B617">
        <v>0.13414196804661704</v>
      </c>
      <c r="C617">
        <v>5.9357170918898056E-2</v>
      </c>
      <c r="D617">
        <v>0.54990253020517699</v>
      </c>
      <c r="E617" s="10">
        <v>3.1296835716358453E-3</v>
      </c>
      <c r="F617" s="10">
        <v>1.505758251226373</v>
      </c>
      <c r="H617">
        <v>0.50022084988725535</v>
      </c>
      <c r="I617" s="11">
        <f t="shared" si="9"/>
        <v>7.4784797127718988E-2</v>
      </c>
      <c r="J617" s="11">
        <f>1/(H617*Utilities!$B$11)</f>
        <v>7.9964679619043446</v>
      </c>
      <c r="K617" s="11">
        <f>IF(B617&lt;C617,1,EXP(-1*(B617-C617)/(Utilities!$B$11*IterData!H617)))</f>
        <v>0.54990253020517699</v>
      </c>
    </row>
    <row r="618" spans="1:11" x14ac:dyDescent="0.3">
      <c r="A618">
        <v>617</v>
      </c>
      <c r="B618">
        <v>6.3139962840982666E-2</v>
      </c>
      <c r="C618">
        <v>0.13414196804661704</v>
      </c>
      <c r="D618">
        <v>1</v>
      </c>
      <c r="E618" s="10">
        <v>2.5543361246908852E-3</v>
      </c>
      <c r="F618" s="10">
        <v>1.6448293871109141</v>
      </c>
      <c r="H618">
        <v>0.50021647676648762</v>
      </c>
      <c r="I618" s="11">
        <f t="shared" si="9"/>
        <v>-7.1002005205634378E-2</v>
      </c>
      <c r="J618" s="11">
        <f>1/(H618*Utilities!$B$11)</f>
        <v>7.9965378706773196</v>
      </c>
      <c r="K618" s="11">
        <f>IF(B618&lt;C618,1,EXP(-1*(B618-C618)/(Utilities!$B$11*IterData!H618)))</f>
        <v>1</v>
      </c>
    </row>
    <row r="619" spans="1:11" x14ac:dyDescent="0.3">
      <c r="A619">
        <v>618</v>
      </c>
      <c r="B619">
        <v>0.26114952014981985</v>
      </c>
      <c r="C619">
        <v>6.3139962840982666E-2</v>
      </c>
      <c r="D619">
        <v>0.20527504985575673</v>
      </c>
      <c r="E619" s="10">
        <v>2.6843480723383285E-3</v>
      </c>
      <c r="F619" s="10">
        <v>1.5094982557946994</v>
      </c>
      <c r="H619">
        <v>0.50021219023931285</v>
      </c>
      <c r="I619" s="11">
        <f t="shared" si="9"/>
        <v>0.19800955730883718</v>
      </c>
      <c r="J619" s="11">
        <f>1/(H619*Utilities!$B$11)</f>
        <v>7.9966063963501357</v>
      </c>
      <c r="K619" s="11">
        <f>IF(B619&lt;C619,1,EXP(-1*(B619-C619)/(Utilities!$B$11*IterData!H619)))</f>
        <v>0.20527504985575673</v>
      </c>
    </row>
    <row r="620" spans="1:11" x14ac:dyDescent="0.3">
      <c r="A620">
        <v>619</v>
      </c>
      <c r="B620">
        <v>0.11209947832065703</v>
      </c>
      <c r="C620">
        <v>6.3139962840982666E-2</v>
      </c>
      <c r="D620">
        <v>0.67603308403714946</v>
      </c>
      <c r="E620" s="10">
        <v>2.6843480723383285E-3</v>
      </c>
      <c r="F620" s="10">
        <v>1.5094982557946994</v>
      </c>
      <c r="H620">
        <v>0.50020798859106308</v>
      </c>
      <c r="I620" s="11">
        <f t="shared" si="9"/>
        <v>4.8959515479674365E-2</v>
      </c>
      <c r="J620" s="11">
        <f>1/(H620*Utilities!$B$11)</f>
        <v>7.9966735662635227</v>
      </c>
      <c r="K620" s="11">
        <f>IF(B620&lt;C620,1,EXP(-1*(B620-C620)/(Utilities!$B$11*IterData!H620)))</f>
        <v>0.67603308403714946</v>
      </c>
    </row>
    <row r="621" spans="1:11" x14ac:dyDescent="0.3">
      <c r="A621">
        <v>620</v>
      </c>
      <c r="B621">
        <v>0.47910785493826219</v>
      </c>
      <c r="C621">
        <v>0.11209947832065703</v>
      </c>
      <c r="D621">
        <v>5.3137608252881677E-2</v>
      </c>
      <c r="E621" s="10">
        <v>3.3716037062331552E-3</v>
      </c>
      <c r="F621" s="10">
        <v>1.4188491168378854</v>
      </c>
      <c r="H621">
        <v>0.50020387014102297</v>
      </c>
      <c r="I621" s="11">
        <f t="shared" si="9"/>
        <v>0.36700837661760516</v>
      </c>
      <c r="J621" s="11">
        <f>1/(H621*Utilities!$B$11)</f>
        <v>7.9967394072186533</v>
      </c>
      <c r="K621" s="11">
        <f>IF(B621&lt;C621,1,EXP(-1*(B621-C621)/(Utilities!$B$11*IterData!H621)))</f>
        <v>5.3137608252881677E-2</v>
      </c>
    </row>
    <row r="622" spans="1:11" x14ac:dyDescent="0.3">
      <c r="A622">
        <v>621</v>
      </c>
      <c r="B622">
        <v>0.29712656905772639</v>
      </c>
      <c r="C622">
        <v>0.11209947832065703</v>
      </c>
      <c r="D622">
        <v>0.22772298444294314</v>
      </c>
      <c r="E622" s="10">
        <v>3.3716037062331552E-3</v>
      </c>
      <c r="F622" s="10">
        <v>1.4188491168378854</v>
      </c>
      <c r="H622">
        <v>0.50019983324175765</v>
      </c>
      <c r="I622" s="11">
        <f t="shared" si="9"/>
        <v>0.18502709073706936</v>
      </c>
      <c r="J622" s="11">
        <f>1/(H622*Utilities!$B$11)</f>
        <v>7.9968039454877458</v>
      </c>
      <c r="K622" s="11">
        <f>IF(B622&lt;C622,1,EXP(-1*(B622-C622)/(Utilities!$B$11*IterData!H622)))</f>
        <v>0.22772298444294314</v>
      </c>
    </row>
    <row r="623" spans="1:11" x14ac:dyDescent="0.3">
      <c r="A623">
        <v>622</v>
      </c>
      <c r="B623">
        <v>0.12009900851297391</v>
      </c>
      <c r="C623">
        <v>0.11209947832065703</v>
      </c>
      <c r="D623">
        <v>0.9380320326006335</v>
      </c>
      <c r="E623" s="10">
        <v>3.3716037062331552E-3</v>
      </c>
      <c r="F623" s="10">
        <v>1.4188491168378854</v>
      </c>
      <c r="H623">
        <v>0.50019587627845341</v>
      </c>
      <c r="I623" s="11">
        <f t="shared" si="9"/>
        <v>7.9995301923168755E-3</v>
      </c>
      <c r="J623" s="11">
        <f>1/(H623*Utilities!$B$11)</f>
        <v>7.9968672068244819</v>
      </c>
      <c r="K623" s="11">
        <f>IF(B623&lt;C623,1,EXP(-1*(B623-C623)/(Utilities!$B$11*IterData!H623)))</f>
        <v>0.9380320326006335</v>
      </c>
    </row>
    <row r="624" spans="1:11" x14ac:dyDescent="0.3">
      <c r="A624">
        <v>623</v>
      </c>
      <c r="B624">
        <v>0.22423675653548952</v>
      </c>
      <c r="C624">
        <v>0.12009900851297391</v>
      </c>
      <c r="D624">
        <v>0.43483779621352847</v>
      </c>
      <c r="E624" s="10">
        <v>2.8225020838127013E-3</v>
      </c>
      <c r="F624" s="10">
        <v>1.6074653641693644</v>
      </c>
      <c r="H624">
        <v>0.50019199766827227</v>
      </c>
      <c r="I624" s="11">
        <f t="shared" si="9"/>
        <v>0.10413774802251562</v>
      </c>
      <c r="J624" s="11">
        <f>1/(H624*Utilities!$B$11)</f>
        <v>7.9969292164741974</v>
      </c>
      <c r="K624" s="11">
        <f>IF(B624&lt;C624,1,EXP(-1*(B624-C624)/(Utilities!$B$11*IterData!H624)))</f>
        <v>0.43483779621352847</v>
      </c>
    </row>
    <row r="625" spans="1:11" x14ac:dyDescent="0.3">
      <c r="A625">
        <v>624</v>
      </c>
      <c r="B625">
        <v>1.3442768797579085</v>
      </c>
      <c r="C625">
        <v>0.22423675653548952</v>
      </c>
      <c r="D625">
        <v>1.2883865612939419E-4</v>
      </c>
      <c r="E625" s="10">
        <v>2.6370166337911709E-3</v>
      </c>
      <c r="F625" s="10">
        <v>1.6847163964357954</v>
      </c>
      <c r="H625">
        <v>0.50018819585971852</v>
      </c>
      <c r="I625" s="11">
        <f t="shared" si="9"/>
        <v>1.1200401232224191</v>
      </c>
      <c r="J625" s="11">
        <f>1/(H625*Utilities!$B$11)</f>
        <v>7.996989999183886</v>
      </c>
      <c r="K625" s="11">
        <f>IF(B625&lt;C625,1,EXP(-1*(B625-C625)/(Utilities!$B$11*IterData!H625)))</f>
        <v>1.2883865612939394E-4</v>
      </c>
    </row>
    <row r="626" spans="1:11" x14ac:dyDescent="0.3">
      <c r="A626">
        <v>625</v>
      </c>
      <c r="B626">
        <v>0.22383448665452299</v>
      </c>
      <c r="C626">
        <v>0.22423675653548952</v>
      </c>
      <c r="D626">
        <v>1</v>
      </c>
      <c r="E626" s="10">
        <v>2.6370166337911709E-3</v>
      </c>
      <c r="F626" s="10">
        <v>1.6847163964357954</v>
      </c>
      <c r="H626">
        <v>0.50018446933201788</v>
      </c>
      <c r="I626" s="11">
        <f t="shared" si="9"/>
        <v>-4.022698809665326E-4</v>
      </c>
      <c r="J626" s="11">
        <f>1/(H626*Utilities!$B$11)</f>
        <v>7.9970495792120175</v>
      </c>
      <c r="K626" s="11">
        <f>IF(B626&lt;C626,1,EXP(-1*(B626-C626)/(Utilities!$B$11*IterData!H626)))</f>
        <v>1</v>
      </c>
    </row>
    <row r="627" spans="1:11" x14ac:dyDescent="0.3">
      <c r="A627">
        <v>626</v>
      </c>
      <c r="B627">
        <v>0.30289323434061854</v>
      </c>
      <c r="C627">
        <v>0.22383448665452299</v>
      </c>
      <c r="D627">
        <v>0.53139941738420526</v>
      </c>
      <c r="E627" s="10">
        <v>2.9384883731772985E-3</v>
      </c>
      <c r="F627" s="10">
        <v>1.6540327808250266</v>
      </c>
      <c r="H627">
        <v>0.50018081659450975</v>
      </c>
      <c r="I627" s="11">
        <f t="shared" si="9"/>
        <v>7.9058747686095554E-2</v>
      </c>
      <c r="J627" s="11">
        <f>1/(H627*Utilities!$B$11)</f>
        <v>7.9971079803381366</v>
      </c>
      <c r="K627" s="11">
        <f>IF(B627&lt;C627,1,EXP(-1*(B627-C627)/(Utilities!$B$11*IterData!H627)))</f>
        <v>0.53139941738420526</v>
      </c>
    </row>
    <row r="628" spans="1:11" x14ac:dyDescent="0.3">
      <c r="A628">
        <v>627</v>
      </c>
      <c r="B628">
        <v>0.11103978079735433</v>
      </c>
      <c r="C628">
        <v>0.22383448665452299</v>
      </c>
      <c r="D628">
        <v>1</v>
      </c>
      <c r="E628" s="10">
        <v>2.9384883731772985E-3</v>
      </c>
      <c r="F628" s="10">
        <v>1.6540327808250266</v>
      </c>
      <c r="H628">
        <v>0.50017723618605026</v>
      </c>
      <c r="I628" s="11">
        <f t="shared" si="9"/>
        <v>-0.11279470585716866</v>
      </c>
      <c r="J628" s="11">
        <f>1/(H628*Utilities!$B$11)</f>
        <v>7.9971652258723056</v>
      </c>
      <c r="K628" s="11">
        <f>IF(B628&lt;C628,1,EXP(-1*(B628-C628)/(Utilities!$B$11*IterData!H628)))</f>
        <v>1</v>
      </c>
    </row>
    <row r="629" spans="1:11" x14ac:dyDescent="0.3">
      <c r="A629">
        <v>628</v>
      </c>
      <c r="B629">
        <v>6.5401232301253873E-2</v>
      </c>
      <c r="C629">
        <v>0.11103978079735433</v>
      </c>
      <c r="D629">
        <v>1</v>
      </c>
      <c r="E629" s="10">
        <v>3.0467894655226194E-3</v>
      </c>
      <c r="F629" s="10">
        <v>1.4420432127787761</v>
      </c>
      <c r="H629">
        <v>0.50017372667442839</v>
      </c>
      <c r="I629" s="11">
        <f t="shared" si="9"/>
        <v>-4.5638548496100453E-2</v>
      </c>
      <c r="J629" s="11">
        <f>1/(H629*Utilities!$B$11)</f>
        <v>7.9972213386643318</v>
      </c>
      <c r="K629" s="11">
        <f>IF(B629&lt;C629,1,EXP(-1*(B629-C629)/(Utilities!$B$11*IterData!H629)))</f>
        <v>1</v>
      </c>
    </row>
    <row r="630" spans="1:11" x14ac:dyDescent="0.3">
      <c r="A630">
        <v>629</v>
      </c>
      <c r="B630">
        <v>0.12664638892715258</v>
      </c>
      <c r="C630">
        <v>6.5401232301253873E-2</v>
      </c>
      <c r="D630">
        <v>0.61275233732822054</v>
      </c>
      <c r="E630" s="10">
        <v>3.0324042474493651E-3</v>
      </c>
      <c r="F630" s="10">
        <v>1.4823798851044072</v>
      </c>
      <c r="H630">
        <v>0.50017028665579277</v>
      </c>
      <c r="I630" s="11">
        <f t="shared" si="9"/>
        <v>6.1245156625898703E-2</v>
      </c>
      <c r="J630" s="11">
        <f>1/(H630*Utilities!$B$11)</f>
        <v>7.9972763411128422</v>
      </c>
      <c r="K630" s="11">
        <f>IF(B630&lt;C630,1,EXP(-1*(B630-C630)/(Utilities!$B$11*IterData!H630)))</f>
        <v>0.61275233732822054</v>
      </c>
    </row>
    <row r="631" spans="1:11" x14ac:dyDescent="0.3">
      <c r="A631">
        <v>630</v>
      </c>
      <c r="B631">
        <v>0.94985624369973642</v>
      </c>
      <c r="C631">
        <v>0.12664638892715258</v>
      </c>
      <c r="D631">
        <v>1.3830264824481538E-3</v>
      </c>
      <c r="E631" s="10">
        <v>3.1171555045840659E-3</v>
      </c>
      <c r="F631" s="10">
        <v>1.5837424372412683</v>
      </c>
      <c r="H631">
        <v>0.50016691475408992</v>
      </c>
      <c r="I631" s="11">
        <f t="shared" si="9"/>
        <v>0.8232098547725839</v>
      </c>
      <c r="J631" s="11">
        <f>1/(H631*Utilities!$B$11)</f>
        <v>7.9973302551741634</v>
      </c>
      <c r="K631" s="11">
        <f>IF(B631&lt;C631,1,EXP(-1*(B631-C631)/(Utilities!$B$11*IterData!H631)))</f>
        <v>1.3830264824481525E-3</v>
      </c>
    </row>
    <row r="632" spans="1:11" x14ac:dyDescent="0.3">
      <c r="A632">
        <v>631</v>
      </c>
      <c r="B632">
        <v>0.28179795323384516</v>
      </c>
      <c r="C632">
        <v>0.12664638892715258</v>
      </c>
      <c r="D632">
        <v>0.28915092403383308</v>
      </c>
      <c r="E632" s="10">
        <v>3.1171555045840659E-3</v>
      </c>
      <c r="F632" s="10">
        <v>1.5837424372412683</v>
      </c>
      <c r="H632">
        <v>0.5001636096205142</v>
      </c>
      <c r="I632" s="11">
        <f t="shared" si="9"/>
        <v>0.15515156430669258</v>
      </c>
      <c r="J632" s="11">
        <f>1/(H632*Utilities!$B$11)</f>
        <v>7.9973831023710291</v>
      </c>
      <c r="K632" s="11">
        <f>IF(B632&lt;C632,1,EXP(-1*(B632-C632)/(Utilities!$B$11*IterData!H632)))</f>
        <v>0.28915092403383308</v>
      </c>
    </row>
    <row r="633" spans="1:11" x14ac:dyDescent="0.3">
      <c r="A633">
        <v>632</v>
      </c>
      <c r="B633">
        <v>0.98661496562313544</v>
      </c>
      <c r="C633">
        <v>0.12664638892715258</v>
      </c>
      <c r="D633">
        <v>1.0306735984226152E-3</v>
      </c>
      <c r="E633" s="10">
        <v>3.1171555045840659E-3</v>
      </c>
      <c r="F633" s="10">
        <v>1.5837424372412683</v>
      </c>
      <c r="H633">
        <v>0.50016036993296831</v>
      </c>
      <c r="I633" s="11">
        <f t="shared" si="9"/>
        <v>0.85996857669598281</v>
      </c>
      <c r="J633" s="11">
        <f>1/(H633*Utilities!$B$11)</f>
        <v>7.9974349038011177</v>
      </c>
      <c r="K633" s="11">
        <f>IF(B633&lt;C633,1,EXP(-1*(B633-C633)/(Utilities!$B$11*IterData!H633)))</f>
        <v>1.0306735984226152E-3</v>
      </c>
    </row>
    <row r="634" spans="1:11" x14ac:dyDescent="0.3">
      <c r="A634">
        <v>633</v>
      </c>
      <c r="B634">
        <v>0.70366048912254175</v>
      </c>
      <c r="C634">
        <v>0.12664638892715258</v>
      </c>
      <c r="D634">
        <v>9.9055308754446916E-3</v>
      </c>
      <c r="E634" s="10">
        <v>3.1171555045840659E-3</v>
      </c>
      <c r="F634" s="10">
        <v>1.5837424372412683</v>
      </c>
      <c r="H634">
        <v>0.50015719439553374</v>
      </c>
      <c r="I634" s="11">
        <f t="shared" si="9"/>
        <v>0.57701410019538923</v>
      </c>
      <c r="J634" s="11">
        <f>1/(H634*Utilities!$B$11)</f>
        <v>7.9974856801454397</v>
      </c>
      <c r="K634" s="11">
        <f>IF(B634&lt;C634,1,EXP(-1*(B634-C634)/(Utilities!$B$11*IterData!H634)))</f>
        <v>9.9055308754446812E-3</v>
      </c>
    </row>
    <row r="635" spans="1:11" x14ac:dyDescent="0.3">
      <c r="A635">
        <v>634</v>
      </c>
      <c r="B635">
        <v>0.29076988180079472</v>
      </c>
      <c r="C635">
        <v>0.12664638892715258</v>
      </c>
      <c r="D635">
        <v>0.26912388867420339</v>
      </c>
      <c r="E635" s="10">
        <v>3.1171555045840659E-3</v>
      </c>
      <c r="F635" s="10">
        <v>1.5837424372412683</v>
      </c>
      <c r="H635">
        <v>0.5001540817379535</v>
      </c>
      <c r="I635" s="11">
        <f t="shared" si="9"/>
        <v>0.16412349287364214</v>
      </c>
      <c r="J635" s="11">
        <f>1/(H635*Utilities!$B$11)</f>
        <v>7.997535451676522</v>
      </c>
      <c r="K635" s="11">
        <f>IF(B635&lt;C635,1,EXP(-1*(B635-C635)/(Utilities!$B$11*IterData!H635)))</f>
        <v>0.26912388867420339</v>
      </c>
    </row>
    <row r="636" spans="1:11" x14ac:dyDescent="0.3">
      <c r="A636">
        <v>635</v>
      </c>
      <c r="B636">
        <v>6.169059446314365E-2</v>
      </c>
      <c r="C636">
        <v>0.29076988180079472</v>
      </c>
      <c r="D636">
        <v>1</v>
      </c>
      <c r="E636" s="10">
        <v>3.0086102452990581E-3</v>
      </c>
      <c r="F636" s="10">
        <v>1.6780003662154153</v>
      </c>
      <c r="H636">
        <v>0.50015103071512279</v>
      </c>
      <c r="I636" s="11">
        <f t="shared" si="9"/>
        <v>-0.22907928733765107</v>
      </c>
      <c r="J636" s="11">
        <f>1/(H636*Utilities!$B$11)</f>
        <v>7.9975842382664801</v>
      </c>
      <c r="K636" s="11">
        <f>IF(B636&lt;C636,1,EXP(-1*(B636-C636)/(Utilities!$B$11*IterData!H636)))</f>
        <v>1</v>
      </c>
    </row>
    <row r="637" spans="1:11" x14ac:dyDescent="0.3">
      <c r="A637">
        <v>636</v>
      </c>
      <c r="B637">
        <v>0.21219688247735499</v>
      </c>
      <c r="C637">
        <v>6.169059446314365E-2</v>
      </c>
      <c r="D637">
        <v>0.30008367871693076</v>
      </c>
      <c r="E637" s="10">
        <v>3.0867036079062098E-3</v>
      </c>
      <c r="F637" s="10">
        <v>1.5202942657620875</v>
      </c>
      <c r="H637">
        <v>0.50014804010659197</v>
      </c>
      <c r="I637" s="11">
        <f t="shared" si="9"/>
        <v>0.15050628801421134</v>
      </c>
      <c r="J637" s="11">
        <f>1/(H637*Utilities!$B$11)</f>
        <v>7.9976320593948875</v>
      </c>
      <c r="K637" s="11">
        <f>IF(B637&lt;C637,1,EXP(-1*(B637-C637)/(Utilities!$B$11*IterData!H637)))</f>
        <v>0.30008367871693076</v>
      </c>
    </row>
    <row r="638" spans="1:11" x14ac:dyDescent="0.3">
      <c r="A638">
        <v>637</v>
      </c>
      <c r="B638">
        <v>0.3759613165469175</v>
      </c>
      <c r="C638">
        <v>0.21219688247735499</v>
      </c>
      <c r="D638">
        <v>0.26989146979307072</v>
      </c>
      <c r="E638" s="10">
        <v>2.7930674594197186E-3</v>
      </c>
      <c r="F638" s="10">
        <v>1.4200824988403222</v>
      </c>
      <c r="H638">
        <v>0.50014510871607765</v>
      </c>
      <c r="I638" s="11">
        <f t="shared" si="9"/>
        <v>0.16376443406956251</v>
      </c>
      <c r="J638" s="11">
        <f>1/(H638*Utilities!$B$11)</f>
        <v>7.9976789341565269</v>
      </c>
      <c r="K638" s="11">
        <f>IF(B638&lt;C638,1,EXP(-1*(B638-C638)/(Utilities!$B$11*IterData!H638)))</f>
        <v>0.26989146979307072</v>
      </c>
    </row>
    <row r="639" spans="1:11" x14ac:dyDescent="0.3">
      <c r="A639">
        <v>638</v>
      </c>
      <c r="B639">
        <v>8.2527424418409795E-2</v>
      </c>
      <c r="C639">
        <v>0.21219688247735499</v>
      </c>
      <c r="D639">
        <v>1</v>
      </c>
      <c r="E639" s="10">
        <v>2.7930674594197186E-3</v>
      </c>
      <c r="F639" s="10">
        <v>1.4200824988403222</v>
      </c>
      <c r="H639">
        <v>0.50014223537098457</v>
      </c>
      <c r="I639" s="11">
        <f t="shared" si="9"/>
        <v>-0.1296694580589452</v>
      </c>
      <c r="J639" s="11">
        <f>1/(H639*Utilities!$B$11)</f>
        <v>7.9977248812689608</v>
      </c>
      <c r="K639" s="11">
        <f>IF(B639&lt;C639,1,EXP(-1*(B639-C639)/(Utilities!$B$11*IterData!H639)))</f>
        <v>1</v>
      </c>
    </row>
    <row r="640" spans="1:11" x14ac:dyDescent="0.3">
      <c r="A640">
        <v>639</v>
      </c>
      <c r="B640">
        <v>6.0942851052476335E-2</v>
      </c>
      <c r="C640">
        <v>8.2527424418409795E-2</v>
      </c>
      <c r="D640">
        <v>1</v>
      </c>
      <c r="E640" s="10">
        <v>2.4768717866962592E-3</v>
      </c>
      <c r="F640" s="10">
        <v>1.6149917447310049</v>
      </c>
      <c r="H640">
        <v>0.50013941892193636</v>
      </c>
      <c r="I640" s="11">
        <f t="shared" si="9"/>
        <v>-2.158457336593346E-2</v>
      </c>
      <c r="J640" s="11">
        <f>1/(H640*Utilities!$B$11)</f>
        <v>7.9977699190799738</v>
      </c>
      <c r="K640" s="11">
        <f>IF(B640&lt;C640,1,EXP(-1*(B640-C640)/(Utilities!$B$11*IterData!H640)))</f>
        <v>1</v>
      </c>
    </row>
    <row r="641" spans="1:11" x14ac:dyDescent="0.3">
      <c r="A641">
        <v>640</v>
      </c>
      <c r="B641">
        <v>0.31012146177563288</v>
      </c>
      <c r="C641">
        <v>6.0942851052476335E-2</v>
      </c>
      <c r="D641">
        <v>0.1363017368271168</v>
      </c>
      <c r="E641" s="10">
        <v>3.2930489552528983E-3</v>
      </c>
      <c r="F641" s="10">
        <v>1.4845027438089944</v>
      </c>
      <c r="H641">
        <v>0.50013665824231579</v>
      </c>
      <c r="I641" s="11">
        <f t="shared" si="9"/>
        <v>0.24917861072315656</v>
      </c>
      <c r="J641" s="11">
        <f>1/(H641*Utilities!$B$11)</f>
        <v>7.9978140655748602</v>
      </c>
      <c r="K641" s="11">
        <f>IF(B641&lt;C641,1,EXP(-1*(B641-C641)/(Utilities!$B$11*IterData!H641)))</f>
        <v>0.1363017368271168</v>
      </c>
    </row>
    <row r="642" spans="1:11" x14ac:dyDescent="0.3">
      <c r="A642">
        <v>641</v>
      </c>
      <c r="B642">
        <v>0.40159800202861545</v>
      </c>
      <c r="C642">
        <v>6.0942851052476335E-2</v>
      </c>
      <c r="D642">
        <v>6.5578243035192718E-2</v>
      </c>
      <c r="E642" s="10">
        <v>3.2930489552528983E-3</v>
      </c>
      <c r="F642" s="10">
        <v>1.4845027438089944</v>
      </c>
      <c r="H642">
        <v>0.50013395222781443</v>
      </c>
      <c r="I642" s="11">
        <f t="shared" si="9"/>
        <v>0.34065515097613913</v>
      </c>
      <c r="J642" s="11">
        <f>1/(H642*Utilities!$B$11)</f>
        <v>7.9978573383835627</v>
      </c>
      <c r="K642" s="11">
        <f>IF(B642&lt;C642,1,EXP(-1*(B642-C642)/(Utilities!$B$11*IterData!H642)))</f>
        <v>6.5578243035192718E-2</v>
      </c>
    </row>
    <row r="643" spans="1:11" x14ac:dyDescent="0.3">
      <c r="A643">
        <v>642</v>
      </c>
      <c r="B643">
        <v>7.97036116894803E-2</v>
      </c>
      <c r="C643">
        <v>6.0942851052476335E-2</v>
      </c>
      <c r="D643">
        <v>0.86066779701995999</v>
      </c>
      <c r="E643" s="10">
        <v>3.2930489552528983E-3</v>
      </c>
      <c r="F643" s="10">
        <v>1.4845027438089944</v>
      </c>
      <c r="H643">
        <v>0.50013129979599014</v>
      </c>
      <c r="I643" s="11">
        <f t="shared" ref="I643:I706" si="10">B643-C643</f>
        <v>1.8760760637003965E-2</v>
      </c>
      <c r="J643" s="11">
        <f>1/(H643*Utilities!$B$11)</f>
        <v>7.997899754787694</v>
      </c>
      <c r="K643" s="11">
        <f>IF(B643&lt;C643,1,EXP(-1*(B643-C643)/(Utilities!$B$11*IterData!H643)))</f>
        <v>0.86066779701995999</v>
      </c>
    </row>
    <row r="644" spans="1:11" x14ac:dyDescent="0.3">
      <c r="A644">
        <v>643</v>
      </c>
      <c r="B644">
        <v>0.13734435028305403</v>
      </c>
      <c r="C644">
        <v>7.97036116894803E-2</v>
      </c>
      <c r="D644">
        <v>0.63064810796460891</v>
      </c>
      <c r="E644" s="10">
        <v>3.3916295678417937E-3</v>
      </c>
      <c r="F644" s="10">
        <v>1.4419455665990364</v>
      </c>
      <c r="H644">
        <v>0.50012869988583497</v>
      </c>
      <c r="I644" s="11">
        <f t="shared" si="10"/>
        <v>5.7640738593573729E-2</v>
      </c>
      <c r="J644" s="11">
        <f>1/(H644*Utilities!$B$11)</f>
        <v>7.9979413317273842</v>
      </c>
      <c r="K644" s="11">
        <f>IF(B644&lt;C644,1,EXP(-1*(B644-C644)/(Utilities!$B$11*IterData!H644)))</f>
        <v>0.6306481079646088</v>
      </c>
    </row>
    <row r="645" spans="1:11" x14ac:dyDescent="0.3">
      <c r="A645">
        <v>644</v>
      </c>
      <c r="B645">
        <v>1.1828404244787074</v>
      </c>
      <c r="C645">
        <v>0.13734435028305403</v>
      </c>
      <c r="D645">
        <v>2.3360967937232008E-4</v>
      </c>
      <c r="E645" s="10">
        <v>2.5067237210417521E-3</v>
      </c>
      <c r="F645" s="10">
        <v>1.6521174790102595</v>
      </c>
      <c r="H645">
        <v>0.50012615145735018</v>
      </c>
      <c r="I645" s="11">
        <f t="shared" si="10"/>
        <v>1.0454960741956534</v>
      </c>
      <c r="J645" s="11">
        <f>1/(H645*Utilities!$B$11)</f>
        <v>7.9979820858080295</v>
      </c>
      <c r="K645" s="11">
        <f>IF(B645&lt;C645,1,EXP(-1*(B645-C645)/(Utilities!$B$11*IterData!H645)))</f>
        <v>2.3360967937232008E-4</v>
      </c>
    </row>
    <row r="646" spans="1:11" x14ac:dyDescent="0.3">
      <c r="A646">
        <v>645</v>
      </c>
      <c r="B646">
        <v>0.10548172940516461</v>
      </c>
      <c r="C646">
        <v>0.13734435028305403</v>
      </c>
      <c r="D646">
        <v>1</v>
      </c>
      <c r="E646" s="10">
        <v>2.5067237210417521E-3</v>
      </c>
      <c r="F646" s="10">
        <v>1.6521174790102595</v>
      </c>
      <c r="H646">
        <v>0.50012365349113042</v>
      </c>
      <c r="I646" s="11">
        <f t="shared" si="10"/>
        <v>-3.1862620877889422E-2</v>
      </c>
      <c r="J646" s="11">
        <f>1/(H646*Utilities!$B$11)</f>
        <v>7.9980220333068877</v>
      </c>
      <c r="K646" s="11">
        <f>IF(B646&lt;C646,1,EXP(-1*(B646-C646)/(Utilities!$B$11*IterData!H646)))</f>
        <v>1</v>
      </c>
    </row>
    <row r="647" spans="1:11" x14ac:dyDescent="0.3">
      <c r="A647">
        <v>646</v>
      </c>
      <c r="B647">
        <v>0.61371127303159823</v>
      </c>
      <c r="C647">
        <v>0.10548172940516461</v>
      </c>
      <c r="D647">
        <v>1.7165546945540858E-2</v>
      </c>
      <c r="E647" s="10">
        <v>2.7920256583880104E-3</v>
      </c>
      <c r="F647" s="10">
        <v>1.6000218652523399</v>
      </c>
      <c r="H647">
        <v>0.50012120498795576</v>
      </c>
      <c r="I647" s="11">
        <f t="shared" si="10"/>
        <v>0.50822954362643358</v>
      </c>
      <c r="J647" s="11">
        <f>1/(H647*Utilities!$B$11)</f>
        <v>7.9980611901795493</v>
      </c>
      <c r="K647" s="11">
        <f>IF(B647&lt;C647,1,EXP(-1*(B647-C647)/(Utilities!$B$11*IterData!H647)))</f>
        <v>1.7165546945540872E-2</v>
      </c>
    </row>
    <row r="648" spans="1:11" x14ac:dyDescent="0.3">
      <c r="A648">
        <v>647</v>
      </c>
      <c r="B648">
        <v>6.4757453683876046E-2</v>
      </c>
      <c r="C648">
        <v>0.10548172940516461</v>
      </c>
      <c r="D648">
        <v>1</v>
      </c>
      <c r="E648" s="10">
        <v>2.7920256583880104E-3</v>
      </c>
      <c r="F648" s="10">
        <v>1.6000218652523399</v>
      </c>
      <c r="H648">
        <v>0.50011880496839245</v>
      </c>
      <c r="I648" s="11">
        <f t="shared" si="10"/>
        <v>-4.0724275721288561E-2</v>
      </c>
      <c r="J648" s="11">
        <f>1/(H648*Utilities!$B$11)</f>
        <v>7.9980995720662822</v>
      </c>
      <c r="K648" s="11">
        <f>IF(B648&lt;C648,1,EXP(-1*(B648-C648)/(Utilities!$B$11*IterData!H648)))</f>
        <v>1</v>
      </c>
    </row>
    <row r="649" spans="1:11" x14ac:dyDescent="0.3">
      <c r="A649">
        <v>648</v>
      </c>
      <c r="B649">
        <v>0.37706993042407733</v>
      </c>
      <c r="C649">
        <v>6.4757453683876046E-2</v>
      </c>
      <c r="D649">
        <v>8.2256074623481237E-2</v>
      </c>
      <c r="E649" s="10">
        <v>3.0236844461272784E-3</v>
      </c>
      <c r="F649" s="10">
        <v>1.4839820573230831</v>
      </c>
      <c r="H649">
        <v>0.50011645247240044</v>
      </c>
      <c r="I649" s="11">
        <f t="shared" si="10"/>
        <v>0.31231247674020129</v>
      </c>
      <c r="J649" s="11">
        <f>1/(H649*Utilities!$B$11)</f>
        <v>7.998137194298252</v>
      </c>
      <c r="K649" s="11">
        <f>IF(B649&lt;C649,1,EXP(-1*(B649-C649)/(Utilities!$B$11*IterData!H649)))</f>
        <v>8.2256074623481237E-2</v>
      </c>
    </row>
    <row r="650" spans="1:11" x14ac:dyDescent="0.3">
      <c r="A650">
        <v>649</v>
      </c>
      <c r="B650">
        <v>5.9168253730439699E-2</v>
      </c>
      <c r="C650">
        <v>6.4757453683876046E-2</v>
      </c>
      <c r="D650">
        <v>1</v>
      </c>
      <c r="E650" s="10">
        <v>3.0236844461272784E-3</v>
      </c>
      <c r="F650" s="10">
        <v>1.4839820573230831</v>
      </c>
      <c r="H650">
        <v>0.50011414655895026</v>
      </c>
      <c r="I650" s="11">
        <f t="shared" si="10"/>
        <v>-5.5891999534363468E-3</v>
      </c>
      <c r="J650" s="11">
        <f>1/(H650*Utilities!$B$11)</f>
        <v>7.9981740719036143</v>
      </c>
      <c r="K650" s="11">
        <f>IF(B650&lt;C650,1,EXP(-1*(B650-C650)/(Utilities!$B$11*IterData!H650)))</f>
        <v>1</v>
      </c>
    </row>
    <row r="651" spans="1:11" x14ac:dyDescent="0.3">
      <c r="A651">
        <v>650</v>
      </c>
      <c r="B651">
        <v>0.26181669558335929</v>
      </c>
      <c r="C651">
        <v>5.9168253730439699E-2</v>
      </c>
      <c r="D651">
        <v>0.19773553189695045</v>
      </c>
      <c r="E651" s="10">
        <v>2.8073237130794037E-3</v>
      </c>
      <c r="F651" s="10">
        <v>1.5465673650815386</v>
      </c>
      <c r="H651">
        <v>0.50011188630564551</v>
      </c>
      <c r="I651" s="11">
        <f t="shared" si="10"/>
        <v>0.20264844185291958</v>
      </c>
      <c r="J651" s="11">
        <f>1/(H651*Utilities!$B$11)</f>
        <v>7.9982102196135028</v>
      </c>
      <c r="K651" s="11">
        <f>IF(B651&lt;C651,1,EXP(-1*(B651-C651)/(Utilities!$B$11*IterData!H651)))</f>
        <v>0.19773553189695045</v>
      </c>
    </row>
    <row r="652" spans="1:11" x14ac:dyDescent="0.3">
      <c r="A652">
        <v>651</v>
      </c>
      <c r="B652">
        <v>6.4121247151933056E-2</v>
      </c>
      <c r="C652">
        <v>5.9168253730439699E-2</v>
      </c>
      <c r="D652">
        <v>0.96115916622953179</v>
      </c>
      <c r="E652" s="10">
        <v>2.8073237130794037E-3</v>
      </c>
      <c r="F652" s="10">
        <v>1.5465673650815386</v>
      </c>
      <c r="H652">
        <v>0.500109670808355</v>
      </c>
      <c r="I652" s="11">
        <f t="shared" si="10"/>
        <v>4.9529934214933569E-3</v>
      </c>
      <c r="J652" s="11">
        <f>1/(H652*Utilities!$B$11)</f>
        <v>7.9982456518678759</v>
      </c>
      <c r="K652" s="11">
        <f>IF(B652&lt;C652,1,EXP(-1*(B652-C652)/(Utilities!$B$11*IterData!H652)))</f>
        <v>0.96115916622953179</v>
      </c>
    </row>
    <row r="653" spans="1:11" x14ac:dyDescent="0.3">
      <c r="A653">
        <v>652</v>
      </c>
      <c r="B653">
        <v>1.500291232463737</v>
      </c>
      <c r="C653">
        <v>6.4121247151933056E-2</v>
      </c>
      <c r="D653">
        <v>1.0263771225531799E-5</v>
      </c>
      <c r="E653" s="10">
        <v>3.2973847407116491E-3</v>
      </c>
      <c r="F653" s="10">
        <v>1.5034401007735305</v>
      </c>
      <c r="H653">
        <v>0.50010749918085007</v>
      </c>
      <c r="I653" s="11">
        <f t="shared" si="10"/>
        <v>1.436169985311804</v>
      </c>
      <c r="J653" s="11">
        <f>1/(H653*Utilities!$B$11)</f>
        <v>7.9982803828212754</v>
      </c>
      <c r="K653" s="11">
        <f>IF(B653&lt;C653,1,EXP(-1*(B653-C653)/(Utilities!$B$11*IterData!H653)))</f>
        <v>1.0263771225531799E-5</v>
      </c>
    </row>
    <row r="654" spans="1:11" x14ac:dyDescent="0.3">
      <c r="A654">
        <v>653</v>
      </c>
      <c r="B654">
        <v>5.7026787645337904E-2</v>
      </c>
      <c r="C654">
        <v>6.4121247151933056E-2</v>
      </c>
      <c r="D654">
        <v>1</v>
      </c>
      <c r="E654" s="10">
        <v>3.2973847407116491E-3</v>
      </c>
      <c r="F654" s="10">
        <v>1.5034401007735305</v>
      </c>
      <c r="H654">
        <v>0.50010537055445081</v>
      </c>
      <c r="I654" s="11">
        <f t="shared" si="10"/>
        <v>-7.0944595065951521E-3</v>
      </c>
      <c r="J654" s="11">
        <f>1/(H654*Utilities!$B$11)</f>
        <v>7.9983144263484478</v>
      </c>
      <c r="K654" s="11">
        <f>IF(B654&lt;C654,1,EXP(-1*(B654-C654)/(Utilities!$B$11*IterData!H654)))</f>
        <v>1</v>
      </c>
    </row>
    <row r="655" spans="1:11" x14ac:dyDescent="0.3">
      <c r="A655">
        <v>654</v>
      </c>
      <c r="B655">
        <v>0.12004638293159819</v>
      </c>
      <c r="C655">
        <v>5.7026787645337904E-2</v>
      </c>
      <c r="D655">
        <v>0.60407758273108603</v>
      </c>
      <c r="E655" s="10">
        <v>2.8055555000625924E-3</v>
      </c>
      <c r="F655" s="10">
        <v>1.5408226224366475</v>
      </c>
      <c r="H655">
        <v>0.50010328407767823</v>
      </c>
      <c r="I655" s="11">
        <f t="shared" si="10"/>
        <v>6.3019595286260291E-2</v>
      </c>
      <c r="J655" s="11">
        <f>1/(H655*Utilities!$B$11)</f>
        <v>7.9983477960498703</v>
      </c>
      <c r="K655" s="11">
        <f>IF(B655&lt;C655,1,EXP(-1*(B655-C655)/(Utilities!$B$11*IterData!H655)))</f>
        <v>0.60407758273108603</v>
      </c>
    </row>
    <row r="656" spans="1:11" x14ac:dyDescent="0.3">
      <c r="A656">
        <v>655</v>
      </c>
      <c r="B656">
        <v>6.4787013273528996E-2</v>
      </c>
      <c r="C656">
        <v>5.7026787645337904E-2</v>
      </c>
      <c r="D656">
        <v>0.93981781401439568</v>
      </c>
      <c r="E656" s="10">
        <v>2.8055555000625924E-3</v>
      </c>
      <c r="F656" s="10">
        <v>1.5408226224366475</v>
      </c>
      <c r="H656">
        <v>0.50010123891591396</v>
      </c>
      <c r="I656" s="11">
        <f t="shared" si="10"/>
        <v>7.760225628191092E-3</v>
      </c>
      <c r="J656" s="11">
        <f>1/(H656*Utilities!$B$11)</f>
        <v>7.9983805052571606</v>
      </c>
      <c r="K656" s="11">
        <f>IF(B656&lt;C656,1,EXP(-1*(B656-C656)/(Utilities!$B$11*IterData!H656)))</f>
        <v>0.93981781401439568</v>
      </c>
    </row>
    <row r="657" spans="1:11" x14ac:dyDescent="0.3">
      <c r="A657">
        <v>656</v>
      </c>
      <c r="B657">
        <v>0.59099856461804978</v>
      </c>
      <c r="C657">
        <v>6.4787013273528996E-2</v>
      </c>
      <c r="D657">
        <v>1.4863346172525219E-2</v>
      </c>
      <c r="E657" s="10">
        <v>2.5159316192161678E-3</v>
      </c>
      <c r="F657" s="10">
        <v>1.5205132178693701</v>
      </c>
      <c r="H657">
        <v>0.50009923425106584</v>
      </c>
      <c r="I657" s="11">
        <f t="shared" si="10"/>
        <v>0.5262115513445208</v>
      </c>
      <c r="J657" s="11">
        <f>1/(H657*Utilities!$B$11)</f>
        <v>7.9984125670383888</v>
      </c>
      <c r="K657" s="11">
        <f>IF(B657&lt;C657,1,EXP(-1*(B657-C657)/(Utilities!$B$11*IterData!H657)))</f>
        <v>1.4863346172525219E-2</v>
      </c>
    </row>
    <row r="658" spans="1:11" x14ac:dyDescent="0.3">
      <c r="A658">
        <v>657</v>
      </c>
      <c r="B658">
        <v>0.20727567537692812</v>
      </c>
      <c r="C658">
        <v>6.4787013273528996E-2</v>
      </c>
      <c r="D658">
        <v>0.31991895411943189</v>
      </c>
      <c r="E658" s="10">
        <v>2.5159316192161678E-3</v>
      </c>
      <c r="F658" s="10">
        <v>1.5205132178693701</v>
      </c>
      <c r="H658">
        <v>0.50009726928124132</v>
      </c>
      <c r="I658" s="11">
        <f t="shared" si="10"/>
        <v>0.14248866210339911</v>
      </c>
      <c r="J658" s="11">
        <f>1/(H658*Utilities!$B$11)</f>
        <v>7.9984439942032699</v>
      </c>
      <c r="K658" s="11">
        <f>IF(B658&lt;C658,1,EXP(-1*(B658-C658)/(Utilities!$B$11*IterData!H658)))</f>
        <v>0.31991895411943194</v>
      </c>
    </row>
    <row r="659" spans="1:11" x14ac:dyDescent="0.3">
      <c r="A659">
        <v>658</v>
      </c>
      <c r="B659">
        <v>0.40623720618389958</v>
      </c>
      <c r="C659">
        <v>6.4787013273528996E-2</v>
      </c>
      <c r="D659">
        <v>6.5148841135054508E-2</v>
      </c>
      <c r="E659" s="10">
        <v>2.5159316192161678E-3</v>
      </c>
      <c r="F659" s="10">
        <v>1.5205132178693701</v>
      </c>
      <c r="H659">
        <v>0.50009534322042626</v>
      </c>
      <c r="I659" s="11">
        <f t="shared" si="10"/>
        <v>0.3414501929103706</v>
      </c>
      <c r="J659" s="11">
        <f>1/(H659*Utilities!$B$11)</f>
        <v>7.998474799308271</v>
      </c>
      <c r="K659" s="11">
        <f>IF(B659&lt;C659,1,EXP(-1*(B659-C659)/(Utilities!$B$11*IterData!H659)))</f>
        <v>6.5148841135054508E-2</v>
      </c>
    </row>
    <row r="660" spans="1:11" x14ac:dyDescent="0.3">
      <c r="A660">
        <v>659</v>
      </c>
      <c r="B660">
        <v>0.69797861481003243</v>
      </c>
      <c r="C660">
        <v>6.4787013273528996E-2</v>
      </c>
      <c r="D660">
        <v>6.3165242189392248E-3</v>
      </c>
      <c r="E660" s="10">
        <v>2.5159316192161678E-3</v>
      </c>
      <c r="F660" s="10">
        <v>1.5205132178693701</v>
      </c>
      <c r="H660">
        <v>0.50009345529817062</v>
      </c>
      <c r="I660" s="11">
        <f t="shared" si="10"/>
        <v>0.63319160153650345</v>
      </c>
      <c r="J660" s="11">
        <f>1/(H660*Utilities!$B$11)</f>
        <v>7.9985049946616096</v>
      </c>
      <c r="K660" s="11">
        <f>IF(B660&lt;C660,1,EXP(-1*(B660-C660)/(Utilities!$B$11*IterData!H660)))</f>
        <v>6.3165242189392248E-3</v>
      </c>
    </row>
    <row r="661" spans="1:11" x14ac:dyDescent="0.3">
      <c r="A661">
        <v>660</v>
      </c>
      <c r="B661">
        <v>0.16355827298984368</v>
      </c>
      <c r="C661">
        <v>6.4787013273528996E-2</v>
      </c>
      <c r="D661">
        <v>0.45383329610432527</v>
      </c>
      <c r="E661" s="10">
        <v>2.5159316192161678E-3</v>
      </c>
      <c r="F661" s="10">
        <v>1.5205132178693701</v>
      </c>
      <c r="H661">
        <v>0.50009160475928027</v>
      </c>
      <c r="I661" s="11">
        <f t="shared" si="10"/>
        <v>9.8771259716314688E-2</v>
      </c>
      <c r="J661" s="11">
        <f>1/(H661*Utilities!$B$11)</f>
        <v>7.9985345923281495</v>
      </c>
      <c r="K661" s="11">
        <f>IF(B661&lt;C661,1,EXP(-1*(B661-C661)/(Utilities!$B$11*IterData!H661)))</f>
        <v>0.45383329610432527</v>
      </c>
    </row>
    <row r="662" spans="1:11" x14ac:dyDescent="0.3">
      <c r="A662">
        <v>661</v>
      </c>
      <c r="B662">
        <v>0.64017134029202927</v>
      </c>
      <c r="C662">
        <v>6.4787013273528996E-2</v>
      </c>
      <c r="D662">
        <v>1.002926322856623E-2</v>
      </c>
      <c r="E662" s="10">
        <v>2.5159316192161678E-3</v>
      </c>
      <c r="F662" s="10">
        <v>1.5205132178693701</v>
      </c>
      <c r="H662">
        <v>0.50008979086351513</v>
      </c>
      <c r="I662" s="11">
        <f t="shared" si="10"/>
        <v>0.57538432701850029</v>
      </c>
      <c r="J662" s="11">
        <f>1/(H662*Utilities!$B$11)</f>
        <v>7.9985636041342083</v>
      </c>
      <c r="K662" s="11">
        <f>IF(B662&lt;C662,1,EXP(-1*(B662-C662)/(Utilities!$B$11*IterData!H662)))</f>
        <v>1.002926322856623E-2</v>
      </c>
    </row>
    <row r="663" spans="1:11" x14ac:dyDescent="0.3">
      <c r="A663">
        <v>662</v>
      </c>
      <c r="B663">
        <v>0.34723060702886038</v>
      </c>
      <c r="C663">
        <v>6.4787013273528996E-2</v>
      </c>
      <c r="D663">
        <v>0.10443910745106207</v>
      </c>
      <c r="E663" s="10">
        <v>2.5159316192161678E-3</v>
      </c>
      <c r="F663" s="10">
        <v>1.5205132178693701</v>
      </c>
      <c r="H663">
        <v>0.50008801288529259</v>
      </c>
      <c r="I663" s="11">
        <f t="shared" si="10"/>
        <v>0.2824435937553314</v>
      </c>
      <c r="J663" s="11">
        <f>1/(H663*Utilities!$B$11)</f>
        <v>7.9985920416722678</v>
      </c>
      <c r="K663" s="11">
        <f>IF(B663&lt;C663,1,EXP(-1*(B663-C663)/(Utilities!$B$11*IterData!H663)))</f>
        <v>0.10443910745106207</v>
      </c>
    </row>
    <row r="664" spans="1:11" x14ac:dyDescent="0.3">
      <c r="A664">
        <v>663</v>
      </c>
      <c r="B664">
        <v>0.7077115602687829</v>
      </c>
      <c r="C664">
        <v>6.4787013273528996E-2</v>
      </c>
      <c r="D664">
        <v>5.8430106876271697E-3</v>
      </c>
      <c r="E664" s="10">
        <v>2.5159316192161678E-3</v>
      </c>
      <c r="F664" s="10">
        <v>1.5205132178693701</v>
      </c>
      <c r="H664">
        <v>0.50008627011339768</v>
      </c>
      <c r="I664" s="11">
        <f t="shared" si="10"/>
        <v>0.64292454699525392</v>
      </c>
      <c r="J664" s="11">
        <f>1/(H664*Utilities!$B$11)</f>
        <v>7.9986199163055911</v>
      </c>
      <c r="K664" s="11">
        <f>IF(B664&lt;C664,1,EXP(-1*(B664-C664)/(Utilities!$B$11*IterData!H664)))</f>
        <v>5.8430106876271697E-3</v>
      </c>
    </row>
    <row r="665" spans="1:11" x14ac:dyDescent="0.3">
      <c r="A665">
        <v>664</v>
      </c>
      <c r="B665">
        <v>0.29282632633422573</v>
      </c>
      <c r="C665">
        <v>6.4787013273528996E-2</v>
      </c>
      <c r="D665">
        <v>0.1613779706150397</v>
      </c>
      <c r="E665" s="10">
        <v>2.5159316192161678E-3</v>
      </c>
      <c r="F665" s="10">
        <v>1.5205132178693701</v>
      </c>
      <c r="H665">
        <v>0.50008456185069849</v>
      </c>
      <c r="I665" s="11">
        <f t="shared" si="10"/>
        <v>0.22803931306069675</v>
      </c>
      <c r="J665" s="11">
        <f>1/(H665*Utilities!$B$11)</f>
        <v>7.9986472391727421</v>
      </c>
      <c r="K665" s="11">
        <f>IF(B665&lt;C665,1,EXP(-1*(B665-C665)/(Utilities!$B$11*IterData!H665)))</f>
        <v>0.16137797061503964</v>
      </c>
    </row>
    <row r="666" spans="1:11" x14ac:dyDescent="0.3">
      <c r="A666">
        <v>665</v>
      </c>
      <c r="B666">
        <v>1.2800607800142005</v>
      </c>
      <c r="C666">
        <v>6.4787013273528996E-2</v>
      </c>
      <c r="D666">
        <v>6.0035247693922058E-5</v>
      </c>
      <c r="E666" s="10">
        <v>2.5159316192161678E-3</v>
      </c>
      <c r="F666" s="10">
        <v>1.5205132178693701</v>
      </c>
      <c r="H666">
        <v>0.50008288741386697</v>
      </c>
      <c r="I666" s="11">
        <f t="shared" si="10"/>
        <v>1.2152737667406714</v>
      </c>
      <c r="J666" s="11">
        <f>1/(H666*Utilities!$B$11)</f>
        <v>7.9986740211920369</v>
      </c>
      <c r="K666" s="11">
        <f>IF(B666&lt;C666,1,EXP(-1*(B666-C666)/(Utilities!$B$11*IterData!H666)))</f>
        <v>6.0035247693922166E-5</v>
      </c>
    </row>
    <row r="667" spans="1:11" x14ac:dyDescent="0.3">
      <c r="A667">
        <v>666</v>
      </c>
      <c r="B667">
        <v>0.57428707954046765</v>
      </c>
      <c r="C667">
        <v>6.4787013273528996E-2</v>
      </c>
      <c r="D667">
        <v>1.6986466857247244E-2</v>
      </c>
      <c r="E667" s="10">
        <v>2.5159316192161678E-3</v>
      </c>
      <c r="F667" s="10">
        <v>1.5205132178693701</v>
      </c>
      <c r="H667">
        <v>0.50008124613310623</v>
      </c>
      <c r="I667" s="11">
        <f t="shared" si="10"/>
        <v>0.50950006626693867</v>
      </c>
      <c r="J667" s="11">
        <f>1/(H667*Utilities!$B$11)</f>
        <v>7.9987002730658752</v>
      </c>
      <c r="K667" s="11">
        <f>IF(B667&lt;C667,1,EXP(-1*(B667-C667)/(Utilities!$B$11*IterData!H667)))</f>
        <v>1.6986466857247244E-2</v>
      </c>
    </row>
    <row r="668" spans="1:11" x14ac:dyDescent="0.3">
      <c r="A668">
        <v>667</v>
      </c>
      <c r="B668">
        <v>0.26773623230876381</v>
      </c>
      <c r="C668">
        <v>6.4787013273528996E-2</v>
      </c>
      <c r="D668">
        <v>0.19723976756794379</v>
      </c>
      <c r="E668" s="10">
        <v>2.5159316192161678E-3</v>
      </c>
      <c r="F668" s="10">
        <v>1.5205132178693701</v>
      </c>
      <c r="H668">
        <v>0.5000796373518821</v>
      </c>
      <c r="I668" s="11">
        <f t="shared" si="10"/>
        <v>0.20294921903523483</v>
      </c>
      <c r="J668" s="11">
        <f>1/(H668*Utilities!$B$11)</f>
        <v>7.9987260052850173</v>
      </c>
      <c r="K668" s="11">
        <f>IF(B668&lt;C668,1,EXP(-1*(B668-C668)/(Utilities!$B$11*IterData!H668)))</f>
        <v>0.19723976756794379</v>
      </c>
    </row>
    <row r="669" spans="1:11" x14ac:dyDescent="0.3">
      <c r="A669">
        <v>668</v>
      </c>
      <c r="B669">
        <v>9.3894164880615194E-2</v>
      </c>
      <c r="C669">
        <v>6.4787013273528996E-2</v>
      </c>
      <c r="D669">
        <v>0.79229548893102653</v>
      </c>
      <c r="E669" s="10">
        <v>2.5159316192161678E-3</v>
      </c>
      <c r="F669" s="10">
        <v>1.5205132178693701</v>
      </c>
      <c r="H669">
        <v>0.50007806042666048</v>
      </c>
      <c r="I669" s="11">
        <f t="shared" si="10"/>
        <v>2.9107151607086199E-2</v>
      </c>
      <c r="J669" s="11">
        <f>1/(H669*Utilities!$B$11)</f>
        <v>7.998751228132762</v>
      </c>
      <c r="K669" s="11">
        <f>IF(B669&lt;C669,1,EXP(-1*(B669-C669)/(Utilities!$B$11*IterData!H669)))</f>
        <v>0.79229548893102653</v>
      </c>
    </row>
    <row r="670" spans="1:11" x14ac:dyDescent="0.3">
      <c r="A670">
        <v>669</v>
      </c>
      <c r="B670">
        <v>6.2238233372398796E-2</v>
      </c>
      <c r="C670">
        <v>9.3894164880615194E-2</v>
      </c>
      <c r="D670">
        <v>1</v>
      </c>
      <c r="E670" s="10">
        <v>2.5197202169754095E-3</v>
      </c>
      <c r="F670" s="10">
        <v>1.620071246199186</v>
      </c>
      <c r="H670">
        <v>0.50007651472665038</v>
      </c>
      <c r="I670" s="11">
        <f t="shared" si="10"/>
        <v>-3.1655931508216398E-2</v>
      </c>
      <c r="J670" s="11">
        <f>1/(H670*Utilities!$B$11)</f>
        <v>7.998775951689038</v>
      </c>
      <c r="K670" s="11">
        <f>IF(B670&lt;C670,1,EXP(-1*(B670-C670)/(Utilities!$B$11*IterData!H670)))</f>
        <v>1</v>
      </c>
    </row>
    <row r="671" spans="1:11" x14ac:dyDescent="0.3">
      <c r="A671">
        <v>670</v>
      </c>
      <c r="B671">
        <v>0.52356356171801843</v>
      </c>
      <c r="C671">
        <v>6.2238233372398796E-2</v>
      </c>
      <c r="D671">
        <v>2.497077539519587E-2</v>
      </c>
      <c r="E671" s="10">
        <v>2.3183105508118628E-3</v>
      </c>
      <c r="F671" s="10">
        <v>1.540681644516217</v>
      </c>
      <c r="H671">
        <v>0.50007499963355106</v>
      </c>
      <c r="I671" s="11">
        <f t="shared" si="10"/>
        <v>0.46132532834561962</v>
      </c>
      <c r="J671" s="11">
        <f>1/(H671*Utilities!$B$11)</f>
        <v>7.9988001858344289</v>
      </c>
      <c r="K671" s="11">
        <f>IF(B671&lt;C671,1,EXP(-1*(B671-C671)/(Utilities!$B$11*IterData!H671)))</f>
        <v>2.497077539519587E-2</v>
      </c>
    </row>
    <row r="672" spans="1:11" x14ac:dyDescent="0.3">
      <c r="A672">
        <v>671</v>
      </c>
      <c r="B672">
        <v>0.12180507431831362</v>
      </c>
      <c r="C672">
        <v>6.2238233372398796E-2</v>
      </c>
      <c r="D672">
        <v>0.62097486469234464</v>
      </c>
      <c r="E672" s="10">
        <v>2.3183105508118628E-3</v>
      </c>
      <c r="F672" s="10">
        <v>1.540681644516217</v>
      </c>
      <c r="H672">
        <v>0.50007351454130522</v>
      </c>
      <c r="I672" s="11">
        <f t="shared" si="10"/>
        <v>5.9566840945914828E-2</v>
      </c>
      <c r="J672" s="11">
        <f>1/(H672*Utilities!$B$11)</f>
        <v>7.9988239402541019</v>
      </c>
      <c r="K672" s="11">
        <f>IF(B672&lt;C672,1,EXP(-1*(B672-C672)/(Utilities!$B$11*IterData!H672)))</f>
        <v>0.62097486469234464</v>
      </c>
    </row>
    <row r="673" spans="1:11" x14ac:dyDescent="0.3">
      <c r="A673">
        <v>672</v>
      </c>
      <c r="B673">
        <v>6.9306472459194232E-2</v>
      </c>
      <c r="C673">
        <v>0.12180507431831362</v>
      </c>
      <c r="D673">
        <v>1</v>
      </c>
      <c r="E673" s="10">
        <v>3.0202685555819459E-3</v>
      </c>
      <c r="F673" s="10">
        <v>1.5894360318490766</v>
      </c>
      <c r="H673">
        <v>0.50007205885585615</v>
      </c>
      <c r="I673" s="11">
        <f t="shared" si="10"/>
        <v>-5.2498601859119393E-2</v>
      </c>
      <c r="J673" s="11">
        <f>1/(H673*Utilities!$B$11)</f>
        <v>7.9988472244416773</v>
      </c>
      <c r="K673" s="11">
        <f>IF(B673&lt;C673,1,EXP(-1*(B673-C673)/(Utilities!$B$11*IterData!H673)))</f>
        <v>1</v>
      </c>
    </row>
    <row r="674" spans="1:11" x14ac:dyDescent="0.3">
      <c r="A674">
        <v>673</v>
      </c>
      <c r="B674">
        <v>0.19567493873882175</v>
      </c>
      <c r="C674">
        <v>6.9306472459194232E-2</v>
      </c>
      <c r="D674">
        <v>0.36392592314538363</v>
      </c>
      <c r="E674" s="10">
        <v>2.3789021991121235E-3</v>
      </c>
      <c r="F674" s="10">
        <v>1.6129591088072781</v>
      </c>
      <c r="H674">
        <v>0.5000706319949102</v>
      </c>
      <c r="I674" s="11">
        <f t="shared" si="10"/>
        <v>0.1263684662796275</v>
      </c>
      <c r="J674" s="11">
        <f>1/(H674*Utilities!$B$11)</f>
        <v>7.998870047703007</v>
      </c>
      <c r="K674" s="11">
        <f>IF(B674&lt;C674,1,EXP(-1*(B674-C674)/(Utilities!$B$11*IterData!H674)))</f>
        <v>0.36392592314538363</v>
      </c>
    </row>
    <row r="675" spans="1:11" x14ac:dyDescent="0.3">
      <c r="A675">
        <v>674</v>
      </c>
      <c r="B675">
        <v>6.3604848728094035E-2</v>
      </c>
      <c r="C675">
        <v>6.9306472459194232E-2</v>
      </c>
      <c r="D675">
        <v>1</v>
      </c>
      <c r="E675" s="10">
        <v>2.3789021991121235E-3</v>
      </c>
      <c r="F675" s="10">
        <v>1.6129591088072781</v>
      </c>
      <c r="H675">
        <v>0.50006923338770404</v>
      </c>
      <c r="I675" s="11">
        <f t="shared" si="10"/>
        <v>-5.7016237311001972E-3</v>
      </c>
      <c r="J675" s="11">
        <f>1/(H675*Utilities!$B$11)</f>
        <v>7.9988924191598825</v>
      </c>
      <c r="K675" s="11">
        <f>IF(B675&lt;C675,1,EXP(-1*(B675-C675)/(Utilities!$B$11*IterData!H675)))</f>
        <v>1</v>
      </c>
    </row>
    <row r="676" spans="1:11" x14ac:dyDescent="0.3">
      <c r="A676">
        <v>675</v>
      </c>
      <c r="B676">
        <v>0.40118118026110794</v>
      </c>
      <c r="C676">
        <v>6.3604848728094035E-2</v>
      </c>
      <c r="D676">
        <v>6.7189105726442336E-2</v>
      </c>
      <c r="E676" s="10">
        <v>3.3504370590703193E-3</v>
      </c>
      <c r="F676" s="10">
        <v>1.4694775634604551</v>
      </c>
      <c r="H676">
        <v>0.50006786247477597</v>
      </c>
      <c r="I676" s="11">
        <f t="shared" si="10"/>
        <v>0.33757633153301392</v>
      </c>
      <c r="J676" s="11">
        <f>1/(H676*Utilities!$B$11)</f>
        <v>7.998914347753681</v>
      </c>
      <c r="K676" s="11">
        <f>IF(B676&lt;C676,1,EXP(-1*(B676-C676)/(Utilities!$B$11*IterData!H676)))</f>
        <v>6.7189105726442308E-2</v>
      </c>
    </row>
    <row r="677" spans="1:11" x14ac:dyDescent="0.3">
      <c r="A677">
        <v>676</v>
      </c>
      <c r="B677">
        <v>0.36097116467058371</v>
      </c>
      <c r="C677">
        <v>6.3604848728094035E-2</v>
      </c>
      <c r="D677">
        <v>9.2678933866206958E-2</v>
      </c>
      <c r="E677" s="10">
        <v>3.3504370590703193E-3</v>
      </c>
      <c r="F677" s="10">
        <v>1.4694775634604551</v>
      </c>
      <c r="H677">
        <v>0.50006651870774277</v>
      </c>
      <c r="I677" s="11">
        <f t="shared" si="10"/>
        <v>0.29736631594248969</v>
      </c>
      <c r="J677" s="11">
        <f>1/(H677*Utilities!$B$11)</f>
        <v>7.9989358422489127</v>
      </c>
      <c r="K677" s="11">
        <f>IF(B677&lt;C677,1,EXP(-1*(B677-C677)/(Utilities!$B$11*IterData!H677)))</f>
        <v>9.2678933866206917E-2</v>
      </c>
    </row>
    <row r="678" spans="1:11" x14ac:dyDescent="0.3">
      <c r="A678">
        <v>677</v>
      </c>
      <c r="B678">
        <v>0.40260029290294175</v>
      </c>
      <c r="C678">
        <v>6.3604848728094035E-2</v>
      </c>
      <c r="D678">
        <v>6.6429771896035203E-2</v>
      </c>
      <c r="E678" s="10">
        <v>3.3504370590703193E-3</v>
      </c>
      <c r="F678" s="10">
        <v>1.4694775634604551</v>
      </c>
      <c r="H678">
        <v>0.50006520154907952</v>
      </c>
      <c r="I678" s="11">
        <f t="shared" si="10"/>
        <v>0.33899544417484773</v>
      </c>
      <c r="J678" s="11">
        <f>1/(H678*Utilities!$B$11)</f>
        <v>7.9989569112367338</v>
      </c>
      <c r="K678" s="11">
        <f>IF(B678&lt;C678,1,EXP(-1*(B678-C678)/(Utilities!$B$11*IterData!H678)))</f>
        <v>6.6429771896035203E-2</v>
      </c>
    </row>
    <row r="679" spans="1:11" x14ac:dyDescent="0.3">
      <c r="A679">
        <v>678</v>
      </c>
      <c r="B679">
        <v>0.65946150530362779</v>
      </c>
      <c r="C679">
        <v>0.40260029290294175</v>
      </c>
      <c r="D679">
        <v>0.12814061352780018</v>
      </c>
      <c r="E679" s="10">
        <v>2.9947111684124048E-3</v>
      </c>
      <c r="F679" s="10">
        <v>1.7260960482934862</v>
      </c>
      <c r="H679">
        <v>0.50006391047190535</v>
      </c>
      <c r="I679" s="11">
        <f t="shared" si="10"/>
        <v>0.25686121240068605</v>
      </c>
      <c r="J679" s="11">
        <f>1/(H679*Utilities!$B$11)</f>
        <v>7.9989775631383591</v>
      </c>
      <c r="K679" s="11">
        <f>IF(B679&lt;C679,1,EXP(-1*(B679-C679)/(Utilities!$B$11*IterData!H679)))</f>
        <v>0.12814061352780018</v>
      </c>
    </row>
    <row r="680" spans="1:11" x14ac:dyDescent="0.3">
      <c r="A680">
        <v>679</v>
      </c>
      <c r="B680">
        <v>0.22947278159898268</v>
      </c>
      <c r="C680">
        <v>0.40260029290294175</v>
      </c>
      <c r="D680">
        <v>1</v>
      </c>
      <c r="E680" s="10">
        <v>2.9947111684124048E-3</v>
      </c>
      <c r="F680" s="10">
        <v>1.7260960482934862</v>
      </c>
      <c r="H680">
        <v>0.50006264495977204</v>
      </c>
      <c r="I680" s="11">
        <f t="shared" si="10"/>
        <v>-0.17312751130395906</v>
      </c>
      <c r="J680" s="11">
        <f>1/(H680*Utilities!$B$11)</f>
        <v>7.9989978062084273</v>
      </c>
      <c r="K680" s="11">
        <f>IF(B680&lt;C680,1,EXP(-1*(B680-C680)/(Utilities!$B$11*IterData!H680)))</f>
        <v>1</v>
      </c>
    </row>
    <row r="681" spans="1:11" x14ac:dyDescent="0.3">
      <c r="A681">
        <v>680</v>
      </c>
      <c r="B681">
        <v>0.26495814965822506</v>
      </c>
      <c r="C681">
        <v>0.22947278159898268</v>
      </c>
      <c r="D681">
        <v>0.7528810096585683</v>
      </c>
      <c r="E681" s="10">
        <v>3.1318898606590515E-3</v>
      </c>
      <c r="F681" s="10">
        <v>1.6387516781117504</v>
      </c>
      <c r="H681">
        <v>0.50006140450645786</v>
      </c>
      <c r="I681" s="11">
        <f t="shared" si="10"/>
        <v>3.5485368059242378E-2</v>
      </c>
      <c r="J681" s="11">
        <f>1/(H681*Utilities!$B$11)</f>
        <v>7.9990176485382873</v>
      </c>
      <c r="K681" s="11">
        <f>IF(B681&lt;C681,1,EXP(-1*(B681-C681)/(Utilities!$B$11*IterData!H681)))</f>
        <v>0.7528810096585683</v>
      </c>
    </row>
    <row r="682" spans="1:11" x14ac:dyDescent="0.3">
      <c r="A682">
        <v>681</v>
      </c>
      <c r="B682">
        <v>0.30782701269944424</v>
      </c>
      <c r="C682">
        <v>0.26495814965822506</v>
      </c>
      <c r="D682">
        <v>0.7097023474309283</v>
      </c>
      <c r="E682" s="10">
        <v>2.4144263545657248E-3</v>
      </c>
      <c r="F682" s="10">
        <v>1.7286736342333755</v>
      </c>
      <c r="H682">
        <v>0.50006018861576507</v>
      </c>
      <c r="I682" s="11">
        <f t="shared" si="10"/>
        <v>4.2868863041219174E-2</v>
      </c>
      <c r="J682" s="11">
        <f>1/(H682*Utilities!$B$11)</f>
        <v>7.9990370980592287</v>
      </c>
      <c r="K682" s="11">
        <f>IF(B682&lt;C682,1,EXP(-1*(B682-C682)/(Utilities!$B$11*IterData!H682)))</f>
        <v>0.7097023474309283</v>
      </c>
    </row>
    <row r="683" spans="1:11" x14ac:dyDescent="0.3">
      <c r="A683">
        <v>682</v>
      </c>
      <c r="B683">
        <v>0.17018671938608981</v>
      </c>
      <c r="C683">
        <v>0.30782701269944424</v>
      </c>
      <c r="D683">
        <v>1</v>
      </c>
      <c r="E683" s="10">
        <v>2.8141742128834071E-3</v>
      </c>
      <c r="F683" s="10">
        <v>1.7043687952315894</v>
      </c>
      <c r="H683">
        <v>0.50005899680132104</v>
      </c>
      <c r="I683" s="11">
        <f t="shared" si="10"/>
        <v>-0.13764029331335442</v>
      </c>
      <c r="J683" s="11">
        <f>1/(H683*Utilities!$B$11)</f>
        <v>7.9990561625456449</v>
      </c>
      <c r="K683" s="11">
        <f>IF(B683&lt;C683,1,EXP(-1*(B683-C683)/(Utilities!$B$11*IterData!H683)))</f>
        <v>1</v>
      </c>
    </row>
    <row r="684" spans="1:11" x14ac:dyDescent="0.3">
      <c r="A684">
        <v>683</v>
      </c>
      <c r="B684">
        <v>0.35772171100957806</v>
      </c>
      <c r="C684">
        <v>0.17018671938608981</v>
      </c>
      <c r="D684">
        <v>0.22310641257176264</v>
      </c>
      <c r="E684" s="10">
        <v>2.653272215703887E-3</v>
      </c>
      <c r="F684" s="10">
        <v>1.4464507171068</v>
      </c>
      <c r="H684">
        <v>0.50005782858638426</v>
      </c>
      <c r="I684" s="11">
        <f t="shared" si="10"/>
        <v>0.18753499162348825</v>
      </c>
      <c r="J684" s="11">
        <f>1/(H684*Utilities!$B$11)</f>
        <v>7.9990748496181299</v>
      </c>
      <c r="K684" s="11">
        <f>IF(B684&lt;C684,1,EXP(-1*(B684-C684)/(Utilities!$B$11*IterData!H684)))</f>
        <v>0.22310641257176264</v>
      </c>
    </row>
    <row r="685" spans="1:11" x14ac:dyDescent="0.3">
      <c r="A685">
        <v>684</v>
      </c>
      <c r="B685">
        <v>0.96387960665813044</v>
      </c>
      <c r="C685">
        <v>0.17018671938608981</v>
      </c>
      <c r="D685">
        <v>1.7488036540670318E-3</v>
      </c>
      <c r="E685" s="10">
        <v>2.653272215703887E-3</v>
      </c>
      <c r="F685" s="10">
        <v>1.4464507171068</v>
      </c>
      <c r="H685">
        <v>0.50005668350365307</v>
      </c>
      <c r="I685" s="11">
        <f t="shared" si="10"/>
        <v>0.79369288727204057</v>
      </c>
      <c r="J685" s="11">
        <f>1/(H685*Utilities!$B$11)</f>
        <v>7.9990931667465226</v>
      </c>
      <c r="K685" s="11">
        <f>IF(B685&lt;C685,1,EXP(-1*(B685-C685)/(Utilities!$B$11*IterData!H685)))</f>
        <v>1.7488036540670333E-3</v>
      </c>
    </row>
    <row r="686" spans="1:11" x14ac:dyDescent="0.3">
      <c r="A686">
        <v>685</v>
      </c>
      <c r="B686">
        <v>0.13628182852355822</v>
      </c>
      <c r="C686">
        <v>0.17018671938608981</v>
      </c>
      <c r="D686">
        <v>1</v>
      </c>
      <c r="E686" s="10">
        <v>2.653272215703887E-3</v>
      </c>
      <c r="F686" s="10">
        <v>1.4464507171068</v>
      </c>
      <c r="H686">
        <v>0.50005556109507909</v>
      </c>
      <c r="I686" s="11">
        <f t="shared" si="10"/>
        <v>-3.3904890862531595E-2</v>
      </c>
      <c r="J686" s="11">
        <f>1/(H686*Utilities!$B$11)</f>
        <v>7.9991111212528878</v>
      </c>
      <c r="K686" s="11">
        <f>IF(B686&lt;C686,1,EXP(-1*(B686-C686)/(Utilities!$B$11*IterData!H686)))</f>
        <v>1</v>
      </c>
    </row>
    <row r="687" spans="1:11" x14ac:dyDescent="0.3">
      <c r="A687">
        <v>686</v>
      </c>
      <c r="B687">
        <v>7.6753113162656553E-2</v>
      </c>
      <c r="C687">
        <v>0.13628182852355822</v>
      </c>
      <c r="D687">
        <v>1</v>
      </c>
      <c r="E687" s="10">
        <v>2.4766077981725086E-3</v>
      </c>
      <c r="F687" s="10">
        <v>1.6548537643594017</v>
      </c>
      <c r="H687">
        <v>0.50005446091168404</v>
      </c>
      <c r="I687" s="11">
        <f t="shared" si="10"/>
        <v>-5.9528715360901666E-2</v>
      </c>
      <c r="J687" s="11">
        <f>1/(H687*Utilities!$B$11)</f>
        <v>7.9991287203144275</v>
      </c>
      <c r="K687" s="11">
        <f>IF(B687&lt;C687,1,EXP(-1*(B687-C687)/(Utilities!$B$11*IterData!H687)))</f>
        <v>1</v>
      </c>
    </row>
    <row r="688" spans="1:11" x14ac:dyDescent="0.3">
      <c r="A688">
        <v>687</v>
      </c>
      <c r="B688">
        <v>0.28683563473400142</v>
      </c>
      <c r="C688">
        <v>7.6753113162656553E-2</v>
      </c>
      <c r="D688">
        <v>0.18628439716709641</v>
      </c>
      <c r="E688" s="10">
        <v>2.4725369564775408E-3</v>
      </c>
      <c r="F688" s="10">
        <v>1.6098352032720513</v>
      </c>
      <c r="H688">
        <v>0.50005338251337972</v>
      </c>
      <c r="I688" s="11">
        <f t="shared" si="10"/>
        <v>0.21008252157134488</v>
      </c>
      <c r="J688" s="11">
        <f>1/(H688*Utilities!$B$11)</f>
        <v>7.9991459709663575</v>
      </c>
      <c r="K688" s="11">
        <f>IF(B688&lt;C688,1,EXP(-1*(B688-C688)/(Utilities!$B$11*IterData!H688)))</f>
        <v>0.18628439716709638</v>
      </c>
    </row>
    <row r="689" spans="1:11" x14ac:dyDescent="0.3">
      <c r="A689">
        <v>688</v>
      </c>
      <c r="B689">
        <v>6.2051386734246206E-2</v>
      </c>
      <c r="C689">
        <v>7.6753113162656553E-2</v>
      </c>
      <c r="D689">
        <v>1</v>
      </c>
      <c r="E689" s="10">
        <v>2.4725369564775408E-3</v>
      </c>
      <c r="F689" s="10">
        <v>1.6098352032720513</v>
      </c>
      <c r="H689">
        <v>0.50005232546879264</v>
      </c>
      <c r="I689" s="11">
        <f t="shared" si="10"/>
        <v>-1.4701726428410347E-2</v>
      </c>
      <c r="J689" s="11">
        <f>1/(H689*Utilities!$B$11)</f>
        <v>7.9991628801046994</v>
      </c>
      <c r="K689" s="11">
        <f>IF(B689&lt;C689,1,EXP(-1*(B689-C689)/(Utilities!$B$11*IterData!H689)))</f>
        <v>1</v>
      </c>
    </row>
    <row r="690" spans="1:11" x14ac:dyDescent="0.3">
      <c r="A690">
        <v>689</v>
      </c>
      <c r="B690">
        <v>0.23430991288909681</v>
      </c>
      <c r="C690">
        <v>6.2051386734246206E-2</v>
      </c>
      <c r="D690">
        <v>0.25210065079946503</v>
      </c>
      <c r="E690" s="10">
        <v>2.3864680151767484E-3</v>
      </c>
      <c r="F690" s="10">
        <v>1.5348785453042568</v>
      </c>
      <c r="H690">
        <v>0.50005128935509069</v>
      </c>
      <c r="I690" s="11">
        <f t="shared" si="10"/>
        <v>0.1722585261548506</v>
      </c>
      <c r="J690" s="11">
        <f>1/(H690*Utilities!$B$11)</f>
        <v>7.9991794544890489</v>
      </c>
      <c r="K690" s="11">
        <f>IF(B690&lt;C690,1,EXP(-1*(B690-C690)/(Utilities!$B$11*IterData!H690)))</f>
        <v>0.25210065079946503</v>
      </c>
    </row>
    <row r="691" spans="1:11" x14ac:dyDescent="0.3">
      <c r="A691">
        <v>690</v>
      </c>
      <c r="B691">
        <v>0.10652237936254484</v>
      </c>
      <c r="C691">
        <v>6.2051386734246206E-2</v>
      </c>
      <c r="D691">
        <v>0.70066025081272276</v>
      </c>
      <c r="E691" s="10">
        <v>2.3864680151767484E-3</v>
      </c>
      <c r="F691" s="10">
        <v>1.5348785453042568</v>
      </c>
      <c r="H691">
        <v>0.50005027375781463</v>
      </c>
      <c r="I691" s="11">
        <f t="shared" si="10"/>
        <v>4.4470992628298636E-2</v>
      </c>
      <c r="J691" s="11">
        <f>1/(H691*Utilities!$B$11)</f>
        <v>7.9991957007452577</v>
      </c>
      <c r="K691" s="11">
        <f>IF(B691&lt;C691,1,EXP(-1*(B691-C691)/(Utilities!$B$11*IterData!H691)))</f>
        <v>0.70066025081272276</v>
      </c>
    </row>
    <row r="692" spans="1:11" x14ac:dyDescent="0.3">
      <c r="A692">
        <v>691</v>
      </c>
      <c r="B692">
        <v>0.39709461435991944</v>
      </c>
      <c r="C692">
        <v>0.10652237936254484</v>
      </c>
      <c r="D692">
        <v>9.7847141348123903E-2</v>
      </c>
      <c r="E692" s="10">
        <v>2.3583042094573437E-3</v>
      </c>
      <c r="F692" s="10">
        <v>1.5023553138291237</v>
      </c>
      <c r="H692">
        <v>0.50004927827071199</v>
      </c>
      <c r="I692" s="11">
        <f t="shared" si="10"/>
        <v>0.29057223499737461</v>
      </c>
      <c r="J692" s="11">
        <f>1/(H692*Utilities!$B$11)</f>
        <v>7.9992116253680852</v>
      </c>
      <c r="K692" s="11">
        <f>IF(B692&lt;C692,1,EXP(-1*(B692-C692)/(Utilities!$B$11*IterData!H692)))</f>
        <v>9.7847141348123903E-2</v>
      </c>
    </row>
    <row r="693" spans="1:11" x14ac:dyDescent="0.3">
      <c r="A693">
        <v>692</v>
      </c>
      <c r="B693">
        <v>0.31121576962716546</v>
      </c>
      <c r="C693">
        <v>0.10652237936254484</v>
      </c>
      <c r="D693">
        <v>0.19448719721594168</v>
      </c>
      <c r="E693" s="10">
        <v>2.3583042094573437E-3</v>
      </c>
      <c r="F693" s="10">
        <v>1.5023553138291237</v>
      </c>
      <c r="H693">
        <v>0.50004830249557475</v>
      </c>
      <c r="I693" s="11">
        <f t="shared" si="10"/>
        <v>0.20469339026462063</v>
      </c>
      <c r="J693" s="11">
        <f>1/(H693*Utilities!$B$11)</f>
        <v>7.9992272347237865</v>
      </c>
      <c r="K693" s="11">
        <f>IF(B693&lt;C693,1,EXP(-1*(B693-C693)/(Utilities!$B$11*IterData!H693)))</f>
        <v>0.19448719721594168</v>
      </c>
    </row>
    <row r="694" spans="1:11" x14ac:dyDescent="0.3">
      <c r="A694">
        <v>693</v>
      </c>
      <c r="B694">
        <v>0.45235155489959145</v>
      </c>
      <c r="C694">
        <v>0.10652237936254484</v>
      </c>
      <c r="D694">
        <v>6.2889789923135084E-2</v>
      </c>
      <c r="E694" s="10">
        <v>2.3583042094573437E-3</v>
      </c>
      <c r="F694" s="10">
        <v>1.5023553138291237</v>
      </c>
      <c r="H694">
        <v>0.50004734604207979</v>
      </c>
      <c r="I694" s="11">
        <f t="shared" si="10"/>
        <v>0.34582917553704662</v>
      </c>
      <c r="J694" s="11">
        <f>1/(H694*Utilities!$B$11)</f>
        <v>7.9992425350526579</v>
      </c>
      <c r="K694" s="11">
        <f>IF(B694&lt;C694,1,EXP(-1*(B694-C694)/(Utilities!$B$11*IterData!H694)))</f>
        <v>6.2889789923135056E-2</v>
      </c>
    </row>
    <row r="695" spans="1:11" x14ac:dyDescent="0.3">
      <c r="A695">
        <v>694</v>
      </c>
      <c r="B695">
        <v>0.22024749810135241</v>
      </c>
      <c r="C695">
        <v>0.10652237936254484</v>
      </c>
      <c r="D695">
        <v>0.40263835071400311</v>
      </c>
      <c r="E695" s="10">
        <v>2.3583042094573437E-3</v>
      </c>
      <c r="F695" s="10">
        <v>1.5023553138291237</v>
      </c>
      <c r="H695">
        <v>0.50004640852763294</v>
      </c>
      <c r="I695" s="11">
        <f t="shared" si="10"/>
        <v>0.11372511873880757</v>
      </c>
      <c r="J695" s="11">
        <f>1/(H695*Utilities!$B$11)</f>
        <v>7.9992575324715229</v>
      </c>
      <c r="K695" s="11">
        <f>IF(B695&lt;C695,1,EXP(-1*(B695-C695)/(Utilities!$B$11*IterData!H695)))</f>
        <v>0.40263835071400311</v>
      </c>
    </row>
    <row r="696" spans="1:11" x14ac:dyDescent="0.3">
      <c r="A696">
        <v>695</v>
      </c>
      <c r="B696">
        <v>0.57457821160023725</v>
      </c>
      <c r="C696">
        <v>0.22024749810135241</v>
      </c>
      <c r="D696">
        <v>5.8754482101280189E-2</v>
      </c>
      <c r="E696" s="10">
        <v>2.3995532043586108E-3</v>
      </c>
      <c r="F696" s="10">
        <v>1.7093058361005709</v>
      </c>
      <c r="H696">
        <v>0.50004548957721595</v>
      </c>
      <c r="I696" s="11">
        <f t="shared" si="10"/>
        <v>0.35433071349888484</v>
      </c>
      <c r="J696" s="11">
        <f>1/(H696*Utilities!$B$11)</f>
        <v>7.999272232976173</v>
      </c>
      <c r="K696" s="11">
        <f>IF(B696&lt;C696,1,EXP(-1*(B696-C696)/(Utilities!$B$11*IterData!H696)))</f>
        <v>5.8754482101280189E-2</v>
      </c>
    </row>
    <row r="697" spans="1:11" x14ac:dyDescent="0.3">
      <c r="A697">
        <v>696</v>
      </c>
      <c r="B697">
        <v>0.32000542317173503</v>
      </c>
      <c r="C697">
        <v>0.22024749810135241</v>
      </c>
      <c r="D697">
        <v>0.45023201621821396</v>
      </c>
      <c r="E697" s="10">
        <v>2.3995532043586108E-3</v>
      </c>
      <c r="F697" s="10">
        <v>1.7093058361005709</v>
      </c>
      <c r="H697">
        <v>0.50004458882323632</v>
      </c>
      <c r="I697" s="11">
        <f t="shared" si="10"/>
        <v>9.9757925070382614E-2</v>
      </c>
      <c r="J697" s="11">
        <f>1/(H697*Utilities!$B$11)</f>
        <v>7.9992866424437672</v>
      </c>
      <c r="K697" s="11">
        <f>IF(B697&lt;C697,1,EXP(-1*(B697-C697)/(Utilities!$B$11*IterData!H697)))</f>
        <v>0.45023201621821396</v>
      </c>
    </row>
    <row r="698" spans="1:11" x14ac:dyDescent="0.3">
      <c r="A698">
        <v>697</v>
      </c>
      <c r="B698">
        <v>0.61147190956075459</v>
      </c>
      <c r="C698">
        <v>0.32000542317173503</v>
      </c>
      <c r="D698">
        <v>9.7147184161518296E-2</v>
      </c>
      <c r="E698" s="10">
        <v>2.6298527021959735E-3</v>
      </c>
      <c r="F698" s="10">
        <v>1.4044411809704496</v>
      </c>
      <c r="H698">
        <v>0.50004370590538061</v>
      </c>
      <c r="I698" s="11">
        <f t="shared" si="10"/>
        <v>0.29146648638901956</v>
      </c>
      <c r="J698" s="11">
        <f>1/(H698*Utilities!$B$11)</f>
        <v>7.999300766635165</v>
      </c>
      <c r="K698" s="11">
        <f>IF(B698&lt;C698,1,EXP(-1*(B698-C698)/(Utilities!$B$11*IterData!H698)))</f>
        <v>9.7147184161518296E-2</v>
      </c>
    </row>
    <row r="699" spans="1:11" x14ac:dyDescent="0.3">
      <c r="A699">
        <v>698</v>
      </c>
      <c r="B699">
        <v>0.24364449872747071</v>
      </c>
      <c r="C699">
        <v>0.32000542317173503</v>
      </c>
      <c r="D699">
        <v>1</v>
      </c>
      <c r="E699" s="10">
        <v>2.6298527021959735E-3</v>
      </c>
      <c r="F699" s="10">
        <v>1.4044411809704496</v>
      </c>
      <c r="H699">
        <v>0.50004284047046976</v>
      </c>
      <c r="I699" s="11">
        <f t="shared" si="10"/>
        <v>-7.6360924444264316E-2</v>
      </c>
      <c r="J699" s="11">
        <f>1/(H699*Utilities!$B$11)</f>
        <v>7.9993146111972413</v>
      </c>
      <c r="K699" s="11">
        <f>IF(B699&lt;C699,1,EXP(-1*(B699-C699)/(Utilities!$B$11*IterData!H699)))</f>
        <v>1</v>
      </c>
    </row>
    <row r="700" spans="1:11" x14ac:dyDescent="0.3">
      <c r="A700">
        <v>699</v>
      </c>
      <c r="B700">
        <v>0.13356410222933376</v>
      </c>
      <c r="C700">
        <v>0.24364449872747071</v>
      </c>
      <c r="D700">
        <v>1</v>
      </c>
      <c r="E700" s="10">
        <v>3.0151524146946277E-3</v>
      </c>
      <c r="F700" s="10">
        <v>1.6561506866661508</v>
      </c>
      <c r="H700">
        <v>0.50004199217231826</v>
      </c>
      <c r="I700" s="11">
        <f t="shared" si="10"/>
        <v>-0.11008039649813695</v>
      </c>
      <c r="J700" s="11">
        <f>1/(H700*Utilities!$B$11)</f>
        <v>7.9993281816651303</v>
      </c>
      <c r="K700" s="11">
        <f>IF(B700&lt;C700,1,EXP(-1*(B700-C700)/(Utilities!$B$11*IterData!H700)))</f>
        <v>1</v>
      </c>
    </row>
    <row r="701" spans="1:11" x14ac:dyDescent="0.3">
      <c r="A701">
        <v>700</v>
      </c>
      <c r="B701">
        <v>0.2539760033942815</v>
      </c>
      <c r="C701">
        <v>0.13356410222933376</v>
      </c>
      <c r="D701">
        <v>0.38166351242237312</v>
      </c>
      <c r="E701" s="10">
        <v>2.6489997997640562E-3</v>
      </c>
      <c r="F701" s="10">
        <v>1.6342237008111657</v>
      </c>
      <c r="H701">
        <v>0.50004116067159565</v>
      </c>
      <c r="I701" s="11">
        <f t="shared" si="10"/>
        <v>0.12041190116494774</v>
      </c>
      <c r="J701" s="11">
        <f>1/(H701*Utilities!$B$11)</f>
        <v>7.999341483464435</v>
      </c>
      <c r="K701" s="11">
        <f>IF(B701&lt;C701,1,EXP(-1*(B701-C701)/(Utilities!$B$11*IterData!H701)))</f>
        <v>0.38166351242237312</v>
      </c>
    </row>
    <row r="702" spans="1:11" x14ac:dyDescent="0.3">
      <c r="A702">
        <v>701</v>
      </c>
      <c r="B702">
        <v>0.17833168664080443</v>
      </c>
      <c r="C702">
        <v>0.13356410222933376</v>
      </c>
      <c r="D702">
        <v>0.6989949378262813</v>
      </c>
      <c r="E702" s="10">
        <v>2.6489997997640562E-3</v>
      </c>
      <c r="F702" s="10">
        <v>1.6342237008111657</v>
      </c>
      <c r="H702">
        <v>0.50004034563569044</v>
      </c>
      <c r="I702" s="11">
        <f t="shared" si="10"/>
        <v>4.4767584411470662E-2</v>
      </c>
      <c r="J702" s="11">
        <f>1/(H702*Utilities!$B$11)</f>
        <v>7.9993545219134008</v>
      </c>
      <c r="K702" s="11">
        <f>IF(B702&lt;C702,1,EXP(-1*(B702-C702)/(Utilities!$B$11*IterData!H702)))</f>
        <v>0.6989949378262813</v>
      </c>
    </row>
    <row r="703" spans="1:11" x14ac:dyDescent="0.3">
      <c r="A703">
        <v>702</v>
      </c>
      <c r="B703">
        <v>6.1534710158285523E-2</v>
      </c>
      <c r="C703">
        <v>0.17833168664080443</v>
      </c>
      <c r="D703">
        <v>1</v>
      </c>
      <c r="E703" s="10">
        <v>3.0629483692553292E-3</v>
      </c>
      <c r="F703" s="10">
        <v>1.4104908663023528</v>
      </c>
      <c r="H703">
        <v>0.50003954673857753</v>
      </c>
      <c r="I703" s="11">
        <f t="shared" si="10"/>
        <v>-0.11679697648251891</v>
      </c>
      <c r="J703" s="11">
        <f>1/(H703*Utilities!$B$11)</f>
        <v>7.9993673022250267</v>
      </c>
      <c r="K703" s="11">
        <f>IF(B703&lt;C703,1,EXP(-1*(B703-C703)/(Utilities!$B$11*IterData!H703)))</f>
        <v>1</v>
      </c>
    </row>
    <row r="704" spans="1:11" x14ac:dyDescent="0.3">
      <c r="A704">
        <v>703</v>
      </c>
      <c r="B704">
        <v>0.55056349383283787</v>
      </c>
      <c r="C704">
        <v>6.1534710158285523E-2</v>
      </c>
      <c r="D704">
        <v>2.0001920437246738E-2</v>
      </c>
      <c r="E704" s="10">
        <v>3.0424674273529175E-3</v>
      </c>
      <c r="F704" s="10">
        <v>1.5249222306716537</v>
      </c>
      <c r="H704">
        <v>0.50003876366068722</v>
      </c>
      <c r="I704" s="11">
        <f t="shared" si="10"/>
        <v>0.48902878367455233</v>
      </c>
      <c r="J704" s="11">
        <f>1/(H704*Utilities!$B$11)</f>
        <v>7.9993798295091612</v>
      </c>
      <c r="K704" s="11">
        <f>IF(B704&lt;C704,1,EXP(-1*(B704-C704)/(Utilities!$B$11*IterData!H704)))</f>
        <v>2.0001920437246738E-2</v>
      </c>
    </row>
    <row r="705" spans="1:11" x14ac:dyDescent="0.3">
      <c r="A705">
        <v>704</v>
      </c>
      <c r="B705">
        <v>0.13669034875120673</v>
      </c>
      <c r="C705">
        <v>6.1534710158285523E-2</v>
      </c>
      <c r="D705">
        <v>0.54815377379083841</v>
      </c>
      <c r="E705" s="10">
        <v>3.0424674273529175E-3</v>
      </c>
      <c r="F705" s="10">
        <v>1.5249222306716537</v>
      </c>
      <c r="H705">
        <v>0.50003799608877819</v>
      </c>
      <c r="I705" s="11">
        <f t="shared" si="10"/>
        <v>7.5155638592921209E-2</v>
      </c>
      <c r="J705" s="11">
        <f>1/(H705*Utilities!$B$11)</f>
        <v>7.9993921087745266</v>
      </c>
      <c r="K705" s="11">
        <f>IF(B705&lt;C705,1,EXP(-1*(B705-C705)/(Utilities!$B$11*IterData!H705)))</f>
        <v>0.54815377379083829</v>
      </c>
    </row>
    <row r="706" spans="1:11" x14ac:dyDescent="0.3">
      <c r="A706">
        <v>705</v>
      </c>
      <c r="B706">
        <v>7.013091393153148E-2</v>
      </c>
      <c r="C706">
        <v>0.13669034875120673</v>
      </c>
      <c r="D706">
        <v>1</v>
      </c>
      <c r="E706" s="10">
        <v>3.2865019020161604E-3</v>
      </c>
      <c r="F706" s="10">
        <v>1.4116942098837137</v>
      </c>
      <c r="H706">
        <v>0.50003724371581126</v>
      </c>
      <c r="I706" s="11">
        <f t="shared" si="10"/>
        <v>-6.6559434819675245E-2</v>
      </c>
      <c r="J706" s="11">
        <f>1/(H706*Utilities!$B$11)</f>
        <v>7.9994041449307334</v>
      </c>
      <c r="K706" s="11">
        <f>IF(B706&lt;C706,1,EXP(-1*(B706-C706)/(Utilities!$B$11*IterData!H706)))</f>
        <v>1</v>
      </c>
    </row>
    <row r="707" spans="1:11" x14ac:dyDescent="0.3">
      <c r="A707">
        <v>706</v>
      </c>
      <c r="B707">
        <v>1.4583836784833399</v>
      </c>
      <c r="C707">
        <v>7.013091393153148E-2</v>
      </c>
      <c r="D707">
        <v>1.5033773857726785E-5</v>
      </c>
      <c r="E707" s="10">
        <v>2.3376082599907934E-3</v>
      </c>
      <c r="F707" s="10">
        <v>1.5303897484404061</v>
      </c>
      <c r="H707">
        <v>0.50003650624082718</v>
      </c>
      <c r="I707" s="11">
        <f t="shared" ref="I707:I770" si="11">B707-C707</f>
        <v>1.3882527645518086</v>
      </c>
      <c r="J707" s="11">
        <f>1/(H707*Utilities!$B$11)</f>
        <v>7.9994159427902316</v>
      </c>
      <c r="K707" s="11">
        <f>IF(B707&lt;C707,1,EXP(-1*(B707-C707)/(Utilities!$B$11*IterData!H707)))</f>
        <v>1.5033773857726785E-5</v>
      </c>
    </row>
    <row r="708" spans="1:11" x14ac:dyDescent="0.3">
      <c r="A708">
        <v>707</v>
      </c>
      <c r="B708">
        <v>0.47015273307849204</v>
      </c>
      <c r="C708">
        <v>7.013091393153148E-2</v>
      </c>
      <c r="D708">
        <v>4.0764423805260311E-2</v>
      </c>
      <c r="E708" s="10">
        <v>2.3376082599907934E-3</v>
      </c>
      <c r="F708" s="10">
        <v>1.5303897484404061</v>
      </c>
      <c r="H708">
        <v>0.50003578336882626</v>
      </c>
      <c r="I708" s="11">
        <f t="shared" si="11"/>
        <v>0.40002181914696056</v>
      </c>
      <c r="J708" s="11">
        <f>1/(H708*Utilities!$B$11)</f>
        <v>7.999427507070231</v>
      </c>
      <c r="K708" s="11">
        <f>IF(B708&lt;C708,1,EXP(-1*(B708-C708)/(Utilities!$B$11*IterData!H708)))</f>
        <v>4.0764423805260311E-2</v>
      </c>
    </row>
    <row r="709" spans="1:11" x14ac:dyDescent="0.3">
      <c r="A709">
        <v>708</v>
      </c>
      <c r="B709">
        <v>6.7615032586887072E-2</v>
      </c>
      <c r="C709">
        <v>7.013091393153148E-2</v>
      </c>
      <c r="D709">
        <v>1</v>
      </c>
      <c r="E709" s="10">
        <v>2.3376082599907934E-3</v>
      </c>
      <c r="F709" s="10">
        <v>1.5303897484404061</v>
      </c>
      <c r="H709">
        <v>0.5000350748106499</v>
      </c>
      <c r="I709" s="11">
        <f t="shared" si="11"/>
        <v>-2.5158813446444078E-3</v>
      </c>
      <c r="J709" s="11">
        <f>1/(H709*Utilities!$B$11)</f>
        <v>7.9994388423945955</v>
      </c>
      <c r="K709" s="11">
        <f>IF(B709&lt;C709,1,EXP(-1*(B709-C709)/(Utilities!$B$11*IterData!H709)))</f>
        <v>1</v>
      </c>
    </row>
    <row r="710" spans="1:11" x14ac:dyDescent="0.3">
      <c r="A710">
        <v>709</v>
      </c>
      <c r="B710">
        <v>0.53460666415266334</v>
      </c>
      <c r="C710">
        <v>6.7615032586887072E-2</v>
      </c>
      <c r="D710">
        <v>2.3857033837462915E-2</v>
      </c>
      <c r="E710" s="10">
        <v>2.2643102268478711E-3</v>
      </c>
      <c r="F710" s="10">
        <v>1.539763778876527</v>
      </c>
      <c r="H710">
        <v>0.50003438028286551</v>
      </c>
      <c r="I710" s="11">
        <f t="shared" si="11"/>
        <v>0.46699163156577628</v>
      </c>
      <c r="J710" s="11">
        <f>1/(H710*Utilities!$B$11)</f>
        <v>7.9994499532956747</v>
      </c>
      <c r="K710" s="11">
        <f>IF(B710&lt;C710,1,EXP(-1*(B710-C710)/(Utilities!$B$11*IterData!H710)))</f>
        <v>2.3857033837462904E-2</v>
      </c>
    </row>
    <row r="711" spans="1:11" x14ac:dyDescent="0.3">
      <c r="A711">
        <v>710</v>
      </c>
      <c r="B711">
        <v>8.4904173274929176E-2</v>
      </c>
      <c r="C711">
        <v>6.7615032586887072E-2</v>
      </c>
      <c r="D711">
        <v>0.8708340887058531</v>
      </c>
      <c r="E711" s="10">
        <v>2.2643102268478711E-3</v>
      </c>
      <c r="F711" s="10">
        <v>1.539763778876527</v>
      </c>
      <c r="H711">
        <v>0.50003369950765264</v>
      </c>
      <c r="I711" s="11">
        <f t="shared" si="11"/>
        <v>1.7289140688042104E-2</v>
      </c>
      <c r="J711" s="11">
        <f>1/(H711*Utilities!$B$11)</f>
        <v>7.9994608442161264</v>
      </c>
      <c r="K711" s="11">
        <f>IF(B711&lt;C711,1,EXP(-1*(B711-C711)/(Utilities!$B$11*IterData!H711)))</f>
        <v>0.8708340887058531</v>
      </c>
    </row>
    <row r="712" spans="1:11" x14ac:dyDescent="0.3">
      <c r="A712">
        <v>711</v>
      </c>
      <c r="B712">
        <v>0.32806084291639598</v>
      </c>
      <c r="C712">
        <v>8.4904173274929176E-2</v>
      </c>
      <c r="D712">
        <v>0.14296937198636517</v>
      </c>
      <c r="E712" s="10">
        <v>2.8378624359623626E-3</v>
      </c>
      <c r="F712" s="10">
        <v>1.4752948365565708</v>
      </c>
      <c r="H712">
        <v>0.50003303221269224</v>
      </c>
      <c r="I712" s="11">
        <f t="shared" si="11"/>
        <v>0.24315666964146682</v>
      </c>
      <c r="J712" s="11">
        <f>1/(H712*Utilities!$B$11)</f>
        <v>7.999471519510684</v>
      </c>
      <c r="K712" s="11">
        <f>IF(B712&lt;C712,1,EXP(-1*(B712-C712)/(Utilities!$B$11*IterData!H712)))</f>
        <v>0.14296937198636514</v>
      </c>
    </row>
    <row r="713" spans="1:11" x14ac:dyDescent="0.3">
      <c r="A713">
        <v>712</v>
      </c>
      <c r="B713">
        <v>0.13917025467129523</v>
      </c>
      <c r="C713">
        <v>8.4904173274929176E-2</v>
      </c>
      <c r="D713">
        <v>0.64784711737501421</v>
      </c>
      <c r="E713" s="10">
        <v>2.8378624359623626E-3</v>
      </c>
      <c r="F713" s="10">
        <v>1.4752948365565708</v>
      </c>
      <c r="H713">
        <v>0.50003237813105728</v>
      </c>
      <c r="I713" s="11">
        <f t="shared" si="11"/>
        <v>5.4266081396366059E-2</v>
      </c>
      <c r="J713" s="11">
        <f>1/(H713*Utilities!$B$11)</f>
        <v>7.9994819834478994</v>
      </c>
      <c r="K713" s="11">
        <f>IF(B713&lt;C713,1,EXP(-1*(B713-C713)/(Utilities!$B$11*IterData!H713)))</f>
        <v>0.64784711737501421</v>
      </c>
    </row>
    <row r="714" spans="1:11" x14ac:dyDescent="0.3">
      <c r="A714">
        <v>713</v>
      </c>
      <c r="B714">
        <v>0.29822953871894464</v>
      </c>
      <c r="C714">
        <v>8.4904173274929176E-2</v>
      </c>
      <c r="D714">
        <v>0.1815009110900834</v>
      </c>
      <c r="E714" s="10">
        <v>2.8378624359623626E-3</v>
      </c>
      <c r="F714" s="10">
        <v>1.4752948365565708</v>
      </c>
      <c r="H714">
        <v>0.50003173700110659</v>
      </c>
      <c r="I714" s="11">
        <f t="shared" si="11"/>
        <v>0.21332536544401548</v>
      </c>
      <c r="J714" s="11">
        <f>1/(H714*Utilities!$B$11)</f>
        <v>7.9994922402118407</v>
      </c>
      <c r="K714" s="11">
        <f>IF(B714&lt;C714,1,EXP(-1*(B714-C714)/(Utilities!$B$11*IterData!H714)))</f>
        <v>0.18150091109008337</v>
      </c>
    </row>
    <row r="715" spans="1:11" x14ac:dyDescent="0.3">
      <c r="A715">
        <v>714</v>
      </c>
      <c r="B715">
        <v>0.23774593456958745</v>
      </c>
      <c r="C715">
        <v>8.4904173274929176E-2</v>
      </c>
      <c r="D715">
        <v>0.29444648119943517</v>
      </c>
      <c r="E715" s="10">
        <v>2.8378624359623626E-3</v>
      </c>
      <c r="F715" s="10">
        <v>1.4752948365565708</v>
      </c>
      <c r="H715">
        <v>0.50003110856637933</v>
      </c>
      <c r="I715" s="11">
        <f t="shared" si="11"/>
        <v>0.15284176129465826</v>
      </c>
      <c r="J715" s="11">
        <f>1/(H715*Utilities!$B$11)</f>
        <v>7.9995022939037765</v>
      </c>
      <c r="K715" s="11">
        <f>IF(B715&lt;C715,1,EXP(-1*(B715-C715)/(Utilities!$B$11*IterData!H715)))</f>
        <v>0.29444648119943517</v>
      </c>
    </row>
    <row r="716" spans="1:11" x14ac:dyDescent="0.3">
      <c r="A716">
        <v>715</v>
      </c>
      <c r="B716">
        <v>0.11731715555838008</v>
      </c>
      <c r="C716">
        <v>8.4904173274929176E-2</v>
      </c>
      <c r="D716">
        <v>0.77160073487493885</v>
      </c>
      <c r="E716" s="10">
        <v>2.8378624359623626E-3</v>
      </c>
      <c r="F716" s="10">
        <v>1.4752948365565708</v>
      </c>
      <c r="H716">
        <v>0.50003049257549359</v>
      </c>
      <c r="I716" s="11">
        <f t="shared" si="11"/>
        <v>3.2412982283450908E-2</v>
      </c>
      <c r="J716" s="11">
        <f>1/(H716*Utilities!$B$11)</f>
        <v>7.999512148543797</v>
      </c>
      <c r="K716" s="11">
        <f>IF(B716&lt;C716,1,EXP(-1*(B716-C716)/(Utilities!$B$11*IterData!H716)))</f>
        <v>0.77160073487493885</v>
      </c>
    </row>
    <row r="717" spans="1:11" x14ac:dyDescent="0.3">
      <c r="A717">
        <v>716</v>
      </c>
      <c r="B717">
        <v>0.27337832736763273</v>
      </c>
      <c r="C717">
        <v>8.4904173274929176E-2</v>
      </c>
      <c r="D717">
        <v>0.22141796795566693</v>
      </c>
      <c r="E717" s="10">
        <v>2.8378624359623626E-3</v>
      </c>
      <c r="F717" s="10">
        <v>1.4752948365565708</v>
      </c>
      <c r="H717">
        <v>0.50002988878204446</v>
      </c>
      <c r="I717" s="11">
        <f t="shared" si="11"/>
        <v>0.18847415409270357</v>
      </c>
      <c r="J717" s="11">
        <f>1/(H717*Utilities!$B$11)</f>
        <v>7.9995218080724371</v>
      </c>
      <c r="K717" s="11">
        <f>IF(B717&lt;C717,1,EXP(-1*(B717-C717)/(Utilities!$B$11*IterData!H717)))</f>
        <v>0.22141796795566693</v>
      </c>
    </row>
    <row r="718" spans="1:11" x14ac:dyDescent="0.3">
      <c r="A718">
        <v>717</v>
      </c>
      <c r="B718">
        <v>0.37845573928487253</v>
      </c>
      <c r="C718">
        <v>8.4904173274929176E-2</v>
      </c>
      <c r="D718">
        <v>9.5533822344636532E-2</v>
      </c>
      <c r="E718" s="10">
        <v>2.8378624359623626E-3</v>
      </c>
      <c r="F718" s="10">
        <v>1.4752948365565708</v>
      </c>
      <c r="H718">
        <v>0.50002929694450671</v>
      </c>
      <c r="I718" s="11">
        <f t="shared" si="11"/>
        <v>0.29355156600994337</v>
      </c>
      <c r="J718" s="11">
        <f>1/(H718*Utilities!$B$11)</f>
        <v>7.9995312763522337</v>
      </c>
      <c r="K718" s="11">
        <f>IF(B718&lt;C718,1,EXP(-1*(B718-C718)/(Utilities!$B$11*IterData!H718)))</f>
        <v>9.5533822344636532E-2</v>
      </c>
    </row>
    <row r="719" spans="1:11" x14ac:dyDescent="0.3">
      <c r="A719">
        <v>718</v>
      </c>
      <c r="B719">
        <v>0.2261607641656794</v>
      </c>
      <c r="C719">
        <v>8.4904173274929176E-2</v>
      </c>
      <c r="D719">
        <v>0.32303718847222551</v>
      </c>
      <c r="E719" s="10">
        <v>2.8378624359623626E-3</v>
      </c>
      <c r="F719" s="10">
        <v>1.4752948365565708</v>
      </c>
      <c r="H719">
        <v>0.50002871682613748</v>
      </c>
      <c r="I719" s="11">
        <f t="shared" si="11"/>
        <v>0.14125659089075021</v>
      </c>
      <c r="J719" s="11">
        <f>1/(H719*Utilities!$B$11)</f>
        <v>7.9995405571692801</v>
      </c>
      <c r="K719" s="11">
        <f>IF(B719&lt;C719,1,EXP(-1*(B719-C719)/(Utilities!$B$11*IterData!H719)))</f>
        <v>0.32303718847222551</v>
      </c>
    </row>
    <row r="720" spans="1:11" x14ac:dyDescent="0.3">
      <c r="A720">
        <v>719</v>
      </c>
      <c r="B720">
        <v>6.0266403893757564E-2</v>
      </c>
      <c r="C720">
        <v>8.4904173274929176E-2</v>
      </c>
      <c r="D720">
        <v>1</v>
      </c>
      <c r="E720" s="10">
        <v>2.8378624359623626E-3</v>
      </c>
      <c r="F720" s="10">
        <v>1.4752948365565708</v>
      </c>
      <c r="H720">
        <v>0.50002814819488151</v>
      </c>
      <c r="I720" s="11">
        <f t="shared" si="11"/>
        <v>-2.4637769381171612E-2</v>
      </c>
      <c r="J720" s="11">
        <f>1/(H720*Utilities!$B$11)</f>
        <v>7.9995496542347366</v>
      </c>
      <c r="K720" s="11">
        <f>IF(B720&lt;C720,1,EXP(-1*(B720-C720)/(Utilities!$B$11*IterData!H720)))</f>
        <v>1</v>
      </c>
    </row>
    <row r="721" spans="1:11" x14ac:dyDescent="0.3">
      <c r="A721">
        <v>720</v>
      </c>
      <c r="B721">
        <v>0.90930095998778104</v>
      </c>
      <c r="C721">
        <v>6.0266403893757564E-2</v>
      </c>
      <c r="D721">
        <v>1.1228314983965152E-3</v>
      </c>
      <c r="E721" s="10">
        <v>2.9641718577509478E-3</v>
      </c>
      <c r="F721" s="10">
        <v>1.5306974209784376</v>
      </c>
      <c r="H721">
        <v>0.50002759082327886</v>
      </c>
      <c r="I721" s="11">
        <f t="shared" si="11"/>
        <v>0.84903455609402345</v>
      </c>
      <c r="J721" s="11">
        <f>1/(H721*Utilities!$B$11)</f>
        <v>7.9995585711863066</v>
      </c>
      <c r="K721" s="11">
        <f>IF(B721&lt;C721,1,EXP(-1*(B721-C721)/(Utilities!$B$11*IterData!H721)))</f>
        <v>1.1228314983965152E-3</v>
      </c>
    </row>
    <row r="722" spans="1:11" x14ac:dyDescent="0.3">
      <c r="A722">
        <v>721</v>
      </c>
      <c r="B722">
        <v>1.0338315135225051</v>
      </c>
      <c r="C722">
        <v>6.0266403893757564E-2</v>
      </c>
      <c r="D722">
        <v>4.1464010672521946E-4</v>
      </c>
      <c r="E722" s="10">
        <v>2.9641718577509478E-3</v>
      </c>
      <c r="F722" s="10">
        <v>1.5306974209784376</v>
      </c>
      <c r="H722">
        <v>0.50002704448837332</v>
      </c>
      <c r="I722" s="11">
        <f t="shared" si="11"/>
        <v>0.97356510962874754</v>
      </c>
      <c r="J722" s="11">
        <f>1/(H722*Utilities!$B$11)</f>
        <v>7.9995673115897006</v>
      </c>
      <c r="K722" s="11">
        <f>IF(B722&lt;C722,1,EXP(-1*(B722-C722)/(Utilities!$B$11*IterData!H722)))</f>
        <v>4.1464010672521984E-4</v>
      </c>
    </row>
    <row r="723" spans="1:11" x14ac:dyDescent="0.3">
      <c r="A723">
        <v>722</v>
      </c>
      <c r="B723">
        <v>0.78693810848714651</v>
      </c>
      <c r="C723">
        <v>6.0266403893757564E-2</v>
      </c>
      <c r="D723">
        <v>2.9882556992934404E-3</v>
      </c>
      <c r="E723" s="10">
        <v>2.9641718577509478E-3</v>
      </c>
      <c r="F723" s="10">
        <v>1.5306974209784376</v>
      </c>
      <c r="H723">
        <v>0.50002650897162382</v>
      </c>
      <c r="I723" s="11">
        <f t="shared" si="11"/>
        <v>0.72667170459338892</v>
      </c>
      <c r="J723" s="11">
        <f>1/(H723*Utilities!$B$11)</f>
        <v>7.9995758789400453</v>
      </c>
      <c r="K723" s="11">
        <f>IF(B723&lt;C723,1,EXP(-1*(B723-C723)/(Utilities!$B$11*IterData!H723)))</f>
        <v>2.988255699293443E-3</v>
      </c>
    </row>
    <row r="724" spans="1:11" x14ac:dyDescent="0.3">
      <c r="A724">
        <v>723</v>
      </c>
      <c r="B724">
        <v>0.16844522879662127</v>
      </c>
      <c r="C724">
        <v>6.0266403893757564E-2</v>
      </c>
      <c r="D724">
        <v>0.42088921518376921</v>
      </c>
      <c r="E724" s="10">
        <v>2.9641718577509478E-3</v>
      </c>
      <c r="F724" s="10">
        <v>1.5306974209784376</v>
      </c>
      <c r="H724">
        <v>0.50002598405881638</v>
      </c>
      <c r="I724" s="11">
        <f t="shared" si="11"/>
        <v>0.10817882490286371</v>
      </c>
      <c r="J724" s="11">
        <f>1/(H724*Utilities!$B$11)</f>
        <v>7.9995842766632972</v>
      </c>
      <c r="K724" s="11">
        <f>IF(B724&lt;C724,1,EXP(-1*(B724-C724)/(Utilities!$B$11*IterData!H724)))</f>
        <v>0.42088921518376921</v>
      </c>
    </row>
    <row r="725" spans="1:11" x14ac:dyDescent="0.3">
      <c r="A725">
        <v>724</v>
      </c>
      <c r="B725">
        <v>0.73130053984636201</v>
      </c>
      <c r="C725">
        <v>6.0266403893757564E-2</v>
      </c>
      <c r="D725">
        <v>4.6634505351694916E-3</v>
      </c>
      <c r="E725" s="10">
        <v>2.9641718577509478E-3</v>
      </c>
      <c r="F725" s="10">
        <v>1.5306974209784376</v>
      </c>
      <c r="H725">
        <v>0.50002546953997895</v>
      </c>
      <c r="I725" s="11">
        <f t="shared" si="11"/>
        <v>0.67103413595260442</v>
      </c>
      <c r="J725" s="11">
        <f>1/(H725*Utilities!$B$11)</f>
        <v>7.9995925081175985</v>
      </c>
      <c r="K725" s="11">
        <f>IF(B725&lt;C725,1,EXP(-1*(B725-C725)/(Utilities!$B$11*IterData!H725)))</f>
        <v>4.6634505351694916E-3</v>
      </c>
    </row>
    <row r="726" spans="1:11" x14ac:dyDescent="0.3">
      <c r="A726">
        <v>725</v>
      </c>
      <c r="B726">
        <v>0.56980776662787058</v>
      </c>
      <c r="C726">
        <v>6.0266403893757564E-2</v>
      </c>
      <c r="D726">
        <v>1.6973068803184263E-2</v>
      </c>
      <c r="E726" s="10">
        <v>2.9641718577509478E-3</v>
      </c>
      <c r="F726" s="10">
        <v>1.5306974209784376</v>
      </c>
      <c r="H726">
        <v>0.50002496520929707</v>
      </c>
      <c r="I726" s="11">
        <f t="shared" si="11"/>
        <v>0.50954136273411299</v>
      </c>
      <c r="J726" s="11">
        <f>1/(H726*Utilities!$B$11)</f>
        <v>7.9996005765946245</v>
      </c>
      <c r="K726" s="11">
        <f>IF(B726&lt;C726,1,EXP(-1*(B726-C726)/(Utilities!$B$11*IterData!H726)))</f>
        <v>1.6973068803184263E-2</v>
      </c>
    </row>
    <row r="727" spans="1:11" x14ac:dyDescent="0.3">
      <c r="A727">
        <v>726</v>
      </c>
      <c r="B727">
        <v>0.39398562462977632</v>
      </c>
      <c r="C727">
        <v>6.0266403893757564E-2</v>
      </c>
      <c r="D727">
        <v>6.9278330705585117E-2</v>
      </c>
      <c r="E727" s="10">
        <v>2.9641718577509478E-3</v>
      </c>
      <c r="F727" s="10">
        <v>1.5306974209784376</v>
      </c>
      <c r="H727">
        <v>0.50002447086503188</v>
      </c>
      <c r="I727" s="11">
        <f t="shared" si="11"/>
        <v>0.33371922073601878</v>
      </c>
      <c r="J727" s="11">
        <f>1/(H727*Utilities!$B$11)</f>
        <v>7.9996084853208957</v>
      </c>
      <c r="K727" s="11">
        <f>IF(B727&lt;C727,1,EXP(-1*(B727-C727)/(Utilities!$B$11*IterData!H727)))</f>
        <v>6.9278330705585117E-2</v>
      </c>
    </row>
    <row r="728" spans="1:11" x14ac:dyDescent="0.3">
      <c r="A728">
        <v>727</v>
      </c>
      <c r="B728">
        <v>1.2318217674380709</v>
      </c>
      <c r="C728">
        <v>6.0266403893757564E-2</v>
      </c>
      <c r="D728">
        <v>8.5073641217278239E-5</v>
      </c>
      <c r="E728" s="10">
        <v>2.9641718577509478E-3</v>
      </c>
      <c r="F728" s="10">
        <v>1.5306974209784376</v>
      </c>
      <c r="H728">
        <v>0.50002398630943889</v>
      </c>
      <c r="I728" s="11">
        <f t="shared" si="11"/>
        <v>1.1715553635443134</v>
      </c>
      <c r="J728" s="11">
        <f>1/(H728*Utilities!$B$11)</f>
        <v>7.9996162374590716</v>
      </c>
      <c r="K728" s="11">
        <f>IF(B728&lt;C728,1,EXP(-1*(B728-C728)/(Utilities!$B$11*IterData!H728)))</f>
        <v>8.5073641217278239E-5</v>
      </c>
    </row>
    <row r="729" spans="1:11" x14ac:dyDescent="0.3">
      <c r="A729">
        <v>728</v>
      </c>
      <c r="B729">
        <v>1.1834033766125294</v>
      </c>
      <c r="C729">
        <v>6.0266403893757564E-2</v>
      </c>
      <c r="D729">
        <v>1.2531583865603416E-4</v>
      </c>
      <c r="E729" s="10">
        <v>2.9641718577509478E-3</v>
      </c>
      <c r="F729" s="10">
        <v>1.5306974209784376</v>
      </c>
      <c r="H729">
        <v>0.5000235113486895</v>
      </c>
      <c r="I729" s="11">
        <f t="shared" si="11"/>
        <v>1.1231369727187719</v>
      </c>
      <c r="J729" s="11">
        <f>1/(H729*Utilities!$B$11)</f>
        <v>7.9996238361092091</v>
      </c>
      <c r="K729" s="11">
        <f>IF(B729&lt;C729,1,EXP(-1*(B729-C729)/(Utilities!$B$11*IterData!H729)))</f>
        <v>1.2531583865603416E-4</v>
      </c>
    </row>
    <row r="730" spans="1:11" x14ac:dyDescent="0.3">
      <c r="A730">
        <v>729</v>
      </c>
      <c r="B730">
        <v>0.13368313204420154</v>
      </c>
      <c r="C730">
        <v>6.0266403893757564E-2</v>
      </c>
      <c r="D730">
        <v>0.55582223598509983</v>
      </c>
      <c r="E730" s="10">
        <v>2.9641718577509478E-3</v>
      </c>
      <c r="F730" s="10">
        <v>1.5306974209784376</v>
      </c>
      <c r="H730">
        <v>0.50002304579279311</v>
      </c>
      <c r="I730" s="11">
        <f t="shared" si="11"/>
        <v>7.3416728150443977E-2</v>
      </c>
      <c r="J730" s="11">
        <f>1/(H730*Utilities!$B$11)</f>
        <v>7.9996312843100013</v>
      </c>
      <c r="K730" s="11">
        <f>IF(B730&lt;C730,1,EXP(-1*(B730-C730)/(Utilities!$B$11*IterData!H730)))</f>
        <v>0.55582223598509983</v>
      </c>
    </row>
    <row r="731" spans="1:11" x14ac:dyDescent="0.3">
      <c r="A731">
        <v>730</v>
      </c>
      <c r="B731">
        <v>7.2209643151414343E-2</v>
      </c>
      <c r="C731">
        <v>0.13368313204420154</v>
      </c>
      <c r="D731">
        <v>1</v>
      </c>
      <c r="E731" s="10">
        <v>3.1296518396559956E-3</v>
      </c>
      <c r="F731" s="10">
        <v>1.5872048999319228</v>
      </c>
      <c r="H731">
        <v>0.50002258945552114</v>
      </c>
      <c r="I731" s="11">
        <f t="shared" si="11"/>
        <v>-6.1473488892787198E-2</v>
      </c>
      <c r="J731" s="11">
        <f>1/(H731*Utilities!$B$11)</f>
        <v>7.999638585039996</v>
      </c>
      <c r="K731" s="11">
        <f>IF(B731&lt;C731,1,EXP(-1*(B731-C731)/(Utilities!$B$11*IterData!H731)))</f>
        <v>1</v>
      </c>
    </row>
    <row r="732" spans="1:11" x14ac:dyDescent="0.3">
      <c r="A732">
        <v>731</v>
      </c>
      <c r="B732">
        <v>0.25705681212446374</v>
      </c>
      <c r="C732">
        <v>7.2209643151414343E-2</v>
      </c>
      <c r="D732">
        <v>0.22793110470177391</v>
      </c>
      <c r="E732" s="10">
        <v>2.7080796891755829E-3</v>
      </c>
      <c r="F732" s="10">
        <v>1.5782059278296836</v>
      </c>
      <c r="H732">
        <v>0.50002214215433249</v>
      </c>
      <c r="I732" s="11">
        <f t="shared" si="11"/>
        <v>0.1848471689730494</v>
      </c>
      <c r="J732" s="11">
        <f>1/(H732*Utilities!$B$11)</f>
        <v>7.9996457412187851</v>
      </c>
      <c r="K732" s="11">
        <f>IF(B732&lt;C732,1,EXP(-1*(B732-C732)/(Utilities!$B$11*IterData!H732)))</f>
        <v>0.22793110470177391</v>
      </c>
    </row>
    <row r="733" spans="1:11" x14ac:dyDescent="0.3">
      <c r="A733">
        <v>732</v>
      </c>
      <c r="B733">
        <v>0.73106158805295784</v>
      </c>
      <c r="C733">
        <v>7.2209643151414343E-2</v>
      </c>
      <c r="D733">
        <v>5.1405933078418889E-3</v>
      </c>
      <c r="E733" s="10">
        <v>2.7080796891755829E-3</v>
      </c>
      <c r="F733" s="10">
        <v>1.5782059278296836</v>
      </c>
      <c r="H733">
        <v>0.50002170371030086</v>
      </c>
      <c r="I733" s="11">
        <f t="shared" si="11"/>
        <v>0.65885194490154353</v>
      </c>
      <c r="J733" s="11">
        <f>1/(H733*Utilities!$B$11)</f>
        <v>7.9996527557081656</v>
      </c>
      <c r="K733" s="11">
        <f>IF(B733&lt;C733,1,EXP(-1*(B733-C733)/(Utilities!$B$11*IterData!H733)))</f>
        <v>5.1405933078418889E-3</v>
      </c>
    </row>
    <row r="734" spans="1:11" x14ac:dyDescent="0.3">
      <c r="A734">
        <v>733</v>
      </c>
      <c r="B734">
        <v>0.4582620784115633</v>
      </c>
      <c r="C734">
        <v>7.2209643151414343E-2</v>
      </c>
      <c r="D734">
        <v>4.5579916736528413E-2</v>
      </c>
      <c r="E734" s="10">
        <v>2.7080796891755829E-3</v>
      </c>
      <c r="F734" s="10">
        <v>1.5782059278296836</v>
      </c>
      <c r="H734">
        <v>0.50002127394804274</v>
      </c>
      <c r="I734" s="11">
        <f t="shared" si="11"/>
        <v>0.38605243526014899</v>
      </c>
      <c r="J734" s="11">
        <f>1/(H734*Utilities!$B$11)</f>
        <v>7.9996596313132873</v>
      </c>
      <c r="K734" s="11">
        <f>IF(B734&lt;C734,1,EXP(-1*(B734-C734)/(Utilities!$B$11*IterData!H734)))</f>
        <v>4.5579916736528392E-2</v>
      </c>
    </row>
    <row r="735" spans="1:11" x14ac:dyDescent="0.3">
      <c r="A735">
        <v>734</v>
      </c>
      <c r="B735">
        <v>7.8477909046993741E-2</v>
      </c>
      <c r="C735">
        <v>7.2209643151414343E-2</v>
      </c>
      <c r="D735">
        <v>0.95109242319265619</v>
      </c>
      <c r="E735" s="10">
        <v>2.7080796891755829E-3</v>
      </c>
      <c r="F735" s="10">
        <v>1.5782059278296836</v>
      </c>
      <c r="H735">
        <v>0.50002085269564756</v>
      </c>
      <c r="I735" s="11">
        <f t="shared" si="11"/>
        <v>6.2682658955793974E-3</v>
      </c>
      <c r="J735" s="11">
        <f>1/(H735*Utilities!$B$11)</f>
        <v>7.9996663707837765</v>
      </c>
      <c r="K735" s="11">
        <f>IF(B735&lt;C735,1,EXP(-1*(B735-C735)/(Utilities!$B$11*IterData!H735)))</f>
        <v>0.95109242319265619</v>
      </c>
    </row>
    <row r="736" spans="1:11" x14ac:dyDescent="0.3">
      <c r="A736">
        <v>735</v>
      </c>
      <c r="B736">
        <v>0.20581690241498632</v>
      </c>
      <c r="C736">
        <v>7.8477909046993741E-2</v>
      </c>
      <c r="D736">
        <v>0.36107474069558876</v>
      </c>
      <c r="E736" s="10">
        <v>3.1613445869941646E-3</v>
      </c>
      <c r="F736" s="10">
        <v>1.4578301938647222</v>
      </c>
      <c r="H736">
        <v>0.50002043978460853</v>
      </c>
      <c r="I736" s="11">
        <f t="shared" si="11"/>
        <v>0.12733899336799259</v>
      </c>
      <c r="J736" s="11">
        <f>1/(H736*Utilities!$B$11)</f>
        <v>7.9996729768148302</v>
      </c>
      <c r="K736" s="11">
        <f>IF(B736&lt;C736,1,EXP(-1*(B736-C736)/(Utilities!$B$11*IterData!H736)))</f>
        <v>0.36107474069558876</v>
      </c>
    </row>
    <row r="737" spans="1:11" x14ac:dyDescent="0.3">
      <c r="A737">
        <v>736</v>
      </c>
      <c r="B737">
        <v>1.2528785946625427</v>
      </c>
      <c r="C737">
        <v>7.8477909046993741E-2</v>
      </c>
      <c r="D737">
        <v>8.3152936837955241E-5</v>
      </c>
      <c r="E737" s="10">
        <v>3.1613445869941646E-3</v>
      </c>
      <c r="F737" s="10">
        <v>1.4578301938647222</v>
      </c>
      <c r="H737">
        <v>0.50002003504975601</v>
      </c>
      <c r="I737" s="11">
        <f t="shared" si="11"/>
        <v>1.1744006856155489</v>
      </c>
      <c r="J737" s="11">
        <f>1/(H737*Utilities!$B$11)</f>
        <v>7.9996794520482926</v>
      </c>
      <c r="K737" s="11">
        <f>IF(B737&lt;C737,1,EXP(-1*(B737-C737)/(Utilities!$B$11*IterData!H737)))</f>
        <v>8.3152936837955241E-5</v>
      </c>
    </row>
    <row r="738" spans="1:11" x14ac:dyDescent="0.3">
      <c r="A738">
        <v>737</v>
      </c>
      <c r="B738">
        <v>0.85215505289149163</v>
      </c>
      <c r="C738">
        <v>7.8477909046993741E-2</v>
      </c>
      <c r="D738">
        <v>2.0515204851530278E-3</v>
      </c>
      <c r="E738" s="10">
        <v>3.1613445869941646E-3</v>
      </c>
      <c r="F738" s="10">
        <v>1.4578301938647222</v>
      </c>
      <c r="H738">
        <v>0.5000196383291905</v>
      </c>
      <c r="I738" s="11">
        <f t="shared" si="11"/>
        <v>0.77367714384449793</v>
      </c>
      <c r="J738" s="11">
        <f>1/(H738*Utilities!$B$11)</f>
        <v>7.9996857990737142</v>
      </c>
      <c r="K738" s="11">
        <f>IF(B738&lt;C738,1,EXP(-1*(B738-C738)/(Utilities!$B$11*IterData!H738)))</f>
        <v>2.0515204851530256E-3</v>
      </c>
    </row>
    <row r="739" spans="1:11" x14ac:dyDescent="0.3">
      <c r="A739">
        <v>738</v>
      </c>
      <c r="B739">
        <v>0.31556393413400685</v>
      </c>
      <c r="C739">
        <v>7.8477909046993741E-2</v>
      </c>
      <c r="D739">
        <v>0.15007573939138091</v>
      </c>
      <c r="E739" s="10">
        <v>3.1613445869941646E-3</v>
      </c>
      <c r="F739" s="10">
        <v>1.4578301938647222</v>
      </c>
      <c r="H739">
        <v>0.5000192494642185</v>
      </c>
      <c r="I739" s="11">
        <f t="shared" si="11"/>
        <v>0.2370860250870131</v>
      </c>
      <c r="J739" s="11">
        <f>1/(H739*Utilities!$B$11)</f>
        <v>7.9996920204293875</v>
      </c>
      <c r="K739" s="11">
        <f>IF(B739&lt;C739,1,EXP(-1*(B739-C739)/(Utilities!$B$11*IterData!H739)))</f>
        <v>0.15007573939138094</v>
      </c>
    </row>
    <row r="740" spans="1:11" x14ac:dyDescent="0.3">
      <c r="A740">
        <v>739</v>
      </c>
      <c r="B740">
        <v>0.15462774152304029</v>
      </c>
      <c r="C740">
        <v>7.8477909046993741E-2</v>
      </c>
      <c r="D740">
        <v>0.54379895329105665</v>
      </c>
      <c r="E740" s="10">
        <v>3.1613445869941646E-3</v>
      </c>
      <c r="F740" s="10">
        <v>1.4578301938647222</v>
      </c>
      <c r="H740">
        <v>0.50001886829928877</v>
      </c>
      <c r="I740" s="11">
        <f t="shared" si="11"/>
        <v>7.614983247604655E-2</v>
      </c>
      <c r="J740" s="11">
        <f>1/(H740*Utilities!$B$11)</f>
        <v>7.9996981186033569</v>
      </c>
      <c r="K740" s="11">
        <f>IF(B740&lt;C740,1,EXP(-1*(B740-C740)/(Utilities!$B$11*IterData!H740)))</f>
        <v>0.54379895329105665</v>
      </c>
    </row>
    <row r="741" spans="1:11" x14ac:dyDescent="0.3">
      <c r="A741">
        <v>740</v>
      </c>
      <c r="B741">
        <v>5.6906722932390158E-2</v>
      </c>
      <c r="C741">
        <v>7.8477909046993741E-2</v>
      </c>
      <c r="D741">
        <v>1</v>
      </c>
      <c r="E741" s="10">
        <v>3.1613445869941646E-3</v>
      </c>
      <c r="F741" s="10">
        <v>1.4578301938647222</v>
      </c>
      <c r="H741">
        <v>0.50001849468193038</v>
      </c>
      <c r="I741" s="11">
        <f t="shared" si="11"/>
        <v>-2.1571186114603583E-2</v>
      </c>
      <c r="J741" s="11">
        <f>1/(H741*Utilities!$B$11)</f>
        <v>7.9997040960344137</v>
      </c>
      <c r="K741" s="11">
        <f>IF(B741&lt;C741,1,EXP(-1*(B741-C741)/(Utilities!$B$11*IterData!H741)))</f>
        <v>1</v>
      </c>
    </row>
    <row r="742" spans="1:11" x14ac:dyDescent="0.3">
      <c r="A742">
        <v>741</v>
      </c>
      <c r="B742">
        <v>0.1285481847388274</v>
      </c>
      <c r="C742">
        <v>5.6906722932390158E-2</v>
      </c>
      <c r="D742">
        <v>0.56376887069332893</v>
      </c>
      <c r="E742" s="10">
        <v>2.932053615467839E-3</v>
      </c>
      <c r="F742" s="10">
        <v>1.5217910712245097</v>
      </c>
      <c r="H742">
        <v>0.50001812846269145</v>
      </c>
      <c r="I742" s="11">
        <f t="shared" si="11"/>
        <v>7.164146180643724E-2</v>
      </c>
      <c r="J742" s="11">
        <f>1/(H742*Utilities!$B$11)</f>
        <v>7.9997099551130724</v>
      </c>
      <c r="K742" s="11">
        <f>IF(B742&lt;C742,1,EXP(-1*(B742-C742)/(Utilities!$B$11*IterData!H742)))</f>
        <v>0.56376887069332893</v>
      </c>
    </row>
    <row r="743" spans="1:11" x14ac:dyDescent="0.3">
      <c r="A743">
        <v>742</v>
      </c>
      <c r="B743">
        <v>0.4407621366158978</v>
      </c>
      <c r="C743">
        <v>0.1285481847388274</v>
      </c>
      <c r="D743">
        <v>8.2280358920523322E-2</v>
      </c>
      <c r="E743" s="10">
        <v>2.4656533882127301E-3</v>
      </c>
      <c r="F743" s="10">
        <v>1.4808249676891394</v>
      </c>
      <c r="H743">
        <v>0.50001776949507926</v>
      </c>
      <c r="I743" s="11">
        <f t="shared" si="11"/>
        <v>0.31221395187707041</v>
      </c>
      <c r="J743" s="11">
        <f>1/(H743*Utilities!$B$11)</f>
        <v>7.9997156981825315</v>
      </c>
      <c r="K743" s="11">
        <f>IF(B743&lt;C743,1,EXP(-1*(B743-C743)/(Utilities!$B$11*IterData!H743)))</f>
        <v>8.2280358920523322E-2</v>
      </c>
    </row>
    <row r="744" spans="1:11" x14ac:dyDescent="0.3">
      <c r="A744">
        <v>743</v>
      </c>
      <c r="B744">
        <v>0.73148499886788043</v>
      </c>
      <c r="C744">
        <v>0.1285481847388274</v>
      </c>
      <c r="D744">
        <v>8.0399976253405017E-3</v>
      </c>
      <c r="E744" s="10">
        <v>2.4656533882127301E-3</v>
      </c>
      <c r="F744" s="10">
        <v>1.4808249676891394</v>
      </c>
      <c r="H744">
        <v>0.500017417635502</v>
      </c>
      <c r="I744" s="11">
        <f t="shared" si="11"/>
        <v>0.60293681412905298</v>
      </c>
      <c r="J744" s="11">
        <f>1/(H744*Utilities!$B$11)</f>
        <v>7.9997213275395982</v>
      </c>
      <c r="K744" s="11">
        <f>IF(B744&lt;C744,1,EXP(-1*(B744-C744)/(Utilities!$B$11*IterData!H744)))</f>
        <v>8.0399976253405087E-3</v>
      </c>
    </row>
    <row r="745" spans="1:11" x14ac:dyDescent="0.3">
      <c r="A745">
        <v>744</v>
      </c>
      <c r="B745">
        <v>1.1484373798269853</v>
      </c>
      <c r="C745">
        <v>0.1285481847388274</v>
      </c>
      <c r="D745">
        <v>2.8619562618920882E-4</v>
      </c>
      <c r="E745" s="10">
        <v>2.4656533882127301E-3</v>
      </c>
      <c r="F745" s="10">
        <v>1.4808249676891394</v>
      </c>
      <c r="H745">
        <v>0.50001707274321117</v>
      </c>
      <c r="I745" s="11">
        <f t="shared" si="11"/>
        <v>1.0198891950881579</v>
      </c>
      <c r="J745" s="11">
        <f>1/(H745*Utilities!$B$11)</f>
        <v>7.9997268454356165</v>
      </c>
      <c r="K745" s="11">
        <f>IF(B745&lt;C745,1,EXP(-1*(B745-C745)/(Utilities!$B$11*IterData!H745)))</f>
        <v>2.8619562618920931E-4</v>
      </c>
    </row>
    <row r="746" spans="1:11" x14ac:dyDescent="0.3">
      <c r="A746">
        <v>745</v>
      </c>
      <c r="B746">
        <v>0.90765308273499767</v>
      </c>
      <c r="C746">
        <v>0.1285481847388274</v>
      </c>
      <c r="D746">
        <v>1.9642779005990792E-3</v>
      </c>
      <c r="E746" s="10">
        <v>2.4656533882127301E-3</v>
      </c>
      <c r="F746" s="10">
        <v>1.4808249676891394</v>
      </c>
      <c r="H746">
        <v>0.50001673468024532</v>
      </c>
      <c r="I746" s="11">
        <f t="shared" si="11"/>
        <v>0.77910489799617033</v>
      </c>
      <c r="J746" s="11">
        <f>1/(H746*Utilities!$B$11)</f>
        <v>7.9997322540773599</v>
      </c>
      <c r="K746" s="11">
        <f>IF(B746&lt;C746,1,EXP(-1*(B746-C746)/(Utilities!$B$11*IterData!H746)))</f>
        <v>1.9642779005990775E-3</v>
      </c>
    </row>
    <row r="747" spans="1:11" x14ac:dyDescent="0.3">
      <c r="A747">
        <v>746</v>
      </c>
      <c r="B747">
        <v>0.11064019301751876</v>
      </c>
      <c r="C747">
        <v>0.1285481847388274</v>
      </c>
      <c r="D747">
        <v>1</v>
      </c>
      <c r="E747" s="10">
        <v>2.4656533882127301E-3</v>
      </c>
      <c r="F747" s="10">
        <v>1.4808249676891394</v>
      </c>
      <c r="H747">
        <v>0.50001640331137465</v>
      </c>
      <c r="I747" s="11">
        <f t="shared" si="11"/>
        <v>-1.7907991721308636E-2</v>
      </c>
      <c r="J747" s="11">
        <f>1/(H747*Utilities!$B$11)</f>
        <v>7.9997375556279193</v>
      </c>
      <c r="K747" s="11">
        <f>IF(B747&lt;C747,1,EXP(-1*(B747-C747)/(Utilities!$B$11*IterData!H747)))</f>
        <v>1</v>
      </c>
    </row>
    <row r="748" spans="1:11" x14ac:dyDescent="0.3">
      <c r="A748">
        <v>747</v>
      </c>
      <c r="B748">
        <v>0.68627122141368169</v>
      </c>
      <c r="C748">
        <v>0.11064019301751876</v>
      </c>
      <c r="D748">
        <v>1.000270075093814E-2</v>
      </c>
      <c r="E748" s="10">
        <v>2.3784891656386188E-3</v>
      </c>
      <c r="F748" s="10">
        <v>1.498134035699465</v>
      </c>
      <c r="H748">
        <v>0.50001607850404728</v>
      </c>
      <c r="I748" s="11">
        <f t="shared" si="11"/>
        <v>0.57563102839616298</v>
      </c>
      <c r="J748" s="11">
        <f>1/(H748*Utilities!$B$11)</f>
        <v>7.9997427522075633</v>
      </c>
      <c r="K748" s="11">
        <f>IF(B748&lt;C748,1,EXP(-1*(B748-C748)/(Utilities!$B$11*IterData!H748)))</f>
        <v>1.000270075093814E-2</v>
      </c>
    </row>
    <row r="749" spans="1:11" x14ac:dyDescent="0.3">
      <c r="A749">
        <v>748</v>
      </c>
      <c r="B749">
        <v>0.21003504466938056</v>
      </c>
      <c r="C749">
        <v>0.11064019301751876</v>
      </c>
      <c r="D749">
        <v>0.45152083979307595</v>
      </c>
      <c r="E749" s="10">
        <v>2.3784891656386188E-3</v>
      </c>
      <c r="F749" s="10">
        <v>1.498134035699465</v>
      </c>
      <c r="H749">
        <v>0.50001576012833593</v>
      </c>
      <c r="I749" s="11">
        <f t="shared" si="11"/>
        <v>9.9394851651861793E-2</v>
      </c>
      <c r="J749" s="11">
        <f>1/(H749*Utilities!$B$11)</f>
        <v>7.9997478458945874</v>
      </c>
      <c r="K749" s="11">
        <f>IF(B749&lt;C749,1,EXP(-1*(B749-C749)/(Utilities!$B$11*IterData!H749)))</f>
        <v>0.45152083979307595</v>
      </c>
    </row>
    <row r="750" spans="1:11" x14ac:dyDescent="0.3">
      <c r="A750">
        <v>749</v>
      </c>
      <c r="B750">
        <v>0.11962047839297098</v>
      </c>
      <c r="C750">
        <v>0.11064019301751876</v>
      </c>
      <c r="D750">
        <v>0.93067973363774681</v>
      </c>
      <c r="E750" s="10">
        <v>2.3784891656386188E-3</v>
      </c>
      <c r="F750" s="10">
        <v>1.498134035699465</v>
      </c>
      <c r="H750">
        <v>0.50001544805688602</v>
      </c>
      <c r="I750" s="11">
        <f t="shared" si="11"/>
        <v>8.9802853754522155E-3</v>
      </c>
      <c r="J750" s="11">
        <f>1/(H750*Utilities!$B$11)</f>
        <v>7.9997528387261463</v>
      </c>
      <c r="K750" s="11">
        <f>IF(B750&lt;C750,1,EXP(-1*(B750-C750)/(Utilities!$B$11*IterData!H750)))</f>
        <v>0.93067973363774681</v>
      </c>
    </row>
    <row r="751" spans="1:11" x14ac:dyDescent="0.3">
      <c r="A751">
        <v>750</v>
      </c>
      <c r="B751">
        <v>0.38980559414859539</v>
      </c>
      <c r="C751">
        <v>0.11962047839297098</v>
      </c>
      <c r="D751">
        <v>0.11516199737676538</v>
      </c>
      <c r="E751" s="10">
        <v>3.1327234135852147E-3</v>
      </c>
      <c r="F751" s="10">
        <v>1.4310453722049117</v>
      </c>
      <c r="H751">
        <v>0.50001514216486487</v>
      </c>
      <c r="I751" s="11">
        <f t="shared" si="11"/>
        <v>0.27018511575562443</v>
      </c>
      <c r="J751" s="11">
        <f>1/(H751*Utilities!$B$11)</f>
        <v>7.9997577326990648</v>
      </c>
      <c r="K751" s="11">
        <f>IF(B751&lt;C751,1,EXP(-1*(B751-C751)/(Utilities!$B$11*IterData!H751)))</f>
        <v>0.11516199737676538</v>
      </c>
    </row>
    <row r="752" spans="1:11" x14ac:dyDescent="0.3">
      <c r="A752">
        <v>751</v>
      </c>
      <c r="B752">
        <v>5.6174938205319803E-2</v>
      </c>
      <c r="C752">
        <v>0.11962047839297098</v>
      </c>
      <c r="D752">
        <v>1</v>
      </c>
      <c r="E752" s="10">
        <v>3.1327234135852147E-3</v>
      </c>
      <c r="F752" s="10">
        <v>1.4310453722049117</v>
      </c>
      <c r="H752">
        <v>0.50001484232991156</v>
      </c>
      <c r="I752" s="11">
        <f t="shared" si="11"/>
        <v>-6.3445540187651167E-2</v>
      </c>
      <c r="J752" s="11">
        <f>1/(H752*Utilities!$B$11)</f>
        <v>7.9997625297706376</v>
      </c>
      <c r="K752" s="11">
        <f>IF(B752&lt;C752,1,EXP(-1*(B752-C752)/(Utilities!$B$11*IterData!H752)))</f>
        <v>1</v>
      </c>
    </row>
    <row r="753" spans="1:11" x14ac:dyDescent="0.3">
      <c r="A753">
        <v>752</v>
      </c>
      <c r="B753">
        <v>0.30186632057188068</v>
      </c>
      <c r="C753">
        <v>5.6174938205319803E-2</v>
      </c>
      <c r="D753">
        <v>0.1400894867066777</v>
      </c>
      <c r="E753" s="10">
        <v>2.8926593966428996E-3</v>
      </c>
      <c r="F753" s="10">
        <v>1.5161508953267218</v>
      </c>
      <c r="H753">
        <v>0.50001454843208804</v>
      </c>
      <c r="I753" s="11">
        <f t="shared" si="11"/>
        <v>0.24569138236656088</v>
      </c>
      <c r="J753" s="11">
        <f>1/(H753*Utilities!$B$11)</f>
        <v>7.9997672318594146</v>
      </c>
      <c r="K753" s="11">
        <f>IF(B753&lt;C753,1,EXP(-1*(B753-C753)/(Utilities!$B$11*IterData!H753)))</f>
        <v>0.1400894867066777</v>
      </c>
    </row>
    <row r="754" spans="1:11" x14ac:dyDescent="0.3">
      <c r="A754">
        <v>753</v>
      </c>
      <c r="B754">
        <v>8.7832100656031489E-2</v>
      </c>
      <c r="C754">
        <v>5.6174938205319803E-2</v>
      </c>
      <c r="D754">
        <v>0.77627372954906593</v>
      </c>
      <c r="E754" s="10">
        <v>2.8926593966428996E-3</v>
      </c>
      <c r="F754" s="10">
        <v>1.5161508953267218</v>
      </c>
      <c r="H754">
        <v>0.50001426035383134</v>
      </c>
      <c r="I754" s="11">
        <f t="shared" si="11"/>
        <v>3.1657162450711686E-2</v>
      </c>
      <c r="J754" s="11">
        <f>1/(H754*Utilities!$B$11)</f>
        <v>7.999771840845959</v>
      </c>
      <c r="K754" s="11">
        <f>IF(B754&lt;C754,1,EXP(-1*(B754-C754)/(Utilities!$B$11*IterData!H754)))</f>
        <v>0.77627372954906593</v>
      </c>
    </row>
    <row r="755" spans="1:11" x14ac:dyDescent="0.3">
      <c r="A755">
        <v>754</v>
      </c>
      <c r="B755">
        <v>6.0081303517716241E-2</v>
      </c>
      <c r="C755">
        <v>8.7832100656031489E-2</v>
      </c>
      <c r="D755">
        <v>1</v>
      </c>
      <c r="E755" s="10">
        <v>2.6874920633104199E-3</v>
      </c>
      <c r="F755" s="10">
        <v>1.4850048119058339</v>
      </c>
      <c r="H755">
        <v>0.50001397797990643</v>
      </c>
      <c r="I755" s="11">
        <f t="shared" si="11"/>
        <v>-2.7750797138315249E-2</v>
      </c>
      <c r="J755" s="11">
        <f>1/(H755*Utilities!$B$11)</f>
        <v>7.9997763585736079</v>
      </c>
      <c r="K755" s="11">
        <f>IF(B755&lt;C755,1,EXP(-1*(B755-C755)/(Utilities!$B$11*IterData!H755)))</f>
        <v>1</v>
      </c>
    </row>
    <row r="756" spans="1:11" x14ac:dyDescent="0.3">
      <c r="A756">
        <v>755</v>
      </c>
      <c r="B756">
        <v>1.3870921488226478</v>
      </c>
      <c r="C756">
        <v>6.0081303517716241E-2</v>
      </c>
      <c r="D756">
        <v>2.4525531911372918E-5</v>
      </c>
      <c r="E756" s="10">
        <v>2.6906037713984201E-3</v>
      </c>
      <c r="F756" s="10">
        <v>1.5139068036389538</v>
      </c>
      <c r="H756">
        <v>0.50001370119735977</v>
      </c>
      <c r="I756" s="11">
        <f t="shared" si="11"/>
        <v>1.3270108453049314</v>
      </c>
      <c r="J756" s="11">
        <f>1/(H756*Utilities!$B$11)</f>
        <v>7.9997807868492092</v>
      </c>
      <c r="K756" s="11">
        <f>IF(B756&lt;C756,1,EXP(-1*(B756-C756)/(Utilities!$B$11*IterData!H756)))</f>
        <v>2.4525531911372918E-5</v>
      </c>
    </row>
    <row r="757" spans="1:11" x14ac:dyDescent="0.3">
      <c r="A757">
        <v>756</v>
      </c>
      <c r="B757">
        <v>0.15691654138564473</v>
      </c>
      <c r="C757">
        <v>6.0081303517716241E-2</v>
      </c>
      <c r="D757">
        <v>0.46085994194784335</v>
      </c>
      <c r="E757" s="10">
        <v>2.6906037713984201E-3</v>
      </c>
      <c r="F757" s="10">
        <v>1.5139068036389538</v>
      </c>
      <c r="H757">
        <v>0.50001342989547481</v>
      </c>
      <c r="I757" s="11">
        <f t="shared" si="11"/>
        <v>9.6835237867928498E-2</v>
      </c>
      <c r="J757" s="11">
        <f>1/(H757*Utilities!$B$11)</f>
        <v>7.9997851274438352</v>
      </c>
      <c r="K757" s="11">
        <f>IF(B757&lt;C757,1,EXP(-1*(B757-C757)/(Utilities!$B$11*IterData!H757)))</f>
        <v>0.46085994194784335</v>
      </c>
    </row>
    <row r="758" spans="1:11" x14ac:dyDescent="0.3">
      <c r="A758">
        <v>757</v>
      </c>
      <c r="B758">
        <v>0.45519524574524134</v>
      </c>
      <c r="C758">
        <v>6.0081303517716241E-2</v>
      </c>
      <c r="D758">
        <v>4.2390613551735734E-2</v>
      </c>
      <c r="E758" s="10">
        <v>2.6906037713984201E-3</v>
      </c>
      <c r="F758" s="10">
        <v>1.5139068036389538</v>
      </c>
      <c r="H758">
        <v>0.50001316396572704</v>
      </c>
      <c r="I758" s="11">
        <f t="shared" si="11"/>
        <v>0.39511394222752511</v>
      </c>
      <c r="J758" s="11">
        <f>1/(H758*Utilities!$B$11)</f>
        <v>7.9997893820935015</v>
      </c>
      <c r="K758" s="11">
        <f>IF(B758&lt;C758,1,EXP(-1*(B758-C758)/(Utilities!$B$11*IterData!H758)))</f>
        <v>4.2390613551735734E-2</v>
      </c>
    </row>
    <row r="759" spans="1:11" x14ac:dyDescent="0.3">
      <c r="A759">
        <v>758</v>
      </c>
      <c r="B759">
        <v>0.32052816450395311</v>
      </c>
      <c r="C759">
        <v>6.0081303517716241E-2</v>
      </c>
      <c r="D759">
        <v>0.1244910915706916</v>
      </c>
      <c r="E759" s="10">
        <v>2.6906037713984201E-3</v>
      </c>
      <c r="F759" s="10">
        <v>1.5139068036389538</v>
      </c>
      <c r="H759">
        <v>0.50001290330174109</v>
      </c>
      <c r="I759" s="11">
        <f t="shared" si="11"/>
        <v>0.26044686098623687</v>
      </c>
      <c r="J759" s="11">
        <f>1/(H759*Utilities!$B$11)</f>
        <v>7.9997935524998516</v>
      </c>
      <c r="K759" s="11">
        <f>IF(B759&lt;C759,1,EXP(-1*(B759-C759)/(Utilities!$B$11*IterData!H759)))</f>
        <v>0.1244910915706916</v>
      </c>
    </row>
    <row r="760" spans="1:11" x14ac:dyDescent="0.3">
      <c r="A760">
        <v>759</v>
      </c>
      <c r="B760">
        <v>0.17356833835456262</v>
      </c>
      <c r="C760">
        <v>6.0081303517716241E-2</v>
      </c>
      <c r="D760">
        <v>0.40338117778144195</v>
      </c>
      <c r="E760" s="10">
        <v>2.6906037713984201E-3</v>
      </c>
      <c r="F760" s="10">
        <v>1.5139068036389538</v>
      </c>
      <c r="H760">
        <v>0.50001264779924792</v>
      </c>
      <c r="I760" s="11">
        <f t="shared" si="11"/>
        <v>0.11348703483684638</v>
      </c>
      <c r="J760" s="11">
        <f>1/(H760*Utilities!$B$11)</f>
        <v>7.9997976403308426</v>
      </c>
      <c r="K760" s="11">
        <f>IF(B760&lt;C760,1,EXP(-1*(B760-C760)/(Utilities!$B$11*IterData!H760)))</f>
        <v>0.40338117778144189</v>
      </c>
    </row>
    <row r="761" spans="1:11" x14ac:dyDescent="0.3">
      <c r="A761">
        <v>760</v>
      </c>
      <c r="B761">
        <v>1.0251667223980532</v>
      </c>
      <c r="C761">
        <v>0.17356833835456262</v>
      </c>
      <c r="D761">
        <v>1.0998096545798723E-3</v>
      </c>
      <c r="E761" s="10">
        <v>3.3967529335311381E-3</v>
      </c>
      <c r="F761" s="10">
        <v>1.5875037654833977</v>
      </c>
      <c r="H761">
        <v>0.50001239735604297</v>
      </c>
      <c r="I761" s="11">
        <f t="shared" si="11"/>
        <v>0.85159838404349053</v>
      </c>
      <c r="J761" s="11">
        <f>1/(H761*Utilities!$B$11)</f>
        <v>7.9998016472214122</v>
      </c>
      <c r="K761" s="11">
        <f>IF(B761&lt;C761,1,EXP(-1*(B761-C761)/(Utilities!$B$11*IterData!H761)))</f>
        <v>1.0998096545798723E-3</v>
      </c>
    </row>
    <row r="762" spans="1:11" x14ac:dyDescent="0.3">
      <c r="A762">
        <v>761</v>
      </c>
      <c r="B762">
        <v>1.0359712498865514</v>
      </c>
      <c r="C762">
        <v>0.17356833835456262</v>
      </c>
      <c r="D762">
        <v>1.0087376116224393E-3</v>
      </c>
      <c r="E762" s="10">
        <v>3.3967529335311381E-3</v>
      </c>
      <c r="F762" s="10">
        <v>1.5875037654833977</v>
      </c>
      <c r="H762">
        <v>0.50001215187194592</v>
      </c>
      <c r="I762" s="11">
        <f t="shared" si="11"/>
        <v>0.86240291153198878</v>
      </c>
      <c r="J762" s="11">
        <f>1/(H762*Utilities!$B$11)</f>
        <v>7.9998055747741263</v>
      </c>
      <c r="K762" s="11">
        <f>IF(B762&lt;C762,1,EXP(-1*(B762-C762)/(Utilities!$B$11*IterData!H762)))</f>
        <v>1.0087376116224393E-3</v>
      </c>
    </row>
    <row r="763" spans="1:11" x14ac:dyDescent="0.3">
      <c r="A763">
        <v>762</v>
      </c>
      <c r="B763">
        <v>0.66736859413076699</v>
      </c>
      <c r="C763">
        <v>0.17356833835456262</v>
      </c>
      <c r="D763">
        <v>1.9248773395197451E-2</v>
      </c>
      <c r="E763" s="10">
        <v>3.3967529335311381E-3</v>
      </c>
      <c r="F763" s="10">
        <v>1.5875037654833977</v>
      </c>
      <c r="H763">
        <v>0.50001191124875954</v>
      </c>
      <c r="I763" s="11">
        <f t="shared" si="11"/>
        <v>0.49380025577620434</v>
      </c>
      <c r="J763" s="11">
        <f>1/(H763*Utilities!$B$11)</f>
        <v>7.9998094245598299</v>
      </c>
      <c r="K763" s="11">
        <f>IF(B763&lt;C763,1,EXP(-1*(B763-C763)/(Utilities!$B$11*IterData!H763)))</f>
        <v>1.9248773395197458E-2</v>
      </c>
    </row>
    <row r="764" spans="1:11" x14ac:dyDescent="0.3">
      <c r="A764">
        <v>763</v>
      </c>
      <c r="B764">
        <v>6.989950410360074E-2</v>
      </c>
      <c r="C764">
        <v>0.17356833835456262</v>
      </c>
      <c r="D764">
        <v>1</v>
      </c>
      <c r="E764" s="10">
        <v>3.3967529335311381E-3</v>
      </c>
      <c r="F764" s="10">
        <v>1.5875037654833977</v>
      </c>
      <c r="H764">
        <v>0.5000116753902315</v>
      </c>
      <c r="I764" s="11">
        <f t="shared" si="11"/>
        <v>-0.10366883425096188</v>
      </c>
      <c r="J764" s="11">
        <f>1/(H764*Utilities!$B$11)</f>
        <v>7.9998131981182654</v>
      </c>
      <c r="K764" s="11">
        <f>IF(B764&lt;C764,1,EXP(-1*(B764-C764)/(Utilities!$B$11*IterData!H764)))</f>
        <v>1</v>
      </c>
    </row>
    <row r="765" spans="1:11" x14ac:dyDescent="0.3">
      <c r="A765">
        <v>764</v>
      </c>
      <c r="B765">
        <v>0.19338496233350555</v>
      </c>
      <c r="C765">
        <v>6.989950410360074E-2</v>
      </c>
      <c r="D765">
        <v>0.3723723236285072</v>
      </c>
      <c r="E765" s="10">
        <v>2.967625977800265E-3</v>
      </c>
      <c r="F765" s="10">
        <v>1.4803422979187573</v>
      </c>
      <c r="H765">
        <v>0.50001144420201526</v>
      </c>
      <c r="I765" s="11">
        <f t="shared" si="11"/>
        <v>0.12348545822990481</v>
      </c>
      <c r="J765" s="11">
        <f>1/(H765*Utilities!$B$11)</f>
        <v>7.9998168969586922</v>
      </c>
      <c r="K765" s="11">
        <f>IF(B765&lt;C765,1,EXP(-1*(B765-C765)/(Utilities!$B$11*IterData!H765)))</f>
        <v>0.3723723236285072</v>
      </c>
    </row>
    <row r="766" spans="1:11" x14ac:dyDescent="0.3">
      <c r="A766">
        <v>765</v>
      </c>
      <c r="B766">
        <v>5.3654020759232132E-2</v>
      </c>
      <c r="C766">
        <v>0.19338496233350555</v>
      </c>
      <c r="D766">
        <v>1</v>
      </c>
      <c r="E766" s="10">
        <v>2.6803148340458559E-3</v>
      </c>
      <c r="F766" s="10">
        <v>1.6647445713042373</v>
      </c>
      <c r="H766">
        <v>0.50001121759163247</v>
      </c>
      <c r="I766" s="11">
        <f t="shared" si="11"/>
        <v>-0.1397309415742734</v>
      </c>
      <c r="J766" s="11">
        <f>1/(H766*Utilities!$B$11)</f>
        <v>7.9998205225604897</v>
      </c>
      <c r="K766" s="11">
        <f>IF(B766&lt;C766,1,EXP(-1*(B766-C766)/(Utilities!$B$11*IterData!H766)))</f>
        <v>1</v>
      </c>
    </row>
    <row r="767" spans="1:11" x14ac:dyDescent="0.3">
      <c r="A767">
        <v>766</v>
      </c>
      <c r="B767">
        <v>4.8763594306102762E-2</v>
      </c>
      <c r="C767">
        <v>5.3654020759232132E-2</v>
      </c>
      <c r="D767">
        <v>1</v>
      </c>
      <c r="E767" s="10">
        <v>2.3779041463694844E-3</v>
      </c>
      <c r="F767" s="10">
        <v>1.5887592085517248</v>
      </c>
      <c r="H767">
        <v>0.50001099546843586</v>
      </c>
      <c r="I767" s="11">
        <f t="shared" si="11"/>
        <v>-4.8904264531293706E-3</v>
      </c>
      <c r="J767" s="11">
        <f>1/(H767*Utilities!$B$11)</f>
        <v>7.999824076373752</v>
      </c>
      <c r="K767" s="11">
        <f>IF(B767&lt;C767,1,EXP(-1*(B767-C767)/(Utilities!$B$11*IterData!H767)))</f>
        <v>1</v>
      </c>
    </row>
    <row r="768" spans="1:11" x14ac:dyDescent="0.3">
      <c r="A768">
        <v>767</v>
      </c>
      <c r="B768">
        <v>5.0851991857667041E-2</v>
      </c>
      <c r="C768">
        <v>4.8763594306102762E-2</v>
      </c>
      <c r="D768">
        <v>0.98343196467324012</v>
      </c>
      <c r="E768" s="10">
        <v>2.1367410960235009E-3</v>
      </c>
      <c r="F768" s="10">
        <v>1.6116546497042841</v>
      </c>
      <c r="H768">
        <v>0.50001077774357316</v>
      </c>
      <c r="I768" s="11">
        <f t="shared" si="11"/>
        <v>2.0883975515642791E-3</v>
      </c>
      <c r="J768" s="11">
        <f>1/(H768*Utilities!$B$11)</f>
        <v>7.9998275598198614</v>
      </c>
      <c r="K768" s="11">
        <f>IF(B768&lt;C768,1,EXP(-1*(B768-C768)/(Utilities!$B$11*IterData!H768)))</f>
        <v>0.98343196467324012</v>
      </c>
    </row>
    <row r="769" spans="1:11" x14ac:dyDescent="0.3">
      <c r="A769">
        <v>768</v>
      </c>
      <c r="B769">
        <v>1.2680556878580835</v>
      </c>
      <c r="C769">
        <v>5.0851991857667041E-2</v>
      </c>
      <c r="D769">
        <v>5.903241670371289E-5</v>
      </c>
      <c r="E769" s="10">
        <v>2.3555470881786566E-3</v>
      </c>
      <c r="F769" s="10">
        <v>1.5838899985847463</v>
      </c>
      <c r="H769">
        <v>0.50001056432995161</v>
      </c>
      <c r="I769" s="11">
        <f t="shared" si="11"/>
        <v>1.2172036960004164</v>
      </c>
      <c r="J769" s="11">
        <f>1/(H769*Utilities!$B$11)</f>
        <v>7.9998309742920606</v>
      </c>
      <c r="K769" s="11">
        <f>IF(B769&lt;C769,1,EXP(-1*(B769-C769)/(Utilities!$B$11*IterData!H769)))</f>
        <v>5.903241670371289E-5</v>
      </c>
    </row>
    <row r="770" spans="1:11" x14ac:dyDescent="0.3">
      <c r="A770">
        <v>769</v>
      </c>
      <c r="B770">
        <v>0.42017969466991206</v>
      </c>
      <c r="C770">
        <v>5.0851991857667041E-2</v>
      </c>
      <c r="D770">
        <v>5.2101557683645515E-2</v>
      </c>
      <c r="E770" s="10">
        <v>2.3555470881786566E-3</v>
      </c>
      <c r="F770" s="10">
        <v>1.5838899985847463</v>
      </c>
      <c r="H770">
        <v>0.50001035514220304</v>
      </c>
      <c r="I770" s="11">
        <f t="shared" si="11"/>
        <v>0.36932770281224503</v>
      </c>
      <c r="J770" s="11">
        <f>1/(H770*Utilities!$B$11)</f>
        <v>7.9998343211560075</v>
      </c>
      <c r="K770" s="11">
        <f>IF(B770&lt;C770,1,EXP(-1*(B770-C770)/(Utilities!$B$11*IterData!H770)))</f>
        <v>5.2101557683645515E-2</v>
      </c>
    </row>
    <row r="771" spans="1:11" x14ac:dyDescent="0.3">
      <c r="A771">
        <v>770</v>
      </c>
      <c r="B771">
        <v>1.0162781190823604</v>
      </c>
      <c r="C771">
        <v>0.42017969466991206</v>
      </c>
      <c r="D771">
        <v>8.4914917280994855E-3</v>
      </c>
      <c r="E771" s="10">
        <v>1.7600461240634209E-3</v>
      </c>
      <c r="F771" s="10">
        <v>1.885898150305519</v>
      </c>
      <c r="H771">
        <v>0.50001015009664929</v>
      </c>
      <c r="I771" s="11">
        <f t="shared" ref="I771:I834" si="12">B771-C771</f>
        <v>0.59609842441244831</v>
      </c>
      <c r="J771" s="11">
        <f>1/(H771*Utilities!$B$11)</f>
        <v>7.9998376017503272</v>
      </c>
      <c r="K771" s="11">
        <f>IF(B771&lt;C771,1,EXP(-1*(B771-C771)/(Utilities!$B$11*IterData!H771)))</f>
        <v>8.4914917280994855E-3</v>
      </c>
    </row>
    <row r="772" spans="1:11" x14ac:dyDescent="0.3">
      <c r="A772">
        <v>771</v>
      </c>
      <c r="B772">
        <v>4.8781029238686352E-2</v>
      </c>
      <c r="C772">
        <v>0.42017969466991206</v>
      </c>
      <c r="D772">
        <v>1</v>
      </c>
      <c r="E772" s="10">
        <v>1.7600461240634209E-3</v>
      </c>
      <c r="F772" s="10">
        <v>1.885898150305519</v>
      </c>
      <c r="H772">
        <v>0.50000994911126961</v>
      </c>
      <c r="I772" s="11">
        <f t="shared" si="12"/>
        <v>-0.37139866543122568</v>
      </c>
      <c r="J772" s="11">
        <f>1/(H772*Utilities!$B$11)</f>
        <v>7.9998408173871374</v>
      </c>
      <c r="K772" s="11">
        <f>IF(B772&lt;C772,1,EXP(-1*(B772-C772)/(Utilities!$B$11*IterData!H772)))</f>
        <v>1</v>
      </c>
    </row>
    <row r="773" spans="1:11" x14ac:dyDescent="0.3">
      <c r="A773">
        <v>772</v>
      </c>
      <c r="B773">
        <v>0.4195041830618233</v>
      </c>
      <c r="C773">
        <v>4.8781029238686352E-2</v>
      </c>
      <c r="D773">
        <v>5.1522978497203595E-2</v>
      </c>
      <c r="E773" s="10">
        <v>1.8933846727279232E-3</v>
      </c>
      <c r="F773" s="10">
        <v>1.6020515973378597</v>
      </c>
      <c r="H773">
        <v>0.500009752105667</v>
      </c>
      <c r="I773" s="11">
        <f t="shared" si="12"/>
        <v>0.37072315382313692</v>
      </c>
      <c r="J773" s="11">
        <f>1/(H773*Utilities!$B$11)</f>
        <v>7.9998439693525825</v>
      </c>
      <c r="K773" s="11">
        <f>IF(B773&lt;C773,1,EXP(-1*(B773-C773)/(Utilities!$B$11*IterData!H773)))</f>
        <v>5.1522978497203616E-2</v>
      </c>
    </row>
    <row r="774" spans="1:11" x14ac:dyDescent="0.3">
      <c r="A774">
        <v>773</v>
      </c>
      <c r="B774">
        <v>1.2581771491599425</v>
      </c>
      <c r="C774">
        <v>4.8781029238686352E-2</v>
      </c>
      <c r="D774">
        <v>6.2835899922475031E-5</v>
      </c>
      <c r="E774" s="10">
        <v>1.8933846727279232E-3</v>
      </c>
      <c r="F774" s="10">
        <v>1.6020515973378597</v>
      </c>
      <c r="H774">
        <v>0.50000955900103672</v>
      </c>
      <c r="I774" s="11">
        <f t="shared" si="12"/>
        <v>1.2093961199212562</v>
      </c>
      <c r="J774" s="11">
        <f>1/(H774*Utilities!$B$11)</f>
        <v>7.9998470589073403</v>
      </c>
      <c r="K774" s="11">
        <f>IF(B774&lt;C774,1,EXP(-1*(B774-C774)/(Utilities!$B$11*IterData!H774)))</f>
        <v>6.2835899922475031E-5</v>
      </c>
    </row>
    <row r="775" spans="1:11" x14ac:dyDescent="0.3">
      <c r="A775">
        <v>774</v>
      </c>
      <c r="B775">
        <v>4.3808912398295902E-2</v>
      </c>
      <c r="C775">
        <v>4.8781029238686352E-2</v>
      </c>
      <c r="D775">
        <v>1</v>
      </c>
      <c r="E775" s="10">
        <v>1.8933846727279232E-3</v>
      </c>
      <c r="F775" s="10">
        <v>1.6020515973378597</v>
      </c>
      <c r="H775">
        <v>0.50000936972013432</v>
      </c>
      <c r="I775" s="11">
        <f t="shared" si="12"/>
        <v>-4.9721168403904503E-3</v>
      </c>
      <c r="J775" s="11">
        <f>1/(H775*Utilities!$B$11)</f>
        <v>7.9998500872871308</v>
      </c>
      <c r="K775" s="11">
        <f>IF(B775&lt;C775,1,EXP(-1*(B775-C775)/(Utilities!$B$11*IterData!H775)))</f>
        <v>1</v>
      </c>
    </row>
    <row r="776" spans="1:11" x14ac:dyDescent="0.3">
      <c r="A776">
        <v>775</v>
      </c>
      <c r="B776">
        <v>0.24532424895824304</v>
      </c>
      <c r="C776">
        <v>4.3808912398295902E-2</v>
      </c>
      <c r="D776">
        <v>0.19946967066523066</v>
      </c>
      <c r="E776" s="10">
        <v>1.920823160957247E-3</v>
      </c>
      <c r="F776" s="10">
        <v>1.6315254261754015</v>
      </c>
      <c r="H776">
        <v>0.50000918418724494</v>
      </c>
      <c r="I776" s="11">
        <f t="shared" si="12"/>
        <v>0.20151533655994713</v>
      </c>
      <c r="J776" s="11">
        <f>1/(H776*Utilities!$B$11)</f>
        <v>7.999853055703209</v>
      </c>
      <c r="K776" s="11">
        <f>IF(B776&lt;C776,1,EXP(-1*(B776-C776)/(Utilities!$B$11*IterData!H776)))</f>
        <v>0.19946967066523066</v>
      </c>
    </row>
    <row r="777" spans="1:11" x14ac:dyDescent="0.3">
      <c r="A777">
        <v>776</v>
      </c>
      <c r="B777">
        <v>1.4269487501408553</v>
      </c>
      <c r="C777">
        <v>4.3808912398295902E-2</v>
      </c>
      <c r="D777">
        <v>1.5651880603054401E-5</v>
      </c>
      <c r="E777" s="10">
        <v>1.920823160957247E-3</v>
      </c>
      <c r="F777" s="10">
        <v>1.6315254261754015</v>
      </c>
      <c r="H777">
        <v>0.50000900232815293</v>
      </c>
      <c r="I777" s="11">
        <f t="shared" si="12"/>
        <v>1.3831398377425594</v>
      </c>
      <c r="J777" s="11">
        <f>1/(H777*Utilities!$B$11)</f>
        <v>7.9998559653428476</v>
      </c>
      <c r="K777" s="11">
        <f>IF(B777&lt;C777,1,EXP(-1*(B777-C777)/(Utilities!$B$11*IterData!H777)))</f>
        <v>1.5651880603054401E-5</v>
      </c>
    </row>
    <row r="778" spans="1:11" x14ac:dyDescent="0.3">
      <c r="A778">
        <v>777</v>
      </c>
      <c r="B778">
        <v>0.10580497266800767</v>
      </c>
      <c r="C778">
        <v>4.3808912398295902E-2</v>
      </c>
      <c r="D778">
        <v>0.60898616482292522</v>
      </c>
      <c r="E778" s="10">
        <v>1.920823160957247E-3</v>
      </c>
      <c r="F778" s="10">
        <v>1.6315254261754015</v>
      </c>
      <c r="H778">
        <v>0.50000882407011216</v>
      </c>
      <c r="I778" s="11">
        <f t="shared" si="12"/>
        <v>6.1996060269711772E-2</v>
      </c>
      <c r="J778" s="11">
        <f>1/(H778*Utilities!$B$11)</f>
        <v>7.999858817369816</v>
      </c>
      <c r="K778" s="11">
        <f>IF(B778&lt;C778,1,EXP(-1*(B778-C778)/(Utilities!$B$11*IterData!H778)))</f>
        <v>0.60898616482292522</v>
      </c>
    </row>
    <row r="779" spans="1:11" x14ac:dyDescent="0.3">
      <c r="A779">
        <v>778</v>
      </c>
      <c r="B779">
        <v>0.5245987207697882</v>
      </c>
      <c r="C779">
        <v>4.3808912398295902E-2</v>
      </c>
      <c r="D779">
        <v>2.1359643996136223E-2</v>
      </c>
      <c r="E779" s="10">
        <v>1.920823160957247E-3</v>
      </c>
      <c r="F779" s="10">
        <v>1.6315254261754015</v>
      </c>
      <c r="H779">
        <v>0.5000086493418171</v>
      </c>
      <c r="I779" s="11">
        <f t="shared" si="12"/>
        <v>0.48078980837149232</v>
      </c>
      <c r="J779" s="11">
        <f>1/(H779*Utilities!$B$11)</f>
        <v>7.9998616129248408</v>
      </c>
      <c r="K779" s="11">
        <f>IF(B779&lt;C779,1,EXP(-1*(B779-C779)/(Utilities!$B$11*IterData!H779)))</f>
        <v>2.1359643996136223E-2</v>
      </c>
    </row>
    <row r="780" spans="1:11" x14ac:dyDescent="0.3">
      <c r="A780">
        <v>779</v>
      </c>
      <c r="B780">
        <v>0.37716921259765052</v>
      </c>
      <c r="C780">
        <v>4.3808912398295902E-2</v>
      </c>
      <c r="D780">
        <v>6.9471604217339597E-2</v>
      </c>
      <c r="E780" s="10">
        <v>1.920823160957247E-3</v>
      </c>
      <c r="F780" s="10">
        <v>1.6315254261754015</v>
      </c>
      <c r="H780">
        <v>0.50000847807337412</v>
      </c>
      <c r="I780" s="11">
        <f t="shared" si="12"/>
        <v>0.33336030019935459</v>
      </c>
      <c r="J780" s="11">
        <f>1/(H780*Utilities!$B$11)</f>
        <v>7.9998643531260623</v>
      </c>
      <c r="K780" s="11">
        <f>IF(B780&lt;C780,1,EXP(-1*(B780-C780)/(Utilities!$B$11*IterData!H780)))</f>
        <v>6.9471604217339625E-2</v>
      </c>
    </row>
    <row r="781" spans="1:11" x14ac:dyDescent="0.3">
      <c r="A781">
        <v>780</v>
      </c>
      <c r="B781">
        <v>0.21134083166183582</v>
      </c>
      <c r="C781">
        <v>4.3808912398295902E-2</v>
      </c>
      <c r="D781">
        <v>0.26178464498964482</v>
      </c>
      <c r="E781" s="10">
        <v>1.920823160957247E-3</v>
      </c>
      <c r="F781" s="10">
        <v>1.6315254261754015</v>
      </c>
      <c r="H781">
        <v>0.50000831019627345</v>
      </c>
      <c r="I781" s="11">
        <f t="shared" si="12"/>
        <v>0.16753191926353991</v>
      </c>
      <c r="J781" s="11">
        <f>1/(H781*Utilities!$B$11)</f>
        <v>7.9998670390694873</v>
      </c>
      <c r="K781" s="11">
        <f>IF(B781&lt;C781,1,EXP(-1*(B781-C781)/(Utilities!$B$11*IterData!H781)))</f>
        <v>0.26178464498964482</v>
      </c>
    </row>
    <row r="782" spans="1:11" x14ac:dyDescent="0.3">
      <c r="A782">
        <v>781</v>
      </c>
      <c r="B782">
        <v>1.4320817831042421</v>
      </c>
      <c r="C782">
        <v>4.3808912398295902E-2</v>
      </c>
      <c r="D782">
        <v>1.5021890792205379E-5</v>
      </c>
      <c r="E782" s="10">
        <v>1.920823160957247E-3</v>
      </c>
      <c r="F782" s="10">
        <v>1.6315254261754015</v>
      </c>
      <c r="H782">
        <v>0.50000814564336216</v>
      </c>
      <c r="I782" s="11">
        <f t="shared" si="12"/>
        <v>1.3882728707059462</v>
      </c>
      <c r="J782" s="11">
        <f>1/(H782*Utilities!$B$11)</f>
        <v>7.9998696718294191</v>
      </c>
      <c r="K782" s="11">
        <f>IF(B782&lt;C782,1,EXP(-1*(B782-C782)/(Utilities!$B$11*IterData!H782)))</f>
        <v>1.5021890792205379E-5</v>
      </c>
    </row>
    <row r="783" spans="1:11" x14ac:dyDescent="0.3">
      <c r="A783">
        <v>782</v>
      </c>
      <c r="B783">
        <v>0.41583070079780871</v>
      </c>
      <c r="C783">
        <v>4.3808912398295902E-2</v>
      </c>
      <c r="D783">
        <v>5.0989947051383148E-2</v>
      </c>
      <c r="E783" s="10">
        <v>1.920823160957247E-3</v>
      </c>
      <c r="F783" s="10">
        <v>1.6315254261754015</v>
      </c>
      <c r="H783">
        <v>0.50000798434881688</v>
      </c>
      <c r="I783" s="11">
        <f t="shared" si="12"/>
        <v>0.37202178839951283</v>
      </c>
      <c r="J783" s="11">
        <f>1/(H783*Utilities!$B$11)</f>
        <v>7.9998722524588919</v>
      </c>
      <c r="K783" s="11">
        <f>IF(B783&lt;C783,1,EXP(-1*(B783-C783)/(Utilities!$B$11*IterData!H783)))</f>
        <v>5.0989947051383121E-2</v>
      </c>
    </row>
    <row r="784" spans="1:11" x14ac:dyDescent="0.3">
      <c r="A784">
        <v>783</v>
      </c>
      <c r="B784">
        <v>0.14167346588269347</v>
      </c>
      <c r="C784">
        <v>4.3808912398295902E-2</v>
      </c>
      <c r="D784">
        <v>0.45707665200779379</v>
      </c>
      <c r="E784" s="10">
        <v>1.920823160957247E-3</v>
      </c>
      <c r="F784" s="10">
        <v>1.6315254261754015</v>
      </c>
      <c r="H784">
        <v>0.50000782624811746</v>
      </c>
      <c r="I784" s="11">
        <f t="shared" si="12"/>
        <v>9.7864553484397571E-2</v>
      </c>
      <c r="J784" s="11">
        <f>1/(H784*Utilities!$B$11)</f>
        <v>7.9998747819900951</v>
      </c>
      <c r="K784" s="11">
        <f>IF(B784&lt;C784,1,EXP(-1*(B784-C784)/(Utilities!$B$11*IterData!H784)))</f>
        <v>0.45707665200779379</v>
      </c>
    </row>
    <row r="785" spans="1:11" x14ac:dyDescent="0.3">
      <c r="A785">
        <v>784</v>
      </c>
      <c r="B785">
        <v>0.61820069734472827</v>
      </c>
      <c r="C785">
        <v>0.14167346588269347</v>
      </c>
      <c r="D785">
        <v>2.2100404589084775E-2</v>
      </c>
      <c r="E785" s="10">
        <v>2.0489364016890214E-3</v>
      </c>
      <c r="F785" s="10">
        <v>1.7112510418154552</v>
      </c>
      <c r="H785">
        <v>0.5000076712780217</v>
      </c>
      <c r="I785" s="11">
        <f t="shared" si="12"/>
        <v>0.47652723146203479</v>
      </c>
      <c r="J785" s="11">
        <f>1/(H785*Utilities!$B$11)</f>
        <v>7.9998772614347757</v>
      </c>
      <c r="K785" s="11">
        <f>IF(B785&lt;C785,1,EXP(-1*(B785-C785)/(Utilities!$B$11*IterData!H785)))</f>
        <v>2.2100404589084775E-2</v>
      </c>
    </row>
    <row r="786" spans="1:11" x14ac:dyDescent="0.3">
      <c r="A786">
        <v>785</v>
      </c>
      <c r="B786">
        <v>0.45376848062848169</v>
      </c>
      <c r="C786">
        <v>0.14167346588269347</v>
      </c>
      <c r="D786">
        <v>8.2354467772273704E-2</v>
      </c>
      <c r="E786" s="10">
        <v>2.0489364016890214E-3</v>
      </c>
      <c r="F786" s="10">
        <v>1.7112510418154552</v>
      </c>
      <c r="H786">
        <v>0.50000751937653942</v>
      </c>
      <c r="I786" s="11">
        <f t="shared" si="12"/>
        <v>0.31209501474578821</v>
      </c>
      <c r="J786" s="11">
        <f>1/(H786*Utilities!$B$11)</f>
        <v>7.9998796917846544</v>
      </c>
      <c r="K786" s="11">
        <f>IF(B786&lt;C786,1,EXP(-1*(B786-C786)/(Utilities!$B$11*IterData!H786)))</f>
        <v>8.2354467772273704E-2</v>
      </c>
    </row>
    <row r="787" spans="1:11" x14ac:dyDescent="0.3">
      <c r="A787">
        <v>786</v>
      </c>
      <c r="B787">
        <v>0.24787603284495668</v>
      </c>
      <c r="C787">
        <v>0.14167346588269347</v>
      </c>
      <c r="D787">
        <v>0.42758250646182</v>
      </c>
      <c r="E787" s="10">
        <v>2.0489364016890214E-3</v>
      </c>
      <c r="F787" s="10">
        <v>1.7112510418154552</v>
      </c>
      <c r="H787">
        <v>0.50000737048290811</v>
      </c>
      <c r="I787" s="11">
        <f t="shared" si="12"/>
        <v>0.10620256696226321</v>
      </c>
      <c r="J787" s="11">
        <f>1/(H787*Utilities!$B$11)</f>
        <v>7.9998820740118131</v>
      </c>
      <c r="K787" s="11">
        <f>IF(B787&lt;C787,1,EXP(-1*(B787-C787)/(Utilities!$B$11*IterData!H787)))</f>
        <v>0.42758250646182</v>
      </c>
    </row>
    <row r="788" spans="1:11" x14ac:dyDescent="0.3">
      <c r="A788">
        <v>787</v>
      </c>
      <c r="B788">
        <v>0.25327207183161765</v>
      </c>
      <c r="C788">
        <v>0.14167346588269347</v>
      </c>
      <c r="D788">
        <v>0.40951737458723009</v>
      </c>
      <c r="E788" s="10">
        <v>2.0489364016890214E-3</v>
      </c>
      <c r="F788" s="10">
        <v>1.7112510418154552</v>
      </c>
      <c r="H788">
        <v>0.50000722453756818</v>
      </c>
      <c r="I788" s="11">
        <f t="shared" si="12"/>
        <v>0.11159860594892418</v>
      </c>
      <c r="J788" s="11">
        <f>1/(H788*Utilities!$B$11)</f>
        <v>7.9998844090690913</v>
      </c>
      <c r="K788" s="11">
        <f>IF(B788&lt;C788,1,EXP(-1*(B788-C788)/(Utilities!$B$11*IterData!H788)))</f>
        <v>0.40951737458723009</v>
      </c>
    </row>
    <row r="789" spans="1:11" x14ac:dyDescent="0.3">
      <c r="A789">
        <v>788</v>
      </c>
      <c r="B789">
        <v>0.58450140453552557</v>
      </c>
      <c r="C789">
        <v>0.14167346588269347</v>
      </c>
      <c r="D789">
        <v>2.8938762028142377E-2</v>
      </c>
      <c r="E789" s="10">
        <v>2.0489364016890214E-3</v>
      </c>
      <c r="F789" s="10">
        <v>1.7112510418154552</v>
      </c>
      <c r="H789">
        <v>0.50000708148213957</v>
      </c>
      <c r="I789" s="11">
        <f t="shared" si="12"/>
        <v>0.4428279386528321</v>
      </c>
      <c r="J789" s="11">
        <f>1/(H789*Utilities!$B$11)</f>
        <v>7.999886697890461</v>
      </c>
      <c r="K789" s="11">
        <f>IF(B789&lt;C789,1,EXP(-1*(B789-C789)/(Utilities!$B$11*IterData!H789)))</f>
        <v>2.8938762028142377E-2</v>
      </c>
    </row>
    <row r="790" spans="1:11" x14ac:dyDescent="0.3">
      <c r="A790">
        <v>789</v>
      </c>
      <c r="B790">
        <v>0.48985456016534362</v>
      </c>
      <c r="C790">
        <v>0.14167346588269347</v>
      </c>
      <c r="D790">
        <v>6.1703780000772236E-2</v>
      </c>
      <c r="E790" s="10">
        <v>2.0489364016890214E-3</v>
      </c>
      <c r="F790" s="10">
        <v>1.7112510418154552</v>
      </c>
      <c r="H790">
        <v>0.50000694125939826</v>
      </c>
      <c r="I790" s="11">
        <f t="shared" si="12"/>
        <v>0.34818109428265015</v>
      </c>
      <c r="J790" s="11">
        <f>1/(H790*Utilities!$B$11)</f>
        <v>7.9998889413914007</v>
      </c>
      <c r="K790" s="11">
        <f>IF(B790&lt;C790,1,EXP(-1*(B790-C790)/(Utilities!$B$11*IterData!H790)))</f>
        <v>6.1703780000772236E-2</v>
      </c>
    </row>
    <row r="791" spans="1:11" x14ac:dyDescent="0.3">
      <c r="A791">
        <v>790</v>
      </c>
      <c r="B791">
        <v>0.91483772012483977</v>
      </c>
      <c r="C791">
        <v>0.14167346588269347</v>
      </c>
      <c r="D791">
        <v>2.0596280563774396E-3</v>
      </c>
      <c r="E791" s="10">
        <v>2.0489364016890214E-3</v>
      </c>
      <c r="F791" s="10">
        <v>1.7112510418154552</v>
      </c>
      <c r="H791">
        <v>0.50000680381325324</v>
      </c>
      <c r="I791" s="11">
        <f t="shared" si="12"/>
        <v>0.7731642542421463</v>
      </c>
      <c r="J791" s="11">
        <f>1/(H791*Utilities!$B$11)</f>
        <v>7.9998911404692681</v>
      </c>
      <c r="K791" s="11">
        <f>IF(B791&lt;C791,1,EXP(-1*(B791-C791)/(Utilities!$B$11*IterData!H791)))</f>
        <v>2.0596280563774396E-3</v>
      </c>
    </row>
    <row r="792" spans="1:11" x14ac:dyDescent="0.3">
      <c r="A792">
        <v>791</v>
      </c>
      <c r="B792">
        <v>0.12697704887019079</v>
      </c>
      <c r="C792">
        <v>0.14167346588269347</v>
      </c>
      <c r="D792">
        <v>1</v>
      </c>
      <c r="E792" s="10">
        <v>2.0489364016890214E-3</v>
      </c>
      <c r="F792" s="10">
        <v>1.7112510418154552</v>
      </c>
      <c r="H792">
        <v>0.50000666908872426</v>
      </c>
      <c r="I792" s="11">
        <f t="shared" si="12"/>
        <v>-1.4696417012502683E-2</v>
      </c>
      <c r="J792" s="11">
        <f>1/(H792*Utilities!$B$11)</f>
        <v>7.9998932960036484</v>
      </c>
      <c r="K792" s="11">
        <f>IF(B792&lt;C792,1,EXP(-1*(B792-C792)/(Utilities!$B$11*IterData!H792)))</f>
        <v>1</v>
      </c>
    </row>
    <row r="793" spans="1:11" x14ac:dyDescent="0.3">
      <c r="A793">
        <v>792</v>
      </c>
      <c r="B793">
        <v>0.31043638780253102</v>
      </c>
      <c r="C793">
        <v>0.12697704887019079</v>
      </c>
      <c r="D793">
        <v>0.23046517253905668</v>
      </c>
      <c r="E793" s="10">
        <v>1.9435688195180456E-3</v>
      </c>
      <c r="F793" s="10">
        <v>1.7168459306358264</v>
      </c>
      <c r="H793">
        <v>0.50000653703191966</v>
      </c>
      <c r="I793" s="11">
        <f t="shared" si="12"/>
        <v>0.18345933893234023</v>
      </c>
      <c r="J793" s="11">
        <f>1/(H793*Utilities!$B$11)</f>
        <v>7.9998954088567169</v>
      </c>
      <c r="K793" s="11">
        <f>IF(B793&lt;C793,1,EXP(-1*(B793-C793)/(Utilities!$B$11*IterData!H793)))</f>
        <v>0.23046517253905668</v>
      </c>
    </row>
    <row r="794" spans="1:11" x14ac:dyDescent="0.3">
      <c r="A794">
        <v>793</v>
      </c>
      <c r="B794">
        <v>0.10255002908691534</v>
      </c>
      <c r="C794">
        <v>0.12697704887019079</v>
      </c>
      <c r="D794">
        <v>1</v>
      </c>
      <c r="E794" s="10">
        <v>1.9435688195180456E-3</v>
      </c>
      <c r="F794" s="10">
        <v>1.7168459306358264</v>
      </c>
      <c r="H794">
        <v>0.50000640759001502</v>
      </c>
      <c r="I794" s="11">
        <f t="shared" si="12"/>
        <v>-2.4427019783275453E-2</v>
      </c>
      <c r="J794" s="11">
        <f>1/(H794*Utilities!$B$11)</f>
        <v>7.9998974798735736</v>
      </c>
      <c r="K794" s="11">
        <f>IF(B794&lt;C794,1,EXP(-1*(B794-C794)/(Utilities!$B$11*IterData!H794)))</f>
        <v>1</v>
      </c>
    </row>
    <row r="795" spans="1:11" x14ac:dyDescent="0.3">
      <c r="A795">
        <v>794</v>
      </c>
      <c r="B795">
        <v>4.642528520685938E-2</v>
      </c>
      <c r="C795">
        <v>0.10255002908691534</v>
      </c>
      <c r="D795">
        <v>1</v>
      </c>
      <c r="E795" s="10">
        <v>1.8058486770406541E-3</v>
      </c>
      <c r="F795" s="10">
        <v>1.7206772150615137</v>
      </c>
      <c r="H795">
        <v>0.50000628071123177</v>
      </c>
      <c r="I795" s="11">
        <f t="shared" si="12"/>
        <v>-5.6124743880055956E-2</v>
      </c>
      <c r="J795" s="11">
        <f>1/(H795*Utilities!$B$11)</f>
        <v>7.9998995098825905</v>
      </c>
      <c r="K795" s="11">
        <f>IF(B795&lt;C795,1,EXP(-1*(B795-C795)/(Utilities!$B$11*IterData!H795)))</f>
        <v>1</v>
      </c>
    </row>
    <row r="796" spans="1:11" x14ac:dyDescent="0.3">
      <c r="A796">
        <v>795</v>
      </c>
      <c r="B796">
        <v>0.61997726403593578</v>
      </c>
      <c r="C796">
        <v>4.642528520685938E-2</v>
      </c>
      <c r="D796">
        <v>1.0169529478886339E-2</v>
      </c>
      <c r="E796" s="10">
        <v>1.8401366978537757E-3</v>
      </c>
      <c r="F796" s="10">
        <v>1.6123149373681911</v>
      </c>
      <c r="H796">
        <v>0.50000615634481682</v>
      </c>
      <c r="I796" s="11">
        <f t="shared" si="12"/>
        <v>0.57355197882907638</v>
      </c>
      <c r="J796" s="11">
        <f>1/(H796*Utilities!$B$11)</f>
        <v>7.9999014996957349</v>
      </c>
      <c r="K796" s="11">
        <f>IF(B796&lt;C796,1,EXP(-1*(B796-C796)/(Utilities!$B$11*IterData!H796)))</f>
        <v>1.0169529478886339E-2</v>
      </c>
    </row>
    <row r="797" spans="1:11" x14ac:dyDescent="0.3">
      <c r="A797">
        <v>796</v>
      </c>
      <c r="B797">
        <v>0.52003521578594425</v>
      </c>
      <c r="C797">
        <v>4.642528520685938E-2</v>
      </c>
      <c r="D797">
        <v>2.2621970076260083E-2</v>
      </c>
      <c r="E797" s="10">
        <v>1.8401366978537757E-3</v>
      </c>
      <c r="F797" s="10">
        <v>1.6123149373681911</v>
      </c>
      <c r="H797">
        <v>0.50000603444102187</v>
      </c>
      <c r="I797" s="11">
        <f t="shared" si="12"/>
        <v>0.47360993057908485</v>
      </c>
      <c r="J797" s="11">
        <f>1/(H797*Utilities!$B$11)</f>
        <v>7.9999034501088992</v>
      </c>
      <c r="K797" s="11">
        <f>IF(B797&lt;C797,1,EXP(-1*(B797-C797)/(Utilities!$B$11*IterData!H797)))</f>
        <v>2.2621970076260083E-2</v>
      </c>
    </row>
    <row r="798" spans="1:11" x14ac:dyDescent="0.3">
      <c r="A798">
        <v>797</v>
      </c>
      <c r="B798">
        <v>0.11025928620567582</v>
      </c>
      <c r="C798">
        <v>4.642528520685938E-2</v>
      </c>
      <c r="D798">
        <v>0.60009580178983757</v>
      </c>
      <c r="E798" s="10">
        <v>1.8401366978537757E-3</v>
      </c>
      <c r="F798" s="10">
        <v>1.6123149373681911</v>
      </c>
      <c r="H798">
        <v>0.50000591495108382</v>
      </c>
      <c r="I798" s="11">
        <f t="shared" si="12"/>
        <v>6.3834000998816448E-2</v>
      </c>
      <c r="J798" s="11">
        <f>1/(H798*Utilities!$B$11)</f>
        <v>7.9999053619022185</v>
      </c>
      <c r="K798" s="11">
        <f>IF(B798&lt;C798,1,EXP(-1*(B798-C798)/(Utilities!$B$11*IterData!H798)))</f>
        <v>0.60009580178983746</v>
      </c>
    </row>
    <row r="799" spans="1:11" x14ac:dyDescent="0.3">
      <c r="A799">
        <v>798</v>
      </c>
      <c r="B799">
        <v>0.53727384793886446</v>
      </c>
      <c r="C799">
        <v>0.11025928620567582</v>
      </c>
      <c r="D799">
        <v>3.2841021739864536E-2</v>
      </c>
      <c r="E799" s="10">
        <v>2.039850057465369E-3</v>
      </c>
      <c r="F799" s="10">
        <v>1.5334055185203528</v>
      </c>
      <c r="H799">
        <v>0.500005797827205</v>
      </c>
      <c r="I799" s="11">
        <f t="shared" si="12"/>
        <v>0.42701456173318864</v>
      </c>
      <c r="J799" s="11">
        <f>1/(H799*Utilities!$B$11)</f>
        <v>7.9999072358403813</v>
      </c>
      <c r="K799" s="11">
        <f>IF(B799&lt;C799,1,EXP(-1*(B799-C799)/(Utilities!$B$11*IterData!H799)))</f>
        <v>3.2841021739864536E-2</v>
      </c>
    </row>
    <row r="800" spans="1:11" x14ac:dyDescent="0.3">
      <c r="A800">
        <v>799</v>
      </c>
      <c r="B800">
        <v>0.17521192183894499</v>
      </c>
      <c r="C800">
        <v>0.11025928620567582</v>
      </c>
      <c r="D800">
        <v>0.59474937593061594</v>
      </c>
      <c r="E800" s="10">
        <v>2.039850057465369E-3</v>
      </c>
      <c r="F800" s="10">
        <v>1.5334055185203528</v>
      </c>
      <c r="H800">
        <v>0.50000568302253445</v>
      </c>
      <c r="I800" s="11">
        <f t="shared" si="12"/>
        <v>6.4952635633269168E-2</v>
      </c>
      <c r="J800" s="11">
        <f>1/(H800*Utilities!$B$11)</f>
        <v>7.9999090726729332</v>
      </c>
      <c r="K800" s="11">
        <f>IF(B800&lt;C800,1,EXP(-1*(B800-C800)/(Utilities!$B$11*IterData!H800)))</f>
        <v>0.59474937593061594</v>
      </c>
    </row>
    <row r="801" spans="1:11" x14ac:dyDescent="0.3">
      <c r="A801">
        <v>800</v>
      </c>
      <c r="B801">
        <v>4.2431757831973074E-2</v>
      </c>
      <c r="C801">
        <v>0.11025928620567582</v>
      </c>
      <c r="D801">
        <v>1</v>
      </c>
      <c r="E801" s="10">
        <v>2.039850057465369E-3</v>
      </c>
      <c r="F801" s="10">
        <v>1.5334055185203528</v>
      </c>
      <c r="H801">
        <v>0.50000557049114858</v>
      </c>
      <c r="I801" s="11">
        <f t="shared" si="12"/>
        <v>-6.7827528373702747E-2</v>
      </c>
      <c r="J801" s="11">
        <f>1/(H801*Utilities!$B$11)</f>
        <v>7.999910873134584</v>
      </c>
      <c r="K801" s="11">
        <f>IF(B801&lt;C801,1,EXP(-1*(B801-C801)/(Utilities!$B$11*IterData!H801)))</f>
        <v>1</v>
      </c>
    </row>
    <row r="802" spans="1:11" x14ac:dyDescent="0.3">
      <c r="A802">
        <v>801</v>
      </c>
      <c r="B802">
        <v>0.27664179122597843</v>
      </c>
      <c r="C802">
        <v>4.2431757831973074E-2</v>
      </c>
      <c r="D802">
        <v>0.15356063002222384</v>
      </c>
      <c r="E802" s="10">
        <v>1.6107101169752964E-3</v>
      </c>
      <c r="F802" s="10">
        <v>1.6874708602619797</v>
      </c>
      <c r="H802">
        <v>0.50000546018803349</v>
      </c>
      <c r="I802" s="11">
        <f t="shared" si="12"/>
        <v>0.23421003339400537</v>
      </c>
      <c r="J802" s="11">
        <f>1/(H802*Utilities!$B$11)</f>
        <v>7.9999126379454903</v>
      </c>
      <c r="K802" s="11">
        <f>IF(B802&lt;C802,1,EXP(-1*(B802-C802)/(Utilities!$B$11*IterData!H802)))</f>
        <v>0.15356063002222384</v>
      </c>
    </row>
    <row r="803" spans="1:11" x14ac:dyDescent="0.3">
      <c r="A803">
        <v>802</v>
      </c>
      <c r="B803">
        <v>7.9697525008045458E-2</v>
      </c>
      <c r="C803">
        <v>4.2431757831973074E-2</v>
      </c>
      <c r="D803">
        <v>0.74221008218472129</v>
      </c>
      <c r="E803" s="10">
        <v>1.6107101169752964E-3</v>
      </c>
      <c r="F803" s="10">
        <v>1.6874708602619797</v>
      </c>
      <c r="H803">
        <v>0.50000535206906649</v>
      </c>
      <c r="I803" s="11">
        <f t="shared" si="12"/>
        <v>3.7265767176072384E-2</v>
      </c>
      <c r="J803" s="11">
        <f>1/(H803*Utilities!$B$11)</f>
        <v>7.999914367811555</v>
      </c>
      <c r="K803" s="11">
        <f>IF(B803&lt;C803,1,EXP(-1*(B803-C803)/(Utilities!$B$11*IterData!H803)))</f>
        <v>0.74221008218472129</v>
      </c>
    </row>
    <row r="804" spans="1:11" x14ac:dyDescent="0.3">
      <c r="A804">
        <v>803</v>
      </c>
      <c r="B804">
        <v>0.24495336233054818</v>
      </c>
      <c r="C804">
        <v>7.9697525008045458E-2</v>
      </c>
      <c r="D804">
        <v>0.26659281353836023</v>
      </c>
      <c r="E804" s="10">
        <v>1.929195497651941E-3</v>
      </c>
      <c r="F804" s="10">
        <v>1.5650028153237443</v>
      </c>
      <c r="H804">
        <v>0.50000524609099839</v>
      </c>
      <c r="I804" s="11">
        <f t="shared" si="12"/>
        <v>0.16525583732250271</v>
      </c>
      <c r="J804" s="11">
        <f>1/(H804*Utilities!$B$11)</f>
        <v>7.9999160634247035</v>
      </c>
      <c r="K804" s="11">
        <f>IF(B804&lt;C804,1,EXP(-1*(B804-C804)/(Utilities!$B$11*IterData!H804)))</f>
        <v>0.26659281353836023</v>
      </c>
    </row>
    <row r="805" spans="1:11" x14ac:dyDescent="0.3">
      <c r="A805">
        <v>804</v>
      </c>
      <c r="B805">
        <v>7.6232539332751148E-2</v>
      </c>
      <c r="C805">
        <v>7.9697525008045458E-2</v>
      </c>
      <c r="D805">
        <v>1</v>
      </c>
      <c r="E805" s="10">
        <v>1.929195497651941E-3</v>
      </c>
      <c r="F805" s="10">
        <v>1.5650028153237443</v>
      </c>
      <c r="H805">
        <v>0.50000514221143666</v>
      </c>
      <c r="I805" s="11">
        <f t="shared" si="12"/>
        <v>-3.4649856752943103E-3</v>
      </c>
      <c r="J805" s="11">
        <f>1/(H805*Utilities!$B$11)</f>
        <v>7.9999177254631597</v>
      </c>
      <c r="K805" s="11">
        <f>IF(B805&lt;C805,1,EXP(-1*(B805-C805)/(Utilities!$B$11*IterData!H805)))</f>
        <v>1</v>
      </c>
    </row>
    <row r="806" spans="1:11" x14ac:dyDescent="0.3">
      <c r="A806">
        <v>805</v>
      </c>
      <c r="B806">
        <v>6.0339056770717839E-2</v>
      </c>
      <c r="C806">
        <v>7.6232539332751148E-2</v>
      </c>
      <c r="D806">
        <v>1</v>
      </c>
      <c r="E806" s="10">
        <v>1.7250593983559647E-3</v>
      </c>
      <c r="F806" s="10">
        <v>1.7121289197605707</v>
      </c>
      <c r="H806">
        <v>0.50000504038882809</v>
      </c>
      <c r="I806" s="11">
        <f t="shared" si="12"/>
        <v>-1.5893482562033309E-2</v>
      </c>
      <c r="J806" s="11">
        <f>1/(H806*Utilities!$B$11)</f>
        <v>7.9999193545917189</v>
      </c>
      <c r="K806" s="11">
        <f>IF(B806&lt;C806,1,EXP(-1*(B806-C806)/(Utilities!$B$11*IterData!H806)))</f>
        <v>1</v>
      </c>
    </row>
    <row r="807" spans="1:11" x14ac:dyDescent="0.3">
      <c r="A807">
        <v>806</v>
      </c>
      <c r="B807">
        <v>0.43689453060618488</v>
      </c>
      <c r="C807">
        <v>6.0339056770717839E-2</v>
      </c>
      <c r="D807">
        <v>4.9172830947585414E-2</v>
      </c>
      <c r="E807" s="10">
        <v>1.5591358332281869E-3</v>
      </c>
      <c r="F807" s="10">
        <v>1.6290341633279803</v>
      </c>
      <c r="H807">
        <v>0.50000494058244227</v>
      </c>
      <c r="I807" s="11">
        <f t="shared" si="12"/>
        <v>0.37655547383546706</v>
      </c>
      <c r="J807" s="11">
        <f>1/(H807*Utilities!$B$11)</f>
        <v>7.9999209514620153</v>
      </c>
      <c r="K807" s="11">
        <f>IF(B807&lt;C807,1,EXP(-1*(B807-C807)/(Utilities!$B$11*IterData!H807)))</f>
        <v>4.9172830947585393E-2</v>
      </c>
    </row>
    <row r="808" spans="1:11" x14ac:dyDescent="0.3">
      <c r="A808">
        <v>807</v>
      </c>
      <c r="B808">
        <v>3.9684359106453203E-2</v>
      </c>
      <c r="C808">
        <v>6.0339056770717839E-2</v>
      </c>
      <c r="D808">
        <v>1</v>
      </c>
      <c r="E808" s="10">
        <v>1.5591358332281869E-3</v>
      </c>
      <c r="F808" s="10">
        <v>1.6290341633279803</v>
      </c>
      <c r="H808">
        <v>0.50000484275235524</v>
      </c>
      <c r="I808" s="11">
        <f t="shared" si="12"/>
        <v>-2.0654697664264636E-2</v>
      </c>
      <c r="J808" s="11">
        <f>1/(H808*Utilities!$B$11)</f>
        <v>7.9999225167127808</v>
      </c>
      <c r="K808" s="11">
        <f>IF(B808&lt;C808,1,EXP(-1*(B808-C808)/(Utilities!$B$11*IterData!H808)))</f>
        <v>1</v>
      </c>
    </row>
    <row r="809" spans="1:11" x14ac:dyDescent="0.3">
      <c r="A809">
        <v>808</v>
      </c>
      <c r="B809">
        <v>1.0794694476263647</v>
      </c>
      <c r="C809">
        <v>3.9684359106453203E-2</v>
      </c>
      <c r="D809">
        <v>2.4403430763574399E-4</v>
      </c>
      <c r="E809" s="10">
        <v>1.4455522283459265E-3</v>
      </c>
      <c r="F809" s="10">
        <v>1.6738208424780512</v>
      </c>
      <c r="H809">
        <v>0.50000474685943375</v>
      </c>
      <c r="I809" s="11">
        <f t="shared" si="12"/>
        <v>1.0397850885199114</v>
      </c>
      <c r="J809" s="11">
        <f>1/(H809*Utilities!$B$11)</f>
        <v>7.9999240509700984</v>
      </c>
      <c r="K809" s="11">
        <f>IF(B809&lt;C809,1,EXP(-1*(B809-C809)/(Utilities!$B$11*IterData!H809)))</f>
        <v>2.4403430763574442E-4</v>
      </c>
    </row>
    <row r="810" spans="1:11" x14ac:dyDescent="0.3">
      <c r="A810">
        <v>809</v>
      </c>
      <c r="B810">
        <v>0.82657630966517637</v>
      </c>
      <c r="C810">
        <v>3.9684359106453203E-2</v>
      </c>
      <c r="D810">
        <v>1.8453671496648067E-3</v>
      </c>
      <c r="E810" s="10">
        <v>1.4455522283459265E-3</v>
      </c>
      <c r="F810" s="10">
        <v>1.6738208424780512</v>
      </c>
      <c r="H810">
        <v>0.50000465286531937</v>
      </c>
      <c r="I810" s="11">
        <f t="shared" si="12"/>
        <v>0.78689195055872319</v>
      </c>
      <c r="J810" s="11">
        <f>1/(H810*Utilities!$B$11)</f>
        <v>7.9999255548476569</v>
      </c>
      <c r="K810" s="11">
        <f>IF(B810&lt;C810,1,EXP(-1*(B810-C810)/(Utilities!$B$11*IterData!H810)))</f>
        <v>1.8453671496648067E-3</v>
      </c>
    </row>
    <row r="811" spans="1:11" x14ac:dyDescent="0.3">
      <c r="A811">
        <v>810</v>
      </c>
      <c r="B811">
        <v>0.25788273179093296</v>
      </c>
      <c r="C811">
        <v>3.9684359106453203E-2</v>
      </c>
      <c r="D811">
        <v>0.17454528479098197</v>
      </c>
      <c r="E811" s="10">
        <v>1.4455522283459265E-3</v>
      </c>
      <c r="F811" s="10">
        <v>1.6738208424780512</v>
      </c>
      <c r="H811">
        <v>0.50000456073241306</v>
      </c>
      <c r="I811" s="11">
        <f t="shared" si="12"/>
        <v>0.21819837268447975</v>
      </c>
      <c r="J811" s="11">
        <f>1/(H811*Utilities!$B$11)</f>
        <v>7.9999270289469937</v>
      </c>
      <c r="K811" s="11">
        <f>IF(B811&lt;C811,1,EXP(-1*(B811-C811)/(Utilities!$B$11*IterData!H811)))</f>
        <v>0.174545284790982</v>
      </c>
    </row>
    <row r="812" spans="1:11" x14ac:dyDescent="0.3">
      <c r="A812">
        <v>811</v>
      </c>
      <c r="B812">
        <v>0.77363377536754452</v>
      </c>
      <c r="C812">
        <v>3.9684359106453203E-2</v>
      </c>
      <c r="D812">
        <v>2.8185214683828373E-3</v>
      </c>
      <c r="E812" s="10">
        <v>1.4455522283459265E-3</v>
      </c>
      <c r="F812" s="10">
        <v>1.6738208424780512</v>
      </c>
      <c r="H812">
        <v>0.50000447042386065</v>
      </c>
      <c r="I812" s="11">
        <f t="shared" si="12"/>
        <v>0.73394941626109134</v>
      </c>
      <c r="J812" s="11">
        <f>1/(H812*Utilities!$B$11)</f>
        <v>7.9999284738577341</v>
      </c>
      <c r="K812" s="11">
        <f>IF(B812&lt;C812,1,EXP(-1*(B812-C812)/(Utilities!$B$11*IterData!H812)))</f>
        <v>2.8185214683828373E-3</v>
      </c>
    </row>
    <row r="813" spans="1:11" x14ac:dyDescent="0.3">
      <c r="A813">
        <v>812</v>
      </c>
      <c r="B813">
        <v>5.7659905430690654E-2</v>
      </c>
      <c r="C813">
        <v>3.9684359106453203E-2</v>
      </c>
      <c r="D813">
        <v>0.86605824919555763</v>
      </c>
      <c r="E813" s="10">
        <v>1.4455522283459265E-3</v>
      </c>
      <c r="F813" s="10">
        <v>1.6738208424780512</v>
      </c>
      <c r="H813">
        <v>0.50000438190353735</v>
      </c>
      <c r="I813" s="11">
        <f t="shared" si="12"/>
        <v>1.7975546324237451E-2</v>
      </c>
      <c r="J813" s="11">
        <f>1/(H813*Utilities!$B$11)</f>
        <v>7.9999298901578317</v>
      </c>
      <c r="K813" s="11">
        <f>IF(B813&lt;C813,1,EXP(-1*(B813-C813)/(Utilities!$B$11*IterData!H813)))</f>
        <v>0.86605824919555763</v>
      </c>
    </row>
    <row r="814" spans="1:11" x14ac:dyDescent="0.3">
      <c r="A814">
        <v>813</v>
      </c>
      <c r="B814">
        <v>4.0082104601623716E-2</v>
      </c>
      <c r="C814">
        <v>5.7659905430690654E-2</v>
      </c>
      <c r="D814">
        <v>1</v>
      </c>
      <c r="E814" s="10">
        <v>1.6698733505878711E-3</v>
      </c>
      <c r="F814" s="10">
        <v>1.6165164015292532</v>
      </c>
      <c r="H814">
        <v>0.50000429513603384</v>
      </c>
      <c r="I814" s="11">
        <f t="shared" si="12"/>
        <v>-1.7577800829066938E-2</v>
      </c>
      <c r="J814" s="11">
        <f>1/(H814*Utilities!$B$11)</f>
        <v>7.9999312784137961</v>
      </c>
      <c r="K814" s="11">
        <f>IF(B814&lt;C814,1,EXP(-1*(B814-C814)/(Utilities!$B$11*IterData!H814)))</f>
        <v>1</v>
      </c>
    </row>
    <row r="815" spans="1:11" x14ac:dyDescent="0.3">
      <c r="A815">
        <v>814</v>
      </c>
      <c r="B815">
        <v>0.76398444119181352</v>
      </c>
      <c r="C815">
        <v>4.0082104601623716E-2</v>
      </c>
      <c r="D815">
        <v>3.0544066430999812E-3</v>
      </c>
      <c r="E815" s="10">
        <v>1.727646441676875E-3</v>
      </c>
      <c r="F815" s="10">
        <v>1.6465115027648594</v>
      </c>
      <c r="H815">
        <v>0.50000421008664209</v>
      </c>
      <c r="I815" s="11">
        <f t="shared" si="12"/>
        <v>0.72390233659018977</v>
      </c>
      <c r="J815" s="11">
        <f>1/(H815*Utilities!$B$11)</f>
        <v>7.9999326391809165</v>
      </c>
      <c r="K815" s="11">
        <f>IF(B815&lt;C815,1,EXP(-1*(B815-C815)/(Utilities!$B$11*IterData!H815)))</f>
        <v>3.0544066430999838E-3</v>
      </c>
    </row>
    <row r="816" spans="1:11" x14ac:dyDescent="0.3">
      <c r="A816">
        <v>815</v>
      </c>
      <c r="B816">
        <v>0.25813830005124633</v>
      </c>
      <c r="C816">
        <v>4.0082104601623716E-2</v>
      </c>
      <c r="D816">
        <v>0.174743662258669</v>
      </c>
      <c r="E816" s="10">
        <v>1.727646441676875E-3</v>
      </c>
      <c r="F816" s="10">
        <v>1.6465115027648594</v>
      </c>
      <c r="H816">
        <v>0.50000412672134098</v>
      </c>
      <c r="I816" s="11">
        <f t="shared" si="12"/>
        <v>0.21805619544962263</v>
      </c>
      <c r="J816" s="11">
        <f>1/(H816*Utilities!$B$11)</f>
        <v>7.9999339730034942</v>
      </c>
      <c r="K816" s="11">
        <f>IF(B816&lt;C816,1,EXP(-1*(B816-C816)/(Utilities!$B$11*IterData!H816)))</f>
        <v>0.174743662258669</v>
      </c>
    </row>
    <row r="817" spans="1:11" x14ac:dyDescent="0.3">
      <c r="A817">
        <v>816</v>
      </c>
      <c r="B817">
        <v>8.8169632170262538E-2</v>
      </c>
      <c r="C817">
        <v>4.0082104601623716E-2</v>
      </c>
      <c r="D817">
        <v>0.68065677024098392</v>
      </c>
      <c r="E817" s="10">
        <v>1.727646441676875E-3</v>
      </c>
      <c r="F817" s="10">
        <v>1.6465115027648594</v>
      </c>
      <c r="H817">
        <v>0.50000404500678364</v>
      </c>
      <c r="I817" s="11">
        <f t="shared" si="12"/>
        <v>4.8087527568638821E-2</v>
      </c>
      <c r="J817" s="11">
        <f>1/(H817*Utilities!$B$11)</f>
        <v>7.9999352804150439</v>
      </c>
      <c r="K817" s="11">
        <f>IF(B817&lt;C817,1,EXP(-1*(B817-C817)/(Utilities!$B$11*IterData!H817)))</f>
        <v>0.68065677024098392</v>
      </c>
    </row>
    <row r="818" spans="1:11" x14ac:dyDescent="0.3">
      <c r="A818">
        <v>817</v>
      </c>
      <c r="B818">
        <v>3.887991081797193E-2</v>
      </c>
      <c r="C818">
        <v>8.8169632170262538E-2</v>
      </c>
      <c r="D818">
        <v>1</v>
      </c>
      <c r="E818" s="10">
        <v>1.4704581357244627E-3</v>
      </c>
      <c r="F818" s="10">
        <v>1.7670288536902281</v>
      </c>
      <c r="H818">
        <v>0.50000396491028276</v>
      </c>
      <c r="I818" s="11">
        <f t="shared" si="12"/>
        <v>-4.9289721352290608E-2</v>
      </c>
      <c r="J818" s="11">
        <f>1/(H818*Utilities!$B$11)</f>
        <v>7.9999365619385285</v>
      </c>
      <c r="K818" s="11">
        <f>IF(B818&lt;C818,1,EXP(-1*(B818-C818)/(Utilities!$B$11*IterData!H818)))</f>
        <v>1</v>
      </c>
    </row>
    <row r="819" spans="1:11" x14ac:dyDescent="0.3">
      <c r="A819">
        <v>818</v>
      </c>
      <c r="B819">
        <v>0.24692462860789022</v>
      </c>
      <c r="C819">
        <v>3.887991081797193E-2</v>
      </c>
      <c r="D819">
        <v>0.18931465523928306</v>
      </c>
      <c r="E819" s="10">
        <v>1.552196264065439E-3</v>
      </c>
      <c r="F819" s="10">
        <v>1.6634312806042679</v>
      </c>
      <c r="H819">
        <v>0.50000388639979898</v>
      </c>
      <c r="I819" s="11">
        <f t="shared" si="12"/>
        <v>0.20804471778991829</v>
      </c>
      <c r="J819" s="11">
        <f>1/(H819*Utilities!$B$11)</f>
        <v>7.9999378180865435</v>
      </c>
      <c r="K819" s="11">
        <f>IF(B819&lt;C819,1,EXP(-1*(B819-C819)/(Utilities!$B$11*IterData!H819)))</f>
        <v>0.18931465523928306</v>
      </c>
    </row>
    <row r="820" spans="1:11" x14ac:dyDescent="0.3">
      <c r="A820">
        <v>819</v>
      </c>
      <c r="B820">
        <v>0.34057176624538732</v>
      </c>
      <c r="C820">
        <v>3.887991081797193E-2</v>
      </c>
      <c r="D820">
        <v>8.9500017774093943E-2</v>
      </c>
      <c r="E820" s="10">
        <v>1.552196264065439E-3</v>
      </c>
      <c r="F820" s="10">
        <v>1.6634312806042679</v>
      </c>
      <c r="H820">
        <v>0.50000380944392686</v>
      </c>
      <c r="I820" s="11">
        <f t="shared" si="12"/>
        <v>0.30169185542741539</v>
      </c>
      <c r="J820" s="11">
        <f>1/(H820*Utilities!$B$11)</f>
        <v>7.9999390493615463</v>
      </c>
      <c r="K820" s="11">
        <f>IF(B820&lt;C820,1,EXP(-1*(B820-C820)/(Utilities!$B$11*IterData!H820)))</f>
        <v>8.9500017774093943E-2</v>
      </c>
    </row>
    <row r="821" spans="1:11" x14ac:dyDescent="0.3">
      <c r="A821">
        <v>820</v>
      </c>
      <c r="B821">
        <v>0.39673061227139367</v>
      </c>
      <c r="C821">
        <v>3.887991081797193E-2</v>
      </c>
      <c r="D821">
        <v>5.710953250052006E-2</v>
      </c>
      <c r="E821" s="10">
        <v>1.552196264065439E-3</v>
      </c>
      <c r="F821" s="10">
        <v>1.6634312806042679</v>
      </c>
      <c r="H821">
        <v>0.50000373401188314</v>
      </c>
      <c r="I821" s="11">
        <f t="shared" si="12"/>
        <v>0.35785070145342174</v>
      </c>
      <c r="J821" s="11">
        <f>1/(H821*Utilities!$B$11)</f>
        <v>7.9999402562560373</v>
      </c>
      <c r="K821" s="11">
        <f>IF(B821&lt;C821,1,EXP(-1*(B821-C821)/(Utilities!$B$11*IterData!H821)))</f>
        <v>5.710953250052006E-2</v>
      </c>
    </row>
    <row r="822" spans="1:11" x14ac:dyDescent="0.3">
      <c r="A822">
        <v>821</v>
      </c>
      <c r="B822">
        <v>7.4329729388648486E-2</v>
      </c>
      <c r="C822">
        <v>3.887991081797193E-2</v>
      </c>
      <c r="D822">
        <v>0.75307046797137089</v>
      </c>
      <c r="E822" s="10">
        <v>1.552196264065439E-3</v>
      </c>
      <c r="F822" s="10">
        <v>1.6634312806042679</v>
      </c>
      <c r="H822">
        <v>0.50000366007349395</v>
      </c>
      <c r="I822" s="11">
        <f t="shared" si="12"/>
        <v>3.5449818570676556E-2</v>
      </c>
      <c r="J822" s="11">
        <f>1/(H822*Utilities!$B$11)</f>
        <v>7.9999414392527699</v>
      </c>
      <c r="K822" s="11">
        <f>IF(B822&lt;C822,1,EXP(-1*(B822-C822)/(Utilities!$B$11*IterData!H822)))</f>
        <v>0.753070467971371</v>
      </c>
    </row>
    <row r="823" spans="1:11" x14ac:dyDescent="0.3">
      <c r="A823">
        <v>822</v>
      </c>
      <c r="B823">
        <v>0.70909300269496245</v>
      </c>
      <c r="C823">
        <v>7.4329729388648486E-2</v>
      </c>
      <c r="D823">
        <v>6.2319265882261731E-3</v>
      </c>
      <c r="E823" s="10">
        <v>1.5805403180908489E-3</v>
      </c>
      <c r="F823" s="10">
        <v>1.6141745901712066</v>
      </c>
      <c r="H823">
        <v>0.50000358759918306</v>
      </c>
      <c r="I823" s="11">
        <f t="shared" si="12"/>
        <v>0.63476327330631399</v>
      </c>
      <c r="J823" s="11">
        <f>1/(H823*Utilities!$B$11)</f>
        <v>7.9999425988249362</v>
      </c>
      <c r="K823" s="11">
        <f>IF(B823&lt;C823,1,EXP(-1*(B823-C823)/(Utilities!$B$11*IterData!H823)))</f>
        <v>6.2319265882261731E-3</v>
      </c>
    </row>
    <row r="824" spans="1:11" x14ac:dyDescent="0.3">
      <c r="A824">
        <v>823</v>
      </c>
      <c r="B824">
        <v>0.58421641964153159</v>
      </c>
      <c r="C824">
        <v>7.4329729388648486E-2</v>
      </c>
      <c r="D824">
        <v>1.6923284344077555E-2</v>
      </c>
      <c r="E824" s="10">
        <v>1.5805403180908489E-3</v>
      </c>
      <c r="F824" s="10">
        <v>1.6141745901712066</v>
      </c>
      <c r="H824">
        <v>0.50000351655995956</v>
      </c>
      <c r="I824" s="11">
        <f t="shared" si="12"/>
        <v>0.50988669025288313</v>
      </c>
      <c r="J824" s="11">
        <f>1/(H824*Utilities!$B$11)</f>
        <v>7.9999437354363625</v>
      </c>
      <c r="K824" s="11">
        <f>IF(B824&lt;C824,1,EXP(-1*(B824-C824)/(Utilities!$B$11*IterData!H824)))</f>
        <v>1.6923284344077541E-2</v>
      </c>
    </row>
    <row r="825" spans="1:11" x14ac:dyDescent="0.3">
      <c r="A825">
        <v>824</v>
      </c>
      <c r="B825">
        <v>0.8416094581190674</v>
      </c>
      <c r="C825">
        <v>7.4329729388648486E-2</v>
      </c>
      <c r="D825">
        <v>2.1588156582760176E-3</v>
      </c>
      <c r="E825" s="10">
        <v>1.5805403180908489E-3</v>
      </c>
      <c r="F825" s="10">
        <v>1.6141745901712066</v>
      </c>
      <c r="H825">
        <v>0.50000344692740695</v>
      </c>
      <c r="I825" s="11">
        <f t="shared" si="12"/>
        <v>0.76727972873041894</v>
      </c>
      <c r="J825" s="11">
        <f>1/(H825*Utilities!$B$11)</f>
        <v>7.9999448495416878</v>
      </c>
      <c r="K825" s="11">
        <f>IF(B825&lt;C825,1,EXP(-1*(B825-C825)/(Utilities!$B$11*IterData!H825)))</f>
        <v>2.1588156582760154E-3</v>
      </c>
    </row>
    <row r="826" spans="1:11" x14ac:dyDescent="0.3">
      <c r="A826">
        <v>825</v>
      </c>
      <c r="B826">
        <v>0.37424879446650627</v>
      </c>
      <c r="C826">
        <v>7.4329729388648486E-2</v>
      </c>
      <c r="D826">
        <v>9.0778182101476326E-2</v>
      </c>
      <c r="E826" s="10">
        <v>1.5805403180908489E-3</v>
      </c>
      <c r="F826" s="10">
        <v>1.6141745901712066</v>
      </c>
      <c r="H826">
        <v>0.50000337867367128</v>
      </c>
      <c r="I826" s="11">
        <f t="shared" si="12"/>
        <v>0.29991906507785782</v>
      </c>
      <c r="J826" s="11">
        <f>1/(H826*Utilities!$B$11)</f>
        <v>7.9999459415865513</v>
      </c>
      <c r="K826" s="11">
        <f>IF(B826&lt;C826,1,EXP(-1*(B826-C826)/(Utilities!$B$11*IterData!H826)))</f>
        <v>9.0778182101476326E-2</v>
      </c>
    </row>
    <row r="827" spans="1:11" x14ac:dyDescent="0.3">
      <c r="A827">
        <v>826</v>
      </c>
      <c r="B827">
        <v>8.4817068910026633E-2</v>
      </c>
      <c r="C827">
        <v>7.4329729388648486E-2</v>
      </c>
      <c r="D827">
        <v>0.91952489531199433</v>
      </c>
      <c r="E827" s="10">
        <v>1.5805403180908489E-3</v>
      </c>
      <c r="F827" s="10">
        <v>1.6141745901712066</v>
      </c>
      <c r="H827">
        <v>0.50000331177145008</v>
      </c>
      <c r="I827" s="11">
        <f t="shared" si="12"/>
        <v>1.0487339521378147E-2</v>
      </c>
      <c r="J827" s="11">
        <f>1/(H827*Utilities!$B$11)</f>
        <v>7.9999470120077669</v>
      </c>
      <c r="K827" s="11">
        <f>IF(B827&lt;C827,1,EXP(-1*(B827-C827)/(Utilities!$B$11*IterData!H827)))</f>
        <v>0.91952489531199433</v>
      </c>
    </row>
    <row r="828" spans="1:11" x14ac:dyDescent="0.3">
      <c r="A828">
        <v>827</v>
      </c>
      <c r="B828">
        <v>0.14439892623440084</v>
      </c>
      <c r="C828">
        <v>7.4329729388648486E-2</v>
      </c>
      <c r="D828">
        <v>0.57089502208972898</v>
      </c>
      <c r="E828" s="10">
        <v>1.5805403180908489E-3</v>
      </c>
      <c r="F828" s="10">
        <v>1.6141745901712066</v>
      </c>
      <c r="H828">
        <v>0.50000324619398173</v>
      </c>
      <c r="I828" s="11">
        <f t="shared" si="12"/>
        <v>7.0069196845752357E-2</v>
      </c>
      <c r="J828" s="11">
        <f>1/(H828*Utilities!$B$11)</f>
        <v>7.999948061233499</v>
      </c>
      <c r="K828" s="11">
        <f>IF(B828&lt;C828,1,EXP(-1*(B828-C828)/(Utilities!$B$11*IterData!H828)))</f>
        <v>0.57089502208972898</v>
      </c>
    </row>
    <row r="829" spans="1:11" x14ac:dyDescent="0.3">
      <c r="A829">
        <v>828</v>
      </c>
      <c r="B829">
        <v>0.25342113723239212</v>
      </c>
      <c r="C829">
        <v>0.14439892623440084</v>
      </c>
      <c r="D829">
        <v>0.41804251645251955</v>
      </c>
      <c r="E829" s="10">
        <v>1.8459970898549762E-3</v>
      </c>
      <c r="F829" s="10">
        <v>1.7419851604647496</v>
      </c>
      <c r="H829">
        <v>0.50000318191503412</v>
      </c>
      <c r="I829" s="11">
        <f t="shared" si="12"/>
        <v>0.10902221099799128</v>
      </c>
      <c r="J829" s="11">
        <f>1/(H829*Utilities!$B$11)</f>
        <v>7.9999490896834384</v>
      </c>
      <c r="K829" s="11">
        <f>IF(B829&lt;C829,1,EXP(-1*(B829-C829)/(Utilities!$B$11*IterData!H829)))</f>
        <v>0.41804251645251955</v>
      </c>
    </row>
    <row r="830" spans="1:11" x14ac:dyDescent="0.3">
      <c r="A830">
        <v>829</v>
      </c>
      <c r="B830">
        <v>3.4170863509294928E-2</v>
      </c>
      <c r="C830">
        <v>0.14439892623440084</v>
      </c>
      <c r="D830">
        <v>1</v>
      </c>
      <c r="E830" s="10">
        <v>1.8459970898549762E-3</v>
      </c>
      <c r="F830" s="10">
        <v>1.7419851604647496</v>
      </c>
      <c r="H830">
        <v>0.50000311890889504</v>
      </c>
      <c r="I830" s="11">
        <f t="shared" si="12"/>
        <v>-0.11022806272510591</v>
      </c>
      <c r="J830" s="11">
        <f>1/(H830*Utilities!$B$11)</f>
        <v>7.9999500977689602</v>
      </c>
      <c r="K830" s="11">
        <f>IF(B830&lt;C830,1,EXP(-1*(B830-C830)/(Utilities!$B$11*IterData!H830)))</f>
        <v>1</v>
      </c>
    </row>
    <row r="831" spans="1:11" x14ac:dyDescent="0.3">
      <c r="A831">
        <v>830</v>
      </c>
      <c r="B831">
        <v>6.8429866780676737E-2</v>
      </c>
      <c r="C831">
        <v>3.4170863509294928E-2</v>
      </c>
      <c r="D831">
        <v>0.76027858745960408</v>
      </c>
      <c r="E831" s="10">
        <v>1.3479025010128141E-3</v>
      </c>
      <c r="F831" s="10">
        <v>1.7171907283072732</v>
      </c>
      <c r="H831">
        <v>0.50000305715036109</v>
      </c>
      <c r="I831" s="11">
        <f t="shared" si="12"/>
        <v>3.4259003271381809E-2</v>
      </c>
      <c r="J831" s="11">
        <f>1/(H831*Utilities!$B$11)</f>
        <v>7.9999510858932981</v>
      </c>
      <c r="K831" s="11">
        <f>IF(B831&lt;C831,1,EXP(-1*(B831-C831)/(Utilities!$B$11*IterData!H831)))</f>
        <v>0.76027858745960408</v>
      </c>
    </row>
    <row r="832" spans="1:11" x14ac:dyDescent="0.3">
      <c r="A832">
        <v>831</v>
      </c>
      <c r="B832">
        <v>0.37414577413041777</v>
      </c>
      <c r="C832">
        <v>3.4170863509294928E-2</v>
      </c>
      <c r="D832">
        <v>6.5889051808272703E-2</v>
      </c>
      <c r="E832" s="10">
        <v>1.3479025010128141E-3</v>
      </c>
      <c r="F832" s="10">
        <v>1.7171907283072732</v>
      </c>
      <c r="H832">
        <v>0.50000299661472802</v>
      </c>
      <c r="I832" s="11">
        <f t="shared" si="12"/>
        <v>0.33997491062112284</v>
      </c>
      <c r="J832" s="11">
        <f>1/(H832*Utilities!$B$11)</f>
        <v>7.9999520544517004</v>
      </c>
      <c r="K832" s="11">
        <f>IF(B832&lt;C832,1,EXP(-1*(B832-C832)/(Utilities!$B$11*IterData!H832)))</f>
        <v>6.5889051808272731E-2</v>
      </c>
    </row>
    <row r="833" spans="1:11" x14ac:dyDescent="0.3">
      <c r="A833">
        <v>832</v>
      </c>
      <c r="B833">
        <v>0.35881622001525998</v>
      </c>
      <c r="C833">
        <v>3.4170863509294928E-2</v>
      </c>
      <c r="D833">
        <v>7.448573898355576E-2</v>
      </c>
      <c r="E833" s="10">
        <v>1.3479025010128141E-3</v>
      </c>
      <c r="F833" s="10">
        <v>1.7171907283072732</v>
      </c>
      <c r="H833">
        <v>0.50000293727778089</v>
      </c>
      <c r="I833" s="11">
        <f t="shared" si="12"/>
        <v>0.32464535650596504</v>
      </c>
      <c r="J833" s="11">
        <f>1/(H833*Utilities!$B$11)</f>
        <v>7.9999530038315871</v>
      </c>
      <c r="K833" s="11">
        <f>IF(B833&lt;C833,1,EXP(-1*(B833-C833)/(Utilities!$B$11*IterData!H833)))</f>
        <v>7.448573898355576E-2</v>
      </c>
    </row>
    <row r="834" spans="1:11" x14ac:dyDescent="0.3">
      <c r="A834">
        <v>833</v>
      </c>
      <c r="B834">
        <v>0.43024062830203907</v>
      </c>
      <c r="C834">
        <v>3.4170863509294928E-2</v>
      </c>
      <c r="D834">
        <v>4.206497328131862E-2</v>
      </c>
      <c r="E834" s="10">
        <v>1.3479025010128141E-3</v>
      </c>
      <c r="F834" s="10">
        <v>1.7171907283072732</v>
      </c>
      <c r="H834">
        <v>0.50000287911578389</v>
      </c>
      <c r="I834" s="11">
        <f t="shared" si="12"/>
        <v>0.39606976479274414</v>
      </c>
      <c r="J834" s="11">
        <f>1/(H834*Utilities!$B$11)</f>
        <v>7.999953934412714</v>
      </c>
      <c r="K834" s="11">
        <f>IF(B834&lt;C834,1,EXP(-1*(B834-C834)/(Utilities!$B$11*IterData!H834)))</f>
        <v>4.206497328131862E-2</v>
      </c>
    </row>
    <row r="835" spans="1:11" x14ac:dyDescent="0.3">
      <c r="A835">
        <v>834</v>
      </c>
      <c r="B835">
        <v>0.8796209258590304</v>
      </c>
      <c r="C835">
        <v>3.4170863509294928E-2</v>
      </c>
      <c r="D835">
        <v>1.1551069708696164E-3</v>
      </c>
      <c r="E835" s="10">
        <v>1.3479025010128141E-3</v>
      </c>
      <c r="F835" s="10">
        <v>1.7171907283072732</v>
      </c>
      <c r="H835">
        <v>0.50000282210547176</v>
      </c>
      <c r="I835" s="11">
        <f t="shared" ref="I835:I898" si="13">B835-C835</f>
        <v>0.84545006234973552</v>
      </c>
      <c r="J835" s="11">
        <f>1/(H835*Utilities!$B$11)</f>
        <v>7.9999548465673076</v>
      </c>
      <c r="K835" s="11">
        <f>IF(B835&lt;C835,1,EXP(-1*(B835-C835)/(Utilities!$B$11*IterData!H835)))</f>
        <v>1.1551069708696164E-3</v>
      </c>
    </row>
    <row r="836" spans="1:11" x14ac:dyDescent="0.3">
      <c r="A836">
        <v>835</v>
      </c>
      <c r="B836">
        <v>0.10423612628744933</v>
      </c>
      <c r="C836">
        <v>3.4170863509294928E-2</v>
      </c>
      <c r="D836">
        <v>0.57091268258672323</v>
      </c>
      <c r="E836" s="10">
        <v>1.3479025010128141E-3</v>
      </c>
      <c r="F836" s="10">
        <v>1.7171907283072732</v>
      </c>
      <c r="H836">
        <v>0.50000276622403927</v>
      </c>
      <c r="I836" s="11">
        <f t="shared" si="13"/>
        <v>7.0065262778154391E-2</v>
      </c>
      <c r="J836" s="11">
        <f>1/(H836*Utilities!$B$11)</f>
        <v>7.9999557406602344</v>
      </c>
      <c r="K836" s="11">
        <f>IF(B836&lt;C836,1,EXP(-1*(B836-C836)/(Utilities!$B$11*IterData!H836)))</f>
        <v>0.57091268258672323</v>
      </c>
    </row>
    <row r="837" spans="1:11" x14ac:dyDescent="0.3">
      <c r="A837">
        <v>836</v>
      </c>
      <c r="B837">
        <v>1.3320573978966606</v>
      </c>
      <c r="C837">
        <v>0.10423612628744933</v>
      </c>
      <c r="D837">
        <v>5.4216953329875854E-5</v>
      </c>
      <c r="E837" s="10">
        <v>1.4946864947675096E-3</v>
      </c>
      <c r="F837" s="10">
        <v>1.6083415938763528</v>
      </c>
      <c r="H837">
        <v>0.50000271144913344</v>
      </c>
      <c r="I837" s="11">
        <f t="shared" si="13"/>
        <v>1.2278212716092112</v>
      </c>
      <c r="J837" s="11">
        <f>1/(H837*Utilities!$B$11)</f>
        <v>7.9999566170491265</v>
      </c>
      <c r="K837" s="11">
        <f>IF(B837&lt;C837,1,EXP(-1*(B837-C837)/(Utilities!$B$11*IterData!H837)))</f>
        <v>5.4216953329875949E-5</v>
      </c>
    </row>
    <row r="838" spans="1:11" x14ac:dyDescent="0.3">
      <c r="A838">
        <v>837</v>
      </c>
      <c r="B838">
        <v>1.6562945560867575</v>
      </c>
      <c r="C838">
        <v>0.10423612628744933</v>
      </c>
      <c r="D838">
        <v>4.0515888757022791E-6</v>
      </c>
      <c r="E838" s="10">
        <v>1.4946864947675096E-3</v>
      </c>
      <c r="F838" s="10">
        <v>1.6083415938763528</v>
      </c>
      <c r="H838">
        <v>0.50000265775884334</v>
      </c>
      <c r="I838" s="11">
        <f t="shared" si="13"/>
        <v>1.5520584297993081</v>
      </c>
      <c r="J838" s="11">
        <f>1/(H838*Utilities!$B$11)</f>
        <v>7.9999574760845436</v>
      </c>
      <c r="K838" s="11">
        <f>IF(B838&lt;C838,1,EXP(-1*(B838-C838)/(Utilities!$B$11*IterData!H838)))</f>
        <v>4.0515888757022859E-6</v>
      </c>
    </row>
    <row r="839" spans="1:11" x14ac:dyDescent="0.3">
      <c r="A839">
        <v>838</v>
      </c>
      <c r="B839">
        <v>0.89167508460450173</v>
      </c>
      <c r="C839">
        <v>0.10423612628744933</v>
      </c>
      <c r="D839">
        <v>1.8372620266095875E-3</v>
      </c>
      <c r="E839" s="10">
        <v>1.4946864947675096E-3</v>
      </c>
      <c r="F839" s="10">
        <v>1.6083415938763528</v>
      </c>
      <c r="H839">
        <v>0.50000260513169215</v>
      </c>
      <c r="I839" s="11">
        <f t="shared" si="13"/>
        <v>0.78743895831705246</v>
      </c>
      <c r="J839" s="11">
        <f>1/(H839*Utilities!$B$11)</f>
        <v>7.9999583181100995</v>
      </c>
      <c r="K839" s="11">
        <f>IF(B839&lt;C839,1,EXP(-1*(B839-C839)/(Utilities!$B$11*IterData!H839)))</f>
        <v>1.8372620266095875E-3</v>
      </c>
    </row>
    <row r="840" spans="1:11" x14ac:dyDescent="0.3">
      <c r="A840">
        <v>839</v>
      </c>
      <c r="B840">
        <v>0.55714513030399049</v>
      </c>
      <c r="C840">
        <v>0.10423612628744933</v>
      </c>
      <c r="D840">
        <v>2.6695679908720578E-2</v>
      </c>
      <c r="E840" s="10">
        <v>1.4946864947675096E-3</v>
      </c>
      <c r="F840" s="10">
        <v>1.6083415938763528</v>
      </c>
      <c r="H840">
        <v>0.50000255354662848</v>
      </c>
      <c r="I840" s="11">
        <f t="shared" si="13"/>
        <v>0.45290900401654116</v>
      </c>
      <c r="J840" s="11">
        <f>1/(H840*Utilities!$B$11)</f>
        <v>7.9999591434626023</v>
      </c>
      <c r="K840" s="11">
        <f>IF(B840&lt;C840,1,EXP(-1*(B840-C840)/(Utilities!$B$11*IterData!H840)))</f>
        <v>2.6695679908720578E-2</v>
      </c>
    </row>
    <row r="841" spans="1:11" x14ac:dyDescent="0.3">
      <c r="A841">
        <v>840</v>
      </c>
      <c r="B841">
        <v>0.39989637442555998</v>
      </c>
      <c r="C841">
        <v>0.10423612628744933</v>
      </c>
      <c r="D841">
        <v>9.3923923896095898E-2</v>
      </c>
      <c r="E841" s="10">
        <v>1.4946864947675096E-3</v>
      </c>
      <c r="F841" s="10">
        <v>1.6083415938763528</v>
      </c>
      <c r="H841">
        <v>0.50000250298301741</v>
      </c>
      <c r="I841" s="11">
        <f t="shared" si="13"/>
        <v>0.29566024813811065</v>
      </c>
      <c r="J841" s="11">
        <f>1/(H841*Utilities!$B$11)</f>
        <v>7.9999599524721985</v>
      </c>
      <c r="K841" s="11">
        <f>IF(B841&lt;C841,1,EXP(-1*(B841-C841)/(Utilities!$B$11*IterData!H841)))</f>
        <v>9.3923923896095898E-2</v>
      </c>
    </row>
    <row r="842" spans="1:11" x14ac:dyDescent="0.3">
      <c r="A842">
        <v>841</v>
      </c>
      <c r="B842">
        <v>6.8438711703123961E-2</v>
      </c>
      <c r="C842">
        <v>0.10423612628744933</v>
      </c>
      <c r="D842">
        <v>1</v>
      </c>
      <c r="E842" s="10">
        <v>1.4946864947675096E-3</v>
      </c>
      <c r="F842" s="10">
        <v>1.6083415938763528</v>
      </c>
      <c r="H842">
        <v>0.50000245342063299</v>
      </c>
      <c r="I842" s="11">
        <f t="shared" si="13"/>
        <v>-3.5797414584325365E-2</v>
      </c>
      <c r="J842" s="11">
        <f>1/(H842*Utilities!$B$11)</f>
        <v>7.9999607454624879</v>
      </c>
      <c r="K842" s="11">
        <f>IF(B842&lt;C842,1,EXP(-1*(B842-C842)/(Utilities!$B$11*IterData!H842)))</f>
        <v>1</v>
      </c>
    </row>
    <row r="843" spans="1:11" x14ac:dyDescent="0.3">
      <c r="A843">
        <v>842</v>
      </c>
      <c r="B843">
        <v>0.34262959887121852</v>
      </c>
      <c r="C843">
        <v>6.8438711703123961E-2</v>
      </c>
      <c r="D843">
        <v>0.11152387926126089</v>
      </c>
      <c r="E843" s="10">
        <v>1.3613105247863046E-3</v>
      </c>
      <c r="F843" s="10">
        <v>1.7713802818565676</v>
      </c>
      <c r="H843">
        <v>0.50000240483964953</v>
      </c>
      <c r="I843" s="11">
        <f t="shared" si="13"/>
        <v>0.27419088716809459</v>
      </c>
      <c r="J843" s="11">
        <f>1/(H843*Utilities!$B$11)</f>
        <v>7.9999615227506711</v>
      </c>
      <c r="K843" s="11">
        <f>IF(B843&lt;C843,1,EXP(-1*(B843-C843)/(Utilities!$B$11*IterData!H843)))</f>
        <v>0.11152387926126085</v>
      </c>
    </row>
    <row r="844" spans="1:11" x14ac:dyDescent="0.3">
      <c r="A844">
        <v>843</v>
      </c>
      <c r="B844">
        <v>8.02692245780212E-2</v>
      </c>
      <c r="C844">
        <v>6.8438711703123961E-2</v>
      </c>
      <c r="D844">
        <v>0.90969704106629112</v>
      </c>
      <c r="E844" s="10">
        <v>1.3613105247863046E-3</v>
      </c>
      <c r="F844" s="10">
        <v>1.7713802818565676</v>
      </c>
      <c r="H844">
        <v>0.50000235722063402</v>
      </c>
      <c r="I844" s="11">
        <f t="shared" si="13"/>
        <v>1.1830512874897239E-2</v>
      </c>
      <c r="J844" s="11">
        <f>1/(H844*Utilities!$B$11)</f>
        <v>7.9999622846476628</v>
      </c>
      <c r="K844" s="11">
        <f>IF(B844&lt;C844,1,EXP(-1*(B844-C844)/(Utilities!$B$11*IterData!H844)))</f>
        <v>0.90969704106629112</v>
      </c>
    </row>
    <row r="845" spans="1:11" x14ac:dyDescent="0.3">
      <c r="A845">
        <v>844</v>
      </c>
      <c r="B845">
        <v>7.2711851077850678E-2</v>
      </c>
      <c r="C845">
        <v>8.02692245780212E-2</v>
      </c>
      <c r="D845">
        <v>1</v>
      </c>
      <c r="E845" s="10">
        <v>1.5162671615568297E-3</v>
      </c>
      <c r="F845" s="10">
        <v>1.6194339999987841</v>
      </c>
      <c r="H845">
        <v>0.50000231054453814</v>
      </c>
      <c r="I845" s="11">
        <f t="shared" si="13"/>
        <v>-7.5573735001705222E-3</v>
      </c>
      <c r="J845" s="11">
        <f>1/(H845*Utilities!$B$11)</f>
        <v>7.9999630314582246</v>
      </c>
      <c r="K845" s="11">
        <f>IF(B845&lt;C845,1,EXP(-1*(B845-C845)/(Utilities!$B$11*IterData!H845)))</f>
        <v>1</v>
      </c>
    </row>
    <row r="846" spans="1:11" x14ac:dyDescent="0.3">
      <c r="A846">
        <v>845</v>
      </c>
      <c r="B846">
        <v>0.78758579971898013</v>
      </c>
      <c r="C846">
        <v>7.2711851077850678E-2</v>
      </c>
      <c r="D846">
        <v>3.2831049128205021E-3</v>
      </c>
      <c r="E846" s="10">
        <v>1.3113632268691999E-3</v>
      </c>
      <c r="F846" s="10">
        <v>1.785816538652194</v>
      </c>
      <c r="H846">
        <v>0.50000226479269083</v>
      </c>
      <c r="I846" s="11">
        <f t="shared" si="13"/>
        <v>0.71487394864112941</v>
      </c>
      <c r="J846" s="11">
        <f>1/(H846*Utilities!$B$11)</f>
        <v>7.999963763481083</v>
      </c>
      <c r="K846" s="11">
        <f>IF(B846&lt;C846,1,EXP(-1*(B846-C846)/(Utilities!$B$11*IterData!H846)))</f>
        <v>3.2831049128205021E-3</v>
      </c>
    </row>
    <row r="847" spans="1:11" x14ac:dyDescent="0.3">
      <c r="A847">
        <v>846</v>
      </c>
      <c r="B847">
        <v>0.66744456052695289</v>
      </c>
      <c r="C847">
        <v>7.2711851077850678E-2</v>
      </c>
      <c r="D847">
        <v>8.5841263777256035E-3</v>
      </c>
      <c r="E847" s="10">
        <v>1.3113632268691999E-3</v>
      </c>
      <c r="F847" s="10">
        <v>1.785816538652194</v>
      </c>
      <c r="H847">
        <v>0.50000221994679095</v>
      </c>
      <c r="I847" s="11">
        <f t="shared" si="13"/>
        <v>0.59473270944910217</v>
      </c>
      <c r="J847" s="11">
        <f>1/(H847*Utilities!$B$11)</f>
        <v>7.9999644810090453</v>
      </c>
      <c r="K847" s="11">
        <f>IF(B847&lt;C847,1,EXP(-1*(B847-C847)/(Utilities!$B$11*IterData!H847)))</f>
        <v>8.5841263777256122E-3</v>
      </c>
    </row>
    <row r="848" spans="1:11" x14ac:dyDescent="0.3">
      <c r="A848">
        <v>847</v>
      </c>
      <c r="B848">
        <v>5.0771303238138554E-2</v>
      </c>
      <c r="C848">
        <v>7.2711851077850678E-2</v>
      </c>
      <c r="D848">
        <v>1</v>
      </c>
      <c r="E848" s="10">
        <v>1.3113632268691999E-3</v>
      </c>
      <c r="F848" s="10">
        <v>1.785816538652194</v>
      </c>
      <c r="H848">
        <v>0.50000217598889929</v>
      </c>
      <c r="I848" s="11">
        <f t="shared" si="13"/>
        <v>-2.1940547839712124E-2</v>
      </c>
      <c r="J848" s="11">
        <f>1/(H848*Utilities!$B$11)</f>
        <v>7.9999651843291284</v>
      </c>
      <c r="K848" s="11">
        <f>IF(B848&lt;C848,1,EXP(-1*(B848-C848)/(Utilities!$B$11*IterData!H848)))</f>
        <v>1</v>
      </c>
    </row>
    <row r="849" spans="1:11" x14ac:dyDescent="0.3">
      <c r="A849">
        <v>848</v>
      </c>
      <c r="B849">
        <v>0.34041477090042543</v>
      </c>
      <c r="C849">
        <v>5.0771303238138554E-2</v>
      </c>
      <c r="D849">
        <v>9.855526158091403E-2</v>
      </c>
      <c r="E849" s="10">
        <v>1.1150527393294879E-3</v>
      </c>
      <c r="F849" s="10">
        <v>1.8084260963114793</v>
      </c>
      <c r="H849">
        <v>0.50000213290143214</v>
      </c>
      <c r="I849" s="11">
        <f t="shared" si="13"/>
        <v>0.28964346766228688</v>
      </c>
      <c r="J849" s="11">
        <f>1/(H849*Utilities!$B$11)</f>
        <v>7.9999658737226618</v>
      </c>
      <c r="K849" s="11">
        <f>IF(B849&lt;C849,1,EXP(-1*(B849-C849)/(Utilities!$B$11*IterData!H849)))</f>
        <v>9.855526158091403E-2</v>
      </c>
    </row>
    <row r="850" spans="1:11" x14ac:dyDescent="0.3">
      <c r="A850">
        <v>849</v>
      </c>
      <c r="B850">
        <v>6.1154632326744375E-2</v>
      </c>
      <c r="C850">
        <v>5.0771303238138554E-2</v>
      </c>
      <c r="D850">
        <v>0.92029014341558735</v>
      </c>
      <c r="E850" s="10">
        <v>1.1150527393294879E-3</v>
      </c>
      <c r="F850" s="10">
        <v>1.8084260963114793</v>
      </c>
      <c r="H850">
        <v>0.50000209066715418</v>
      </c>
      <c r="I850" s="11">
        <f t="shared" si="13"/>
        <v>1.0383329088605821E-2</v>
      </c>
      <c r="J850" s="11">
        <f>1/(H850*Utilities!$B$11)</f>
        <v>7.9999665494654009</v>
      </c>
      <c r="K850" s="11">
        <f>IF(B850&lt;C850,1,EXP(-1*(B850-C850)/(Utilities!$B$11*IterData!H850)))</f>
        <v>0.92029014341558735</v>
      </c>
    </row>
    <row r="851" spans="1:11" x14ac:dyDescent="0.3">
      <c r="A851">
        <v>850</v>
      </c>
      <c r="B851">
        <v>3.9009727876104641E-2</v>
      </c>
      <c r="C851">
        <v>6.1154632326744375E-2</v>
      </c>
      <c r="D851">
        <v>1</v>
      </c>
      <c r="E851" s="10">
        <v>1.5455863088936303E-3</v>
      </c>
      <c r="F851" s="10">
        <v>1.6302140224736501</v>
      </c>
      <c r="H851">
        <v>0.5000020492691708</v>
      </c>
      <c r="I851" s="11">
        <f t="shared" si="13"/>
        <v>-2.2144904450639734E-2</v>
      </c>
      <c r="J851" s="11">
        <f>1/(H851*Utilities!$B$11)</f>
        <v>7.9999672118276504</v>
      </c>
      <c r="K851" s="11">
        <f>IF(B851&lt;C851,1,EXP(-1*(B851-C851)/(Utilities!$B$11*IterData!H851)))</f>
        <v>1</v>
      </c>
    </row>
    <row r="852" spans="1:11" x14ac:dyDescent="0.3">
      <c r="A852">
        <v>851</v>
      </c>
      <c r="B852">
        <v>0.46527124857754848</v>
      </c>
      <c r="C852">
        <v>3.9009727876104641E-2</v>
      </c>
      <c r="D852">
        <v>3.3038607865970904E-2</v>
      </c>
      <c r="E852" s="10">
        <v>1.4381973091577224E-3</v>
      </c>
      <c r="F852" s="10">
        <v>1.6764530140632929</v>
      </c>
      <c r="H852">
        <v>0.50000200869092248</v>
      </c>
      <c r="I852" s="11">
        <f t="shared" si="13"/>
        <v>0.42626152070144385</v>
      </c>
      <c r="J852" s="11">
        <f>1/(H852*Utilities!$B$11)</f>
        <v>7.9999678610743548</v>
      </c>
      <c r="K852" s="11">
        <f>IF(B852&lt;C852,1,EXP(-1*(B852-C852)/(Utilities!$B$11*IterData!H852)))</f>
        <v>3.3038607865970911E-2</v>
      </c>
    </row>
    <row r="853" spans="1:11" x14ac:dyDescent="0.3">
      <c r="A853">
        <v>852</v>
      </c>
      <c r="B853">
        <v>0.65561018199716925</v>
      </c>
      <c r="C853">
        <v>3.9009727876104641E-2</v>
      </c>
      <c r="D853">
        <v>7.2064111728670707E-3</v>
      </c>
      <c r="E853" s="10">
        <v>1.4381973091577224E-3</v>
      </c>
      <c r="F853" s="10">
        <v>1.6764530140632929</v>
      </c>
      <c r="H853">
        <v>0.50000196891617732</v>
      </c>
      <c r="I853" s="11">
        <f t="shared" si="13"/>
        <v>0.61660045412106457</v>
      </c>
      <c r="J853" s="11">
        <f>1/(H853*Utilities!$B$11)</f>
        <v>7.9999684974652148</v>
      </c>
      <c r="K853" s="11">
        <f>IF(B853&lt;C853,1,EXP(-1*(B853-C853)/(Utilities!$B$11*IterData!H853)))</f>
        <v>7.2064111728670707E-3</v>
      </c>
    </row>
    <row r="854" spans="1:11" x14ac:dyDescent="0.3">
      <c r="A854">
        <v>853</v>
      </c>
      <c r="B854">
        <v>0.53989398821989054</v>
      </c>
      <c r="C854">
        <v>3.9009727876104641E-2</v>
      </c>
      <c r="D854">
        <v>1.8186811033767278E-2</v>
      </c>
      <c r="E854" s="10">
        <v>1.4381973091577224E-3</v>
      </c>
      <c r="F854" s="10">
        <v>1.6764530140632929</v>
      </c>
      <c r="H854">
        <v>0.50000192992902481</v>
      </c>
      <c r="I854" s="11">
        <f t="shared" si="13"/>
        <v>0.50088426034378586</v>
      </c>
      <c r="J854" s="11">
        <f>1/(H854*Utilities!$B$11)</f>
        <v>7.9999691212547903</v>
      </c>
      <c r="K854" s="11">
        <f>IF(B854&lt;C854,1,EXP(-1*(B854-C854)/(Utilities!$B$11*IterData!H854)))</f>
        <v>1.8186811033767278E-2</v>
      </c>
    </row>
    <row r="855" spans="1:11" x14ac:dyDescent="0.3">
      <c r="A855">
        <v>854</v>
      </c>
      <c r="B855">
        <v>0.38017141118065739</v>
      </c>
      <c r="C855">
        <v>3.9009727876104641E-2</v>
      </c>
      <c r="D855">
        <v>6.5266059504326457E-2</v>
      </c>
      <c r="E855" s="10">
        <v>1.4381973091577224E-3</v>
      </c>
      <c r="F855" s="10">
        <v>1.6764530140632929</v>
      </c>
      <c r="H855">
        <v>0.50000189171386966</v>
      </c>
      <c r="I855" s="11">
        <f t="shared" si="13"/>
        <v>0.34116168330455277</v>
      </c>
      <c r="J855" s="11">
        <f>1/(H855*Utilities!$B$11)</f>
        <v>7.9999697326925991</v>
      </c>
      <c r="K855" s="11">
        <f>IF(B855&lt;C855,1,EXP(-1*(B855-C855)/(Utilities!$B$11*IterData!H855)))</f>
        <v>6.5266059504326457E-2</v>
      </c>
    </row>
    <row r="856" spans="1:11" x14ac:dyDescent="0.3">
      <c r="A856">
        <v>855</v>
      </c>
      <c r="B856">
        <v>8.1181882294296459E-2</v>
      </c>
      <c r="C856">
        <v>3.9009727876104641E-2</v>
      </c>
      <c r="D856">
        <v>0.71364047192500568</v>
      </c>
      <c r="E856" s="10">
        <v>1.4381973091577224E-3</v>
      </c>
      <c r="F856" s="10">
        <v>1.6764530140632929</v>
      </c>
      <c r="H856">
        <v>0.50000185425542532</v>
      </c>
      <c r="I856" s="11">
        <f t="shared" si="13"/>
        <v>4.2172154418191818E-2</v>
      </c>
      <c r="J856" s="11">
        <f>1/(H856*Utilities!$B$11)</f>
        <v>7.9999703320232189</v>
      </c>
      <c r="K856" s="11">
        <f>IF(B856&lt;C856,1,EXP(-1*(B856-C856)/(Utilities!$B$11*IterData!H856)))</f>
        <v>0.71364047192500568</v>
      </c>
    </row>
    <row r="857" spans="1:11" x14ac:dyDescent="0.3">
      <c r="A857">
        <v>856</v>
      </c>
      <c r="B857">
        <v>0.13379628418632639</v>
      </c>
      <c r="C857">
        <v>8.1181882294296459E-2</v>
      </c>
      <c r="D857">
        <v>0.65644676011189251</v>
      </c>
      <c r="E857" s="10">
        <v>1.2844357603407723E-3</v>
      </c>
      <c r="F857" s="10">
        <v>1.6571012232144338</v>
      </c>
      <c r="H857">
        <v>0.50000181753870787</v>
      </c>
      <c r="I857" s="11">
        <f t="shared" si="13"/>
        <v>5.2614401892029927E-2</v>
      </c>
      <c r="J857" s="11">
        <f>1/(H857*Utilities!$B$11)</f>
        <v>7.9999709194863842</v>
      </c>
      <c r="K857" s="11">
        <f>IF(B857&lt;C857,1,EXP(-1*(B857-C857)/(Utilities!$B$11*IterData!H857)))</f>
        <v>0.65644676011189251</v>
      </c>
    </row>
    <row r="858" spans="1:11" x14ac:dyDescent="0.3">
      <c r="A858">
        <v>857</v>
      </c>
      <c r="B858">
        <v>1.4616772771217823</v>
      </c>
      <c r="C858">
        <v>8.1181882294296459E-2</v>
      </c>
      <c r="D858">
        <v>1.5983976471915993E-5</v>
      </c>
      <c r="E858" s="10">
        <v>1.2844357603407723E-3</v>
      </c>
      <c r="F858" s="10">
        <v>1.6571012232144338</v>
      </c>
      <c r="H858">
        <v>0.50000178154903019</v>
      </c>
      <c r="I858" s="11">
        <f t="shared" si="13"/>
        <v>1.3804953948274858</v>
      </c>
      <c r="J858" s="11">
        <f>1/(H858*Utilities!$B$11)</f>
        <v>7.999971495317082</v>
      </c>
      <c r="K858" s="11">
        <f>IF(B858&lt;C858,1,EXP(-1*(B858-C858)/(Utilities!$B$11*IterData!H858)))</f>
        <v>1.5983976471915993E-5</v>
      </c>
    </row>
    <row r="859" spans="1:11" x14ac:dyDescent="0.3">
      <c r="A859">
        <v>858</v>
      </c>
      <c r="B859">
        <v>0.11066994113127905</v>
      </c>
      <c r="C859">
        <v>8.1181882294296459E-2</v>
      </c>
      <c r="D859">
        <v>0.78985677550061151</v>
      </c>
      <c r="E859" s="10">
        <v>1.2844357603407723E-3</v>
      </c>
      <c r="F859" s="10">
        <v>1.6571012232144338</v>
      </c>
      <c r="H859">
        <v>0.50000174627199578</v>
      </c>
      <c r="I859" s="11">
        <f t="shared" si="13"/>
        <v>2.9488058836982592E-2</v>
      </c>
      <c r="J859" s="11">
        <f>1/(H859*Utilities!$B$11)</f>
        <v>7.9999720597456498</v>
      </c>
      <c r="K859" s="11">
        <f>IF(B859&lt;C859,1,EXP(-1*(B859-C859)/(Utilities!$B$11*IterData!H859)))</f>
        <v>0.78985677550061151</v>
      </c>
    </row>
    <row r="860" spans="1:11" x14ac:dyDescent="0.3">
      <c r="A860">
        <v>859</v>
      </c>
      <c r="B860">
        <v>0.36839891483105169</v>
      </c>
      <c r="C860">
        <v>8.1181882294296459E-2</v>
      </c>
      <c r="D860">
        <v>0.10048685115908047</v>
      </c>
      <c r="E860" s="10">
        <v>1.2844357603407723E-3</v>
      </c>
      <c r="F860" s="10">
        <v>1.6571012232144338</v>
      </c>
      <c r="H860">
        <v>0.5000017116934935</v>
      </c>
      <c r="I860" s="11">
        <f t="shared" si="13"/>
        <v>0.28721703253675523</v>
      </c>
      <c r="J860" s="11">
        <f>1/(H860*Utilities!$B$11)</f>
        <v>7.9999726129978601</v>
      </c>
      <c r="K860" s="11">
        <f>IF(B860&lt;C860,1,EXP(-1*(B860-C860)/(Utilities!$B$11*IterData!H860)))</f>
        <v>0.10048685115908047</v>
      </c>
    </row>
    <row r="861" spans="1:11" x14ac:dyDescent="0.3">
      <c r="A861">
        <v>860</v>
      </c>
      <c r="B861">
        <v>0.34237135489806725</v>
      </c>
      <c r="C861">
        <v>8.1181882294296459E-2</v>
      </c>
      <c r="D861">
        <v>0.12374790966452139</v>
      </c>
      <c r="E861" s="10">
        <v>1.2844357603407723E-3</v>
      </c>
      <c r="F861" s="10">
        <v>1.6571012232144338</v>
      </c>
      <c r="H861">
        <v>0.50000167779969151</v>
      </c>
      <c r="I861" s="11">
        <f t="shared" si="13"/>
        <v>0.26118947260377079</v>
      </c>
      <c r="J861" s="11">
        <f>1/(H861*Utilities!$B$11)</f>
        <v>7.9999731552950157</v>
      </c>
      <c r="K861" s="11">
        <f>IF(B861&lt;C861,1,EXP(-1*(B861-C861)/(Utilities!$B$11*IterData!H861)))</f>
        <v>0.12374790966452139</v>
      </c>
    </row>
    <row r="862" spans="1:11" x14ac:dyDescent="0.3">
      <c r="A862">
        <v>861</v>
      </c>
      <c r="B862">
        <v>0.37661369926969962</v>
      </c>
      <c r="C862">
        <v>8.1181882294296459E-2</v>
      </c>
      <c r="D862">
        <v>9.4095339373294715E-2</v>
      </c>
      <c r="E862" s="10">
        <v>1.2844357603407723E-3</v>
      </c>
      <c r="F862" s="10">
        <v>1.6571012232144338</v>
      </c>
      <c r="H862">
        <v>0.50000164457703167</v>
      </c>
      <c r="I862" s="11">
        <f t="shared" si="13"/>
        <v>0.29543181697540316</v>
      </c>
      <c r="J862" s="11">
        <f>1/(H862*Utilities!$B$11)</f>
        <v>7.999973686854041</v>
      </c>
      <c r="K862" s="11">
        <f>IF(B862&lt;C862,1,EXP(-1*(B862-C862)/(Utilities!$B$11*IterData!H862)))</f>
        <v>9.4095339373294715E-2</v>
      </c>
    </row>
    <row r="863" spans="1:11" x14ac:dyDescent="0.3">
      <c r="A863">
        <v>862</v>
      </c>
      <c r="B863">
        <v>4.011386749990048E-2</v>
      </c>
      <c r="C863">
        <v>8.1181882294296459E-2</v>
      </c>
      <c r="D863">
        <v>1</v>
      </c>
      <c r="E863" s="10">
        <v>1.2844357603407723E-3</v>
      </c>
      <c r="F863" s="10">
        <v>1.6571012232144338</v>
      </c>
      <c r="H863">
        <v>0.50000161201222459</v>
      </c>
      <c r="I863" s="11">
        <f t="shared" si="13"/>
        <v>-4.1068014794395979E-2</v>
      </c>
      <c r="J863" s="11">
        <f>1/(H863*Utilities!$B$11)</f>
        <v>7.9999742078875613</v>
      </c>
      <c r="K863" s="11">
        <f>IF(B863&lt;C863,1,EXP(-1*(B863-C863)/(Utilities!$B$11*IterData!H863)))</f>
        <v>1</v>
      </c>
    </row>
    <row r="864" spans="1:11" x14ac:dyDescent="0.3">
      <c r="A864">
        <v>863</v>
      </c>
      <c r="B864">
        <v>0.24200597690561473</v>
      </c>
      <c r="C864">
        <v>4.011386749990048E-2</v>
      </c>
      <c r="D864">
        <v>0.19886446411881792</v>
      </c>
      <c r="E864" s="10">
        <v>1.5706687959286391E-3</v>
      </c>
      <c r="F864" s="10">
        <v>1.6573104788191062</v>
      </c>
      <c r="H864">
        <v>0.50000158009224394</v>
      </c>
      <c r="I864" s="11">
        <f t="shared" si="13"/>
        <v>0.20189210940571425</v>
      </c>
      <c r="J864" s="11">
        <f>1/(H864*Utilities!$B$11)</f>
        <v>7.9999747186039913</v>
      </c>
      <c r="K864" s="11">
        <f>IF(B864&lt;C864,1,EXP(-1*(B864-C864)/(Utilities!$B$11*IterData!H864)))</f>
        <v>0.19886446411881792</v>
      </c>
    </row>
    <row r="865" spans="1:11" x14ac:dyDescent="0.3">
      <c r="A865">
        <v>864</v>
      </c>
      <c r="B865">
        <v>1.2252742315845031</v>
      </c>
      <c r="C865">
        <v>4.011386749990048E-2</v>
      </c>
      <c r="D865">
        <v>7.6268271613572503E-5</v>
      </c>
      <c r="E865" s="10">
        <v>1.5706687959286391E-3</v>
      </c>
      <c r="F865" s="10">
        <v>1.6573104788191062</v>
      </c>
      <c r="H865">
        <v>0.50000154880432113</v>
      </c>
      <c r="I865" s="11">
        <f t="shared" si="13"/>
        <v>1.1851603640846027</v>
      </c>
      <c r="J865" s="11">
        <f>1/(H865*Utilities!$B$11)</f>
        <v>7.9999752192076228</v>
      </c>
      <c r="K865" s="11">
        <f>IF(B865&lt;C865,1,EXP(-1*(B865-C865)/(Utilities!$B$11*IterData!H865)))</f>
        <v>7.6268271613572503E-5</v>
      </c>
    </row>
    <row r="866" spans="1:11" x14ac:dyDescent="0.3">
      <c r="A866">
        <v>865</v>
      </c>
      <c r="B866">
        <v>0.20331430113003077</v>
      </c>
      <c r="C866">
        <v>4.011386749990048E-2</v>
      </c>
      <c r="D866">
        <v>0.27101001450669349</v>
      </c>
      <c r="E866" s="10">
        <v>1.5706687959286391E-3</v>
      </c>
      <c r="F866" s="10">
        <v>1.6573104788191062</v>
      </c>
      <c r="H866">
        <v>0.50000151813594085</v>
      </c>
      <c r="I866" s="11">
        <f t="shared" si="13"/>
        <v>0.16320043363013029</v>
      </c>
      <c r="J866" s="11">
        <f>1/(H866*Utilities!$B$11)</f>
        <v>7.9999757098986981</v>
      </c>
      <c r="K866" s="11">
        <f>IF(B866&lt;C866,1,EXP(-1*(B866-C866)/(Utilities!$B$11*IterData!H866)))</f>
        <v>0.27101001450669349</v>
      </c>
    </row>
    <row r="867" spans="1:11" x14ac:dyDescent="0.3">
      <c r="A867">
        <v>866</v>
      </c>
      <c r="B867">
        <v>0.4873312967373451</v>
      </c>
      <c r="C867">
        <v>4.011386749990048E-2</v>
      </c>
      <c r="D867">
        <v>2.7939081881821679E-2</v>
      </c>
      <c r="E867" s="10">
        <v>1.5706687959286391E-3</v>
      </c>
      <c r="F867" s="10">
        <v>1.6573104788191062</v>
      </c>
      <c r="H867">
        <v>0.50000148807483513</v>
      </c>
      <c r="I867" s="11">
        <f t="shared" si="13"/>
        <v>0.44721742923744462</v>
      </c>
      <c r="J867" s="11">
        <f>1/(H867*Utilities!$B$11)</f>
        <v>7.9999761908734977</v>
      </c>
      <c r="K867" s="11">
        <f>IF(B867&lt;C867,1,EXP(-1*(B867-C867)/(Utilities!$B$11*IterData!H867)))</f>
        <v>2.7939081881821679E-2</v>
      </c>
    </row>
    <row r="868" spans="1:11" x14ac:dyDescent="0.3">
      <c r="A868">
        <v>867</v>
      </c>
      <c r="B868">
        <v>0.14445270373281754</v>
      </c>
      <c r="C868">
        <v>4.011386749990048E-2</v>
      </c>
      <c r="D868">
        <v>0.43400108068057452</v>
      </c>
      <c r="E868" s="10">
        <v>1.5706687959286391E-3</v>
      </c>
      <c r="F868" s="10">
        <v>1.6573104788191062</v>
      </c>
      <c r="H868">
        <v>0.50000145860897915</v>
      </c>
      <c r="I868" s="11">
        <f t="shared" si="13"/>
        <v>0.10433883623291706</v>
      </c>
      <c r="J868" s="11">
        <f>1/(H868*Utilities!$B$11)</f>
        <v>7.9999766623244142</v>
      </c>
      <c r="K868" s="11">
        <f>IF(B868&lt;C868,1,EXP(-1*(B868-C868)/(Utilities!$B$11*IterData!H868)))</f>
        <v>0.43400108068057452</v>
      </c>
    </row>
    <row r="869" spans="1:11" x14ac:dyDescent="0.3">
      <c r="A869">
        <v>868</v>
      </c>
      <c r="B869">
        <v>0.61501787090661175</v>
      </c>
      <c r="C869">
        <v>4.011386749990048E-2</v>
      </c>
      <c r="D869">
        <v>1.0059690542136818E-2</v>
      </c>
      <c r="E869" s="10">
        <v>1.5706687959286391E-3</v>
      </c>
      <c r="F869" s="10">
        <v>1.6573104788191062</v>
      </c>
      <c r="H869">
        <v>0.50000142972658623</v>
      </c>
      <c r="I869" s="11">
        <f t="shared" si="13"/>
        <v>0.57490400340671122</v>
      </c>
      <c r="J869" s="11">
        <f>1/(H869*Utilities!$B$11)</f>
        <v>7.999977124440032</v>
      </c>
      <c r="K869" s="11">
        <f>IF(B869&lt;C869,1,EXP(-1*(B869-C869)/(Utilities!$B$11*IterData!H869)))</f>
        <v>1.0059690542136816E-2</v>
      </c>
    </row>
    <row r="870" spans="1:11" x14ac:dyDescent="0.3">
      <c r="A870">
        <v>869</v>
      </c>
      <c r="B870">
        <v>3.4267862001815898E-2</v>
      </c>
      <c r="C870">
        <v>4.011386749990048E-2</v>
      </c>
      <c r="D870">
        <v>1</v>
      </c>
      <c r="E870" s="10">
        <v>1.5706687959286391E-3</v>
      </c>
      <c r="F870" s="10">
        <v>1.6573104788191062</v>
      </c>
      <c r="H870">
        <v>0.50000140141610305</v>
      </c>
      <c r="I870" s="11">
        <f t="shared" si="13"/>
        <v>-5.8460054980845819E-3</v>
      </c>
      <c r="J870" s="11">
        <f>1/(H870*Utilities!$B$11)</f>
        <v>7.9999775774051978</v>
      </c>
      <c r="K870" s="11">
        <f>IF(B870&lt;C870,1,EXP(-1*(B870-C870)/(Utilities!$B$11*IterData!H870)))</f>
        <v>1</v>
      </c>
    </row>
    <row r="871" spans="1:11" x14ac:dyDescent="0.3">
      <c r="A871">
        <v>870</v>
      </c>
      <c r="B871">
        <v>9.3587509527181575E-2</v>
      </c>
      <c r="C871">
        <v>3.4267862001815898E-2</v>
      </c>
      <c r="D871">
        <v>0.6221613116112612</v>
      </c>
      <c r="E871" s="10">
        <v>1.2785441963919504E-3</v>
      </c>
      <c r="F871" s="10">
        <v>1.7122334736638323</v>
      </c>
      <c r="H871">
        <v>0.5000013736662049</v>
      </c>
      <c r="I871" s="11">
        <f t="shared" si="13"/>
        <v>5.9319647525365678E-2</v>
      </c>
      <c r="J871" s="11">
        <f>1/(H871*Utilities!$B$11)</f>
        <v>7.9999780214011045</v>
      </c>
      <c r="K871" s="11">
        <f>IF(B871&lt;C871,1,EXP(-1*(B871-C871)/(Utilities!$B$11*IterData!H871)))</f>
        <v>0.6221613116112612</v>
      </c>
    </row>
    <row r="872" spans="1:11" x14ac:dyDescent="0.3">
      <c r="A872">
        <v>871</v>
      </c>
      <c r="B872">
        <v>0.47855459409098661</v>
      </c>
      <c r="C872">
        <v>3.4267862001815898E-2</v>
      </c>
      <c r="D872">
        <v>2.8601838349458987E-2</v>
      </c>
      <c r="E872" s="10">
        <v>1.2785441963919504E-3</v>
      </c>
      <c r="F872" s="10">
        <v>1.7122334736638323</v>
      </c>
      <c r="H872">
        <v>0.50000134646579164</v>
      </c>
      <c r="I872" s="11">
        <f t="shared" si="13"/>
        <v>0.44428673208917069</v>
      </c>
      <c r="J872" s="11">
        <f>1/(H872*Utilities!$B$11)</f>
        <v>7.9999784566053487</v>
      </c>
      <c r="K872" s="11">
        <f>IF(B872&lt;C872,1,EXP(-1*(B872-C872)/(Utilities!$B$11*IterData!H872)))</f>
        <v>2.8601838349458987E-2</v>
      </c>
    </row>
    <row r="873" spans="1:11" x14ac:dyDescent="0.3">
      <c r="A873">
        <v>872</v>
      </c>
      <c r="B873">
        <v>0.37733312838478811</v>
      </c>
      <c r="C873">
        <v>3.4267862001815898E-2</v>
      </c>
      <c r="D873">
        <v>6.4279476216065681E-2</v>
      </c>
      <c r="E873" s="10">
        <v>1.2785441963919504E-3</v>
      </c>
      <c r="F873" s="10">
        <v>1.7122334736638323</v>
      </c>
      <c r="H873">
        <v>0.50000131980398255</v>
      </c>
      <c r="I873" s="11">
        <f t="shared" si="13"/>
        <v>0.34306526638297219</v>
      </c>
      <c r="J873" s="11">
        <f>1/(H873*Utilities!$B$11)</f>
        <v>7.9999788831920196</v>
      </c>
      <c r="K873" s="11">
        <f>IF(B873&lt;C873,1,EXP(-1*(B873-C873)/(Utilities!$B$11*IterData!H873)))</f>
        <v>6.4279476216065681E-2</v>
      </c>
    </row>
    <row r="874" spans="1:11" x14ac:dyDescent="0.3">
      <c r="A874">
        <v>873</v>
      </c>
      <c r="B874">
        <v>0.16773970063262728</v>
      </c>
      <c r="C874">
        <v>3.4267862001815898E-2</v>
      </c>
      <c r="D874">
        <v>0.34377361081351376</v>
      </c>
      <c r="E874" s="10">
        <v>1.2785441963919504E-3</v>
      </c>
      <c r="F874" s="10">
        <v>1.7122334736638323</v>
      </c>
      <c r="H874">
        <v>0.50000129367011281</v>
      </c>
      <c r="I874" s="11">
        <f t="shared" si="13"/>
        <v>0.13347183863081138</v>
      </c>
      <c r="J874" s="11">
        <f>1/(H874*Utilities!$B$11)</f>
        <v>7.9999793013317495</v>
      </c>
      <c r="K874" s="11">
        <f>IF(B874&lt;C874,1,EXP(-1*(B874-C874)/(Utilities!$B$11*IterData!H874)))</f>
        <v>0.34377361081351376</v>
      </c>
    </row>
    <row r="875" spans="1:11" x14ac:dyDescent="0.3">
      <c r="A875">
        <v>874</v>
      </c>
      <c r="B875">
        <v>1.14955095986557</v>
      </c>
      <c r="C875">
        <v>3.4267862001815898E-2</v>
      </c>
      <c r="D875">
        <v>1.3338883079724165E-4</v>
      </c>
      <c r="E875" s="10">
        <v>1.2785441963919504E-3</v>
      </c>
      <c r="F875" s="10">
        <v>1.7122334736638323</v>
      </c>
      <c r="H875">
        <v>0.50000126805372824</v>
      </c>
      <c r="I875" s="11">
        <f t="shared" si="13"/>
        <v>1.115283097863754</v>
      </c>
      <c r="J875" s="11">
        <f>1/(H875*Utilities!$B$11)</f>
        <v>7.999979711191803</v>
      </c>
      <c r="K875" s="11">
        <f>IF(B875&lt;C875,1,EXP(-1*(B875-C875)/(Utilities!$B$11*IterData!H875)))</f>
        <v>1.3338883079724165E-4</v>
      </c>
    </row>
    <row r="876" spans="1:11" x14ac:dyDescent="0.3">
      <c r="A876">
        <v>875</v>
      </c>
      <c r="B876">
        <v>0.23860406258475822</v>
      </c>
      <c r="C876">
        <v>3.4267862001815898E-2</v>
      </c>
      <c r="D876">
        <v>0.1950136854635886</v>
      </c>
      <c r="E876" s="10">
        <v>1.2785441963919504E-3</v>
      </c>
      <c r="F876" s="10">
        <v>1.7122334736638323</v>
      </c>
      <c r="H876">
        <v>0.50000124294458215</v>
      </c>
      <c r="I876" s="11">
        <f t="shared" si="13"/>
        <v>0.20433620058294233</v>
      </c>
      <c r="J876" s="11">
        <f>1/(H876*Utilities!$B$11)</f>
        <v>7.9999801129361225</v>
      </c>
      <c r="K876" s="11">
        <f>IF(B876&lt;C876,1,EXP(-1*(B876-C876)/(Utilities!$B$11*IterData!H876)))</f>
        <v>0.1950136854635886</v>
      </c>
    </row>
    <row r="877" spans="1:11" x14ac:dyDescent="0.3">
      <c r="A877">
        <v>876</v>
      </c>
      <c r="B877">
        <v>0.54591793539351485</v>
      </c>
      <c r="C877">
        <v>3.4267862001815898E-2</v>
      </c>
      <c r="D877">
        <v>1.6685910247983327E-2</v>
      </c>
      <c r="E877" s="10">
        <v>1.2785441963919504E-3</v>
      </c>
      <c r="F877" s="10">
        <v>1.7122334736638323</v>
      </c>
      <c r="H877">
        <v>0.50000121833263034</v>
      </c>
      <c r="I877" s="11">
        <f t="shared" si="13"/>
        <v>0.51165007339169899</v>
      </c>
      <c r="J877" s="11">
        <f>1/(H877*Utilities!$B$11)</f>
        <v>7.9999805067254135</v>
      </c>
      <c r="K877" s="11">
        <f>IF(B877&lt;C877,1,EXP(-1*(B877-C877)/(Utilities!$B$11*IterData!H877)))</f>
        <v>1.6685910247983313E-2</v>
      </c>
    </row>
    <row r="878" spans="1:11" x14ac:dyDescent="0.3">
      <c r="A878">
        <v>877</v>
      </c>
      <c r="B878">
        <v>0.36591159235149961</v>
      </c>
      <c r="C878">
        <v>3.4267862001815898E-2</v>
      </c>
      <c r="D878">
        <v>7.0429469258274813E-2</v>
      </c>
      <c r="E878" s="10">
        <v>1.2785441963919504E-3</v>
      </c>
      <c r="F878" s="10">
        <v>1.7122334736638323</v>
      </c>
      <c r="H878">
        <v>0.50000119420802791</v>
      </c>
      <c r="I878" s="11">
        <f t="shared" si="13"/>
        <v>0.3316437303496837</v>
      </c>
      <c r="J878" s="11">
        <f>1/(H878*Utilities!$B$11)</f>
        <v>7.9999808927171898</v>
      </c>
      <c r="K878" s="11">
        <f>IF(B878&lt;C878,1,EXP(-1*(B878-C878)/(Utilities!$B$11*IterData!H878)))</f>
        <v>7.0429469258274841E-2</v>
      </c>
    </row>
    <row r="879" spans="1:11" x14ac:dyDescent="0.3">
      <c r="A879">
        <v>878</v>
      </c>
      <c r="B879">
        <v>0.28642356965577975</v>
      </c>
      <c r="C879">
        <v>3.4267862001815898E-2</v>
      </c>
      <c r="D879">
        <v>0.13302197502935079</v>
      </c>
      <c r="E879" s="10">
        <v>1.2785441963919504E-3</v>
      </c>
      <c r="F879" s="10">
        <v>1.7122334736638323</v>
      </c>
      <c r="H879">
        <v>0.50000117056112459</v>
      </c>
      <c r="I879" s="11">
        <f t="shared" si="13"/>
        <v>0.25215570765396383</v>
      </c>
      <c r="J879" s="11">
        <f>1/(H879*Utilities!$B$11)</f>
        <v>7.9999812710658533</v>
      </c>
      <c r="K879" s="11">
        <f>IF(B879&lt;C879,1,EXP(-1*(B879-C879)/(Utilities!$B$11*IterData!H879)))</f>
        <v>0.13302197502935079</v>
      </c>
    </row>
    <row r="880" spans="1:11" x14ac:dyDescent="0.3">
      <c r="A880">
        <v>879</v>
      </c>
      <c r="B880">
        <v>0.4619120015247688</v>
      </c>
      <c r="C880">
        <v>3.4267862001815898E-2</v>
      </c>
      <c r="D880">
        <v>3.2674991962355474E-2</v>
      </c>
      <c r="E880" s="10">
        <v>1.2785441963919504E-3</v>
      </c>
      <c r="F880" s="10">
        <v>1.7122334736638323</v>
      </c>
      <c r="H880">
        <v>0.50000114738246138</v>
      </c>
      <c r="I880" s="11">
        <f t="shared" si="13"/>
        <v>0.42764413952295288</v>
      </c>
      <c r="J880" s="11">
        <f>1/(H880*Utilities!$B$11)</f>
        <v>7.9999816419227452</v>
      </c>
      <c r="K880" s="11">
        <f>IF(B880&lt;C880,1,EXP(-1*(B880-C880)/(Utilities!$B$11*IterData!H880)))</f>
        <v>3.2674991962355474E-2</v>
      </c>
    </row>
    <row r="881" spans="1:11" x14ac:dyDescent="0.3">
      <c r="A881">
        <v>880</v>
      </c>
      <c r="B881">
        <v>0.43499456746262816</v>
      </c>
      <c r="C881">
        <v>3.4267862001815898E-2</v>
      </c>
      <c r="D881">
        <v>4.0526206794767199E-2</v>
      </c>
      <c r="E881" s="10">
        <v>1.2785441963919504E-3</v>
      </c>
      <c r="F881" s="10">
        <v>1.7122334736638323</v>
      </c>
      <c r="H881">
        <v>0.50000112466276647</v>
      </c>
      <c r="I881" s="11">
        <f t="shared" si="13"/>
        <v>0.40072670546081224</v>
      </c>
      <c r="J881" s="11">
        <f>1/(H881*Utilities!$B$11)</f>
        <v>7.9999820054362125</v>
      </c>
      <c r="K881" s="11">
        <f>IF(B881&lt;C881,1,EXP(-1*(B881-C881)/(Utilities!$B$11*IterData!H881)))</f>
        <v>4.0526206794767199E-2</v>
      </c>
    </row>
    <row r="882" spans="1:11" x14ac:dyDescent="0.3">
      <c r="A882">
        <v>881</v>
      </c>
      <c r="B882">
        <v>4.5262139015507852E-2</v>
      </c>
      <c r="C882">
        <v>3.4267862001815898E-2</v>
      </c>
      <c r="D882">
        <v>0.91580298237110769</v>
      </c>
      <c r="E882" s="10">
        <v>1.2785441963919504E-3</v>
      </c>
      <c r="F882" s="10">
        <v>1.7122334736638323</v>
      </c>
      <c r="H882">
        <v>0.50000110239295159</v>
      </c>
      <c r="I882" s="11">
        <f t="shared" si="13"/>
        <v>1.0994277013691954E-2</v>
      </c>
      <c r="J882" s="11">
        <f>1/(H882*Utilities!$B$11)</f>
        <v>7.9999823617516634</v>
      </c>
      <c r="K882" s="11">
        <f>IF(B882&lt;C882,1,EXP(-1*(B882-C882)/(Utilities!$B$11*IterData!H882)))</f>
        <v>0.91580298237110769</v>
      </c>
    </row>
    <row r="883" spans="1:11" x14ac:dyDescent="0.3">
      <c r="A883">
        <v>882</v>
      </c>
      <c r="B883">
        <v>0.38510500088519778</v>
      </c>
      <c r="C883">
        <v>4.5262139015507852E-2</v>
      </c>
      <c r="D883">
        <v>6.5958005523265362E-2</v>
      </c>
      <c r="E883" s="10">
        <v>1.0826851605567989E-3</v>
      </c>
      <c r="F883" s="10">
        <v>1.8096300332971915</v>
      </c>
      <c r="H883">
        <v>0.50000108056410864</v>
      </c>
      <c r="I883" s="11">
        <f t="shared" si="13"/>
        <v>0.33984286186968993</v>
      </c>
      <c r="J883" s="11">
        <f>1/(H883*Utilities!$B$11)</f>
        <v>7.9999827110116257</v>
      </c>
      <c r="K883" s="11">
        <f>IF(B883&lt;C883,1,EXP(-1*(B883-C883)/(Utilities!$B$11*IterData!H883)))</f>
        <v>6.5958005523265362E-2</v>
      </c>
    </row>
    <row r="884" spans="1:11" x14ac:dyDescent="0.3">
      <c r="A884">
        <v>883</v>
      </c>
      <c r="B884">
        <v>0.62809193238570493</v>
      </c>
      <c r="C884">
        <v>4.5262139015507852E-2</v>
      </c>
      <c r="D884">
        <v>9.4416127623036198E-3</v>
      </c>
      <c r="E884" s="10">
        <v>1.0826851605567989E-3</v>
      </c>
      <c r="F884" s="10">
        <v>1.8096300332971915</v>
      </c>
      <c r="H884">
        <v>0.5000010591675057</v>
      </c>
      <c r="I884" s="11">
        <f t="shared" si="13"/>
        <v>0.58282979337019714</v>
      </c>
      <c r="J884" s="11">
        <f>1/(H884*Utilities!$B$11)</f>
        <v>7.9999830533558072</v>
      </c>
      <c r="K884" s="11">
        <f>IF(B884&lt;C884,1,EXP(-1*(B884-C884)/(Utilities!$B$11*IterData!H884)))</f>
        <v>9.4416127623036198E-3</v>
      </c>
    </row>
    <row r="885" spans="1:11" x14ac:dyDescent="0.3">
      <c r="A885">
        <v>884</v>
      </c>
      <c r="B885">
        <v>1.1630337758661184</v>
      </c>
      <c r="C885">
        <v>4.5262139015507852E-2</v>
      </c>
      <c r="D885">
        <v>1.3075901259524013E-4</v>
      </c>
      <c r="E885" s="10">
        <v>1.0826851605567989E-3</v>
      </c>
      <c r="F885" s="10">
        <v>1.8096300332971915</v>
      </c>
      <c r="H885">
        <v>0.50000103819458386</v>
      </c>
      <c r="I885" s="11">
        <f t="shared" si="13"/>
        <v>1.1177716368506105</v>
      </c>
      <c r="J885" s="11">
        <f>1/(H885*Utilities!$B$11)</f>
        <v>7.9999833889211489</v>
      </c>
      <c r="K885" s="11">
        <f>IF(B885&lt;C885,1,EXP(-1*(B885-C885)/(Utilities!$B$11*IterData!H885)))</f>
        <v>1.3075901259524013E-4</v>
      </c>
    </row>
    <row r="886" spans="1:11" x14ac:dyDescent="0.3">
      <c r="A886">
        <v>885</v>
      </c>
      <c r="B886">
        <v>0.1729916035904453</v>
      </c>
      <c r="C886">
        <v>4.5262139015507852E-2</v>
      </c>
      <c r="D886">
        <v>0.35993434581926936</v>
      </c>
      <c r="E886" s="10">
        <v>1.0826851605567989E-3</v>
      </c>
      <c r="F886" s="10">
        <v>1.8096300332971915</v>
      </c>
      <c r="H886">
        <v>0.5000010176369537</v>
      </c>
      <c r="I886" s="11">
        <f t="shared" si="13"/>
        <v>0.12772946457493745</v>
      </c>
      <c r="J886" s="11">
        <f>1/(H886*Utilities!$B$11)</f>
        <v>7.9999837178418796</v>
      </c>
      <c r="K886" s="11">
        <f>IF(B886&lt;C886,1,EXP(-1*(B886-C886)/(Utilities!$B$11*IterData!H886)))</f>
        <v>0.35993434581926936</v>
      </c>
    </row>
    <row r="887" spans="1:11" x14ac:dyDescent="0.3">
      <c r="A887">
        <v>886</v>
      </c>
      <c r="B887">
        <v>8.8299221976782374E-2</v>
      </c>
      <c r="C887">
        <v>0.1729916035904453</v>
      </c>
      <c r="D887">
        <v>1</v>
      </c>
      <c r="E887" s="10">
        <v>1.6128708971654938E-3</v>
      </c>
      <c r="F887" s="10">
        <v>1.5607025882923802</v>
      </c>
      <c r="H887">
        <v>0.50000099748639193</v>
      </c>
      <c r="I887" s="11">
        <f t="shared" si="13"/>
        <v>-8.4692381613662923E-2</v>
      </c>
      <c r="J887" s="11">
        <f>1/(H887*Utilities!$B$11)</f>
        <v>7.9999840402495686</v>
      </c>
      <c r="K887" s="11">
        <f>IF(B887&lt;C887,1,EXP(-1*(B887-C887)/(Utilities!$B$11*IterData!H887)))</f>
        <v>1</v>
      </c>
    </row>
    <row r="888" spans="1:11" x14ac:dyDescent="0.3">
      <c r="A888">
        <v>887</v>
      </c>
      <c r="B888">
        <v>0.32077548742829193</v>
      </c>
      <c r="C888">
        <v>8.8299221976782374E-2</v>
      </c>
      <c r="D888">
        <v>0.15570275798917513</v>
      </c>
      <c r="E888" s="10">
        <v>1.5765915142714078E-3</v>
      </c>
      <c r="F888" s="10">
        <v>1.7476967978215079</v>
      </c>
      <c r="H888">
        <v>0.50000097773483798</v>
      </c>
      <c r="I888" s="11">
        <f t="shared" si="13"/>
        <v>0.23247626545150957</v>
      </c>
      <c r="J888" s="11">
        <f>1/(H888*Utilities!$B$11)</f>
        <v>7.9999843562731829</v>
      </c>
      <c r="K888" s="11">
        <f>IF(B888&lt;C888,1,EXP(-1*(B888-C888)/(Utilities!$B$11*IterData!H888)))</f>
        <v>0.1557027579891751</v>
      </c>
    </row>
    <row r="889" spans="1:11" x14ac:dyDescent="0.3">
      <c r="A889">
        <v>888</v>
      </c>
      <c r="B889">
        <v>0.61313192832388752</v>
      </c>
      <c r="C889">
        <v>8.8299221976782374E-2</v>
      </c>
      <c r="D889">
        <v>1.5015780417911498E-2</v>
      </c>
      <c r="E889" s="10">
        <v>1.5765915142714078E-3</v>
      </c>
      <c r="F889" s="10">
        <v>1.7476967978215079</v>
      </c>
      <c r="H889">
        <v>0.50000095837439107</v>
      </c>
      <c r="I889" s="11">
        <f t="shared" si="13"/>
        <v>0.5248327063471051</v>
      </c>
      <c r="J889" s="11">
        <f>1/(H889*Utilities!$B$11)</f>
        <v>7.9999846660391345</v>
      </c>
      <c r="K889" s="11">
        <f>IF(B889&lt;C889,1,EXP(-1*(B889-C889)/(Utilities!$B$11*IterData!H889)))</f>
        <v>1.501578041791151E-2</v>
      </c>
    </row>
    <row r="890" spans="1:11" x14ac:dyDescent="0.3">
      <c r="A890">
        <v>889</v>
      </c>
      <c r="B890">
        <v>1.0794277750756209</v>
      </c>
      <c r="C890">
        <v>8.8299221976782374E-2</v>
      </c>
      <c r="D890">
        <v>3.6014150734035356E-4</v>
      </c>
      <c r="E890" s="10">
        <v>1.5765915142714078E-3</v>
      </c>
      <c r="F890" s="10">
        <v>1.7476967978215079</v>
      </c>
      <c r="H890">
        <v>0.50000093939730672</v>
      </c>
      <c r="I890" s="11">
        <f t="shared" si="13"/>
        <v>0.99112855309883852</v>
      </c>
      <c r="J890" s="11">
        <f>1/(H890*Utilities!$B$11)</f>
        <v>7.9999849696713312</v>
      </c>
      <c r="K890" s="11">
        <f>IF(B890&lt;C890,1,EXP(-1*(B890-C890)/(Utilities!$B$11*IterData!H890)))</f>
        <v>3.6014150734035388E-4</v>
      </c>
    </row>
    <row r="891" spans="1:11" x14ac:dyDescent="0.3">
      <c r="A891">
        <v>890</v>
      </c>
      <c r="B891">
        <v>0.25460360853079572</v>
      </c>
      <c r="C891">
        <v>8.8299221976782374E-2</v>
      </c>
      <c r="D891">
        <v>0.26436286199320852</v>
      </c>
      <c r="E891" s="10">
        <v>1.5765915142714078E-3</v>
      </c>
      <c r="F891" s="10">
        <v>1.7476967978215079</v>
      </c>
      <c r="H891">
        <v>0.50000092079599368</v>
      </c>
      <c r="I891" s="11">
        <f t="shared" si="13"/>
        <v>0.16630438655401336</v>
      </c>
      <c r="J891" s="11">
        <f>1/(H891*Utilities!$B$11)</f>
        <v>7.9999852672912333</v>
      </c>
      <c r="K891" s="11">
        <f>IF(B891&lt;C891,1,EXP(-1*(B891-C891)/(Utilities!$B$11*IterData!H891)))</f>
        <v>0.26436286199320852</v>
      </c>
    </row>
    <row r="892" spans="1:11" x14ac:dyDescent="0.3">
      <c r="A892">
        <v>891</v>
      </c>
      <c r="B892">
        <v>0.49531723995193472</v>
      </c>
      <c r="C892">
        <v>8.8299221976782374E-2</v>
      </c>
      <c r="D892">
        <v>3.8536930408728305E-2</v>
      </c>
      <c r="E892" s="10">
        <v>1.5765915142714078E-3</v>
      </c>
      <c r="F892" s="10">
        <v>1.7476967978215079</v>
      </c>
      <c r="H892">
        <v>0.50000090256301144</v>
      </c>
      <c r="I892" s="11">
        <f t="shared" si="13"/>
        <v>0.40701801797515236</v>
      </c>
      <c r="J892" s="11">
        <f>1/(H892*Utilities!$B$11)</f>
        <v>7.999985559017885</v>
      </c>
      <c r="K892" s="11">
        <f>IF(B892&lt;C892,1,EXP(-1*(B892-C892)/(Utilities!$B$11*IterData!H892)))</f>
        <v>3.8536930408728305E-2</v>
      </c>
    </row>
    <row r="893" spans="1:11" x14ac:dyDescent="0.3">
      <c r="A893">
        <v>892</v>
      </c>
      <c r="B893">
        <v>0.39972397475772925</v>
      </c>
      <c r="C893">
        <v>8.8299221976782374E-2</v>
      </c>
      <c r="D893">
        <v>8.2794502558160787E-2</v>
      </c>
      <c r="E893" s="10">
        <v>1.5765915142714078E-3</v>
      </c>
      <c r="F893" s="10">
        <v>1.7476967978215079</v>
      </c>
      <c r="H893">
        <v>0.50000088469106641</v>
      </c>
      <c r="I893" s="11">
        <f t="shared" si="13"/>
        <v>0.31142475278094689</v>
      </c>
      <c r="J893" s="11">
        <f>1/(H893*Utilities!$B$11)</f>
        <v>7.9999858449679833</v>
      </c>
      <c r="K893" s="11">
        <f>IF(B893&lt;C893,1,EXP(-1*(B893-C893)/(Utilities!$B$11*IterData!H893)))</f>
        <v>8.279450255816076E-2</v>
      </c>
    </row>
    <row r="894" spans="1:11" x14ac:dyDescent="0.3">
      <c r="A894">
        <v>893</v>
      </c>
      <c r="B894">
        <v>0.60686359921241928</v>
      </c>
      <c r="C894">
        <v>8.8299221976782374E-2</v>
      </c>
      <c r="D894">
        <v>1.57879573447413E-2</v>
      </c>
      <c r="E894" s="10">
        <v>1.5765915142714078E-3</v>
      </c>
      <c r="F894" s="10">
        <v>1.7476967978215079</v>
      </c>
      <c r="H894">
        <v>0.50000086717300951</v>
      </c>
      <c r="I894" s="11">
        <f t="shared" si="13"/>
        <v>0.51856437723563686</v>
      </c>
      <c r="J894" s="11">
        <f>1/(H894*Utilities!$B$11)</f>
        <v>7.9999861252559112</v>
      </c>
      <c r="K894" s="11">
        <f>IF(B894&lt;C894,1,EXP(-1*(B894-C894)/(Utilities!$B$11*IterData!H894)))</f>
        <v>1.57879573447413E-2</v>
      </c>
    </row>
    <row r="895" spans="1:11" x14ac:dyDescent="0.3">
      <c r="A895">
        <v>894</v>
      </c>
      <c r="B895">
        <v>0.18849447647034651</v>
      </c>
      <c r="C895">
        <v>8.8299221976782374E-2</v>
      </c>
      <c r="D895">
        <v>0.44862825533437695</v>
      </c>
      <c r="E895" s="10">
        <v>1.5765915142714078E-3</v>
      </c>
      <c r="F895" s="10">
        <v>1.7476967978215079</v>
      </c>
      <c r="H895">
        <v>0.50000085000183347</v>
      </c>
      <c r="I895" s="11">
        <f t="shared" si="13"/>
        <v>0.10019525449356413</v>
      </c>
      <c r="J895" s="11">
        <f>1/(H895*Utilities!$B$11)</f>
        <v>7.9999863999937846</v>
      </c>
      <c r="K895" s="11">
        <f>IF(B895&lt;C895,1,EXP(-1*(B895-C895)/(Utilities!$B$11*IterData!H895)))</f>
        <v>0.44862825533437695</v>
      </c>
    </row>
    <row r="896" spans="1:11" x14ac:dyDescent="0.3">
      <c r="A896">
        <v>895</v>
      </c>
      <c r="B896">
        <v>0.52777442681402797</v>
      </c>
      <c r="C896">
        <v>0.18849447647034651</v>
      </c>
      <c r="D896">
        <v>6.6255613879151645E-2</v>
      </c>
      <c r="E896" s="10">
        <v>1.1182452939759208E-3</v>
      </c>
      <c r="F896" s="10">
        <v>1.6410637919668185</v>
      </c>
      <c r="H896">
        <v>0.50000083317066946</v>
      </c>
      <c r="I896" s="11">
        <f t="shared" si="13"/>
        <v>0.33927995034368147</v>
      </c>
      <c r="J896" s="11">
        <f>1/(H896*Utilities!$B$11)</f>
        <v>7.999986669291502</v>
      </c>
      <c r="K896" s="11">
        <f>IF(B896&lt;C896,1,EXP(-1*(B896-C896)/(Utilities!$B$11*IterData!H896)))</f>
        <v>6.6255613879151645E-2</v>
      </c>
    </row>
    <row r="897" spans="1:11" x14ac:dyDescent="0.3">
      <c r="A897">
        <v>896</v>
      </c>
      <c r="B897">
        <v>5.3630592780545404E-2</v>
      </c>
      <c r="C897">
        <v>0.18849447647034651</v>
      </c>
      <c r="D897">
        <v>1</v>
      </c>
      <c r="E897" s="10">
        <v>1.1182452939759208E-3</v>
      </c>
      <c r="F897" s="10">
        <v>1.6410637919668185</v>
      </c>
      <c r="H897">
        <v>0.50000081667278484</v>
      </c>
      <c r="I897" s="11">
        <f t="shared" si="13"/>
        <v>-0.1348638836898011</v>
      </c>
      <c r="J897" s="11">
        <f>1/(H897*Utilities!$B$11)</f>
        <v>7.9999869332567854</v>
      </c>
      <c r="K897" s="11">
        <f>IF(B897&lt;C897,1,EXP(-1*(B897-C897)/(Utilities!$B$11*IterData!H897)))</f>
        <v>1</v>
      </c>
    </row>
    <row r="898" spans="1:11" x14ac:dyDescent="0.3">
      <c r="A898">
        <v>897</v>
      </c>
      <c r="B898">
        <v>0.6706458998469732</v>
      </c>
      <c r="C898">
        <v>5.3630592780545404E-2</v>
      </c>
      <c r="D898">
        <v>7.182451254796148E-3</v>
      </c>
      <c r="E898" s="10">
        <v>1.5342055970159962E-3</v>
      </c>
      <c r="F898" s="10">
        <v>1.6396189842928603</v>
      </c>
      <c r="H898">
        <v>0.50000080050158024</v>
      </c>
      <c r="I898" s="11">
        <f t="shared" si="13"/>
        <v>0.61701530706642782</v>
      </c>
      <c r="J898" s="11">
        <f>1/(H898*Utilities!$B$11)</f>
        <v>7.9999871919952215</v>
      </c>
      <c r="K898" s="11">
        <f>IF(B898&lt;C898,1,EXP(-1*(B898-C898)/(Utilities!$B$11*IterData!H898)))</f>
        <v>7.182451254796148E-3</v>
      </c>
    </row>
    <row r="899" spans="1:11" x14ac:dyDescent="0.3">
      <c r="A899">
        <v>898</v>
      </c>
      <c r="B899">
        <v>0.90545921697433851</v>
      </c>
      <c r="C899">
        <v>5.3630592780545404E-2</v>
      </c>
      <c r="D899">
        <v>1.0976120754563972E-3</v>
      </c>
      <c r="E899" s="10">
        <v>1.5342055970159962E-3</v>
      </c>
      <c r="F899" s="10">
        <v>1.6396189842928603</v>
      </c>
      <c r="H899">
        <v>0.50000078465058695</v>
      </c>
      <c r="I899" s="11">
        <f t="shared" ref="I899:I962" si="14">B899-C899</f>
        <v>0.85182862419379313</v>
      </c>
      <c r="J899" s="11">
        <f>1/(H899*Utilities!$B$11)</f>
        <v>7.9999874456103104</v>
      </c>
      <c r="K899" s="11">
        <f>IF(B899&lt;C899,1,EXP(-1*(B899-C899)/(Utilities!$B$11*IterData!H899)))</f>
        <v>1.0976120754563961E-3</v>
      </c>
    </row>
    <row r="900" spans="1:11" x14ac:dyDescent="0.3">
      <c r="A900">
        <v>899</v>
      </c>
      <c r="B900">
        <v>1.0058854043974963</v>
      </c>
      <c r="C900">
        <v>5.3630592780545404E-2</v>
      </c>
      <c r="D900">
        <v>4.9151073629353636E-4</v>
      </c>
      <c r="E900" s="10">
        <v>1.5342055970159962E-3</v>
      </c>
      <c r="F900" s="10">
        <v>1.6396189842928603</v>
      </c>
      <c r="H900">
        <v>0.50000076911346436</v>
      </c>
      <c r="I900" s="11">
        <f t="shared" si="14"/>
        <v>0.95225481161695091</v>
      </c>
      <c r="J900" s="11">
        <f>1/(H900*Utilities!$B$11)</f>
        <v>7.9999876942034991</v>
      </c>
      <c r="K900" s="11">
        <f>IF(B900&lt;C900,1,EXP(-1*(B900-C900)/(Utilities!$B$11*IterData!H900)))</f>
        <v>4.9151073629353592E-4</v>
      </c>
    </row>
    <row r="901" spans="1:11" x14ac:dyDescent="0.3">
      <c r="A901">
        <v>900</v>
      </c>
      <c r="B901">
        <v>0.20391790994142392</v>
      </c>
      <c r="C901">
        <v>5.3630592780545404E-2</v>
      </c>
      <c r="D901">
        <v>0.30050324556908942</v>
      </c>
      <c r="E901" s="10">
        <v>1.5342055970159962E-3</v>
      </c>
      <c r="F901" s="10">
        <v>1.6396189842928603</v>
      </c>
      <c r="H901">
        <v>0.50000075388399734</v>
      </c>
      <c r="I901" s="11">
        <f t="shared" si="14"/>
        <v>0.15028731716087851</v>
      </c>
      <c r="J901" s="11">
        <f>1/(H901*Utilities!$B$11)</f>
        <v>7.9999879378742298</v>
      </c>
      <c r="K901" s="11">
        <f>IF(B901&lt;C901,1,EXP(-1*(B901-C901)/(Utilities!$B$11*IterData!H901)))</f>
        <v>0.30050324556908947</v>
      </c>
    </row>
    <row r="902" spans="1:11" x14ac:dyDescent="0.3">
      <c r="A902">
        <v>901</v>
      </c>
      <c r="B902">
        <v>0.13726063500312391</v>
      </c>
      <c r="C902">
        <v>5.3630592780545404E-2</v>
      </c>
      <c r="D902">
        <v>0.51220038733474604</v>
      </c>
      <c r="E902" s="10">
        <v>1.5342055970159962E-3</v>
      </c>
      <c r="F902" s="10">
        <v>1.6396189842928603</v>
      </c>
      <c r="H902">
        <v>0.50000073895609409</v>
      </c>
      <c r="I902" s="11">
        <f t="shared" si="14"/>
        <v>8.3630042222578499E-2</v>
      </c>
      <c r="J902" s="11">
        <f>1/(H902*Utilities!$B$11)</f>
        <v>7.9999881767199685</v>
      </c>
      <c r="K902" s="11">
        <f>IF(B902&lt;C902,1,EXP(-1*(B902-C902)/(Utilities!$B$11*IterData!H902)))</f>
        <v>0.51220038733474615</v>
      </c>
    </row>
    <row r="903" spans="1:11" x14ac:dyDescent="0.3">
      <c r="A903">
        <v>902</v>
      </c>
      <c r="B903">
        <v>0.67152218189646984</v>
      </c>
      <c r="C903">
        <v>0.13726063500312391</v>
      </c>
      <c r="D903">
        <v>1.392476758904649E-2</v>
      </c>
      <c r="E903" s="10">
        <v>1.0818854043160835E-3</v>
      </c>
      <c r="F903" s="10">
        <v>1.6683014853140865</v>
      </c>
      <c r="H903">
        <v>0.50000072432378306</v>
      </c>
      <c r="I903" s="11">
        <f t="shared" si="14"/>
        <v>0.53426154689334593</v>
      </c>
      <c r="J903" s="11">
        <f>1/(H903*Utilities!$B$11)</f>
        <v>7.9999884108362593</v>
      </c>
      <c r="K903" s="11">
        <f>IF(B903&lt;C903,1,EXP(-1*(B903-C903)/(Utilities!$B$11*IterData!H903)))</f>
        <v>1.392476758904649E-2</v>
      </c>
    </row>
    <row r="904" spans="1:11" x14ac:dyDescent="0.3">
      <c r="A904">
        <v>903</v>
      </c>
      <c r="B904">
        <v>0.38291487392677864</v>
      </c>
      <c r="C904">
        <v>0.13726063500312391</v>
      </c>
      <c r="D904">
        <v>0.14012349741333918</v>
      </c>
      <c r="E904" s="10">
        <v>1.0818854043160835E-3</v>
      </c>
      <c r="F904" s="10">
        <v>1.6683014853140865</v>
      </c>
      <c r="H904">
        <v>0.50000070998121116</v>
      </c>
      <c r="I904" s="11">
        <f t="shared" si="14"/>
        <v>0.24565423892365473</v>
      </c>
      <c r="J904" s="11">
        <f>1/(H904*Utilities!$B$11)</f>
        <v>7.9999886403167517</v>
      </c>
      <c r="K904" s="11">
        <f>IF(B904&lt;C904,1,EXP(-1*(B904-C904)/(Utilities!$B$11*IterData!H904)))</f>
        <v>0.14012349741333918</v>
      </c>
    </row>
    <row r="905" spans="1:11" x14ac:dyDescent="0.3">
      <c r="A905">
        <v>904</v>
      </c>
      <c r="B905">
        <v>0.46378291528074522</v>
      </c>
      <c r="C905">
        <v>0.38291487392677864</v>
      </c>
      <c r="D905">
        <v>0.5236438871426875</v>
      </c>
      <c r="E905" s="10">
        <v>1.2952394658450319E-3</v>
      </c>
      <c r="F905" s="10">
        <v>1.5547663943486261</v>
      </c>
      <c r="H905">
        <v>0.50000069592264129</v>
      </c>
      <c r="I905" s="11">
        <f t="shared" si="14"/>
        <v>8.086804135396658E-2</v>
      </c>
      <c r="J905" s="11">
        <f>1/(H905*Utilities!$B$11)</f>
        <v>7.9999888652532372</v>
      </c>
      <c r="K905" s="11">
        <f>IF(B905&lt;C905,1,EXP(-1*(B905-C905)/(Utilities!$B$11*IterData!H905)))</f>
        <v>0.5236438871426875</v>
      </c>
    </row>
    <row r="906" spans="1:11" x14ac:dyDescent="0.3">
      <c r="A906">
        <v>905</v>
      </c>
      <c r="B906">
        <v>0.24059347642526746</v>
      </c>
      <c r="C906">
        <v>0.38291487392677864</v>
      </c>
      <c r="D906">
        <v>1</v>
      </c>
      <c r="E906" s="10">
        <v>1.2952394658450319E-3</v>
      </c>
      <c r="F906" s="10">
        <v>1.5547663943486261</v>
      </c>
      <c r="H906">
        <v>0.50000068214244964</v>
      </c>
      <c r="I906" s="11">
        <f t="shared" si="14"/>
        <v>-0.14232139750151118</v>
      </c>
      <c r="J906" s="11">
        <f>1/(H906*Utilities!$B$11)</f>
        <v>7.9999890857356961</v>
      </c>
      <c r="K906" s="11">
        <f>IF(B906&lt;C906,1,EXP(-1*(B906-C906)/(Utilities!$B$11*IterData!H906)))</f>
        <v>1</v>
      </c>
    </row>
    <row r="907" spans="1:11" x14ac:dyDescent="0.3">
      <c r="A907">
        <v>906</v>
      </c>
      <c r="B907">
        <v>5.8065290861461512E-2</v>
      </c>
      <c r="C907">
        <v>0.24059347642526746</v>
      </c>
      <c r="D907">
        <v>1</v>
      </c>
      <c r="E907" s="10">
        <v>1.4259706530359284E-3</v>
      </c>
      <c r="F907" s="10">
        <v>1.8650035883637843</v>
      </c>
      <c r="H907">
        <v>0.50000066863512416</v>
      </c>
      <c r="I907" s="11">
        <f t="shared" si="14"/>
        <v>-0.18252818556380596</v>
      </c>
      <c r="J907" s="11">
        <f>1/(H907*Utilities!$B$11)</f>
        <v>7.9999893018523194</v>
      </c>
      <c r="K907" s="11">
        <f>IF(B907&lt;C907,1,EXP(-1*(B907-C907)/(Utilities!$B$11*IterData!H907)))</f>
        <v>1</v>
      </c>
    </row>
    <row r="908" spans="1:11" x14ac:dyDescent="0.3">
      <c r="A908">
        <v>907</v>
      </c>
      <c r="B908">
        <v>0.19155595736139758</v>
      </c>
      <c r="C908">
        <v>5.8065290861461512E-2</v>
      </c>
      <c r="D908">
        <v>0.34372136607048864</v>
      </c>
      <c r="E908" s="10">
        <v>1.3030012802628141E-3</v>
      </c>
      <c r="F908" s="10">
        <v>1.6716243009956708</v>
      </c>
      <c r="H908">
        <v>0.50000065539526162</v>
      </c>
      <c r="I908" s="11">
        <f t="shared" si="14"/>
        <v>0.13349066649993607</v>
      </c>
      <c r="J908" s="11">
        <f>1/(H908*Utilities!$B$11)</f>
        <v>7.9999895136895596</v>
      </c>
      <c r="K908" s="11">
        <f>IF(B908&lt;C908,1,EXP(-1*(B908-C908)/(Utilities!$B$11*IterData!H908)))</f>
        <v>0.34372136607048864</v>
      </c>
    </row>
    <row r="909" spans="1:11" x14ac:dyDescent="0.3">
      <c r="A909">
        <v>908</v>
      </c>
      <c r="B909">
        <v>0.37141995605902584</v>
      </c>
      <c r="C909">
        <v>5.8065290861461512E-2</v>
      </c>
      <c r="D909">
        <v>8.1525934004238229E-2</v>
      </c>
      <c r="E909" s="10">
        <v>1.3030012802628141E-3</v>
      </c>
      <c r="F909" s="10">
        <v>1.6716243009956708</v>
      </c>
      <c r="H909">
        <v>0.50000064241756592</v>
      </c>
      <c r="I909" s="11">
        <f t="shared" si="14"/>
        <v>0.31335466519756433</v>
      </c>
      <c r="J909" s="11">
        <f>1/(H909*Utilities!$B$11)</f>
        <v>7.9999897213321516</v>
      </c>
      <c r="K909" s="11">
        <f>IF(B909&lt;C909,1,EXP(-1*(B909-C909)/(Utilities!$B$11*IterData!H909)))</f>
        <v>8.1525934004238187E-2</v>
      </c>
    </row>
    <row r="910" spans="1:11" x14ac:dyDescent="0.3">
      <c r="A910">
        <v>909</v>
      </c>
      <c r="B910">
        <v>0.26292977865167577</v>
      </c>
      <c r="C910">
        <v>0.37141995605902584</v>
      </c>
      <c r="D910">
        <v>1</v>
      </c>
      <c r="E910" s="10">
        <v>1.4474419091019609E-3</v>
      </c>
      <c r="F910" s="10">
        <v>1.5313586558848091</v>
      </c>
      <c r="H910">
        <v>0.50000062969684589</v>
      </c>
      <c r="I910" s="11">
        <f t="shared" si="14"/>
        <v>-0.10849017740735006</v>
      </c>
      <c r="J910" s="11">
        <f>1/(H910*Utilities!$B$11)</f>
        <v>7.9999899248631543</v>
      </c>
      <c r="K910" s="11">
        <f>IF(B910&lt;C910,1,EXP(-1*(B910-C910)/(Utilities!$B$11*IterData!H910)))</f>
        <v>1</v>
      </c>
    </row>
    <row r="911" spans="1:11" x14ac:dyDescent="0.3">
      <c r="A911">
        <v>910</v>
      </c>
      <c r="B911">
        <v>0.18457663431775453</v>
      </c>
      <c r="C911">
        <v>0.26292977865167577</v>
      </c>
      <c r="D911">
        <v>1</v>
      </c>
      <c r="E911" s="10">
        <v>1.0862166200580955E-3</v>
      </c>
      <c r="F911" s="10">
        <v>1.9519208786065356</v>
      </c>
      <c r="H911">
        <v>0.50000061722801292</v>
      </c>
      <c r="I911" s="11">
        <f t="shared" si="14"/>
        <v>-7.8353144333921237E-2</v>
      </c>
      <c r="J911" s="11">
        <f>1/(H911*Utilities!$B$11)</f>
        <v>7.9999901243639844</v>
      </c>
      <c r="K911" s="11">
        <f>IF(B911&lt;C911,1,EXP(-1*(B911-C911)/(Utilities!$B$11*IterData!H911)))</f>
        <v>1</v>
      </c>
    </row>
    <row r="912" spans="1:11" x14ac:dyDescent="0.3">
      <c r="A912">
        <v>911</v>
      </c>
      <c r="B912">
        <v>0.29947717423722503</v>
      </c>
      <c r="C912">
        <v>0.18457663431775453</v>
      </c>
      <c r="D912">
        <v>0.398836704762769</v>
      </c>
      <c r="E912" s="10">
        <v>1.1080247731557939E-3</v>
      </c>
      <c r="F912" s="10">
        <v>1.6445742444360143</v>
      </c>
      <c r="H912">
        <v>0.50000060500607935</v>
      </c>
      <c r="I912" s="11">
        <f t="shared" si="14"/>
        <v>0.1149005399194705</v>
      </c>
      <c r="J912" s="11">
        <f>1/(H912*Utilities!$B$11)</f>
        <v>7.9999903199144438</v>
      </c>
      <c r="K912" s="11">
        <f>IF(B912&lt;C912,1,EXP(-1*(B912-C912)/(Utilities!$B$11*IterData!H912)))</f>
        <v>0.398836704762769</v>
      </c>
    </row>
    <row r="913" spans="1:11" x14ac:dyDescent="0.3">
      <c r="A913">
        <v>912</v>
      </c>
      <c r="B913">
        <v>0.21890942553836656</v>
      </c>
      <c r="C913">
        <v>0.18457663431775453</v>
      </c>
      <c r="D913">
        <v>0.7598288989554135</v>
      </c>
      <c r="E913" s="10">
        <v>1.1080247731557939E-3</v>
      </c>
      <c r="F913" s="10">
        <v>1.6445742444360143</v>
      </c>
      <c r="H913">
        <v>0.50000059302615629</v>
      </c>
      <c r="I913" s="11">
        <f t="shared" si="14"/>
        <v>3.433279122061203E-2</v>
      </c>
      <c r="J913" s="11">
        <f>1/(H913*Utilities!$B$11)</f>
        <v>7.9999905115927534</v>
      </c>
      <c r="K913" s="11">
        <f>IF(B913&lt;C913,1,EXP(-1*(B913-C913)/(Utilities!$B$11*IterData!H913)))</f>
        <v>0.7598288989554135</v>
      </c>
    </row>
    <row r="914" spans="1:11" x14ac:dyDescent="0.3">
      <c r="A914">
        <v>913</v>
      </c>
      <c r="B914">
        <v>0.24738943168881355</v>
      </c>
      <c r="C914">
        <v>0.21890942553836656</v>
      </c>
      <c r="D914">
        <v>0.79625182163988628</v>
      </c>
      <c r="E914" s="10">
        <v>1.3421731707894621E-3</v>
      </c>
      <c r="F914" s="10">
        <v>1.8711361863908276</v>
      </c>
      <c r="H914">
        <v>0.50000058128345171</v>
      </c>
      <c r="I914" s="11">
        <f t="shared" si="14"/>
        <v>2.848000615044699E-2</v>
      </c>
      <c r="J914" s="11">
        <f>1/(H914*Utilities!$B$11)</f>
        <v>7.9999906994755854</v>
      </c>
      <c r="K914" s="11">
        <f>IF(B914&lt;C914,1,EXP(-1*(B914-C914)/(Utilities!$B$11*IterData!H914)))</f>
        <v>0.79625182163988628</v>
      </c>
    </row>
    <row r="915" spans="1:11" x14ac:dyDescent="0.3">
      <c r="A915">
        <v>914</v>
      </c>
      <c r="B915">
        <v>3.7064907540617857E-2</v>
      </c>
      <c r="C915">
        <v>0.24738943168881355</v>
      </c>
      <c r="D915">
        <v>1</v>
      </c>
      <c r="E915" s="10">
        <v>1.1201166877190685E-3</v>
      </c>
      <c r="F915" s="10">
        <v>1.6222983605075734</v>
      </c>
      <c r="H915">
        <v>0.50000056977326812</v>
      </c>
      <c r="I915" s="11">
        <f t="shared" si="14"/>
        <v>-0.21032452414819569</v>
      </c>
      <c r="J915" s="11">
        <f>1/(H915*Utilities!$B$11)</f>
        <v>7.9999908836380982</v>
      </c>
      <c r="K915" s="11">
        <f>IF(B915&lt;C915,1,EXP(-1*(B915-C915)/(Utilities!$B$11*IterData!H915)))</f>
        <v>1</v>
      </c>
    </row>
    <row r="916" spans="1:11" x14ac:dyDescent="0.3">
      <c r="A916">
        <v>915</v>
      </c>
      <c r="B916">
        <v>0.61964753497559266</v>
      </c>
      <c r="C916">
        <v>3.7064907540617857E-2</v>
      </c>
      <c r="D916">
        <v>9.4602562020955436E-3</v>
      </c>
      <c r="E916" s="10">
        <v>1.4791555194509493E-3</v>
      </c>
      <c r="F916" s="10">
        <v>1.6782112218895266</v>
      </c>
      <c r="H916">
        <v>0.50000055849100156</v>
      </c>
      <c r="I916" s="11">
        <f t="shared" si="14"/>
        <v>0.5825826274349748</v>
      </c>
      <c r="J916" s="11">
        <f>1/(H916*Utilities!$B$11)</f>
        <v>7.9999910641539564</v>
      </c>
      <c r="K916" s="11">
        <f>IF(B916&lt;C916,1,EXP(-1*(B916-C916)/(Utilities!$B$11*IterData!H916)))</f>
        <v>9.4602562020955436E-3</v>
      </c>
    </row>
    <row r="917" spans="1:11" x14ac:dyDescent="0.3">
      <c r="A917">
        <v>916</v>
      </c>
      <c r="B917">
        <v>0.38953364509531502</v>
      </c>
      <c r="C917">
        <v>3.7064907540617857E-2</v>
      </c>
      <c r="D917">
        <v>5.9621036057620362E-2</v>
      </c>
      <c r="E917" s="10">
        <v>1.4791555194509493E-3</v>
      </c>
      <c r="F917" s="10">
        <v>1.6782112218895266</v>
      </c>
      <c r="H917">
        <v>0.50000054743213873</v>
      </c>
      <c r="I917" s="11">
        <f t="shared" si="14"/>
        <v>0.35246873755469715</v>
      </c>
      <c r="J917" s="11">
        <f>1/(H917*Utilities!$B$11)</f>
        <v>7.99999124109537</v>
      </c>
      <c r="K917" s="11">
        <f>IF(B917&lt;C917,1,EXP(-1*(B917-C917)/(Utilities!$B$11*IterData!H917)))</f>
        <v>5.9621036057620362E-2</v>
      </c>
    </row>
    <row r="918" spans="1:11" x14ac:dyDescent="0.3">
      <c r="A918">
        <v>917</v>
      </c>
      <c r="B918">
        <v>1.2263305047132753</v>
      </c>
      <c r="C918">
        <v>0.38953364509531502</v>
      </c>
      <c r="D918">
        <v>1.2378643375735279E-3</v>
      </c>
      <c r="E918" s="10">
        <v>1.2469845423560785E-3</v>
      </c>
      <c r="F918" s="10">
        <v>1.9711552570804642</v>
      </c>
      <c r="H918">
        <v>0.50000053659225618</v>
      </c>
      <c r="I918" s="11">
        <f t="shared" si="14"/>
        <v>0.83679685961796024</v>
      </c>
      <c r="J918" s="11">
        <f>1/(H918*Utilities!$B$11)</f>
        <v>7.999991414533115</v>
      </c>
      <c r="K918" s="11">
        <f>IF(B918&lt;C918,1,EXP(-1*(B918-C918)/(Utilities!$B$11*IterData!H918)))</f>
        <v>1.2378643375735279E-3</v>
      </c>
    </row>
    <row r="919" spans="1:11" x14ac:dyDescent="0.3">
      <c r="A919">
        <v>918</v>
      </c>
      <c r="B919">
        <v>4.0918080496957263E-2</v>
      </c>
      <c r="C919">
        <v>0.38953364509531502</v>
      </c>
      <c r="D919">
        <v>1</v>
      </c>
      <c r="E919" s="10">
        <v>1.2469845423560785E-3</v>
      </c>
      <c r="F919" s="10">
        <v>1.9711552570804642</v>
      </c>
      <c r="H919">
        <v>0.50000052596701761</v>
      </c>
      <c r="I919" s="11">
        <f t="shared" si="14"/>
        <v>-0.34861556459835774</v>
      </c>
      <c r="J919" s="11">
        <f>1/(H919*Utilities!$B$11)</f>
        <v>7.9999915845365708</v>
      </c>
      <c r="K919" s="11">
        <f>IF(B919&lt;C919,1,EXP(-1*(B919-C919)/(Utilities!$B$11*IterData!H919)))</f>
        <v>1</v>
      </c>
    </row>
    <row r="920" spans="1:11" x14ac:dyDescent="0.3">
      <c r="A920">
        <v>919</v>
      </c>
      <c r="B920">
        <v>0.68432617719643074</v>
      </c>
      <c r="C920">
        <v>4.0918080496957263E-2</v>
      </c>
      <c r="D920">
        <v>5.8153199895140629E-3</v>
      </c>
      <c r="E920" s="10">
        <v>1.1912679184595471E-3</v>
      </c>
      <c r="F920" s="10">
        <v>1.7755118090293251</v>
      </c>
      <c r="H920">
        <v>0.50000051555217284</v>
      </c>
      <c r="I920" s="11">
        <f t="shared" si="14"/>
        <v>0.64340809669947352</v>
      </c>
      <c r="J920" s="11">
        <f>1/(H920*Utilities!$B$11)</f>
        <v>7.9999917511737397</v>
      </c>
      <c r="K920" s="11">
        <f>IF(B920&lt;C920,1,EXP(-1*(B920-C920)/(Utilities!$B$11*IterData!H920)))</f>
        <v>5.8153199895140629E-3</v>
      </c>
    </row>
    <row r="921" spans="1:11" x14ac:dyDescent="0.3">
      <c r="A921">
        <v>920</v>
      </c>
      <c r="B921">
        <v>0.50970798715761656</v>
      </c>
      <c r="C921">
        <v>4.0918080496957263E-2</v>
      </c>
      <c r="D921">
        <v>2.3510328050023222E-2</v>
      </c>
      <c r="E921" s="10">
        <v>1.1912679184595471E-3</v>
      </c>
      <c r="F921" s="10">
        <v>1.7755118090293251</v>
      </c>
      <c r="H921">
        <v>0.50000050534355578</v>
      </c>
      <c r="I921" s="11">
        <f t="shared" si="14"/>
        <v>0.46878990666065928</v>
      </c>
      <c r="J921" s="11">
        <f>1/(H921*Utilities!$B$11)</f>
        <v>7.9999919145112797</v>
      </c>
      <c r="K921" s="11">
        <f>IF(B921&lt;C921,1,EXP(-1*(B921-C921)/(Utilities!$B$11*IterData!H921)))</f>
        <v>2.3510328050023233E-2</v>
      </c>
    </row>
    <row r="922" spans="1:11" x14ac:dyDescent="0.3">
      <c r="A922">
        <v>921</v>
      </c>
      <c r="B922">
        <v>5.871205864440391E-2</v>
      </c>
      <c r="C922">
        <v>4.0918080496957263E-2</v>
      </c>
      <c r="D922">
        <v>0.8673161814852538</v>
      </c>
      <c r="E922" s="10">
        <v>1.1912679184595471E-3</v>
      </c>
      <c r="F922" s="10">
        <v>1.7755118090293251</v>
      </c>
      <c r="H922">
        <v>0.50000049533708302</v>
      </c>
      <c r="I922" s="11">
        <f t="shared" si="14"/>
        <v>1.7793978147446647E-2</v>
      </c>
      <c r="J922" s="11">
        <f>1/(H922*Utilities!$B$11)</f>
        <v>7.9999920746145232</v>
      </c>
      <c r="K922" s="11">
        <f>IF(B922&lt;C922,1,EXP(-1*(B922-C922)/(Utilities!$B$11*IterData!H922)))</f>
        <v>0.8673161814852538</v>
      </c>
    </row>
    <row r="923" spans="1:11" x14ac:dyDescent="0.3">
      <c r="A923">
        <v>922</v>
      </c>
      <c r="B923">
        <v>1.5729269225267961</v>
      </c>
      <c r="C923">
        <v>5.871205864440391E-2</v>
      </c>
      <c r="D923">
        <v>5.4838280700342501E-6</v>
      </c>
      <c r="E923" s="10">
        <v>1.5584485859206872E-3</v>
      </c>
      <c r="F923" s="10">
        <v>1.7229159899505047</v>
      </c>
      <c r="H923">
        <v>0.50000048552875154</v>
      </c>
      <c r="I923" s="11">
        <f t="shared" si="14"/>
        <v>1.5142148638823922</v>
      </c>
      <c r="J923" s="11">
        <f>1/(H923*Utilities!$B$11)</f>
        <v>7.9999922315475187</v>
      </c>
      <c r="K923" s="11">
        <f>IF(B923&lt;C923,1,EXP(-1*(B923-C923)/(Utilities!$B$11*IterData!H923)))</f>
        <v>5.4838280700342408E-6</v>
      </c>
    </row>
    <row r="924" spans="1:11" x14ac:dyDescent="0.3">
      <c r="A924">
        <v>923</v>
      </c>
      <c r="B924">
        <v>0.23387446174706406</v>
      </c>
      <c r="C924">
        <v>5.871205864440391E-2</v>
      </c>
      <c r="D924">
        <v>0.24627711556440157</v>
      </c>
      <c r="E924" s="10">
        <v>1.5584485859206872E-3</v>
      </c>
      <c r="F924" s="10">
        <v>1.7229159899505047</v>
      </c>
      <c r="H924">
        <v>0.50000047591463814</v>
      </c>
      <c r="I924" s="11">
        <f t="shared" si="14"/>
        <v>0.17516240310266015</v>
      </c>
      <c r="J924" s="11">
        <f>1/(H924*Utilities!$B$11)</f>
        <v>7.9999923853730373</v>
      </c>
      <c r="K924" s="11">
        <f>IF(B924&lt;C924,1,EXP(-1*(B924-C924)/(Utilities!$B$11*IterData!H924)))</f>
        <v>0.24627711556440157</v>
      </c>
    </row>
    <row r="925" spans="1:11" x14ac:dyDescent="0.3">
      <c r="A925">
        <v>924</v>
      </c>
      <c r="B925">
        <v>3.5323169791830533E-2</v>
      </c>
      <c r="C925">
        <v>0.23387446174706406</v>
      </c>
      <c r="D925">
        <v>1</v>
      </c>
      <c r="E925" s="10">
        <v>1.5752286521091847E-3</v>
      </c>
      <c r="F925" s="10">
        <v>1.5463448331151464</v>
      </c>
      <c r="H925">
        <v>0.50000046649089691</v>
      </c>
      <c r="I925" s="11">
        <f t="shared" si="14"/>
        <v>-0.19855129195523352</v>
      </c>
      <c r="J925" s="11">
        <f>1/(H925*Utilities!$B$11)</f>
        <v>7.9999925361526127</v>
      </c>
      <c r="K925" s="11">
        <f>IF(B925&lt;C925,1,EXP(-1*(B925-C925)/(Utilities!$B$11*IterData!H925)))</f>
        <v>1</v>
      </c>
    </row>
    <row r="926" spans="1:11" x14ac:dyDescent="0.3">
      <c r="A926">
        <v>925</v>
      </c>
      <c r="B926">
        <v>0.32267997564219841</v>
      </c>
      <c r="C926">
        <v>3.5323169791830533E-2</v>
      </c>
      <c r="D926">
        <v>0.10037397238909819</v>
      </c>
      <c r="E926" s="10">
        <v>1.3289175026477845E-3</v>
      </c>
      <c r="F926" s="10">
        <v>1.7287814874123626</v>
      </c>
      <c r="H926">
        <v>0.5000004572537583</v>
      </c>
      <c r="I926" s="11">
        <f t="shared" si="14"/>
        <v>0.28735680585036788</v>
      </c>
      <c r="J926" s="11">
        <f>1/(H926*Utilities!$B$11)</f>
        <v>7.9999926839465578</v>
      </c>
      <c r="K926" s="11">
        <f>IF(B926&lt;C926,1,EXP(-1*(B926-C926)/(Utilities!$B$11*IterData!H926)))</f>
        <v>0.10037397238909819</v>
      </c>
    </row>
    <row r="927" spans="1:11" x14ac:dyDescent="0.3">
      <c r="A927">
        <v>926</v>
      </c>
      <c r="B927">
        <v>3.8419654218850248E-2</v>
      </c>
      <c r="C927">
        <v>3.5323169791830533E-2</v>
      </c>
      <c r="D927">
        <v>0.97553245123818011</v>
      </c>
      <c r="E927" s="10">
        <v>1.3289175026477845E-3</v>
      </c>
      <c r="F927" s="10">
        <v>1.7287814874123626</v>
      </c>
      <c r="H927">
        <v>0.50000044819952727</v>
      </c>
      <c r="I927" s="11">
        <f t="shared" si="14"/>
        <v>3.0964844270197148E-3</v>
      </c>
      <c r="J927" s="11">
        <f>1/(H927*Utilities!$B$11)</f>
        <v>7.9999928288139923</v>
      </c>
      <c r="K927" s="11">
        <f>IF(B927&lt;C927,1,EXP(-1*(B927-C927)/(Utilities!$B$11*IterData!H927)))</f>
        <v>0.97553245123818011</v>
      </c>
    </row>
    <row r="928" spans="1:11" x14ac:dyDescent="0.3">
      <c r="A928">
        <v>927</v>
      </c>
      <c r="B928">
        <v>1.3707684154011452</v>
      </c>
      <c r="C928">
        <v>3.8419654218850248E-2</v>
      </c>
      <c r="D928">
        <v>2.349364205831543E-5</v>
      </c>
      <c r="E928" s="10">
        <v>1.2277572501112834E-3</v>
      </c>
      <c r="F928" s="10">
        <v>1.7095027721219276</v>
      </c>
      <c r="H928">
        <v>0.50000043932458194</v>
      </c>
      <c r="I928" s="11">
        <f t="shared" si="14"/>
        <v>1.3323487611822951</v>
      </c>
      <c r="J928" s="11">
        <f>1/(H928*Utilities!$B$11)</f>
        <v>7.9999929708128654</v>
      </c>
      <c r="K928" s="11">
        <f>IF(B928&lt;C928,1,EXP(-1*(B928-C928)/(Utilities!$B$11*IterData!H928)))</f>
        <v>2.3493642058315389E-5</v>
      </c>
    </row>
    <row r="929" spans="1:11" x14ac:dyDescent="0.3">
      <c r="A929">
        <v>928</v>
      </c>
      <c r="B929">
        <v>1.1396897763232483</v>
      </c>
      <c r="C929">
        <v>3.8419654218850248E-2</v>
      </c>
      <c r="D929">
        <v>1.4921036694185027E-4</v>
      </c>
      <c r="E929" s="10">
        <v>1.2277572501112834E-3</v>
      </c>
      <c r="F929" s="10">
        <v>1.7095027721219276</v>
      </c>
      <c r="H929">
        <v>0.50000043062537236</v>
      </c>
      <c r="I929" s="11">
        <f t="shared" si="14"/>
        <v>1.1012701221043981</v>
      </c>
      <c r="J929" s="11">
        <f>1/(H929*Utilities!$B$11)</f>
        <v>7.9999931099999761</v>
      </c>
      <c r="K929" s="11">
        <f>IF(B929&lt;C929,1,EXP(-1*(B929-C929)/(Utilities!$B$11*IterData!H929)))</f>
        <v>1.4921036694185002E-4</v>
      </c>
    </row>
    <row r="930" spans="1:11" x14ac:dyDescent="0.3">
      <c r="A930">
        <v>929</v>
      </c>
      <c r="B930">
        <v>3.4340818522697741E-2</v>
      </c>
      <c r="C930">
        <v>3.8419654218850248E-2</v>
      </c>
      <c r="D930">
        <v>1</v>
      </c>
      <c r="E930" s="10">
        <v>1.2277572501112834E-3</v>
      </c>
      <c r="F930" s="10">
        <v>1.7095027721219276</v>
      </c>
      <c r="H930">
        <v>0.50000042209841866</v>
      </c>
      <c r="I930" s="11">
        <f t="shared" si="14"/>
        <v>-4.0788356961525066E-3</v>
      </c>
      <c r="J930" s="11">
        <f>1/(H930*Utilities!$B$11)</f>
        <v>7.9999932464310026</v>
      </c>
      <c r="K930" s="11">
        <f>IF(B930&lt;C930,1,EXP(-1*(B930-C930)/(Utilities!$B$11*IterData!H930)))</f>
        <v>1</v>
      </c>
    </row>
    <row r="931" spans="1:11" x14ac:dyDescent="0.3">
      <c r="A931">
        <v>930</v>
      </c>
      <c r="B931">
        <v>0.80479983414789857</v>
      </c>
      <c r="C931">
        <v>3.4340818522697741E-2</v>
      </c>
      <c r="D931">
        <v>2.104521771306227E-3</v>
      </c>
      <c r="E931" s="10">
        <v>1.135854288641573E-3</v>
      </c>
      <c r="F931" s="10">
        <v>1.7761285060655736</v>
      </c>
      <c r="H931">
        <v>0.50000041374031001</v>
      </c>
      <c r="I931" s="11">
        <f t="shared" si="14"/>
        <v>0.7704590156252008</v>
      </c>
      <c r="J931" s="11">
        <f>1/(H931*Utilities!$B$11)</f>
        <v>7.9999933801605172</v>
      </c>
      <c r="K931" s="11">
        <f>IF(B931&lt;C931,1,EXP(-1*(B931-C931)/(Utilities!$B$11*IterData!H931)))</f>
        <v>2.104521771306227E-3</v>
      </c>
    </row>
    <row r="932" spans="1:11" x14ac:dyDescent="0.3">
      <c r="A932">
        <v>931</v>
      </c>
      <c r="B932">
        <v>1.2340240178940485</v>
      </c>
      <c r="C932">
        <v>3.4340818522697741E-2</v>
      </c>
      <c r="D932">
        <v>6.7901134814222204E-5</v>
      </c>
      <c r="E932" s="10">
        <v>1.135854288641573E-3</v>
      </c>
      <c r="F932" s="10">
        <v>1.7761285060655736</v>
      </c>
      <c r="H932">
        <v>0.50000040554770298</v>
      </c>
      <c r="I932" s="11">
        <f t="shared" si="14"/>
        <v>1.1996831993713508</v>
      </c>
      <c r="J932" s="11">
        <f>1/(H932*Utilities!$B$11)</f>
        <v>7.9999935112420157</v>
      </c>
      <c r="K932" s="11">
        <f>IF(B932&lt;C932,1,EXP(-1*(B932-C932)/(Utilities!$B$11*IterData!H932)))</f>
        <v>6.7901134814222082E-5</v>
      </c>
    </row>
    <row r="933" spans="1:11" x14ac:dyDescent="0.3">
      <c r="A933">
        <v>932</v>
      </c>
      <c r="B933">
        <v>0.1378602106559271</v>
      </c>
      <c r="C933">
        <v>3.4340818522697741E-2</v>
      </c>
      <c r="D933">
        <v>0.43685476762505393</v>
      </c>
      <c r="E933" s="10">
        <v>1.135854288641573E-3</v>
      </c>
      <c r="F933" s="10">
        <v>1.7761285060655736</v>
      </c>
      <c r="H933">
        <v>0.50000039751732039</v>
      </c>
      <c r="I933" s="11">
        <f t="shared" si="14"/>
        <v>0.10351939213322936</v>
      </c>
      <c r="J933" s="11">
        <f>1/(H933*Utilities!$B$11)</f>
        <v>7.9999936397279301</v>
      </c>
      <c r="K933" s="11">
        <f>IF(B933&lt;C933,1,EXP(-1*(B933-C933)/(Utilities!$B$11*IterData!H933)))</f>
        <v>0.43685476762505393</v>
      </c>
    </row>
    <row r="934" spans="1:11" x14ac:dyDescent="0.3">
      <c r="A934">
        <v>933</v>
      </c>
      <c r="B934">
        <v>4.4431276372724988E-2</v>
      </c>
      <c r="C934">
        <v>3.4340818522697741E-2</v>
      </c>
      <c r="D934">
        <v>0.92244862110929571</v>
      </c>
      <c r="E934" s="10">
        <v>1.135854288641573E-3</v>
      </c>
      <c r="F934" s="10">
        <v>1.7761285060655736</v>
      </c>
      <c r="H934">
        <v>0.50000038964595006</v>
      </c>
      <c r="I934" s="11">
        <f t="shared" si="14"/>
        <v>1.0090457850027247E-2</v>
      </c>
      <c r="J934" s="11">
        <f>1/(H934*Utilities!$B$11)</f>
        <v>7.9999937656696574</v>
      </c>
      <c r="K934" s="11">
        <f>IF(B934&lt;C934,1,EXP(-1*(B934-C934)/(Utilities!$B$11*IterData!H934)))</f>
        <v>0.92244862110929571</v>
      </c>
    </row>
    <row r="935" spans="1:11" x14ac:dyDescent="0.3">
      <c r="A935">
        <v>934</v>
      </c>
      <c r="B935">
        <v>0.23088727713288157</v>
      </c>
      <c r="C935">
        <v>3.4340818522697741E-2</v>
      </c>
      <c r="D935">
        <v>0.20755260200298198</v>
      </c>
      <c r="E935" s="10">
        <v>1.135854288641573E-3</v>
      </c>
      <c r="F935" s="10">
        <v>1.7761285060655736</v>
      </c>
      <c r="H935">
        <v>0.50000038193044338</v>
      </c>
      <c r="I935" s="11">
        <f t="shared" si="14"/>
        <v>0.19654645861018383</v>
      </c>
      <c r="J935" s="11">
        <f>1/(H935*Utilities!$B$11)</f>
        <v>7.9999938891175741</v>
      </c>
      <c r="K935" s="11">
        <f>IF(B935&lt;C935,1,EXP(-1*(B935-C935)/(Utilities!$B$11*IterData!H935)))</f>
        <v>0.20755260200298198</v>
      </c>
    </row>
    <row r="936" spans="1:11" x14ac:dyDescent="0.3">
      <c r="A936">
        <v>935</v>
      </c>
      <c r="B936">
        <v>0.59408421325181027</v>
      </c>
      <c r="C936">
        <v>3.4340818522697741E-2</v>
      </c>
      <c r="D936">
        <v>1.135674083661339E-2</v>
      </c>
      <c r="E936" s="10">
        <v>1.135854288641573E-3</v>
      </c>
      <c r="F936" s="10">
        <v>1.7761285060655736</v>
      </c>
      <c r="H936">
        <v>0.50000037436771383</v>
      </c>
      <c r="I936" s="11">
        <f t="shared" si="14"/>
        <v>0.5597433947291125</v>
      </c>
      <c r="J936" s="11">
        <f>1/(H936*Utilities!$B$11)</f>
        <v>7.9999940101210631</v>
      </c>
      <c r="K936" s="11">
        <f>IF(B936&lt;C936,1,EXP(-1*(B936-C936)/(Utilities!$B$11*IterData!H936)))</f>
        <v>1.135674083661339E-2</v>
      </c>
    </row>
    <row r="937" spans="1:11" x14ac:dyDescent="0.3">
      <c r="A937">
        <v>936</v>
      </c>
      <c r="B937">
        <v>0.44637415195674773</v>
      </c>
      <c r="C937">
        <v>3.4340818522697741E-2</v>
      </c>
      <c r="D937">
        <v>3.7021211444677633E-2</v>
      </c>
      <c r="E937" s="10">
        <v>1.135854288641573E-3</v>
      </c>
      <c r="F937" s="10">
        <v>1.7761285060655736</v>
      </c>
      <c r="H937">
        <v>0.50000036695473649</v>
      </c>
      <c r="I937" s="11">
        <f t="shared" si="14"/>
        <v>0.41203333343405002</v>
      </c>
      <c r="J937" s="11">
        <f>1/(H937*Utilities!$B$11)</f>
        <v>7.9999941287285248</v>
      </c>
      <c r="K937" s="11">
        <f>IF(B937&lt;C937,1,EXP(-1*(B937-C937)/(Utilities!$B$11*IterData!H937)))</f>
        <v>3.7021211444677612E-2</v>
      </c>
    </row>
    <row r="938" spans="1:11" x14ac:dyDescent="0.3">
      <c r="A938">
        <v>937</v>
      </c>
      <c r="B938">
        <v>0.14298477864987688</v>
      </c>
      <c r="C938">
        <v>3.4340818522697741E-2</v>
      </c>
      <c r="D938">
        <v>0.4193073667612337</v>
      </c>
      <c r="E938" s="10">
        <v>1.135854288641573E-3</v>
      </c>
      <c r="F938" s="10">
        <v>1.7761285060655736</v>
      </c>
      <c r="H938">
        <v>0.50000035968854584</v>
      </c>
      <c r="I938" s="11">
        <f t="shared" si="14"/>
        <v>0.10864396012717914</v>
      </c>
      <c r="J938" s="11">
        <f>1/(H938*Utilities!$B$11)</f>
        <v>7.9999942449874064</v>
      </c>
      <c r="K938" s="11">
        <f>IF(B938&lt;C938,1,EXP(-1*(B938-C938)/(Utilities!$B$11*IterData!H938)))</f>
        <v>0.4193073667612337</v>
      </c>
    </row>
    <row r="939" spans="1:11" x14ac:dyDescent="0.3">
      <c r="A939">
        <v>938</v>
      </c>
      <c r="B939">
        <v>0.65131305957848973</v>
      </c>
      <c r="C939">
        <v>0.14298477864987688</v>
      </c>
      <c r="D939">
        <v>1.7135149824551738E-2</v>
      </c>
      <c r="E939" s="10">
        <v>1.5580118371109782E-3</v>
      </c>
      <c r="F939" s="10">
        <v>1.7883082964974149</v>
      </c>
      <c r="H939">
        <v>0.50000035256623543</v>
      </c>
      <c r="I939" s="11">
        <f t="shared" si="14"/>
        <v>0.50832828092861282</v>
      </c>
      <c r="J939" s="11">
        <f>1/(H939*Utilities!$B$11)</f>
        <v>7.9999943589442104</v>
      </c>
      <c r="K939" s="11">
        <f>IF(B939&lt;C939,1,EXP(-1*(B939-C939)/(Utilities!$B$11*IterData!H939)))</f>
        <v>1.7135149824551738E-2</v>
      </c>
    </row>
    <row r="940" spans="1:11" x14ac:dyDescent="0.3">
      <c r="A940">
        <v>939</v>
      </c>
      <c r="B940">
        <v>9.9406242703182018E-2</v>
      </c>
      <c r="C940">
        <v>0.14298477864987688</v>
      </c>
      <c r="D940">
        <v>1</v>
      </c>
      <c r="E940" s="10">
        <v>1.5580118371109782E-3</v>
      </c>
      <c r="F940" s="10">
        <v>1.7883082964974149</v>
      </c>
      <c r="H940">
        <v>0.50000034558495621</v>
      </c>
      <c r="I940" s="11">
        <f t="shared" si="14"/>
        <v>-4.3578535946694863E-2</v>
      </c>
      <c r="J940" s="11">
        <f>1/(H940*Utilities!$B$11)</f>
        <v>7.9999944706445225</v>
      </c>
      <c r="K940" s="11">
        <f>IF(B940&lt;C940,1,EXP(-1*(B940-C940)/(Utilities!$B$11*IterData!H940)))</f>
        <v>1</v>
      </c>
    </row>
    <row r="941" spans="1:11" x14ac:dyDescent="0.3">
      <c r="A941">
        <v>940</v>
      </c>
      <c r="B941">
        <v>0.9193798234979863</v>
      </c>
      <c r="C941">
        <v>9.9406242703182018E-2</v>
      </c>
      <c r="D941">
        <v>1.4161912883233355E-3</v>
      </c>
      <c r="E941" s="10">
        <v>1.1148271375881797E-3</v>
      </c>
      <c r="F941" s="10">
        <v>1.6793232264331566</v>
      </c>
      <c r="H941">
        <v>0.50000033874191563</v>
      </c>
      <c r="I941" s="11">
        <f t="shared" si="14"/>
        <v>0.81997358079480431</v>
      </c>
      <c r="J941" s="11">
        <f>1/(H941*Utilities!$B$11)</f>
        <v>7.9999945801330217</v>
      </c>
      <c r="K941" s="11">
        <f>IF(B941&lt;C941,1,EXP(-1*(B941-C941)/(Utilities!$B$11*IterData!H941)))</f>
        <v>1.4161912883233355E-3</v>
      </c>
    </row>
    <row r="942" spans="1:11" x14ac:dyDescent="0.3">
      <c r="A942">
        <v>941</v>
      </c>
      <c r="B942">
        <v>1.9070230549390712</v>
      </c>
      <c r="C942">
        <v>9.9406242703182018E-2</v>
      </c>
      <c r="D942">
        <v>5.2444520009825028E-7</v>
      </c>
      <c r="E942" s="10">
        <v>1.1148271375881797E-3</v>
      </c>
      <c r="F942" s="10">
        <v>1.6793232264331566</v>
      </c>
      <c r="H942">
        <v>0.50000033203437622</v>
      </c>
      <c r="I942" s="11">
        <f t="shared" si="14"/>
        <v>1.8076168122358891</v>
      </c>
      <c r="J942" s="11">
        <f>1/(H942*Utilities!$B$11)</f>
        <v>7.9999946874535084</v>
      </c>
      <c r="K942" s="11">
        <f>IF(B942&lt;C942,1,EXP(-1*(B942-C942)/(Utilities!$B$11*IterData!H942)))</f>
        <v>5.2444520009825113E-7</v>
      </c>
    </row>
    <row r="943" spans="1:11" x14ac:dyDescent="0.3">
      <c r="A943">
        <v>942</v>
      </c>
      <c r="B943">
        <v>1.5422647292376948</v>
      </c>
      <c r="C943">
        <v>9.9406242703182018E-2</v>
      </c>
      <c r="D943">
        <v>9.7050869818202461E-6</v>
      </c>
      <c r="E943" s="10">
        <v>1.1148271375881797E-3</v>
      </c>
      <c r="F943" s="10">
        <v>1.6793232264331566</v>
      </c>
      <c r="H943">
        <v>0.50000032545965511</v>
      </c>
      <c r="I943" s="11">
        <f t="shared" si="14"/>
        <v>1.4428584865345127</v>
      </c>
      <c r="J943" s="11">
        <f>1/(H943*Utilities!$B$11)</f>
        <v>7.9999947926489074</v>
      </c>
      <c r="K943" s="11">
        <f>IF(B943&lt;C943,1,EXP(-1*(B943-C943)/(Utilities!$B$11*IterData!H943)))</f>
        <v>9.705086981820263E-6</v>
      </c>
    </row>
    <row r="944" spans="1:11" x14ac:dyDescent="0.3">
      <c r="A944">
        <v>943</v>
      </c>
      <c r="B944">
        <v>0.14871249488130187</v>
      </c>
      <c r="C944">
        <v>9.9406242703182018E-2</v>
      </c>
      <c r="D944">
        <v>0.67405082307688136</v>
      </c>
      <c r="E944" s="10">
        <v>1.1148271375881797E-3</v>
      </c>
      <c r="F944" s="10">
        <v>1.6793232264331566</v>
      </c>
      <c r="H944">
        <v>0.5000003190151221</v>
      </c>
      <c r="I944" s="11">
        <f t="shared" si="14"/>
        <v>4.9306252178119847E-2</v>
      </c>
      <c r="J944" s="11">
        <f>1/(H944*Utilities!$B$11)</f>
        <v>7.9999948957613034</v>
      </c>
      <c r="K944" s="11">
        <f>IF(B944&lt;C944,1,EXP(-1*(B944-C944)/(Utilities!$B$11*IterData!H944)))</f>
        <v>0.67405082307688136</v>
      </c>
    </row>
    <row r="945" spans="1:11" x14ac:dyDescent="0.3">
      <c r="A945">
        <v>944</v>
      </c>
      <c r="B945">
        <v>0.78395867323519053</v>
      </c>
      <c r="C945">
        <v>0.14871249488130187</v>
      </c>
      <c r="D945">
        <v>6.2076911442470514E-3</v>
      </c>
      <c r="E945" s="10">
        <v>1.322722060855628E-3</v>
      </c>
      <c r="F945" s="10">
        <v>1.8371031940775004</v>
      </c>
      <c r="H945">
        <v>0.50000031269819945</v>
      </c>
      <c r="I945" s="11">
        <f t="shared" si="14"/>
        <v>0.63524617835388864</v>
      </c>
      <c r="J945" s="11">
        <f>1/(H945*Utilities!$B$11)</f>
        <v>7.9999949968319379</v>
      </c>
      <c r="K945" s="11">
        <f>IF(B945&lt;C945,1,EXP(-1*(B945-C945)/(Utilities!$B$11*IterData!H945)))</f>
        <v>6.2076911442470514E-3</v>
      </c>
    </row>
    <row r="946" spans="1:11" x14ac:dyDescent="0.3">
      <c r="A946">
        <v>945</v>
      </c>
      <c r="B946">
        <v>5.7552857630566369E-2</v>
      </c>
      <c r="C946">
        <v>0.78395867323519053</v>
      </c>
      <c r="D946">
        <v>1</v>
      </c>
      <c r="E946" s="10">
        <v>1.5388330393785081E-3</v>
      </c>
      <c r="F946" s="10">
        <v>1.4455159955499426</v>
      </c>
      <c r="H946">
        <v>0.50000030650636029</v>
      </c>
      <c r="I946" s="11">
        <f t="shared" si="14"/>
        <v>-0.72640581560462414</v>
      </c>
      <c r="J946" s="11">
        <f>1/(H946*Utilities!$B$11)</f>
        <v>7.9999950959012418</v>
      </c>
      <c r="K946" s="11">
        <f>IF(B946&lt;C946,1,EXP(-1*(B946-C946)/(Utilities!$B$11*IterData!H946)))</f>
        <v>1</v>
      </c>
    </row>
    <row r="947" spans="1:11" x14ac:dyDescent="0.3">
      <c r="A947">
        <v>946</v>
      </c>
      <c r="B947">
        <v>0.17504686827594015</v>
      </c>
      <c r="C947">
        <v>5.7552857630566369E-2</v>
      </c>
      <c r="D947">
        <v>0.39064677331037062</v>
      </c>
      <c r="E947" s="10">
        <v>1.1018682004417895E-3</v>
      </c>
      <c r="F947" s="10">
        <v>1.819489959248634</v>
      </c>
      <c r="H947">
        <v>0.50000030043712773</v>
      </c>
      <c r="I947" s="11">
        <f t="shared" si="14"/>
        <v>0.11749401064537379</v>
      </c>
      <c r="J947" s="11">
        <f>1/(H947*Utilities!$B$11)</f>
        <v>7.9999951930088447</v>
      </c>
      <c r="K947" s="11">
        <f>IF(B947&lt;C947,1,EXP(-1*(B947-C947)/(Utilities!$B$11*IterData!H947)))</f>
        <v>0.39064677331037057</v>
      </c>
    </row>
    <row r="948" spans="1:11" x14ac:dyDescent="0.3">
      <c r="A948">
        <v>947</v>
      </c>
      <c r="B948">
        <v>1.4848332719435122</v>
      </c>
      <c r="C948">
        <v>0.17504686827594015</v>
      </c>
      <c r="D948">
        <v>2.8140941253645201E-5</v>
      </c>
      <c r="E948" s="10">
        <v>1.4379659117929465E-3</v>
      </c>
      <c r="F948" s="10">
        <v>1.8289252672162526</v>
      </c>
      <c r="H948">
        <v>0.50000029448807404</v>
      </c>
      <c r="I948" s="11">
        <f t="shared" si="14"/>
        <v>1.3097864036675722</v>
      </c>
      <c r="J948" s="11">
        <f>1/(H948*Utilities!$B$11)</f>
        <v>7.999995288193591</v>
      </c>
      <c r="K948" s="11">
        <f>IF(B948&lt;C948,1,EXP(-1*(B948-C948)/(Utilities!$B$11*IterData!H948)))</f>
        <v>2.8140941253645201E-5</v>
      </c>
    </row>
    <row r="949" spans="1:11" x14ac:dyDescent="0.3">
      <c r="A949">
        <v>948</v>
      </c>
      <c r="B949">
        <v>0.74717500013957738</v>
      </c>
      <c r="C949">
        <v>0.17504686827594015</v>
      </c>
      <c r="D949">
        <v>1.0285476652354072E-2</v>
      </c>
      <c r="E949" s="10">
        <v>1.4379659117929465E-3</v>
      </c>
      <c r="F949" s="10">
        <v>1.8289252672162526</v>
      </c>
      <c r="H949">
        <v>0.50000028865681945</v>
      </c>
      <c r="I949" s="11">
        <f t="shared" si="14"/>
        <v>0.5721281318636372</v>
      </c>
      <c r="J949" s="11">
        <f>1/(H949*Utilities!$B$11)</f>
        <v>7.9999953814935552</v>
      </c>
      <c r="K949" s="11">
        <f>IF(B949&lt;C949,1,EXP(-1*(B949-C949)/(Utilities!$B$11*IterData!H949)))</f>
        <v>1.0285476652354072E-2</v>
      </c>
    </row>
    <row r="950" spans="1:11" x14ac:dyDescent="0.3">
      <c r="A950">
        <v>949</v>
      </c>
      <c r="B950">
        <v>0.61131145591087066</v>
      </c>
      <c r="C950">
        <v>0.17504686827594015</v>
      </c>
      <c r="D950">
        <v>3.0497373126249654E-2</v>
      </c>
      <c r="E950" s="10">
        <v>1.4379659117929465E-3</v>
      </c>
      <c r="F950" s="10">
        <v>1.8289252672162526</v>
      </c>
      <c r="H950">
        <v>0.50000028294103149</v>
      </c>
      <c r="I950" s="11">
        <f t="shared" si="14"/>
        <v>0.43626458763493048</v>
      </c>
      <c r="J950" s="11">
        <f>1/(H950*Utilities!$B$11)</f>
        <v>7.9999954729460576</v>
      </c>
      <c r="K950" s="11">
        <f>IF(B950&lt;C950,1,EXP(-1*(B950-C950)/(Utilities!$B$11*IterData!H950)))</f>
        <v>3.0497373126249668E-2</v>
      </c>
    </row>
    <row r="951" spans="1:11" x14ac:dyDescent="0.3">
      <c r="A951">
        <v>950</v>
      </c>
      <c r="B951">
        <v>0.31956410838406152</v>
      </c>
      <c r="C951">
        <v>0.17504686827594015</v>
      </c>
      <c r="D951">
        <v>0.3146994320706703</v>
      </c>
      <c r="E951" s="10">
        <v>1.4379659117929465E-3</v>
      </c>
      <c r="F951" s="10">
        <v>1.8289252672162526</v>
      </c>
      <c r="H951">
        <v>0.50000027733842367</v>
      </c>
      <c r="I951" s="11">
        <f t="shared" si="14"/>
        <v>0.14451724010812136</v>
      </c>
      <c r="J951" s="11">
        <f>1/(H951*Utilities!$B$11)</f>
        <v>7.9999955625876824</v>
      </c>
      <c r="K951" s="11">
        <f>IF(B951&lt;C951,1,EXP(-1*(B951-C951)/(Utilities!$B$11*IterData!H951)))</f>
        <v>0.3146994320706703</v>
      </c>
    </row>
    <row r="952" spans="1:11" x14ac:dyDescent="0.3">
      <c r="A952">
        <v>951</v>
      </c>
      <c r="B952">
        <v>0.80658867298629</v>
      </c>
      <c r="C952">
        <v>0.31956410838406152</v>
      </c>
      <c r="D952">
        <v>2.0319090858624041E-2</v>
      </c>
      <c r="E952" s="10">
        <v>1.1699054903692621E-3</v>
      </c>
      <c r="F952" s="10">
        <v>1.9577733640014425</v>
      </c>
      <c r="H952">
        <v>0.50000027184675488</v>
      </c>
      <c r="I952" s="11">
        <f t="shared" si="14"/>
        <v>0.48702456460222848</v>
      </c>
      <c r="J952" s="11">
        <f>1/(H952*Utilities!$B$11)</f>
        <v>7.9999956504542871</v>
      </c>
      <c r="K952" s="11">
        <f>IF(B952&lt;C952,1,EXP(-1*(B952-C952)/(Utilities!$B$11*IterData!H952)))</f>
        <v>2.0319090858624041E-2</v>
      </c>
    </row>
    <row r="953" spans="1:11" x14ac:dyDescent="0.3">
      <c r="A953">
        <v>952</v>
      </c>
      <c r="B953">
        <v>0.76076335608143542</v>
      </c>
      <c r="C953">
        <v>0.31956410838406152</v>
      </c>
      <c r="D953">
        <v>2.9316871763997155E-2</v>
      </c>
      <c r="E953" s="10">
        <v>1.1699054903692621E-3</v>
      </c>
      <c r="F953" s="10">
        <v>1.9577733640014425</v>
      </c>
      <c r="H953">
        <v>0.50000026646382856</v>
      </c>
      <c r="I953" s="11">
        <f t="shared" si="14"/>
        <v>0.4411992476973739</v>
      </c>
      <c r="J953" s="11">
        <f>1/(H953*Utilities!$B$11)</f>
        <v>7.999995736581015</v>
      </c>
      <c r="K953" s="11">
        <f>IF(B953&lt;C953,1,EXP(-1*(B953-C953)/(Utilities!$B$11*IterData!H953)))</f>
        <v>2.9316871763997155E-2</v>
      </c>
    </row>
    <row r="954" spans="1:11" x14ac:dyDescent="0.3">
      <c r="A954">
        <v>953</v>
      </c>
      <c r="B954">
        <v>8.8704530548291194E-2</v>
      </c>
      <c r="C954">
        <v>0.31956410838406152</v>
      </c>
      <c r="D954">
        <v>1</v>
      </c>
      <c r="E954" s="10">
        <v>1.1699054903692621E-3</v>
      </c>
      <c r="F954" s="10">
        <v>1.9577733640014425</v>
      </c>
      <c r="H954">
        <v>0.50000026118749119</v>
      </c>
      <c r="I954" s="11">
        <f t="shared" si="14"/>
        <v>-0.23085957783577032</v>
      </c>
      <c r="J954" s="11">
        <f>1/(H954*Utilities!$B$11)</f>
        <v>7.9999958210023241</v>
      </c>
      <c r="K954" s="11">
        <f>IF(B954&lt;C954,1,EXP(-1*(B954-C954)/(Utilities!$B$11*IterData!H954)))</f>
        <v>1</v>
      </c>
    </row>
    <row r="955" spans="1:11" x14ac:dyDescent="0.3">
      <c r="A955">
        <v>954</v>
      </c>
      <c r="B955">
        <v>0.23379227496383889</v>
      </c>
      <c r="C955">
        <v>8.8704530548291194E-2</v>
      </c>
      <c r="D955">
        <v>0.31326639098351761</v>
      </c>
      <c r="E955" s="10">
        <v>1.3551592679112196E-3</v>
      </c>
      <c r="F955" s="10">
        <v>1.639932156122565</v>
      </c>
      <c r="H955">
        <v>0.50000025601563236</v>
      </c>
      <c r="I955" s="11">
        <f t="shared" si="14"/>
        <v>0.1450877444155477</v>
      </c>
      <c r="J955" s="11">
        <f>1/(H955*Utilities!$B$11)</f>
        <v>7.9999959037519792</v>
      </c>
      <c r="K955" s="11">
        <f>IF(B955&lt;C955,1,EXP(-1*(B955-C955)/(Utilities!$B$11*IterData!H955)))</f>
        <v>0.31326639098351761</v>
      </c>
    </row>
    <row r="956" spans="1:11" x14ac:dyDescent="0.3">
      <c r="A956">
        <v>955</v>
      </c>
      <c r="B956">
        <v>0.9171824629179941</v>
      </c>
      <c r="C956">
        <v>8.8704530548291194E-2</v>
      </c>
      <c r="D956">
        <v>1.3230440054899815E-3</v>
      </c>
      <c r="E956" s="10">
        <v>1.3551592679112196E-3</v>
      </c>
      <c r="F956" s="10">
        <v>1.639932156122565</v>
      </c>
      <c r="H956">
        <v>0.50000025094618317</v>
      </c>
      <c r="I956" s="11">
        <f t="shared" si="14"/>
        <v>0.82847793236970291</v>
      </c>
      <c r="J956" s="11">
        <f>1/(H956*Utilities!$B$11)</f>
        <v>7.9999959848630846</v>
      </c>
      <c r="K956" s="11">
        <f>IF(B956&lt;C956,1,EXP(-1*(B956-C956)/(Utilities!$B$11*IterData!H956)))</f>
        <v>1.3230440054899815E-3</v>
      </c>
    </row>
    <row r="957" spans="1:11" x14ac:dyDescent="0.3">
      <c r="A957">
        <v>956</v>
      </c>
      <c r="B957">
        <v>0.57164894283772216</v>
      </c>
      <c r="C957">
        <v>8.8704530548291194E-2</v>
      </c>
      <c r="D957">
        <v>2.0993269395155639E-2</v>
      </c>
      <c r="E957" s="10">
        <v>1.3551592679112196E-3</v>
      </c>
      <c r="F957" s="10">
        <v>1.639932156122565</v>
      </c>
      <c r="H957">
        <v>0.50000024597711579</v>
      </c>
      <c r="I957" s="11">
        <f t="shared" si="14"/>
        <v>0.48294441228943097</v>
      </c>
      <c r="J957" s="11">
        <f>1/(H957*Utilities!$B$11)</f>
        <v>7.9999960643680836</v>
      </c>
      <c r="K957" s="11">
        <f>IF(B957&lt;C957,1,EXP(-1*(B957-C957)/(Utilities!$B$11*IterData!H957)))</f>
        <v>2.0993269395155639E-2</v>
      </c>
    </row>
    <row r="958" spans="1:11" x14ac:dyDescent="0.3">
      <c r="A958">
        <v>957</v>
      </c>
      <c r="B958">
        <v>5.5388015799459123E-2</v>
      </c>
      <c r="C958">
        <v>8.8704530548291194E-2</v>
      </c>
      <c r="D958">
        <v>1</v>
      </c>
      <c r="E958" s="10">
        <v>1.3551592679112196E-3</v>
      </c>
      <c r="F958" s="10">
        <v>1.639932156122565</v>
      </c>
      <c r="H958">
        <v>0.50000024110644259</v>
      </c>
      <c r="I958" s="11">
        <f t="shared" si="14"/>
        <v>-3.3316514748832071E-2</v>
      </c>
      <c r="J958" s="11">
        <f>1/(H958*Utilities!$B$11)</f>
        <v>7.9999961422987784</v>
      </c>
      <c r="K958" s="11">
        <f>IF(B958&lt;C958,1,EXP(-1*(B958-C958)/(Utilities!$B$11*IterData!H958)))</f>
        <v>1</v>
      </c>
    </row>
    <row r="959" spans="1:11" x14ac:dyDescent="0.3">
      <c r="A959">
        <v>958</v>
      </c>
      <c r="B959">
        <v>0.23780595471227628</v>
      </c>
      <c r="C959">
        <v>5.5388015799459123E-2</v>
      </c>
      <c r="D959">
        <v>0.23238894557156906</v>
      </c>
      <c r="E959" s="10">
        <v>1.4949627583663303E-3</v>
      </c>
      <c r="F959" s="10">
        <v>1.6434109967618076</v>
      </c>
      <c r="H959">
        <v>0.50000023633221513</v>
      </c>
      <c r="I959" s="11">
        <f t="shared" si="14"/>
        <v>0.18241793891281716</v>
      </c>
      <c r="J959" s="11">
        <f>1/(H959*Utilities!$B$11)</f>
        <v>7.9999962186863449</v>
      </c>
      <c r="K959" s="11">
        <f>IF(B959&lt;C959,1,EXP(-1*(B959-C959)/(Utilities!$B$11*IterData!H959)))</f>
        <v>0.23238894557156906</v>
      </c>
    </row>
    <row r="960" spans="1:11" x14ac:dyDescent="0.3">
      <c r="A960">
        <v>959</v>
      </c>
      <c r="B960">
        <v>0.62044441393483352</v>
      </c>
      <c r="C960">
        <v>5.5388015799459123E-2</v>
      </c>
      <c r="D960">
        <v>1.0884134606797905E-2</v>
      </c>
      <c r="E960" s="10">
        <v>1.4949627583663303E-3</v>
      </c>
      <c r="F960" s="10">
        <v>1.6434109967618076</v>
      </c>
      <c r="H960">
        <v>0.50000023165252372</v>
      </c>
      <c r="I960" s="11">
        <f t="shared" si="14"/>
        <v>0.56505639813537445</v>
      </c>
      <c r="J960" s="11">
        <f>1/(H960*Utilities!$B$11)</f>
        <v>7.9999962935613373</v>
      </c>
      <c r="K960" s="11">
        <f>IF(B960&lt;C960,1,EXP(-1*(B960-C960)/(Utilities!$B$11*IterData!H960)))</f>
        <v>1.0884134606797905E-2</v>
      </c>
    </row>
    <row r="961" spans="1:11" x14ac:dyDescent="0.3">
      <c r="A961">
        <v>960</v>
      </c>
      <c r="B961">
        <v>4.2756109430029242E-2</v>
      </c>
      <c r="C961">
        <v>5.5388015799459123E-2</v>
      </c>
      <c r="D961">
        <v>1</v>
      </c>
      <c r="E961" s="10">
        <v>1.4949627583663303E-3</v>
      </c>
      <c r="F961" s="10">
        <v>1.6434109967618076</v>
      </c>
      <c r="H961">
        <v>0.50000022706549641</v>
      </c>
      <c r="I961" s="11">
        <f t="shared" si="14"/>
        <v>-1.2631906369429881E-2</v>
      </c>
      <c r="J961" s="11">
        <f>1/(H961*Utilities!$B$11)</f>
        <v>7.9999963669537077</v>
      </c>
      <c r="K961" s="11">
        <f>IF(B961&lt;C961,1,EXP(-1*(B961-C961)/(Utilities!$B$11*IterData!H961)))</f>
        <v>1</v>
      </c>
    </row>
    <row r="962" spans="1:11" x14ac:dyDescent="0.3">
      <c r="A962">
        <v>961</v>
      </c>
      <c r="B962">
        <v>9.9933547446030696E-2</v>
      </c>
      <c r="C962">
        <v>4.2756109430029242E-2</v>
      </c>
      <c r="D962">
        <v>0.63291490287419705</v>
      </c>
      <c r="E962" s="10">
        <v>1.3336049820359527E-3</v>
      </c>
      <c r="F962" s="10">
        <v>1.6845375182966902</v>
      </c>
      <c r="H962">
        <v>0.50000022256929844</v>
      </c>
      <c r="I962" s="11">
        <f t="shared" si="14"/>
        <v>5.7177438016001454E-2</v>
      </c>
      <c r="J962" s="11">
        <f>1/(H962*Utilities!$B$11)</f>
        <v>7.9999964388928104</v>
      </c>
      <c r="K962" s="11">
        <f>IF(B962&lt;C962,1,EXP(-1*(B962-C962)/(Utilities!$B$11*IterData!H962)))</f>
        <v>0.63291490287419705</v>
      </c>
    </row>
    <row r="963" spans="1:11" x14ac:dyDescent="0.3">
      <c r="A963">
        <v>962</v>
      </c>
      <c r="B963">
        <v>0.14560539726762739</v>
      </c>
      <c r="C963">
        <v>4.2756109430029242E-2</v>
      </c>
      <c r="D963">
        <v>0.43920283069308541</v>
      </c>
      <c r="E963" s="10">
        <v>1.3336049820359527E-3</v>
      </c>
      <c r="F963" s="10">
        <v>1.6845375182966902</v>
      </c>
      <c r="H963">
        <v>0.50000021816213103</v>
      </c>
      <c r="I963" s="11">
        <f t="shared" ref="I963:I1026" si="15">B963-C963</f>
        <v>0.10284928783759814</v>
      </c>
      <c r="J963" s="11">
        <f>1/(H963*Utilities!$B$11)</f>
        <v>7.9999965094074268</v>
      </c>
      <c r="K963" s="11">
        <f>IF(B963&lt;C963,1,EXP(-1*(B963-C963)/(Utilities!$B$11*IterData!H963)))</f>
        <v>0.43920283069308541</v>
      </c>
    </row>
    <row r="964" spans="1:11" x14ac:dyDescent="0.3">
      <c r="A964">
        <v>963</v>
      </c>
      <c r="B964">
        <v>0.29141346495683396</v>
      </c>
      <c r="C964">
        <v>4.2756109430029242E-2</v>
      </c>
      <c r="D964">
        <v>0.13679689198773182</v>
      </c>
      <c r="E964" s="10">
        <v>1.3336049820359527E-3</v>
      </c>
      <c r="F964" s="10">
        <v>1.6845375182966902</v>
      </c>
      <c r="H964">
        <v>0.50000021384223137</v>
      </c>
      <c r="I964" s="11">
        <f t="shared" si="15"/>
        <v>0.24865735552680471</v>
      </c>
      <c r="J964" s="11">
        <f>1/(H964*Utilities!$B$11)</f>
        <v>7.9999965785257618</v>
      </c>
      <c r="K964" s="11">
        <f>IF(B964&lt;C964,1,EXP(-1*(B964-C964)/(Utilities!$B$11*IterData!H964)))</f>
        <v>0.13679689198773182</v>
      </c>
    </row>
    <row r="965" spans="1:11" x14ac:dyDescent="0.3">
      <c r="A965">
        <v>964</v>
      </c>
      <c r="B965">
        <v>0.21380657975616615</v>
      </c>
      <c r="C965">
        <v>0.29141346495683396</v>
      </c>
      <c r="D965">
        <v>1</v>
      </c>
      <c r="E965" s="10">
        <v>1.4313314498873675E-3</v>
      </c>
      <c r="F965" s="10">
        <v>1.888029728118048</v>
      </c>
      <c r="H965">
        <v>0.5000002096078715</v>
      </c>
      <c r="I965" s="11">
        <f t="shared" si="15"/>
        <v>-7.7606885200667802E-2</v>
      </c>
      <c r="J965" s="11">
        <f>1/(H965*Utilities!$B$11)</f>
        <v>7.9999966462754619</v>
      </c>
      <c r="K965" s="11">
        <f>IF(B965&lt;C965,1,EXP(-1*(B965-C965)/(Utilities!$B$11*IterData!H965)))</f>
        <v>1</v>
      </c>
    </row>
    <row r="966" spans="1:11" x14ac:dyDescent="0.3">
      <c r="A966">
        <v>965</v>
      </c>
      <c r="B966">
        <v>0.94496222965107513</v>
      </c>
      <c r="C966">
        <v>0.21380657975616615</v>
      </c>
      <c r="D966">
        <v>2.8820806561623393E-3</v>
      </c>
      <c r="E966" s="10">
        <v>1.6087525691716009E-3</v>
      </c>
      <c r="F966" s="10">
        <v>1.8180430650363453</v>
      </c>
      <c r="H966">
        <v>0.50000020545735757</v>
      </c>
      <c r="I966" s="11">
        <f t="shared" si="15"/>
        <v>0.731155649894909</v>
      </c>
      <c r="J966" s="11">
        <f>1/(H966*Utilities!$B$11)</f>
        <v>7.9999967126836298</v>
      </c>
      <c r="K966" s="11">
        <f>IF(B966&lt;C966,1,EXP(-1*(B966-C966)/(Utilities!$B$11*IterData!H966)))</f>
        <v>2.8820806561623367E-3</v>
      </c>
    </row>
    <row r="967" spans="1:11" x14ac:dyDescent="0.3">
      <c r="A967">
        <v>966</v>
      </c>
      <c r="B967">
        <v>0.20279591091815363</v>
      </c>
      <c r="C967">
        <v>0.21380657975616615</v>
      </c>
      <c r="D967">
        <v>1</v>
      </c>
      <c r="E967" s="10">
        <v>1.6087525691716009E-3</v>
      </c>
      <c r="F967" s="10">
        <v>1.8180430650363453</v>
      </c>
      <c r="H967">
        <v>0.50000020138902923</v>
      </c>
      <c r="I967" s="11">
        <f t="shared" si="15"/>
        <v>-1.1010668838012522E-2</v>
      </c>
      <c r="J967" s="11">
        <f>1/(H967*Utilities!$B$11)</f>
        <v>7.9999967777768299</v>
      </c>
      <c r="K967" s="11">
        <f>IF(B967&lt;C967,1,EXP(-1*(B967-C967)/(Utilities!$B$11*IterData!H967)))</f>
        <v>1</v>
      </c>
    </row>
    <row r="968" spans="1:11" x14ac:dyDescent="0.3">
      <c r="A968">
        <v>967</v>
      </c>
      <c r="B968">
        <v>0.1714660618466079</v>
      </c>
      <c r="C968">
        <v>0.20279591091815363</v>
      </c>
      <c r="D968">
        <v>1</v>
      </c>
      <c r="E968" s="10">
        <v>1.3367783117230838E-3</v>
      </c>
      <c r="F968" s="10">
        <v>1.8640000942252344</v>
      </c>
      <c r="H968">
        <v>0.50000019740125934</v>
      </c>
      <c r="I968" s="11">
        <f t="shared" si="15"/>
        <v>-3.1329849071545735E-2</v>
      </c>
      <c r="J968" s="11">
        <f>1/(H968*Utilities!$B$11)</f>
        <v>7.9999968415810976</v>
      </c>
      <c r="K968" s="11">
        <f>IF(B968&lt;C968,1,EXP(-1*(B968-C968)/(Utilities!$B$11*IterData!H968)))</f>
        <v>1</v>
      </c>
    </row>
    <row r="969" spans="1:11" x14ac:dyDescent="0.3">
      <c r="A969">
        <v>968</v>
      </c>
      <c r="B969">
        <v>0.32987203503958229</v>
      </c>
      <c r="C969">
        <v>0.1714660618466079</v>
      </c>
      <c r="D969">
        <v>0.28160573331046773</v>
      </c>
      <c r="E969" s="10">
        <v>1.4189209503627481E-3</v>
      </c>
      <c r="F969" s="10">
        <v>1.8306525302208023</v>
      </c>
      <c r="H969">
        <v>0.5000001934924525</v>
      </c>
      <c r="I969" s="11">
        <f t="shared" si="15"/>
        <v>0.15840597319297439</v>
      </c>
      <c r="J969" s="11">
        <f>1/(H969*Utilities!$B$11)</f>
        <v>7.9999969041219581</v>
      </c>
      <c r="K969" s="11">
        <f>IF(B969&lt;C969,1,EXP(-1*(B969-C969)/(Utilities!$B$11*IterData!H969)))</f>
        <v>0.28160573331046773</v>
      </c>
    </row>
    <row r="970" spans="1:11" x14ac:dyDescent="0.3">
      <c r="A970">
        <v>969</v>
      </c>
      <c r="B970">
        <v>5.1995714801940103E-2</v>
      </c>
      <c r="C970">
        <v>0.1714660618466079</v>
      </c>
      <c r="D970">
        <v>1</v>
      </c>
      <c r="E970" s="10">
        <v>1.4189209503627481E-3</v>
      </c>
      <c r="F970" s="10">
        <v>1.8306525302208023</v>
      </c>
      <c r="H970">
        <v>0.5000001896610452</v>
      </c>
      <c r="I970" s="11">
        <f t="shared" si="15"/>
        <v>-0.1194703470446678</v>
      </c>
      <c r="J970" s="11">
        <f>1/(H970*Utilities!$B$11)</f>
        <v>7.9999969654244278</v>
      </c>
      <c r="K970" s="11">
        <f>IF(B970&lt;C970,1,EXP(-1*(B970-C970)/(Utilities!$B$11*IterData!H970)))</f>
        <v>1</v>
      </c>
    </row>
    <row r="971" spans="1:11" x14ac:dyDescent="0.3">
      <c r="A971">
        <v>970</v>
      </c>
      <c r="B971">
        <v>0.9015034981799358</v>
      </c>
      <c r="C971">
        <v>5.1995714801940103E-2</v>
      </c>
      <c r="D971">
        <v>1.1181723687221509E-3</v>
      </c>
      <c r="E971" s="10">
        <v>1.5543413315890799E-3</v>
      </c>
      <c r="F971" s="10">
        <v>1.7151345838859451</v>
      </c>
      <c r="H971">
        <v>0.50000018590550488</v>
      </c>
      <c r="I971" s="11">
        <f t="shared" si="15"/>
        <v>0.84950778337799571</v>
      </c>
      <c r="J971" s="11">
        <f>1/(H971*Utilities!$B$11)</f>
        <v>7.9999970255130277</v>
      </c>
      <c r="K971" s="11">
        <f>IF(B971&lt;C971,1,EXP(-1*(B971-C971)/(Utilities!$B$11*IterData!H971)))</f>
        <v>1.1181723687221509E-3</v>
      </c>
    </row>
    <row r="972" spans="1:11" x14ac:dyDescent="0.3">
      <c r="A972">
        <v>971</v>
      </c>
      <c r="B972">
        <v>4.194393785196536E-2</v>
      </c>
      <c r="C972">
        <v>5.1995714801940103E-2</v>
      </c>
      <c r="D972">
        <v>1</v>
      </c>
      <c r="E972" s="10">
        <v>1.5543413315890799E-3</v>
      </c>
      <c r="F972" s="10">
        <v>1.7151345838859451</v>
      </c>
      <c r="H972">
        <v>0.50000018222432929</v>
      </c>
      <c r="I972" s="11">
        <f t="shared" si="15"/>
        <v>-1.0051776949974743E-2</v>
      </c>
      <c r="J972" s="11">
        <f>1/(H972*Utilities!$B$11)</f>
        <v>7.9999970844117936</v>
      </c>
      <c r="K972" s="11">
        <f>IF(B972&lt;C972,1,EXP(-1*(B972-C972)/(Utilities!$B$11*IterData!H972)))</f>
        <v>1</v>
      </c>
    </row>
    <row r="973" spans="1:11" x14ac:dyDescent="0.3">
      <c r="A973">
        <v>972</v>
      </c>
      <c r="B973">
        <v>0.31829684287192345</v>
      </c>
      <c r="C973">
        <v>4.194393785196536E-2</v>
      </c>
      <c r="D973">
        <v>0.1096104622670724</v>
      </c>
      <c r="E973" s="10">
        <v>1.1876756890819109E-3</v>
      </c>
      <c r="F973" s="10">
        <v>1.7108013049029107</v>
      </c>
      <c r="H973">
        <v>0.50000017861604584</v>
      </c>
      <c r="I973" s="11">
        <f t="shared" si="15"/>
        <v>0.27635290501995807</v>
      </c>
      <c r="J973" s="11">
        <f>1/(H973*Utilities!$B$11)</f>
        <v>7.999997142144287</v>
      </c>
      <c r="K973" s="11">
        <f>IF(B973&lt;C973,1,EXP(-1*(B973-C973)/(Utilities!$B$11*IterData!H973)))</f>
        <v>0.10961046226707244</v>
      </c>
    </row>
    <row r="974" spans="1:11" x14ac:dyDescent="0.3">
      <c r="A974">
        <v>973</v>
      </c>
      <c r="B974">
        <v>0.48095813699318407</v>
      </c>
      <c r="C974">
        <v>4.194393785196536E-2</v>
      </c>
      <c r="D974">
        <v>2.9833827945323192E-2</v>
      </c>
      <c r="E974" s="10">
        <v>1.1876756890819109E-3</v>
      </c>
      <c r="F974" s="10">
        <v>1.7108013049029107</v>
      </c>
      <c r="H974">
        <v>0.50000017507921113</v>
      </c>
      <c r="I974" s="11">
        <f t="shared" si="15"/>
        <v>0.4390141991412187</v>
      </c>
      <c r="J974" s="11">
        <f>1/(H974*Utilities!$B$11)</f>
        <v>7.9999971987336025</v>
      </c>
      <c r="K974" s="11">
        <f>IF(B974&lt;C974,1,EXP(-1*(B974-C974)/(Utilities!$B$11*IterData!H974)))</f>
        <v>2.9833827945323192E-2</v>
      </c>
    </row>
    <row r="975" spans="1:11" x14ac:dyDescent="0.3">
      <c r="A975">
        <v>974</v>
      </c>
      <c r="B975">
        <v>0.53844751253645085</v>
      </c>
      <c r="C975">
        <v>4.194393785196536E-2</v>
      </c>
      <c r="D975">
        <v>1.8835211022129233E-2</v>
      </c>
      <c r="E975" s="10">
        <v>1.1876756890819109E-3</v>
      </c>
      <c r="F975" s="10">
        <v>1.7108013049029107</v>
      </c>
      <c r="H975">
        <v>0.5000001716124105</v>
      </c>
      <c r="I975" s="11">
        <f t="shared" si="15"/>
        <v>0.49650357468448547</v>
      </c>
      <c r="J975" s="11">
        <f>1/(H975*Utilities!$B$11)</f>
        <v>7.9999972542023743</v>
      </c>
      <c r="K975" s="11">
        <f>IF(B975&lt;C975,1,EXP(-1*(B975-C975)/(Utilities!$B$11*IterData!H975)))</f>
        <v>1.8835211022129233E-2</v>
      </c>
    </row>
    <row r="976" spans="1:11" x14ac:dyDescent="0.3">
      <c r="A976">
        <v>975</v>
      </c>
      <c r="B976">
        <v>0.17483625536718878</v>
      </c>
      <c r="C976">
        <v>4.194393785196536E-2</v>
      </c>
      <c r="D976">
        <v>0.34537027298376627</v>
      </c>
      <c r="E976" s="10">
        <v>1.1876756890819109E-3</v>
      </c>
      <c r="F976" s="10">
        <v>1.7108013049029107</v>
      </c>
      <c r="H976">
        <v>0.50000016821425708</v>
      </c>
      <c r="I976" s="11">
        <f t="shared" si="15"/>
        <v>0.1328923175152234</v>
      </c>
      <c r="J976" s="11">
        <f>1/(H976*Utilities!$B$11)</f>
        <v>7.9999973085727918</v>
      </c>
      <c r="K976" s="11">
        <f>IF(B976&lt;C976,1,EXP(-1*(B976-C976)/(Utilities!$B$11*IterData!H976)))</f>
        <v>0.34537027298376638</v>
      </c>
    </row>
    <row r="977" spans="1:11" x14ac:dyDescent="0.3">
      <c r="A977">
        <v>976</v>
      </c>
      <c r="B977">
        <v>0.65102001399270204</v>
      </c>
      <c r="C977">
        <v>0.17483625536718878</v>
      </c>
      <c r="D977">
        <v>2.2159946912132158E-2</v>
      </c>
      <c r="E977" s="10">
        <v>1.6168589684948233E-3</v>
      </c>
      <c r="F977" s="10">
        <v>1.5594575939392537</v>
      </c>
      <c r="H977">
        <v>0.50000016488339161</v>
      </c>
      <c r="I977" s="11">
        <f t="shared" si="15"/>
        <v>0.47618375862551326</v>
      </c>
      <c r="J977" s="11">
        <f>1/(H977*Utilities!$B$11)</f>
        <v>7.9999973618666038</v>
      </c>
      <c r="K977" s="11">
        <f>IF(B977&lt;C977,1,EXP(-1*(B977-C977)/(Utilities!$B$11*IterData!H977)))</f>
        <v>2.2159946912132158E-2</v>
      </c>
    </row>
    <row r="978" spans="1:11" x14ac:dyDescent="0.3">
      <c r="A978">
        <v>977</v>
      </c>
      <c r="B978">
        <v>0.12531796523170072</v>
      </c>
      <c r="C978">
        <v>0.17483625536718878</v>
      </c>
      <c r="D978">
        <v>1</v>
      </c>
      <c r="E978" s="10">
        <v>1.6168589684948233E-3</v>
      </c>
      <c r="F978" s="10">
        <v>1.5594575939392537</v>
      </c>
      <c r="H978">
        <v>0.50000016161848171</v>
      </c>
      <c r="I978" s="11">
        <f t="shared" si="15"/>
        <v>-4.9518290135488058E-2</v>
      </c>
      <c r="J978" s="11">
        <f>1/(H978*Utilities!$B$11)</f>
        <v>7.9999974141051284</v>
      </c>
      <c r="K978" s="11">
        <f>IF(B978&lt;C978,1,EXP(-1*(B978-C978)/(Utilities!$B$11*IterData!H978)))</f>
        <v>1</v>
      </c>
    </row>
    <row r="979" spans="1:11" x14ac:dyDescent="0.3">
      <c r="A979">
        <v>978</v>
      </c>
      <c r="B979">
        <v>0.74126793424766513</v>
      </c>
      <c r="C979">
        <v>0.12531796523170072</v>
      </c>
      <c r="D979">
        <v>7.2438808232424294E-3</v>
      </c>
      <c r="E979" s="10">
        <v>1.5502522391998158E-3</v>
      </c>
      <c r="F979" s="10">
        <v>1.7787231902267655</v>
      </c>
      <c r="H979">
        <v>0.50000015841822132</v>
      </c>
      <c r="I979" s="11">
        <f t="shared" si="15"/>
        <v>0.61594996901596444</v>
      </c>
      <c r="J979" s="11">
        <f>1/(H979*Utilities!$B$11)</f>
        <v>7.9999974653092618</v>
      </c>
      <c r="K979" s="11">
        <f>IF(B979&lt;C979,1,EXP(-1*(B979-C979)/(Utilities!$B$11*IterData!H979)))</f>
        <v>7.2438808232424294E-3</v>
      </c>
    </row>
    <row r="980" spans="1:11" x14ac:dyDescent="0.3">
      <c r="A980">
        <v>979</v>
      </c>
      <c r="B980">
        <v>0.43747142900085412</v>
      </c>
      <c r="C980">
        <v>0.12531796523170072</v>
      </c>
      <c r="D980">
        <v>8.2312941597116482E-2</v>
      </c>
      <c r="E980" s="10">
        <v>1.5502522391998158E-3</v>
      </c>
      <c r="F980" s="10">
        <v>1.7787231902267655</v>
      </c>
      <c r="H980">
        <v>0.50000015528133035</v>
      </c>
      <c r="I980" s="11">
        <f t="shared" si="15"/>
        <v>0.31215346376915343</v>
      </c>
      <c r="J980" s="11">
        <f>1/(H980*Utilities!$B$11)</f>
        <v>7.9999975154994862</v>
      </c>
      <c r="K980" s="11">
        <f>IF(B980&lt;C980,1,EXP(-1*(B980-C980)/(Utilities!$B$11*IterData!H980)))</f>
        <v>8.2312941597116482E-2</v>
      </c>
    </row>
    <row r="981" spans="1:11" x14ac:dyDescent="0.3">
      <c r="A981">
        <v>980</v>
      </c>
      <c r="B981">
        <v>3.3490195275550153E-2</v>
      </c>
      <c r="C981">
        <v>0.12531796523170072</v>
      </c>
      <c r="D981">
        <v>1</v>
      </c>
      <c r="E981" s="10">
        <v>1.5502522391998158E-3</v>
      </c>
      <c r="F981" s="10">
        <v>1.7787231902267655</v>
      </c>
      <c r="H981">
        <v>0.50000015220655403</v>
      </c>
      <c r="I981" s="11">
        <f t="shared" si="15"/>
        <v>-9.1827769956150565E-2</v>
      </c>
      <c r="J981" s="11">
        <f>1/(H981*Utilities!$B$11)</f>
        <v>7.9999975646958772</v>
      </c>
      <c r="K981" s="11">
        <f>IF(B981&lt;C981,1,EXP(-1*(B981-C981)/(Utilities!$B$11*IterData!H981)))</f>
        <v>1</v>
      </c>
    </row>
    <row r="982" spans="1:11" x14ac:dyDescent="0.3">
      <c r="A982">
        <v>981</v>
      </c>
      <c r="B982">
        <v>0.50839199831866444</v>
      </c>
      <c r="C982">
        <v>3.3490195275550153E-2</v>
      </c>
      <c r="D982">
        <v>2.2388378074667713E-2</v>
      </c>
      <c r="E982" s="10">
        <v>1.3165246153649857E-3</v>
      </c>
      <c r="F982" s="10">
        <v>1.7134273034370586</v>
      </c>
      <c r="H982">
        <v>0.50000014919266234</v>
      </c>
      <c r="I982" s="11">
        <f t="shared" si="15"/>
        <v>0.4749018030431143</v>
      </c>
      <c r="J982" s="11">
        <f>1/(H982*Utilities!$B$11)</f>
        <v>7.999997612918115</v>
      </c>
      <c r="K982" s="11">
        <f>IF(B982&lt;C982,1,EXP(-1*(B982-C982)/(Utilities!$B$11*IterData!H982)))</f>
        <v>2.2388378074667713E-2</v>
      </c>
    </row>
    <row r="983" spans="1:11" x14ac:dyDescent="0.3">
      <c r="A983">
        <v>982</v>
      </c>
      <c r="B983">
        <v>0.39980142262562657</v>
      </c>
      <c r="C983">
        <v>3.3490195275550153E-2</v>
      </c>
      <c r="D983">
        <v>5.3370935420771697E-2</v>
      </c>
      <c r="E983" s="10">
        <v>1.3165246153649857E-3</v>
      </c>
      <c r="F983" s="10">
        <v>1.7134273034370586</v>
      </c>
      <c r="H983">
        <v>0.50000014623844968</v>
      </c>
      <c r="I983" s="11">
        <f t="shared" si="15"/>
        <v>0.36631122735007643</v>
      </c>
      <c r="J983" s="11">
        <f>1/(H983*Utilities!$B$11)</f>
        <v>7.9999976601854899</v>
      </c>
      <c r="K983" s="11">
        <f>IF(B983&lt;C983,1,EXP(-1*(B983-C983)/(Utilities!$B$11*IterData!H983)))</f>
        <v>5.3370935420771669E-2</v>
      </c>
    </row>
    <row r="984" spans="1:11" x14ac:dyDescent="0.3">
      <c r="A984">
        <v>983</v>
      </c>
      <c r="B984">
        <v>0.14554502739464698</v>
      </c>
      <c r="C984">
        <v>3.3490195275550153E-2</v>
      </c>
      <c r="D984">
        <v>0.40802027998939439</v>
      </c>
      <c r="E984" s="10">
        <v>1.3165246153649857E-3</v>
      </c>
      <c r="F984" s="10">
        <v>1.7134273034370586</v>
      </c>
      <c r="H984">
        <v>0.50000014334273435</v>
      </c>
      <c r="I984" s="11">
        <f t="shared" si="15"/>
        <v>0.11205483211909682</v>
      </c>
      <c r="J984" s="11">
        <f>1/(H984*Utilities!$B$11)</f>
        <v>7.9999977065169077</v>
      </c>
      <c r="K984" s="11">
        <f>IF(B984&lt;C984,1,EXP(-1*(B984-C984)/(Utilities!$B$11*IterData!H984)))</f>
        <v>0.40802027998939439</v>
      </c>
    </row>
    <row r="985" spans="1:11" x14ac:dyDescent="0.3">
      <c r="A985">
        <v>984</v>
      </c>
      <c r="B985">
        <v>0.50019720892579034</v>
      </c>
      <c r="C985">
        <v>3.3490195275550153E-2</v>
      </c>
      <c r="D985">
        <v>2.3905300652488241E-2</v>
      </c>
      <c r="E985" s="10">
        <v>1.3165246153649857E-3</v>
      </c>
      <c r="F985" s="10">
        <v>1.7134273034370586</v>
      </c>
      <c r="H985">
        <v>0.50000014050435804</v>
      </c>
      <c r="I985" s="11">
        <f t="shared" si="15"/>
        <v>0.4667070136502402</v>
      </c>
      <c r="J985" s="11">
        <f>1/(H985*Utilities!$B$11)</f>
        <v>7.9999977519309029</v>
      </c>
      <c r="K985" s="11">
        <f>IF(B985&lt;C985,1,EXP(-1*(B985-C985)/(Utilities!$B$11*IterData!H985)))</f>
        <v>2.3905300652488241E-2</v>
      </c>
    </row>
    <row r="986" spans="1:11" x14ac:dyDescent="0.3">
      <c r="A986">
        <v>985</v>
      </c>
      <c r="B986">
        <v>0.30262552519468772</v>
      </c>
      <c r="C986">
        <v>3.3490195275550153E-2</v>
      </c>
      <c r="D986">
        <v>0.11612570088028489</v>
      </c>
      <c r="E986" s="10">
        <v>1.3165246153649857E-3</v>
      </c>
      <c r="F986" s="10">
        <v>1.7134273034370586</v>
      </c>
      <c r="H986">
        <v>0.50000013772218532</v>
      </c>
      <c r="I986" s="11">
        <f t="shared" si="15"/>
        <v>0.26913532991913758</v>
      </c>
      <c r="J986" s="11">
        <f>1/(H986*Utilities!$B$11)</f>
        <v>7.9999977964456415</v>
      </c>
      <c r="K986" s="11">
        <f>IF(B986&lt;C986,1,EXP(-1*(B986-C986)/(Utilities!$B$11*IterData!H986)))</f>
        <v>0.11612570088028489</v>
      </c>
    </row>
    <row r="987" spans="1:11" x14ac:dyDescent="0.3">
      <c r="A987">
        <v>986</v>
      </c>
      <c r="B987">
        <v>0.50270759490858963</v>
      </c>
      <c r="C987">
        <v>3.3490195275550153E-2</v>
      </c>
      <c r="D987">
        <v>2.3429996318459989E-2</v>
      </c>
      <c r="E987" s="10">
        <v>1.3165246153649857E-3</v>
      </c>
      <c r="F987" s="10">
        <v>1.7134273034370586</v>
      </c>
      <c r="H987">
        <v>0.50000013499510343</v>
      </c>
      <c r="I987" s="11">
        <f t="shared" si="15"/>
        <v>0.46921739963303949</v>
      </c>
      <c r="J987" s="11">
        <f>1/(H987*Utilities!$B$11)</f>
        <v>7.9999978400789287</v>
      </c>
      <c r="K987" s="11">
        <f>IF(B987&lt;C987,1,EXP(-1*(B987-C987)/(Utilities!$B$11*IterData!H987)))</f>
        <v>2.3429996318459979E-2</v>
      </c>
    </row>
    <row r="988" spans="1:11" x14ac:dyDescent="0.3">
      <c r="A988">
        <v>987</v>
      </c>
      <c r="B988">
        <v>0.63178194890262629</v>
      </c>
      <c r="C988">
        <v>3.3490195275550153E-2</v>
      </c>
      <c r="D988">
        <v>8.3429971026438097E-3</v>
      </c>
      <c r="E988" s="10">
        <v>1.3165246153649857E-3</v>
      </c>
      <c r="F988" s="10">
        <v>1.7134273034370586</v>
      </c>
      <c r="H988">
        <v>0.50000013232202123</v>
      </c>
      <c r="I988" s="11">
        <f t="shared" si="15"/>
        <v>0.59829175362707609</v>
      </c>
      <c r="J988" s="11">
        <f>1/(H988*Utilities!$B$11)</f>
        <v>7.9999978828482208</v>
      </c>
      <c r="K988" s="11">
        <f>IF(B988&lt;C988,1,EXP(-1*(B988-C988)/(Utilities!$B$11*IterData!H988)))</f>
        <v>8.3429971026438097E-3</v>
      </c>
    </row>
    <row r="989" spans="1:11" x14ac:dyDescent="0.3">
      <c r="A989">
        <v>988</v>
      </c>
      <c r="B989">
        <v>0.74091881794741543</v>
      </c>
      <c r="C989">
        <v>3.3490195275550153E-2</v>
      </c>
      <c r="D989">
        <v>3.4845111636152108E-3</v>
      </c>
      <c r="E989" s="10">
        <v>1.3165246153649857E-3</v>
      </c>
      <c r="F989" s="10">
        <v>1.7134273034370586</v>
      </c>
      <c r="H989">
        <v>0.50000012970186969</v>
      </c>
      <c r="I989" s="11">
        <f t="shared" si="15"/>
        <v>0.70742862267186524</v>
      </c>
      <c r="J989" s="11">
        <f>1/(H989*Utilities!$B$11)</f>
        <v>7.9999979247706232</v>
      </c>
      <c r="K989" s="11">
        <f>IF(B989&lt;C989,1,EXP(-1*(B989-C989)/(Utilities!$B$11*IterData!H989)))</f>
        <v>3.4845111636152108E-3</v>
      </c>
    </row>
    <row r="990" spans="1:11" x14ac:dyDescent="0.3">
      <c r="A990">
        <v>989</v>
      </c>
      <c r="B990">
        <v>1.181871966292243</v>
      </c>
      <c r="C990">
        <v>3.3490195275550153E-2</v>
      </c>
      <c r="D990">
        <v>1.0235618352789193E-4</v>
      </c>
      <c r="E990" s="10">
        <v>1.3165246153649857E-3</v>
      </c>
      <c r="F990" s="10">
        <v>1.7134273034370586</v>
      </c>
      <c r="H990">
        <v>0.50000012713360054</v>
      </c>
      <c r="I990" s="11">
        <f t="shared" si="15"/>
        <v>1.1483817710166928</v>
      </c>
      <c r="J990" s="11">
        <f>1/(H990*Utilities!$B$11)</f>
        <v>7.9999979658629083</v>
      </c>
      <c r="K990" s="11">
        <f>IF(B990&lt;C990,1,EXP(-1*(B990-C990)/(Utilities!$B$11*IterData!H990)))</f>
        <v>1.0235618352789193E-4</v>
      </c>
    </row>
    <row r="991" spans="1:11" x14ac:dyDescent="0.3">
      <c r="A991">
        <v>990</v>
      </c>
      <c r="B991">
        <v>0.42593411953519089</v>
      </c>
      <c r="C991">
        <v>3.3490195275550153E-2</v>
      </c>
      <c r="D991">
        <v>4.3302253060419113E-2</v>
      </c>
      <c r="E991" s="10">
        <v>1.3165246153649857E-3</v>
      </c>
      <c r="F991" s="10">
        <v>1.7134273034370586</v>
      </c>
      <c r="H991">
        <v>0.50000012461618659</v>
      </c>
      <c r="I991" s="11">
        <f t="shared" si="15"/>
        <v>0.39244392425964075</v>
      </c>
      <c r="J991" s="11">
        <f>1/(H991*Utilities!$B$11)</f>
        <v>7.999998006141511</v>
      </c>
      <c r="K991" s="11">
        <f>IF(B991&lt;C991,1,EXP(-1*(B991-C991)/(Utilities!$B$11*IterData!H991)))</f>
        <v>4.3302253060419113E-2</v>
      </c>
    </row>
    <row r="992" spans="1:11" x14ac:dyDescent="0.3">
      <c r="A992">
        <v>991</v>
      </c>
      <c r="B992">
        <v>4.9944021939130653E-2</v>
      </c>
      <c r="C992">
        <v>3.3490195275550153E-2</v>
      </c>
      <c r="D992">
        <v>0.876664791765149</v>
      </c>
      <c r="E992" s="10">
        <v>1.3165246153649857E-3</v>
      </c>
      <c r="F992" s="10">
        <v>1.7134273034370586</v>
      </c>
      <c r="H992">
        <v>0.50000012214862077</v>
      </c>
      <c r="I992" s="11">
        <f t="shared" si="15"/>
        <v>1.6453826663580501E-2</v>
      </c>
      <c r="J992" s="11">
        <f>1/(H992*Utilities!$B$11)</f>
        <v>7.9999980456225455</v>
      </c>
      <c r="K992" s="11">
        <f>IF(B992&lt;C992,1,EXP(-1*(B992-C992)/(Utilities!$B$11*IterData!H992)))</f>
        <v>0.876664791765149</v>
      </c>
    </row>
    <row r="993" spans="1:11" x14ac:dyDescent="0.3">
      <c r="A993">
        <v>992</v>
      </c>
      <c r="B993">
        <v>4.0808771690729356E-2</v>
      </c>
      <c r="C993">
        <v>4.9944021939130653E-2</v>
      </c>
      <c r="D993">
        <v>1</v>
      </c>
      <c r="E993" s="10">
        <v>1.1376765237779409E-3</v>
      </c>
      <c r="F993" s="10">
        <v>1.7104897658684</v>
      </c>
      <c r="H993">
        <v>0.50000011972991609</v>
      </c>
      <c r="I993" s="11">
        <f t="shared" si="15"/>
        <v>-9.1352502484012971E-3</v>
      </c>
      <c r="J993" s="11">
        <f>1/(H993*Utilities!$B$11)</f>
        <v>7.9999980843218008</v>
      </c>
      <c r="K993" s="11">
        <f>IF(B993&lt;C993,1,EXP(-1*(B993-C993)/(Utilities!$B$11*IterData!H993)))</f>
        <v>1</v>
      </c>
    </row>
    <row r="994" spans="1:11" x14ac:dyDescent="0.3">
      <c r="A994">
        <v>993</v>
      </c>
      <c r="B994">
        <v>0.45195054199484747</v>
      </c>
      <c r="C994">
        <v>4.0808771690729356E-2</v>
      </c>
      <c r="D994">
        <v>3.7286147932327818E-2</v>
      </c>
      <c r="E994" s="10">
        <v>1.1623606458058152E-3</v>
      </c>
      <c r="F994" s="10">
        <v>1.7824849770587665</v>
      </c>
      <c r="H994">
        <v>0.50000011735910488</v>
      </c>
      <c r="I994" s="11">
        <f t="shared" si="15"/>
        <v>0.41114177030411814</v>
      </c>
      <c r="J994" s="11">
        <f>1/(H994*Utilities!$B$11)</f>
        <v>7.9999981222547625</v>
      </c>
      <c r="K994" s="11">
        <f>IF(B994&lt;C994,1,EXP(-1*(B994-C994)/(Utilities!$B$11*IterData!H994)))</f>
        <v>3.7286147932327818E-2</v>
      </c>
    </row>
    <row r="995" spans="1:11" x14ac:dyDescent="0.3">
      <c r="A995">
        <v>994</v>
      </c>
      <c r="B995">
        <v>0.61481271010213823</v>
      </c>
      <c r="C995">
        <v>4.0808771690729356E-2</v>
      </c>
      <c r="D995">
        <v>1.0132264408548322E-2</v>
      </c>
      <c r="E995" s="10">
        <v>1.1623606458058152E-3</v>
      </c>
      <c r="F995" s="10">
        <v>1.7824849770587665</v>
      </c>
      <c r="H995">
        <v>0.50000011503523889</v>
      </c>
      <c r="I995" s="11">
        <f t="shared" si="15"/>
        <v>0.57400393841140884</v>
      </c>
      <c r="J995" s="11">
        <f>1/(H995*Utilities!$B$11)</f>
        <v>7.9999981594366014</v>
      </c>
      <c r="K995" s="11">
        <f>IF(B995&lt;C995,1,EXP(-1*(B995-C995)/(Utilities!$B$11*IterData!H995)))</f>
        <v>1.0132264408548322E-2</v>
      </c>
    </row>
    <row r="996" spans="1:11" x14ac:dyDescent="0.3">
      <c r="A996">
        <v>995</v>
      </c>
      <c r="B996">
        <v>7.5521750012393238E-2</v>
      </c>
      <c r="C996">
        <v>4.0808771690729356E-2</v>
      </c>
      <c r="D996">
        <v>0.75752119336755919</v>
      </c>
      <c r="E996" s="10">
        <v>1.1623606458058152E-3</v>
      </c>
      <c r="F996" s="10">
        <v>1.7824849770587665</v>
      </c>
      <c r="H996">
        <v>0.50000011275738854</v>
      </c>
      <c r="I996" s="11">
        <f t="shared" si="15"/>
        <v>3.4712978321663882E-2</v>
      </c>
      <c r="J996" s="11">
        <f>1/(H996*Utilities!$B$11)</f>
        <v>7.9999981958821902</v>
      </c>
      <c r="K996" s="11">
        <f>IF(B996&lt;C996,1,EXP(-1*(B996-C996)/(Utilities!$B$11*IterData!H996)))</f>
        <v>0.75752119336755919</v>
      </c>
    </row>
    <row r="997" spans="1:11" x14ac:dyDescent="0.3">
      <c r="A997">
        <v>996</v>
      </c>
      <c r="B997">
        <v>3.4560831371537537E-2</v>
      </c>
      <c r="C997">
        <v>4.0808771690729356E-2</v>
      </c>
      <c r="D997">
        <v>1</v>
      </c>
      <c r="E997" s="10">
        <v>1.1623606458058152E-3</v>
      </c>
      <c r="F997" s="10">
        <v>1.7824849770587665</v>
      </c>
      <c r="H997">
        <v>0.50000011052464266</v>
      </c>
      <c r="I997" s="11">
        <f t="shared" si="15"/>
        <v>-6.2479403191918192E-3</v>
      </c>
      <c r="J997" s="11">
        <f>1/(H997*Utilities!$B$11)</f>
        <v>7.9999982316061082</v>
      </c>
      <c r="K997" s="11">
        <f>IF(B997&lt;C997,1,EXP(-1*(B997-C997)/(Utilities!$B$11*IterData!H997)))</f>
        <v>1</v>
      </c>
    </row>
    <row r="998" spans="1:11" x14ac:dyDescent="0.3">
      <c r="A998">
        <v>997</v>
      </c>
      <c r="B998">
        <v>0.44555568308714089</v>
      </c>
      <c r="C998">
        <v>3.4560831371537537E-2</v>
      </c>
      <c r="D998">
        <v>3.7329995697343937E-2</v>
      </c>
      <c r="E998" s="10">
        <v>1.3796280261018953E-3</v>
      </c>
      <c r="F998" s="10">
        <v>1.7097394505026486</v>
      </c>
      <c r="H998">
        <v>0.50000010833610808</v>
      </c>
      <c r="I998" s="11">
        <f t="shared" si="15"/>
        <v>0.41099485171560335</v>
      </c>
      <c r="J998" s="11">
        <f>1/(H998*Utilities!$B$11)</f>
        <v>7.9999982666226463</v>
      </c>
      <c r="K998" s="11">
        <f>IF(B998&lt;C998,1,EXP(-1*(B998-C998)/(Utilities!$B$11*IterData!H998)))</f>
        <v>3.7329995697343937E-2</v>
      </c>
    </row>
    <row r="999" spans="1:11" x14ac:dyDescent="0.3">
      <c r="A999">
        <v>998</v>
      </c>
      <c r="B999">
        <v>0.32326818929129852</v>
      </c>
      <c r="C999">
        <v>3.4560831371537537E-2</v>
      </c>
      <c r="D999">
        <v>9.9295167693247977E-2</v>
      </c>
      <c r="E999" s="10">
        <v>1.3796280261018953E-3</v>
      </c>
      <c r="F999" s="10">
        <v>1.7097394505026486</v>
      </c>
      <c r="H999">
        <v>0.5000001061909094</v>
      </c>
      <c r="I999" s="11">
        <f t="shared" si="15"/>
        <v>0.28870735791976099</v>
      </c>
      <c r="J999" s="11">
        <f>1/(H999*Utilities!$B$11)</f>
        <v>7.9999983009458102</v>
      </c>
      <c r="K999" s="11">
        <f>IF(B999&lt;C999,1,EXP(-1*(B999-C999)/(Utilities!$B$11*IterData!H999)))</f>
        <v>9.9295167693247977E-2</v>
      </c>
    </row>
    <row r="1000" spans="1:11" x14ac:dyDescent="0.3">
      <c r="A1000">
        <v>999</v>
      </c>
      <c r="B1000">
        <v>0.13810965829051788</v>
      </c>
      <c r="C1000">
        <v>3.4560831371537537E-2</v>
      </c>
      <c r="D1000">
        <v>0.43675169768000804</v>
      </c>
      <c r="E1000" s="10">
        <v>1.3796280261018953E-3</v>
      </c>
      <c r="F1000" s="10">
        <v>1.7097394505026486</v>
      </c>
      <c r="H1000">
        <v>0.50000010408818851</v>
      </c>
      <c r="I1000" s="11">
        <f t="shared" si="15"/>
        <v>0.10354882691898035</v>
      </c>
      <c r="J1000" s="11">
        <f>1/(H1000*Utilities!$B$11)</f>
        <v>7.9999983345893302</v>
      </c>
      <c r="K1000" s="11">
        <f>IF(B1000&lt;C1000,1,EXP(-1*(B1000-C1000)/(Utilities!$B$11*IterData!H1000)))</f>
        <v>0.43675169768000804</v>
      </c>
    </row>
    <row r="1001" spans="1:11" x14ac:dyDescent="0.3">
      <c r="A1001">
        <v>1000</v>
      </c>
      <c r="B1001">
        <v>0.5744366545656503</v>
      </c>
      <c r="C1001">
        <v>0.13810965829051788</v>
      </c>
      <c r="D1001">
        <v>3.0482112039605942E-2</v>
      </c>
      <c r="E1001" s="10">
        <v>1.3374591759040641E-3</v>
      </c>
      <c r="F1001" s="10">
        <v>1.6181655233172492</v>
      </c>
      <c r="H1001">
        <v>0.50000010202710432</v>
      </c>
      <c r="I1001" s="11">
        <f t="shared" si="15"/>
        <v>0.43632699627513238</v>
      </c>
      <c r="J1001" s="11">
        <f>1/(H1001*Utilities!$B$11)</f>
        <v>7.9999983675666639</v>
      </c>
      <c r="K1001" s="11">
        <f>IF(B1001&lt;C1001,1,EXP(-1*(B1001-C1001)/(Utilities!$B$11*IterData!H1001)))</f>
        <v>3.0482112039605956E-2</v>
      </c>
    </row>
    <row r="1002" spans="1:11" x14ac:dyDescent="0.3">
      <c r="A1002">
        <v>1001</v>
      </c>
      <c r="B1002">
        <v>3.4208909055491593E-2</v>
      </c>
      <c r="C1002">
        <v>0.13810965829051788</v>
      </c>
      <c r="D1002">
        <v>1</v>
      </c>
      <c r="E1002" s="10">
        <v>1.3374591759040641E-3</v>
      </c>
      <c r="F1002" s="10">
        <v>1.6181655233172492</v>
      </c>
      <c r="H1002">
        <v>0.50000010000683226</v>
      </c>
      <c r="I1002" s="11">
        <f t="shared" si="15"/>
        <v>-0.10390074923502629</v>
      </c>
      <c r="J1002" s="11">
        <f>1/(H1002*Utilities!$B$11)</f>
        <v>7.9999983998910036</v>
      </c>
      <c r="K1002" s="11">
        <f>IF(B1002&lt;C1002,1,EXP(-1*(B1002-C1002)/(Utilities!$B$11*IterData!H1002)))</f>
        <v>1</v>
      </c>
    </row>
    <row r="1003" spans="1:11" x14ac:dyDescent="0.3">
      <c r="A1003">
        <v>1002</v>
      </c>
      <c r="B1003">
        <v>0.11063453633417124</v>
      </c>
      <c r="C1003">
        <v>3.4208909055491593E-2</v>
      </c>
      <c r="D1003">
        <v>0.5419249757991651</v>
      </c>
      <c r="E1003" s="10">
        <v>1.3655637818172878E-3</v>
      </c>
      <c r="F1003" s="10">
        <v>1.7061297081910436</v>
      </c>
      <c r="H1003">
        <v>0.50000009802656431</v>
      </c>
      <c r="I1003" s="11">
        <f t="shared" si="15"/>
        <v>7.6425627278679645E-2</v>
      </c>
      <c r="J1003" s="11">
        <f>1/(H1003*Utilities!$B$11)</f>
        <v>7.9999984315752783</v>
      </c>
      <c r="K1003" s="11">
        <f>IF(B1003&lt;C1003,1,EXP(-1*(B1003-C1003)/(Utilities!$B$11*IterData!H1003)))</f>
        <v>0.54258805229425555</v>
      </c>
    </row>
    <row r="1004" spans="1:11" x14ac:dyDescent="0.3">
      <c r="A1004">
        <v>1003</v>
      </c>
      <c r="B1004">
        <v>0.96211333013039846</v>
      </c>
      <c r="C1004">
        <v>3.4208909055491593E-2</v>
      </c>
      <c r="D1004">
        <v>5.840618671215166E-4</v>
      </c>
      <c r="E1004" s="10">
        <v>1.3655637818172878E-3</v>
      </c>
      <c r="F1004" s="10">
        <v>1.7061297081910436</v>
      </c>
      <c r="H1004">
        <v>0.50000009608550833</v>
      </c>
      <c r="I1004" s="11">
        <f t="shared" si="15"/>
        <v>0.92790442107490689</v>
      </c>
      <c r="J1004" s="11">
        <f>1/(H1004*Utilities!$B$11)</f>
        <v>7.9999984626321625</v>
      </c>
      <c r="K1004" s="11">
        <f>IF(B1004&lt;C1004,1,EXP(-1*(B1004-C1004)/(Utilities!$B$11*IterData!H1004)))</f>
        <v>5.9721466157756518E-4</v>
      </c>
    </row>
    <row r="1005" spans="1:11" x14ac:dyDescent="0.3">
      <c r="A1005">
        <v>1004</v>
      </c>
      <c r="B1005">
        <v>5.7028162696494293E-2</v>
      </c>
      <c r="C1005">
        <v>3.4208909055491593E-2</v>
      </c>
      <c r="D1005">
        <v>0.83253150773044804</v>
      </c>
      <c r="E1005" s="10">
        <v>1.3655637818172878E-3</v>
      </c>
      <c r="F1005" s="10">
        <v>1.7061297081910436</v>
      </c>
      <c r="H1005">
        <v>0.50000009418288771</v>
      </c>
      <c r="I1005" s="11">
        <f t="shared" si="15"/>
        <v>2.28192536410027E-2</v>
      </c>
      <c r="J1005" s="11">
        <f>1/(H1005*Utilities!$B$11)</f>
        <v>7.9999984930740808</v>
      </c>
      <c r="K1005" s="11">
        <f>IF(B1005&lt;C1005,1,EXP(-1*(B1005-C1005)/(Utilities!$B$11*IterData!H1005)))</f>
        <v>0.83313965755372044</v>
      </c>
    </row>
    <row r="1006" spans="1:11" x14ac:dyDescent="0.3">
      <c r="A1006">
        <v>1005</v>
      </c>
      <c r="B1006">
        <v>0.53784556954532192</v>
      </c>
      <c r="C1006">
        <v>5.7028162696494293E-2</v>
      </c>
      <c r="D1006">
        <v>2.0946761282101038E-2</v>
      </c>
      <c r="E1006" s="10">
        <v>1.2528055581335314E-3</v>
      </c>
      <c r="F1006" s="10">
        <v>1.782910648111965</v>
      </c>
      <c r="H1006">
        <v>0.50000009231794162</v>
      </c>
      <c r="I1006" s="11">
        <f t="shared" si="15"/>
        <v>0.48081740684882762</v>
      </c>
      <c r="J1006" s="11">
        <f>1/(H1006*Utilities!$B$11)</f>
        <v>7.9999985229132067</v>
      </c>
      <c r="K1006" s="11">
        <f>IF(B1006&lt;C1006,1,EXP(-1*(B1006-C1006)/(Utilities!$B$11*IterData!H1006)))</f>
        <v>2.1353522928022763E-2</v>
      </c>
    </row>
    <row r="1007" spans="1:11" x14ac:dyDescent="0.3">
      <c r="A1007">
        <v>1006</v>
      </c>
      <c r="B1007">
        <v>1.2526059836235044</v>
      </c>
      <c r="C1007">
        <v>5.7028162696494293E-2</v>
      </c>
      <c r="D1007">
        <v>6.6254407869569207E-5</v>
      </c>
      <c r="E1007" s="10">
        <v>1.2528055581335314E-3</v>
      </c>
      <c r="F1007" s="10">
        <v>1.782910648111965</v>
      </c>
      <c r="H1007">
        <v>0.50000009048992389</v>
      </c>
      <c r="I1007" s="11">
        <f t="shared" si="15"/>
        <v>1.19557782092701</v>
      </c>
      <c r="J1007" s="11">
        <f>1/(H1007*Utilities!$B$11)</f>
        <v>7.9999985521614798</v>
      </c>
      <c r="K1007" s="11">
        <f>IF(B1007&lt;C1007,1,EXP(-1*(B1007-C1007)/(Utilities!$B$11*IterData!H1007)))</f>
        <v>7.0167814399060675E-5</v>
      </c>
    </row>
    <row r="1008" spans="1:11" x14ac:dyDescent="0.3">
      <c r="A1008">
        <v>1007</v>
      </c>
      <c r="B1008">
        <v>0.5698360537938455</v>
      </c>
      <c r="C1008">
        <v>5.7028162696494293E-2</v>
      </c>
      <c r="D1008">
        <v>1.6063918036029062E-2</v>
      </c>
      <c r="E1008" s="10">
        <v>1.2528055581335314E-3</v>
      </c>
      <c r="F1008" s="10">
        <v>1.782910648111965</v>
      </c>
      <c r="H1008">
        <v>0.50000008869810342</v>
      </c>
      <c r="I1008" s="11">
        <f t="shared" si="15"/>
        <v>0.51280789109735125</v>
      </c>
      <c r="J1008" s="11">
        <f>1/(H1008*Utilities!$B$11)</f>
        <v>7.9999985808305967</v>
      </c>
      <c r="K1008" s="11">
        <f>IF(B1008&lt;C1008,1,EXP(-1*(B1008-C1008)/(Utilities!$B$11*IterData!H1008)))</f>
        <v>1.6531917031309597E-2</v>
      </c>
    </row>
    <row r="1009" spans="1:11" x14ac:dyDescent="0.3">
      <c r="A1009">
        <v>1008</v>
      </c>
      <c r="B1009">
        <v>0.47963423378774078</v>
      </c>
      <c r="C1009">
        <v>5.7028162696494293E-2</v>
      </c>
      <c r="D1009">
        <v>3.3110833148138973E-2</v>
      </c>
      <c r="E1009" s="10">
        <v>1.2528055581335314E-3</v>
      </c>
      <c r="F1009" s="10">
        <v>1.782910648111965</v>
      </c>
      <c r="H1009">
        <v>0.50000008694176323</v>
      </c>
      <c r="I1009" s="11">
        <f t="shared" si="15"/>
        <v>0.42260607109124648</v>
      </c>
      <c r="J1009" s="11">
        <f>1/(H1009*Utilities!$B$11)</f>
        <v>7.9999986089320299</v>
      </c>
      <c r="K1009" s="11">
        <f>IF(B1009&lt;C1009,1,EXP(-1*(B1009-C1009)/(Utilities!$B$11*IterData!H1009)))</f>
        <v>3.4018595382600311E-2</v>
      </c>
    </row>
    <row r="1010" spans="1:11" x14ac:dyDescent="0.3">
      <c r="A1010">
        <v>1009</v>
      </c>
      <c r="B1010">
        <v>0.32239192128386696</v>
      </c>
      <c r="C1010">
        <v>5.7028162696494293E-2</v>
      </c>
      <c r="D1010">
        <v>0.1174179022065082</v>
      </c>
      <c r="E1010" s="10">
        <v>1.2528055581335314E-3</v>
      </c>
      <c r="F1010" s="10">
        <v>1.782910648111965</v>
      </c>
      <c r="H1010">
        <v>0.50000008522020101</v>
      </c>
      <c r="I1010" s="11">
        <f t="shared" si="15"/>
        <v>0.26536375858737266</v>
      </c>
      <c r="J1010" s="11">
        <f>1/(H1010*Utilities!$B$11)</f>
        <v>7.9999986364770166</v>
      </c>
      <c r="K1010" s="11">
        <f>IF(B1010&lt;C1010,1,EXP(-1*(B1010-C1010)/(Utilities!$B$11*IterData!H1010)))</f>
        <v>0.11968287928249961</v>
      </c>
    </row>
    <row r="1011" spans="1:11" x14ac:dyDescent="0.3">
      <c r="A1011">
        <v>1010</v>
      </c>
      <c r="B1011">
        <v>0.4347008089000502</v>
      </c>
      <c r="C1011">
        <v>5.7028162696494293E-2</v>
      </c>
      <c r="D1011">
        <v>4.7283472104761991E-2</v>
      </c>
      <c r="E1011" s="10">
        <v>1.2528055581335314E-3</v>
      </c>
      <c r="F1011" s="10">
        <v>1.782910648111965</v>
      </c>
      <c r="H1011">
        <v>0.50000008353272796</v>
      </c>
      <c r="I1011" s="11">
        <f t="shared" si="15"/>
        <v>0.3776726462035559</v>
      </c>
      <c r="J1011" s="11">
        <f>1/(H1011*Utilities!$B$11)</f>
        <v>7.9999986634765756</v>
      </c>
      <c r="K1011" s="11">
        <f>IF(B1011&lt;C1011,1,EXP(-1*(B1011-C1011)/(Utilities!$B$11*IterData!H1011)))</f>
        <v>4.8733886726597349E-2</v>
      </c>
    </row>
    <row r="1012" spans="1:11" x14ac:dyDescent="0.3">
      <c r="A1012">
        <v>1011</v>
      </c>
      <c r="B1012">
        <v>0.54785382958135564</v>
      </c>
      <c r="C1012">
        <v>5.7028162696494293E-2</v>
      </c>
      <c r="D1012">
        <v>1.8877258343219863E-2</v>
      </c>
      <c r="E1012" s="10">
        <v>1.2528055581335314E-3</v>
      </c>
      <c r="F1012" s="10">
        <v>1.782910648111965</v>
      </c>
      <c r="H1012">
        <v>0.50000008187866907</v>
      </c>
      <c r="I1012" s="11">
        <f t="shared" si="15"/>
        <v>0.49082566688486134</v>
      </c>
      <c r="J1012" s="11">
        <f>1/(H1012*Utilities!$B$11)</f>
        <v>7.9999986899415099</v>
      </c>
      <c r="K1012" s="11">
        <f>IF(B1012&lt;C1012,1,EXP(-1*(B1012-C1012)/(Utilities!$B$11*IterData!H1012)))</f>
        <v>1.9710482225810778E-2</v>
      </c>
    </row>
    <row r="1013" spans="1:11" x14ac:dyDescent="0.3">
      <c r="A1013">
        <v>1012</v>
      </c>
      <c r="B1013">
        <v>0.14259213113786967</v>
      </c>
      <c r="C1013">
        <v>5.7028162696494293E-2</v>
      </c>
      <c r="D1013">
        <v>0.50021074602704096</v>
      </c>
      <c r="E1013" s="10">
        <v>1.2528055581335314E-3</v>
      </c>
      <c r="F1013" s="10">
        <v>1.782910648111965</v>
      </c>
      <c r="H1013">
        <v>0.50000008025736287</v>
      </c>
      <c r="I1013" s="11">
        <f t="shared" si="15"/>
        <v>8.5563968441375371E-2</v>
      </c>
      <c r="J1013" s="11">
        <f>1/(H1013*Utilities!$B$11)</f>
        <v>7.9999987158824002</v>
      </c>
      <c r="K1013" s="11">
        <f>IF(B1013&lt;C1013,1,EXP(-1*(B1013-C1013)/(Utilities!$B$11*IterData!H1013)))</f>
        <v>0.5043364683825089</v>
      </c>
    </row>
    <row r="1014" spans="1:11" x14ac:dyDescent="0.3">
      <c r="A1014">
        <v>1013</v>
      </c>
      <c r="B1014">
        <v>0.3666358568663553</v>
      </c>
      <c r="C1014">
        <v>0.14259213113786967</v>
      </c>
      <c r="D1014">
        <v>0.16273208713526055</v>
      </c>
      <c r="E1014" s="10">
        <v>1.134637261490443E-3</v>
      </c>
      <c r="F1014" s="10">
        <v>1.8758368760304218</v>
      </c>
      <c r="H1014">
        <v>0.50000007866816054</v>
      </c>
      <c r="I1014" s="11">
        <f t="shared" si="15"/>
        <v>0.22404372572848563</v>
      </c>
      <c r="J1014" s="11">
        <f>1/(H1014*Utilities!$B$11)</f>
        <v>7.9999987413096294</v>
      </c>
      <c r="K1014" s="11">
        <f>IF(B1014&lt;C1014,1,EXP(-1*(B1014-C1014)/(Utilities!$B$11*IterData!H1014)))</f>
        <v>0.16656835324163838</v>
      </c>
    </row>
    <row r="1015" spans="1:11" x14ac:dyDescent="0.3">
      <c r="A1015">
        <v>1014</v>
      </c>
      <c r="B1015">
        <v>0.50866536331938161</v>
      </c>
      <c r="C1015">
        <v>0.14259213113786967</v>
      </c>
      <c r="D1015">
        <v>5.1324574753234042E-2</v>
      </c>
      <c r="E1015" s="10">
        <v>1.134637261490443E-3</v>
      </c>
      <c r="F1015" s="10">
        <v>1.8758368760304218</v>
      </c>
      <c r="H1015">
        <v>0.5000000771104266</v>
      </c>
      <c r="I1015" s="11">
        <f t="shared" si="15"/>
        <v>0.36607323218151194</v>
      </c>
      <c r="J1015" s="11">
        <f>1/(H1015*Utilities!$B$11)</f>
        <v>7.9999987662333645</v>
      </c>
      <c r="K1015" s="11">
        <f>IF(B1015&lt;C1015,1,EXP(-1*(B1015-C1015)/(Utilities!$B$11*IterData!H1015)))</f>
        <v>5.3472626736472371E-2</v>
      </c>
    </row>
    <row r="1016" spans="1:11" x14ac:dyDescent="0.3">
      <c r="A1016">
        <v>1015</v>
      </c>
      <c r="B1016">
        <v>6.6912118440375187E-2</v>
      </c>
      <c r="C1016">
        <v>0.14259213113786967</v>
      </c>
      <c r="D1016">
        <v>1</v>
      </c>
      <c r="E1016" s="10">
        <v>1.134637261490443E-3</v>
      </c>
      <c r="F1016" s="10">
        <v>1.8758368760304218</v>
      </c>
      <c r="H1016">
        <v>0.50000007558353787</v>
      </c>
      <c r="I1016" s="11">
        <f t="shared" si="15"/>
        <v>-7.5680012697494484E-2</v>
      </c>
      <c r="J1016" s="11">
        <f>1/(H1016*Utilities!$B$11)</f>
        <v>7.999998790663577</v>
      </c>
      <c r="K1016" s="11">
        <f>IF(B1016&lt;C1016,1,EXP(-1*(B1016-C1016)/(Utilities!$B$11*IterData!H1016)))</f>
        <v>1</v>
      </c>
    </row>
    <row r="1017" spans="1:11" x14ac:dyDescent="0.3">
      <c r="A1017">
        <v>1016</v>
      </c>
      <c r="B1017">
        <v>2.9802323438446521E-2</v>
      </c>
      <c r="C1017">
        <v>6.6912118440375187E-2</v>
      </c>
      <c r="D1017">
        <v>1</v>
      </c>
      <c r="E1017" s="10">
        <v>1.1060422705874904E-3</v>
      </c>
      <c r="F1017" s="10">
        <v>1.701815240611372</v>
      </c>
      <c r="H1017">
        <v>0.50000007408688352</v>
      </c>
      <c r="I1017" s="11">
        <f t="shared" si="15"/>
        <v>-3.7109795001928667E-2</v>
      </c>
      <c r="J1017" s="11">
        <f>1/(H1017*Utilities!$B$11)</f>
        <v>7.9999988146100396</v>
      </c>
      <c r="K1017" s="11">
        <f>IF(B1017&lt;C1017,1,EXP(-1*(B1017-C1017)/(Utilities!$B$11*IterData!H1017)))</f>
        <v>1</v>
      </c>
    </row>
    <row r="1018" spans="1:11" x14ac:dyDescent="0.3">
      <c r="A1018">
        <v>1017</v>
      </c>
      <c r="B1018">
        <v>0.44635998001154392</v>
      </c>
      <c r="C1018">
        <v>2.9802323438446521E-2</v>
      </c>
      <c r="D1018">
        <v>3.3738603200316152E-2</v>
      </c>
      <c r="E1018" s="10">
        <v>1.1172881372375325E-3</v>
      </c>
      <c r="F1018" s="10">
        <v>1.7580098262688417</v>
      </c>
      <c r="H1018">
        <v>0.50000007261986501</v>
      </c>
      <c r="I1018" s="11">
        <f t="shared" si="15"/>
        <v>0.4165576565730974</v>
      </c>
      <c r="J1018" s="11">
        <f>1/(H1018*Utilities!$B$11)</f>
        <v>7.9999988380823286</v>
      </c>
      <c r="K1018" s="11">
        <f>IF(B1018&lt;C1018,1,EXP(-1*(B1018-C1018)/(Utilities!$B$11*IterData!H1018)))</f>
        <v>3.5705134800982398E-2</v>
      </c>
    </row>
    <row r="1019" spans="1:11" x14ac:dyDescent="0.3">
      <c r="A1019">
        <v>1018</v>
      </c>
      <c r="B1019">
        <v>1.2119913678562317</v>
      </c>
      <c r="C1019">
        <v>2.9802323438446521E-2</v>
      </c>
      <c r="D1019">
        <v>6.5875352037385207E-5</v>
      </c>
      <c r="E1019" s="10">
        <v>1.1172881372375325E-3</v>
      </c>
      <c r="F1019" s="10">
        <v>1.7580098262688417</v>
      </c>
      <c r="H1019">
        <v>0.50000007118189527</v>
      </c>
      <c r="I1019" s="11">
        <f t="shared" si="15"/>
        <v>1.1821890444177852</v>
      </c>
      <c r="J1019" s="11">
        <f>1/(H1019*Utilities!$B$11)</f>
        <v>7.9999988610898383</v>
      </c>
      <c r="K1019" s="11">
        <f>IF(B1019&lt;C1019,1,EXP(-1*(B1019-C1019)/(Utilities!$B$11*IterData!H1019)))</f>
        <v>7.8100741343047335E-5</v>
      </c>
    </row>
    <row r="1020" spans="1:11" x14ac:dyDescent="0.3">
      <c r="A1020">
        <v>1019</v>
      </c>
      <c r="B1020">
        <v>0.69678651209941156</v>
      </c>
      <c r="C1020">
        <v>2.9802323438446521E-2</v>
      </c>
      <c r="D1020">
        <v>4.3514143568437694E-3</v>
      </c>
      <c r="E1020" s="10">
        <v>1.1172881372375325E-3</v>
      </c>
      <c r="F1020" s="10">
        <v>1.7580098262688417</v>
      </c>
      <c r="H1020">
        <v>0.5000000697723993</v>
      </c>
      <c r="I1020" s="11">
        <f t="shared" si="15"/>
        <v>0.66698418866096509</v>
      </c>
      <c r="J1020" s="11">
        <f>1/(H1020*Utilities!$B$11)</f>
        <v>7.9999988836417666</v>
      </c>
      <c r="K1020" s="11">
        <f>IF(B1020&lt;C1020,1,EXP(-1*(B1020-C1020)/(Utilities!$B$11*IterData!H1020)))</f>
        <v>4.8157053000671786E-3</v>
      </c>
    </row>
    <row r="1021" spans="1:11" x14ac:dyDescent="0.3">
      <c r="A1021">
        <v>1020</v>
      </c>
      <c r="B1021">
        <v>0.44074243503561317</v>
      </c>
      <c r="C1021">
        <v>2.9802323438446521E-2</v>
      </c>
      <c r="D1021">
        <v>3.4969785842271041E-2</v>
      </c>
      <c r="E1021" s="10">
        <v>1.1172881372375325E-3</v>
      </c>
      <c r="F1021" s="10">
        <v>1.7580098262688417</v>
      </c>
      <c r="H1021">
        <v>0.50000006839081323</v>
      </c>
      <c r="I1021" s="11">
        <f t="shared" si="15"/>
        <v>0.41094011159716665</v>
      </c>
      <c r="J1021" s="11">
        <f>1/(H1021*Utilities!$B$11)</f>
        <v>7.9999989057471383</v>
      </c>
      <c r="K1021" s="11">
        <f>IF(B1021&lt;C1021,1,EXP(-1*(B1021-C1021)/(Utilities!$B$11*IterData!H1021)))</f>
        <v>3.7346337052170171E-2</v>
      </c>
    </row>
    <row r="1022" spans="1:11" x14ac:dyDescent="0.3">
      <c r="A1022">
        <v>1021</v>
      </c>
      <c r="B1022">
        <v>0.28954942876244982</v>
      </c>
      <c r="C1022">
        <v>2.9802323438446521E-2</v>
      </c>
      <c r="D1022">
        <v>0.11983804511135905</v>
      </c>
      <c r="E1022" s="10">
        <v>1.1172881372375325E-3</v>
      </c>
      <c r="F1022" s="10">
        <v>1.7580098262688417</v>
      </c>
      <c r="H1022">
        <v>0.50000006703658439</v>
      </c>
      <c r="I1022" s="11">
        <f t="shared" si="15"/>
        <v>0.2597471053240033</v>
      </c>
      <c r="J1022" s="11">
        <f>1/(H1022*Utilities!$B$11)</f>
        <v>7.9999989274147936</v>
      </c>
      <c r="K1022" s="11">
        <f>IF(B1022&lt;C1022,1,EXP(-1*(B1022-C1022)/(Utilities!$B$11*IterData!H1022)))</f>
        <v>0.12518325641159139</v>
      </c>
    </row>
    <row r="1023" spans="1:11" x14ac:dyDescent="0.3">
      <c r="A1023">
        <v>1022</v>
      </c>
      <c r="B1023">
        <v>0.50584394850199887</v>
      </c>
      <c r="C1023">
        <v>0.28954942876244982</v>
      </c>
      <c r="D1023">
        <v>0.17060168603743897</v>
      </c>
      <c r="E1023" s="10">
        <v>1.2329119479677004E-3</v>
      </c>
      <c r="F1023" s="10">
        <v>1.9291035888477923</v>
      </c>
      <c r="H1023">
        <v>0.5000000657091711</v>
      </c>
      <c r="I1023" s="11">
        <f t="shared" si="15"/>
        <v>0.21629451973954905</v>
      </c>
      <c r="J1023" s="11">
        <f>1/(H1023*Utilities!$B$11)</f>
        <v>7.9999989486534009</v>
      </c>
      <c r="K1023" s="11">
        <f>IF(B1023&lt;C1023,1,EXP(-1*(B1023-C1023)/(Utilities!$B$11*IterData!H1023)))</f>
        <v>0.17722132026682025</v>
      </c>
    </row>
    <row r="1024" spans="1:11" x14ac:dyDescent="0.3">
      <c r="A1024">
        <v>1023</v>
      </c>
      <c r="B1024">
        <v>0.27235988827060542</v>
      </c>
      <c r="C1024">
        <v>0.28954942876244982</v>
      </c>
      <c r="D1024">
        <v>1</v>
      </c>
      <c r="E1024" s="10">
        <v>1.2329119479677004E-3</v>
      </c>
      <c r="F1024" s="10">
        <v>1.9291035888477923</v>
      </c>
      <c r="H1024">
        <v>0.50000006440804234</v>
      </c>
      <c r="I1024" s="11">
        <f t="shared" si="15"/>
        <v>-1.7189540491844402E-2</v>
      </c>
      <c r="J1024" s="11">
        <f>1/(H1024*Utilities!$B$11)</f>
        <v>7.9999989694714548</v>
      </c>
      <c r="K1024" s="11">
        <f>IF(B1024&lt;C1024,1,EXP(-1*(B1024-C1024)/(Utilities!$B$11*IterData!H1024)))</f>
        <v>1</v>
      </c>
    </row>
    <row r="1025" spans="1:11" x14ac:dyDescent="0.3">
      <c r="A1025">
        <v>1024</v>
      </c>
      <c r="B1025">
        <v>0.17373345421937997</v>
      </c>
      <c r="C1025">
        <v>0.27235988827060542</v>
      </c>
      <c r="D1025">
        <v>1</v>
      </c>
      <c r="E1025" s="10">
        <v>1.3229569962065865E-3</v>
      </c>
      <c r="F1025" s="10">
        <v>1.9012396019181179</v>
      </c>
      <c r="H1025">
        <v>0.50000006313267764</v>
      </c>
      <c r="I1025" s="11">
        <f t="shared" si="15"/>
        <v>-9.8626434051225453E-2</v>
      </c>
      <c r="J1025" s="11">
        <f>1/(H1025*Utilities!$B$11)</f>
        <v>7.9999989898772856</v>
      </c>
      <c r="K1025" s="11">
        <f>IF(B1025&lt;C1025,1,EXP(-1*(B1025-C1025)/(Utilities!$B$11*IterData!H1025)))</f>
        <v>1</v>
      </c>
    </row>
    <row r="1026" spans="1:11" x14ac:dyDescent="0.3">
      <c r="A1026">
        <v>1025</v>
      </c>
      <c r="B1026">
        <v>0.28492192805492106</v>
      </c>
      <c r="C1026">
        <v>0.17373345421937997</v>
      </c>
      <c r="D1026">
        <v>0.4018222820318556</v>
      </c>
      <c r="E1026" s="10">
        <v>8.9944175814397898E-4</v>
      </c>
      <c r="F1026" s="10">
        <v>1.9580419631475112</v>
      </c>
      <c r="H1026">
        <v>0.50000006188256685</v>
      </c>
      <c r="I1026" s="11">
        <f t="shared" si="15"/>
        <v>0.11118847383554109</v>
      </c>
      <c r="J1026" s="11">
        <f>1/(H1026*Utilities!$B$11)</f>
        <v>7.999999009879053</v>
      </c>
      <c r="K1026" s="11">
        <f>IF(B1026&lt;C1026,1,EXP(-1*(B1026-C1026)/(Utilities!$B$11*IterData!H1026)))</f>
        <v>0.41085797632370086</v>
      </c>
    </row>
    <row r="1027" spans="1:11" x14ac:dyDescent="0.3">
      <c r="A1027">
        <v>1026</v>
      </c>
      <c r="B1027">
        <v>5.383961909985259E-2</v>
      </c>
      <c r="C1027">
        <v>0.28492192805492106</v>
      </c>
      <c r="D1027">
        <v>1</v>
      </c>
      <c r="E1027" s="10">
        <v>1.3221614146955681E-3</v>
      </c>
      <c r="F1027" s="10">
        <v>1.9073127210447627</v>
      </c>
      <c r="H1027">
        <v>0.50000006065720992</v>
      </c>
      <c r="I1027" s="11">
        <f t="shared" ref="I1027:I1090" si="16">B1027-C1027</f>
        <v>-0.23108230895506848</v>
      </c>
      <c r="J1027" s="11">
        <f>1/(H1027*Utilities!$B$11)</f>
        <v>7.9999990294847594</v>
      </c>
      <c r="K1027" s="11">
        <f>IF(B1027&lt;C1027,1,EXP(-1*(B1027-C1027)/(Utilities!$B$11*IterData!H1027)))</f>
        <v>1</v>
      </c>
    </row>
    <row r="1028" spans="1:11" x14ac:dyDescent="0.3">
      <c r="A1028">
        <v>1027</v>
      </c>
      <c r="B1028">
        <v>0.31012715854753647</v>
      </c>
      <c r="C1028">
        <v>5.383961909985259E-2</v>
      </c>
      <c r="D1028">
        <v>0.12176550503468934</v>
      </c>
      <c r="E1028" s="10">
        <v>1.2400151035706311E-3</v>
      </c>
      <c r="F1028" s="10">
        <v>1.7821359434547681</v>
      </c>
      <c r="H1028">
        <v>0.5000000594561167</v>
      </c>
      <c r="I1028" s="11">
        <f t="shared" si="16"/>
        <v>0.2562875394476839</v>
      </c>
      <c r="J1028" s="11">
        <f>1/(H1028*Utilities!$B$11)</f>
        <v>7.9999990487022457</v>
      </c>
      <c r="K1028" s="11">
        <f>IF(B1028&lt;C1028,1,EXP(-1*(B1028-C1028)/(Utilities!$B$11*IterData!H1028)))</f>
        <v>0.12869627967195199</v>
      </c>
    </row>
    <row r="1029" spans="1:11" x14ac:dyDescent="0.3">
      <c r="A1029">
        <v>1028</v>
      </c>
      <c r="B1029">
        <v>9.098484870446176E-2</v>
      </c>
      <c r="C1029">
        <v>5.383961909985259E-2</v>
      </c>
      <c r="D1029">
        <v>0.73676792144239933</v>
      </c>
      <c r="E1029" s="10">
        <v>1.2400151035706311E-3</v>
      </c>
      <c r="F1029" s="10">
        <v>1.7821359434547681</v>
      </c>
      <c r="H1029">
        <v>0.50000005827880678</v>
      </c>
      <c r="I1029" s="11">
        <f t="shared" si="16"/>
        <v>3.714522960460917E-2</v>
      </c>
      <c r="J1029" s="11">
        <f>1/(H1029*Utilities!$B$11)</f>
        <v>7.9999990675391999</v>
      </c>
      <c r="K1029" s="11">
        <f>IF(B1029&lt;C1029,1,EXP(-1*(B1029-C1029)/(Utilities!$B$11*IterData!H1029)))</f>
        <v>0.74292379593164726</v>
      </c>
    </row>
    <row r="1030" spans="1:11" x14ac:dyDescent="0.3">
      <c r="A1030">
        <v>1029</v>
      </c>
      <c r="B1030">
        <v>0.20844497953764818</v>
      </c>
      <c r="C1030">
        <v>9.098484870446176E-2</v>
      </c>
      <c r="D1030">
        <v>0.38024796996304039</v>
      </c>
      <c r="E1030" s="10">
        <v>1.3107372042167945E-3</v>
      </c>
      <c r="F1030" s="10">
        <v>1.8011900643265808</v>
      </c>
      <c r="H1030">
        <v>0.50000005712480899</v>
      </c>
      <c r="I1030" s="11">
        <f t="shared" si="16"/>
        <v>0.11746013083318642</v>
      </c>
      <c r="J1030" s="11">
        <f>1/(H1030*Utilities!$B$11)</f>
        <v>7.9999990860031609</v>
      </c>
      <c r="K1030" s="11">
        <f>IF(B1030&lt;C1030,1,EXP(-1*(B1030-C1030)/(Utilities!$B$11*IterData!H1030)))</f>
        <v>0.39075248923127531</v>
      </c>
    </row>
    <row r="1031" spans="1:11" x14ac:dyDescent="0.3">
      <c r="A1031">
        <v>1030</v>
      </c>
      <c r="B1031">
        <v>0.48748875359636185</v>
      </c>
      <c r="C1031">
        <v>9.098484870446176E-2</v>
      </c>
      <c r="D1031">
        <v>3.8113306325824527E-2</v>
      </c>
      <c r="E1031" s="10">
        <v>1.3107372042167945E-3</v>
      </c>
      <c r="F1031" s="10">
        <v>1.8011900643265808</v>
      </c>
      <c r="H1031">
        <v>0.50000005599366204</v>
      </c>
      <c r="I1031" s="11">
        <f t="shared" si="16"/>
        <v>0.39650390489190007</v>
      </c>
      <c r="J1031" s="11">
        <f>1/(H1031*Utilities!$B$11)</f>
        <v>7.9999991041015077</v>
      </c>
      <c r="K1031" s="11">
        <f>IF(B1031&lt;C1031,1,EXP(-1*(B1031-C1031)/(Utilities!$B$11*IterData!H1031)))</f>
        <v>4.1918380035475822E-2</v>
      </c>
    </row>
    <row r="1032" spans="1:11" x14ac:dyDescent="0.3">
      <c r="A1032">
        <v>1031</v>
      </c>
      <c r="B1032">
        <v>0.32514276590307312</v>
      </c>
      <c r="C1032">
        <v>0.48748875359636185</v>
      </c>
      <c r="D1032">
        <v>1</v>
      </c>
      <c r="E1032" s="10">
        <v>1.2284616706921951E-3</v>
      </c>
      <c r="F1032" s="10">
        <v>1.5460172120809139</v>
      </c>
      <c r="H1032">
        <v>0.50000005488491328</v>
      </c>
      <c r="I1032" s="11">
        <f t="shared" si="16"/>
        <v>-0.16234598769328873</v>
      </c>
      <c r="J1032" s="11">
        <f>1/(H1032*Utilities!$B$11)</f>
        <v>7.9999991218414843</v>
      </c>
      <c r="K1032" s="11">
        <f>IF(B1032&lt;C1032,1,EXP(-1*(B1032-C1032)/(Utilities!$B$11*IterData!H1032)))</f>
        <v>1</v>
      </c>
    </row>
    <row r="1033" spans="1:11" x14ac:dyDescent="0.3">
      <c r="A1033">
        <v>1032</v>
      </c>
      <c r="B1033">
        <v>0.16632316280853932</v>
      </c>
      <c r="C1033">
        <v>0.32514276590307312</v>
      </c>
      <c r="D1033">
        <v>1</v>
      </c>
      <c r="E1033" s="10">
        <v>1.0137572429021887E-3</v>
      </c>
      <c r="F1033" s="10">
        <v>2.000726860616572</v>
      </c>
      <c r="H1033">
        <v>0.50000005379811918</v>
      </c>
      <c r="I1033" s="11">
        <f t="shared" si="16"/>
        <v>-0.1588196030945338</v>
      </c>
      <c r="J1033" s="11">
        <f>1/(H1033*Utilities!$B$11)</f>
        <v>7.9999991392301855</v>
      </c>
      <c r="K1033" s="11">
        <f>IF(B1033&lt;C1033,1,EXP(-1*(B1033-C1033)/(Utilities!$B$11*IterData!H1033)))</f>
        <v>1</v>
      </c>
    </row>
    <row r="1034" spans="1:11" x14ac:dyDescent="0.3">
      <c r="A1034">
        <v>1033</v>
      </c>
      <c r="B1034">
        <v>0.23523111616803272</v>
      </c>
      <c r="C1034">
        <v>0.16632316280853932</v>
      </c>
      <c r="D1034">
        <v>0.56583358326906441</v>
      </c>
      <c r="E1034" s="10">
        <v>1.3283988762472115E-3</v>
      </c>
      <c r="F1034" s="10">
        <v>1.8460656084463931</v>
      </c>
      <c r="H1034">
        <v>0.50000005273284498</v>
      </c>
      <c r="I1034" s="11">
        <f t="shared" si="16"/>
        <v>6.8907953359493401E-2</v>
      </c>
      <c r="J1034" s="11">
        <f>1/(H1034*Utilities!$B$11)</f>
        <v>7.9999991562745691</v>
      </c>
      <c r="K1034" s="11">
        <f>IF(B1034&lt;C1034,1,EXP(-1*(B1034-C1034)/(Utilities!$B$11*IterData!H1034)))</f>
        <v>0.57622125502434896</v>
      </c>
    </row>
    <row r="1035" spans="1:11" x14ac:dyDescent="0.3">
      <c r="A1035">
        <v>1034</v>
      </c>
      <c r="B1035">
        <v>0.52527861202356829</v>
      </c>
      <c r="C1035">
        <v>0.16632316280853932</v>
      </c>
      <c r="D1035">
        <v>5.1340304682681442E-2</v>
      </c>
      <c r="E1035" s="10">
        <v>1.3283988762472115E-3</v>
      </c>
      <c r="F1035" s="10">
        <v>1.8460656084463931</v>
      </c>
      <c r="H1035">
        <v>0.50000005168866468</v>
      </c>
      <c r="I1035" s="11">
        <f t="shared" si="16"/>
        <v>0.35895544921502898</v>
      </c>
      <c r="J1035" s="11">
        <f>1/(H1035*Utilities!$B$11)</f>
        <v>7.9999991729814504</v>
      </c>
      <c r="K1035" s="11">
        <f>IF(B1035&lt;C1035,1,EXP(-1*(B1035-C1035)/(Utilities!$B$11*IterData!H1035)))</f>
        <v>5.6605829925649012E-2</v>
      </c>
    </row>
    <row r="1036" spans="1:11" x14ac:dyDescent="0.3">
      <c r="A1036">
        <v>1035</v>
      </c>
      <c r="B1036">
        <v>0.11381765218196481</v>
      </c>
      <c r="C1036">
        <v>0.16632316280853932</v>
      </c>
      <c r="D1036">
        <v>1</v>
      </c>
      <c r="E1036" s="10">
        <v>1.3283988762472115E-3</v>
      </c>
      <c r="F1036" s="10">
        <v>1.8460656084463931</v>
      </c>
      <c r="H1036">
        <v>0.50000005066516062</v>
      </c>
      <c r="I1036" s="11">
        <f t="shared" si="16"/>
        <v>-5.2505510626574506E-2</v>
      </c>
      <c r="J1036" s="11">
        <f>1/(H1036*Utilities!$B$11)</f>
        <v>7.9999991893575118</v>
      </c>
      <c r="K1036" s="11">
        <f>IF(B1036&lt;C1036,1,EXP(-1*(B1036-C1036)/(Utilities!$B$11*IterData!H1036)))</f>
        <v>1</v>
      </c>
    </row>
    <row r="1037" spans="1:11" x14ac:dyDescent="0.3">
      <c r="A1037">
        <v>1036</v>
      </c>
      <c r="B1037">
        <v>0.10911234672090049</v>
      </c>
      <c r="C1037">
        <v>0.11381765218196481</v>
      </c>
      <c r="D1037">
        <v>1</v>
      </c>
      <c r="E1037" s="10">
        <v>1.0549445250972976E-3</v>
      </c>
      <c r="F1037" s="10">
        <v>1.8775545468727239</v>
      </c>
      <c r="H1037">
        <v>0.50000004966192324</v>
      </c>
      <c r="I1037" s="11">
        <f t="shared" si="16"/>
        <v>-4.7053054610643186E-3</v>
      </c>
      <c r="J1037" s="11">
        <f>1/(H1037*Utilities!$B$11)</f>
        <v>7.9999992054093072</v>
      </c>
      <c r="K1037" s="11">
        <f>IF(B1037&lt;C1037,1,EXP(-1*(B1037-C1037)/(Utilities!$B$11*IterData!H1037)))</f>
        <v>1</v>
      </c>
    </row>
    <row r="1038" spans="1:11" x14ac:dyDescent="0.3">
      <c r="A1038">
        <v>1037</v>
      </c>
      <c r="B1038">
        <v>0.52415846333905314</v>
      </c>
      <c r="C1038">
        <v>0.10911234672090049</v>
      </c>
      <c r="D1038">
        <v>3.1961531235230968E-2</v>
      </c>
      <c r="E1038" s="10">
        <v>1.1037353452111069E-3</v>
      </c>
      <c r="F1038" s="10">
        <v>1.8618868855316779</v>
      </c>
      <c r="H1038">
        <v>0.50000004867855119</v>
      </c>
      <c r="I1038" s="11">
        <f t="shared" si="16"/>
        <v>0.41504611661815266</v>
      </c>
      <c r="J1038" s="11">
        <f>1/(H1038*Utilities!$B$11)</f>
        <v>7.9999992211432565</v>
      </c>
      <c r="K1038" s="11">
        <f>IF(B1038&lt;C1038,1,EXP(-1*(B1038-C1038)/(Utilities!$B$11*IterData!H1038)))</f>
        <v>3.6139507925963613E-2</v>
      </c>
    </row>
    <row r="1039" spans="1:11" x14ac:dyDescent="0.3">
      <c r="A1039">
        <v>1038</v>
      </c>
      <c r="B1039">
        <v>0.15657049205051823</v>
      </c>
      <c r="C1039">
        <v>0.10911234672090049</v>
      </c>
      <c r="D1039">
        <v>0.67429174798895353</v>
      </c>
      <c r="E1039" s="10">
        <v>1.1037353452111069E-3</v>
      </c>
      <c r="F1039" s="10">
        <v>1.8618868855316779</v>
      </c>
      <c r="H1039">
        <v>0.50000004771465134</v>
      </c>
      <c r="I1039" s="11">
        <f t="shared" si="16"/>
        <v>4.7458145329617743E-2</v>
      </c>
      <c r="J1039" s="11">
        <f>1/(H1039*Utilities!$B$11)</f>
        <v>7.9999992365656514</v>
      </c>
      <c r="K1039" s="11">
        <f>IF(B1039&lt;C1039,1,EXP(-1*(B1039-C1039)/(Utilities!$B$11*IterData!H1039)))</f>
        <v>0.68409045468891883</v>
      </c>
    </row>
    <row r="1040" spans="1:11" x14ac:dyDescent="0.3">
      <c r="A1040">
        <v>1039</v>
      </c>
      <c r="B1040">
        <v>0.20292198206077475</v>
      </c>
      <c r="C1040">
        <v>0.15657049205051823</v>
      </c>
      <c r="D1040">
        <v>0.68026452511965707</v>
      </c>
      <c r="E1040" s="10">
        <v>1.2021207131755389E-3</v>
      </c>
      <c r="F1040" s="10">
        <v>1.63567709497261</v>
      </c>
      <c r="H1040">
        <v>0.50000004676983789</v>
      </c>
      <c r="I1040" s="11">
        <f t="shared" si="16"/>
        <v>4.6351490010256513E-2</v>
      </c>
      <c r="J1040" s="11">
        <f>1/(H1040*Utilities!$B$11)</f>
        <v>7.9999992516826639</v>
      </c>
      <c r="K1040" s="11">
        <f>IF(B1040&lt;C1040,1,EXP(-1*(B1040-C1040)/(Utilities!$B$11*IterData!H1040)))</f>
        <v>0.69017376111139617</v>
      </c>
    </row>
    <row r="1041" spans="1:11" x14ac:dyDescent="0.3">
      <c r="A1041">
        <v>1040</v>
      </c>
      <c r="B1041">
        <v>0.15430591251864897</v>
      </c>
      <c r="C1041">
        <v>0.20292198206077475</v>
      </c>
      <c r="D1041">
        <v>1</v>
      </c>
      <c r="E1041" s="10">
        <v>9.0641817386370174E-4</v>
      </c>
      <c r="F1041" s="10">
        <v>1.6857448468955845</v>
      </c>
      <c r="H1041">
        <v>0.50000004584373314</v>
      </c>
      <c r="I1041" s="11">
        <f t="shared" si="16"/>
        <v>-4.8616069542125773E-2</v>
      </c>
      <c r="J1041" s="11">
        <f>1/(H1041*Utilities!$B$11)</f>
        <v>7.9999992665003372</v>
      </c>
      <c r="K1041" s="11">
        <f>IF(B1041&lt;C1041,1,EXP(-1*(B1041-C1041)/(Utilities!$B$11*IterData!H1041)))</f>
        <v>1</v>
      </c>
    </row>
    <row r="1042" spans="1:11" x14ac:dyDescent="0.3">
      <c r="A1042">
        <v>1041</v>
      </c>
      <c r="B1042">
        <v>0.20149878076734914</v>
      </c>
      <c r="C1042">
        <v>0.15430591251864897</v>
      </c>
      <c r="D1042">
        <v>0.67501378138354817</v>
      </c>
      <c r="E1042" s="10">
        <v>1.0765425047491136E-3</v>
      </c>
      <c r="F1042" s="10">
        <v>1.6625091539014285</v>
      </c>
      <c r="H1042">
        <v>0.50000004493596639</v>
      </c>
      <c r="I1042" s="11">
        <f t="shared" si="16"/>
        <v>4.719286824870017E-2</v>
      </c>
      <c r="J1042" s="11">
        <f>1/(H1042*Utilities!$B$11)</f>
        <v>7.9999992810246026</v>
      </c>
      <c r="K1042" s="11">
        <f>IF(B1042&lt;C1042,1,EXP(-1*(B1042-C1042)/(Utilities!$B$11*IterData!H1042)))</f>
        <v>0.68554378285776985</v>
      </c>
    </row>
    <row r="1043" spans="1:11" x14ac:dyDescent="0.3">
      <c r="A1043">
        <v>1042</v>
      </c>
      <c r="B1043">
        <v>0.2426215821063282</v>
      </c>
      <c r="C1043">
        <v>0.20149878076734914</v>
      </c>
      <c r="D1043">
        <v>0.70978040766529005</v>
      </c>
      <c r="E1043" s="10">
        <v>8.9830198454613343E-4</v>
      </c>
      <c r="F1043" s="10">
        <v>1.9735941931797321</v>
      </c>
      <c r="H1043">
        <v>0.5000000440461746</v>
      </c>
      <c r="I1043" s="11">
        <f t="shared" si="16"/>
        <v>4.1122801338979054E-2</v>
      </c>
      <c r="J1043" s="11">
        <f>1/(H1043*Utilities!$B$11)</f>
        <v>7.9999992952612686</v>
      </c>
      <c r="K1043" s="11">
        <f>IF(B1043&lt;C1043,1,EXP(-1*(B1043-C1043)/(Utilities!$B$11*IterData!H1043)))</f>
        <v>0.7196556957230178</v>
      </c>
    </row>
    <row r="1044" spans="1:11" x14ac:dyDescent="0.3">
      <c r="A1044">
        <v>1043</v>
      </c>
      <c r="B1044">
        <v>0.12288340755602166</v>
      </c>
      <c r="C1044">
        <v>0.2426215821063282</v>
      </c>
      <c r="D1044">
        <v>1</v>
      </c>
      <c r="E1044" s="10">
        <v>9.4090783373430799E-4</v>
      </c>
      <c r="F1044" s="10">
        <v>1.9819715465373444</v>
      </c>
      <c r="H1044">
        <v>0.50000004317400193</v>
      </c>
      <c r="I1044" s="11">
        <f t="shared" si="16"/>
        <v>-0.11973817455030654</v>
      </c>
      <c r="J1044" s="11">
        <f>1/(H1044*Utilities!$B$11)</f>
        <v>7.9999993092160286</v>
      </c>
      <c r="K1044" s="11">
        <f>IF(B1044&lt;C1044,1,EXP(-1*(B1044-C1044)/(Utilities!$B$11*IterData!H1044)))</f>
        <v>1</v>
      </c>
    </row>
    <row r="1045" spans="1:11" x14ac:dyDescent="0.3">
      <c r="A1045">
        <v>1044</v>
      </c>
      <c r="B1045">
        <v>2.6618930963164724E-2</v>
      </c>
      <c r="C1045">
        <v>0.12288340755602166</v>
      </c>
      <c r="D1045">
        <v>1</v>
      </c>
      <c r="E1045" s="10">
        <v>8.994094419232584E-4</v>
      </c>
      <c r="F1045" s="10">
        <v>1.9274207334652216</v>
      </c>
      <c r="H1045">
        <v>0.50000004231909945</v>
      </c>
      <c r="I1045" s="11">
        <f t="shared" si="16"/>
        <v>-9.6264476592856932E-2</v>
      </c>
      <c r="J1045" s="11">
        <f>1/(H1045*Utilities!$B$11)</f>
        <v>7.9999993228944666</v>
      </c>
      <c r="K1045" s="11">
        <f>IF(B1045&lt;C1045,1,EXP(-1*(B1045-C1045)/(Utilities!$B$11*IterData!H1045)))</f>
        <v>1</v>
      </c>
    </row>
    <row r="1046" spans="1:11" x14ac:dyDescent="0.3">
      <c r="A1046">
        <v>1045</v>
      </c>
      <c r="B1046">
        <v>2.9442832598674737E-2</v>
      </c>
      <c r="C1046">
        <v>2.6618930963164724E-2</v>
      </c>
      <c r="D1046">
        <v>0.97666866876196701</v>
      </c>
      <c r="E1046" s="10">
        <v>9.3462882967644523E-4</v>
      </c>
      <c r="F1046" s="10">
        <v>1.7986410094911398</v>
      </c>
      <c r="H1046">
        <v>0.50000004148112509</v>
      </c>
      <c r="I1046" s="11">
        <f t="shared" si="16"/>
        <v>2.8239016355100129E-3</v>
      </c>
      <c r="J1046" s="11">
        <f>1/(H1046*Utilities!$B$11)</f>
        <v>7.9999993363020536</v>
      </c>
      <c r="K1046" s="11">
        <f>IF(B1046&lt;C1046,1,EXP(-1*(B1046-C1046)/(Utilities!$B$11*IterData!H1046)))</f>
        <v>0.97766205938711714</v>
      </c>
    </row>
    <row r="1047" spans="1:11" x14ac:dyDescent="0.3">
      <c r="A1047">
        <v>1046</v>
      </c>
      <c r="B1047">
        <v>0.15126183231905954</v>
      </c>
      <c r="C1047">
        <v>2.9442832598674737E-2</v>
      </c>
      <c r="D1047">
        <v>0.36081810685201626</v>
      </c>
      <c r="E1047" s="10">
        <v>8.7470034056600678E-4</v>
      </c>
      <c r="F1047" s="10">
        <v>1.8428065806371365</v>
      </c>
      <c r="H1047">
        <v>0.50000004065974379</v>
      </c>
      <c r="I1047" s="11">
        <f t="shared" si="16"/>
        <v>0.1218189997203848</v>
      </c>
      <c r="J1047" s="11">
        <f>1/(H1047*Utilities!$B$11)</f>
        <v>7.9999993494441526</v>
      </c>
      <c r="K1047" s="11">
        <f>IF(B1047&lt;C1047,1,EXP(-1*(B1047-C1047)/(Utilities!$B$11*IterData!H1047)))</f>
        <v>0.377361404345255</v>
      </c>
    </row>
    <row r="1048" spans="1:11" x14ac:dyDescent="0.3">
      <c r="A1048">
        <v>1047</v>
      </c>
      <c r="B1048">
        <v>2.7409033838033579E-2</v>
      </c>
      <c r="C1048">
        <v>2.9442832598674737E-2</v>
      </c>
      <c r="D1048">
        <v>1</v>
      </c>
      <c r="E1048" s="10">
        <v>8.7470034056600678E-4</v>
      </c>
      <c r="F1048" s="10">
        <v>1.8428065806371365</v>
      </c>
      <c r="H1048">
        <v>0.50000003985462693</v>
      </c>
      <c r="I1048" s="11">
        <f t="shared" si="16"/>
        <v>-2.0337987606411576E-3</v>
      </c>
      <c r="J1048" s="11">
        <f>1/(H1048*Utilities!$B$11)</f>
        <v>7.9999993623260197</v>
      </c>
      <c r="K1048" s="11">
        <f>IF(B1048&lt;C1048,1,EXP(-1*(B1048-C1048)/(Utilities!$B$11*IterData!H1048)))</f>
        <v>1</v>
      </c>
    </row>
    <row r="1049" spans="1:11" x14ac:dyDescent="0.3">
      <c r="A1049">
        <v>1048</v>
      </c>
      <c r="B1049">
        <v>0.51331306089020456</v>
      </c>
      <c r="C1049">
        <v>2.7409033838033579E-2</v>
      </c>
      <c r="D1049">
        <v>1.7012293579918857E-2</v>
      </c>
      <c r="E1049" s="10">
        <v>7.5095796927292268E-4</v>
      </c>
      <c r="F1049" s="10">
        <v>1.8366141978873123</v>
      </c>
      <c r="H1049">
        <v>0.50000003906545243</v>
      </c>
      <c r="I1049" s="11">
        <f t="shared" si="16"/>
        <v>0.48590402705217101</v>
      </c>
      <c r="J1049" s="11">
        <f>1/(H1049*Utilities!$B$11)</f>
        <v>7.99999937495281</v>
      </c>
      <c r="K1049" s="11">
        <f>IF(B1049&lt;C1049,1,EXP(-1*(B1049-C1049)/(Utilities!$B$11*IterData!H1049)))</f>
        <v>2.0502018942144956E-2</v>
      </c>
    </row>
    <row r="1050" spans="1:11" x14ac:dyDescent="0.3">
      <c r="A1050">
        <v>1049</v>
      </c>
      <c r="B1050">
        <v>0.21119428236285537</v>
      </c>
      <c r="C1050">
        <v>2.7409033838033579E-2</v>
      </c>
      <c r="D1050">
        <v>0.21388309730393312</v>
      </c>
      <c r="E1050" s="10">
        <v>7.5095796927292268E-4</v>
      </c>
      <c r="F1050" s="10">
        <v>1.8366141978873123</v>
      </c>
      <c r="H1050">
        <v>0.50000003829190465</v>
      </c>
      <c r="I1050" s="11">
        <f t="shared" si="16"/>
        <v>0.18378524852482178</v>
      </c>
      <c r="J1050" s="11">
        <f>1/(H1050*Utilities!$B$11)</f>
        <v>7.9999993873295727</v>
      </c>
      <c r="K1050" s="11">
        <f>IF(B1050&lt;C1050,1,EXP(-1*(B1050-C1050)/(Utilities!$B$11*IterData!H1050)))</f>
        <v>0.22986068393628503</v>
      </c>
    </row>
    <row r="1051" spans="1:11" x14ac:dyDescent="0.3">
      <c r="A1051">
        <v>1050</v>
      </c>
      <c r="B1051">
        <v>0.2192626785292015</v>
      </c>
      <c r="C1051">
        <v>2.7409033838033579E-2</v>
      </c>
      <c r="D1051">
        <v>0.19957393806839896</v>
      </c>
      <c r="E1051" s="10">
        <v>7.5095796927292268E-4</v>
      </c>
      <c r="F1051" s="10">
        <v>1.8366141978873123</v>
      </c>
      <c r="H1051">
        <v>0.50000003753367417</v>
      </c>
      <c r="I1051" s="11">
        <f t="shared" si="16"/>
        <v>0.19185364469116792</v>
      </c>
      <c r="J1051" s="11">
        <f>1/(H1051*Utilities!$B$11)</f>
        <v>7.9999993994612586</v>
      </c>
      <c r="K1051" s="11">
        <f>IF(B1051&lt;C1051,1,EXP(-1*(B1051-C1051)/(Utilities!$B$11*IterData!H1051)))</f>
        <v>0.21549252812487432</v>
      </c>
    </row>
    <row r="1052" spans="1:11" x14ac:dyDescent="0.3">
      <c r="A1052">
        <v>1051</v>
      </c>
      <c r="B1052">
        <v>6.5561033099659854E-2</v>
      </c>
      <c r="C1052">
        <v>2.7409033838033579E-2</v>
      </c>
      <c r="D1052">
        <v>0.72558142051911412</v>
      </c>
      <c r="E1052" s="10">
        <v>7.5095796927292268E-4</v>
      </c>
      <c r="F1052" s="10">
        <v>1.8366141978873123</v>
      </c>
      <c r="H1052">
        <v>0.50000003679045757</v>
      </c>
      <c r="I1052" s="11">
        <f t="shared" si="16"/>
        <v>3.8151999261626275E-2</v>
      </c>
      <c r="J1052" s="11">
        <f>1/(H1052*Utilities!$B$11)</f>
        <v>7.9999994113527224</v>
      </c>
      <c r="K1052" s="11">
        <f>IF(B1052&lt;C1052,1,EXP(-1*(B1052-C1052)/(Utilities!$B$11*IterData!H1052)))</f>
        <v>0.73696419384116874</v>
      </c>
    </row>
    <row r="1053" spans="1:11" x14ac:dyDescent="0.3">
      <c r="A1053">
        <v>1052</v>
      </c>
      <c r="B1053">
        <v>0.12989325801589882</v>
      </c>
      <c r="C1053">
        <v>6.5561033099659854E-2</v>
      </c>
      <c r="D1053">
        <v>0.58192135697950276</v>
      </c>
      <c r="E1053" s="10">
        <v>8.9745429602269106E-4</v>
      </c>
      <c r="F1053" s="10">
        <v>1.8843664138143963</v>
      </c>
      <c r="H1053">
        <v>0.50000003606195775</v>
      </c>
      <c r="I1053" s="11">
        <f t="shared" si="16"/>
        <v>6.4332224916238967E-2</v>
      </c>
      <c r="J1053" s="11">
        <f>1/(H1053*Utilities!$B$11)</f>
        <v>7.9999994230087177</v>
      </c>
      <c r="K1053" s="11">
        <f>IF(B1053&lt;C1053,1,EXP(-1*(B1053-C1053)/(Utilities!$B$11*IterData!H1053)))</f>
        <v>0.59770511689642791</v>
      </c>
    </row>
    <row r="1054" spans="1:11" x14ac:dyDescent="0.3">
      <c r="A1054">
        <v>1053</v>
      </c>
      <c r="B1054">
        <v>0.90270595437807299</v>
      </c>
      <c r="C1054">
        <v>6.5561033099659854E-2</v>
      </c>
      <c r="D1054">
        <v>8.6558210959785319E-4</v>
      </c>
      <c r="E1054" s="10">
        <v>8.9745429602269106E-4</v>
      </c>
      <c r="F1054" s="10">
        <v>1.8843664138143963</v>
      </c>
      <c r="H1054">
        <v>0.50000003534788307</v>
      </c>
      <c r="I1054" s="11">
        <f t="shared" si="16"/>
        <v>0.83714492127841311</v>
      </c>
      <c r="J1054" s="11">
        <f>1/(H1054*Utilities!$B$11)</f>
        <v>7.9999994344339109</v>
      </c>
      <c r="K1054" s="11">
        <f>IF(B1054&lt;C1054,1,EXP(-1*(B1054-C1054)/(Utilities!$B$11*IterData!H1054)))</f>
        <v>1.2344140230473269E-3</v>
      </c>
    </row>
    <row r="1055" spans="1:11" x14ac:dyDescent="0.3">
      <c r="A1055">
        <v>1054</v>
      </c>
      <c r="B1055">
        <v>2.948800597720274E-2</v>
      </c>
      <c r="C1055">
        <v>6.5561033099659854E-2</v>
      </c>
      <c r="D1055">
        <v>1</v>
      </c>
      <c r="E1055" s="10">
        <v>8.9745429602269106E-4</v>
      </c>
      <c r="F1055" s="10">
        <v>1.8843664138143963</v>
      </c>
      <c r="H1055">
        <v>0.50000003464794807</v>
      </c>
      <c r="I1055" s="11">
        <f t="shared" si="16"/>
        <v>-3.6073027122457114E-2</v>
      </c>
      <c r="J1055" s="11">
        <f>1/(H1055*Utilities!$B$11)</f>
        <v>7.9999994456328691</v>
      </c>
      <c r="K1055" s="11">
        <f>IF(B1055&lt;C1055,1,EXP(-1*(B1055-C1055)/(Utilities!$B$11*IterData!H1055)))</f>
        <v>1</v>
      </c>
    </row>
    <row r="1056" spans="1:11" x14ac:dyDescent="0.3">
      <c r="A1056">
        <v>1055</v>
      </c>
      <c r="B1056">
        <v>0.12548208764790031</v>
      </c>
      <c r="C1056">
        <v>2.948800597720274E-2</v>
      </c>
      <c r="D1056">
        <v>0.44477355376829164</v>
      </c>
      <c r="E1056" s="10">
        <v>8.9237885145036593E-4</v>
      </c>
      <c r="F1056" s="10">
        <v>1.7952376037834215</v>
      </c>
      <c r="H1056">
        <v>0.50000003396187276</v>
      </c>
      <c r="I1056" s="11">
        <f t="shared" si="16"/>
        <v>9.5994081670697562E-2</v>
      </c>
      <c r="J1056" s="11">
        <f>1/(H1056*Utilities!$B$11)</f>
        <v>7.9999994566100732</v>
      </c>
      <c r="K1056" s="11">
        <f>IF(B1056&lt;C1056,1,EXP(-1*(B1056-C1056)/(Utilities!$B$11*IterData!H1056)))</f>
        <v>0.46396201181152075</v>
      </c>
    </row>
    <row r="1057" spans="1:11" x14ac:dyDescent="0.3">
      <c r="A1057">
        <v>1056</v>
      </c>
      <c r="B1057">
        <v>0.55542136506026363</v>
      </c>
      <c r="C1057">
        <v>0.12548208764790031</v>
      </c>
      <c r="D1057">
        <v>2.6459850409823581E-2</v>
      </c>
      <c r="E1057" s="10">
        <v>8.3915968976913658E-4</v>
      </c>
      <c r="F1057" s="10">
        <v>1.948138325129928</v>
      </c>
      <c r="H1057">
        <v>0.50000003328938269</v>
      </c>
      <c r="I1057" s="11">
        <f t="shared" si="16"/>
        <v>0.42993927741236332</v>
      </c>
      <c r="J1057" s="11">
        <f>1/(H1057*Utilities!$B$11)</f>
        <v>7.9999994673699124</v>
      </c>
      <c r="K1057" s="11">
        <f>IF(B1057&lt;C1057,1,EXP(-1*(B1057-C1057)/(Utilities!$B$11*IterData!H1057)))</f>
        <v>3.2080272863487504E-2</v>
      </c>
    </row>
    <row r="1058" spans="1:11" x14ac:dyDescent="0.3">
      <c r="A1058">
        <v>1057</v>
      </c>
      <c r="B1058">
        <v>1.5958832381212096</v>
      </c>
      <c r="C1058">
        <v>0.12548208764790031</v>
      </c>
      <c r="D1058">
        <v>3.9820598712104311E-6</v>
      </c>
      <c r="E1058" s="10">
        <v>8.3915968976913658E-4</v>
      </c>
      <c r="F1058" s="10">
        <v>1.948138325129928</v>
      </c>
      <c r="H1058">
        <v>0.50000003263020865</v>
      </c>
      <c r="I1058" s="11">
        <f t="shared" si="16"/>
        <v>1.4704011504733092</v>
      </c>
      <c r="J1058" s="11">
        <f>1/(H1058*Utilities!$B$11)</f>
        <v>7.9999994779166954</v>
      </c>
      <c r="K1058" s="11">
        <f>IF(B1058&lt;C1058,1,EXP(-1*(B1058-C1058)/(Utilities!$B$11*IterData!H1058)))</f>
        <v>7.7858043609998231E-6</v>
      </c>
    </row>
    <row r="1059" spans="1:11" x14ac:dyDescent="0.3">
      <c r="A1059">
        <v>1058</v>
      </c>
      <c r="B1059">
        <v>0.38215620559562474</v>
      </c>
      <c r="C1059">
        <v>0.12548208764790031</v>
      </c>
      <c r="D1059">
        <v>0.11389371439574449</v>
      </c>
      <c r="E1059" s="10">
        <v>8.3915968976913658E-4</v>
      </c>
      <c r="F1059" s="10">
        <v>1.948138325129928</v>
      </c>
      <c r="H1059">
        <v>0.50000003198408727</v>
      </c>
      <c r="I1059" s="11">
        <f t="shared" si="16"/>
        <v>0.25667411794772443</v>
      </c>
      <c r="J1059" s="11">
        <f>1/(H1059*Utilities!$B$11)</f>
        <v>7.9999994882546366</v>
      </c>
      <c r="K1059" s="11">
        <f>IF(B1059&lt;C1059,1,EXP(-1*(B1059-C1059)/(Utilities!$B$11*IterData!H1059)))</f>
        <v>0.12829887034022164</v>
      </c>
    </row>
    <row r="1060" spans="1:11" x14ac:dyDescent="0.3">
      <c r="A1060">
        <v>1059</v>
      </c>
      <c r="B1060">
        <v>0.40805633928887758</v>
      </c>
      <c r="C1060">
        <v>0.12548208764790031</v>
      </c>
      <c r="D1060">
        <v>9.1266734660269938E-2</v>
      </c>
      <c r="E1060" s="10">
        <v>8.3915968976913658E-4</v>
      </c>
      <c r="F1060" s="10">
        <v>1.948138325129928</v>
      </c>
      <c r="H1060">
        <v>0.50000003135075988</v>
      </c>
      <c r="I1060" s="11">
        <f t="shared" si="16"/>
        <v>0.28257425164097727</v>
      </c>
      <c r="J1060" s="11">
        <f>1/(H1060*Utilities!$B$11)</f>
        <v>7.9999994983878731</v>
      </c>
      <c r="K1060" s="11">
        <f>IF(B1060&lt;C1060,1,EXP(-1*(B1060-C1060)/(Utilities!$B$11*IterData!H1060)))</f>
        <v>0.10428853238553343</v>
      </c>
    </row>
    <row r="1061" spans="1:11" x14ac:dyDescent="0.3">
      <c r="A1061">
        <v>1060</v>
      </c>
      <c r="B1061">
        <v>2.4074640002493885E-2</v>
      </c>
      <c r="C1061">
        <v>0.12548208764790031</v>
      </c>
      <c r="D1061">
        <v>1</v>
      </c>
      <c r="E1061" s="10">
        <v>8.3915968976913658E-4</v>
      </c>
      <c r="F1061" s="10">
        <v>1.948138325129928</v>
      </c>
      <c r="H1061">
        <v>0.50000003072997323</v>
      </c>
      <c r="I1061" s="11">
        <f t="shared" si="16"/>
        <v>-0.10140744764540642</v>
      </c>
      <c r="J1061" s="11">
        <f>1/(H1061*Utilities!$B$11)</f>
        <v>7.9999995083204585</v>
      </c>
      <c r="K1061" s="11">
        <f>IF(B1061&lt;C1061,1,EXP(-1*(B1061-C1061)/(Utilities!$B$11*IterData!H1061)))</f>
        <v>1</v>
      </c>
    </row>
    <row r="1062" spans="1:11" x14ac:dyDescent="0.3">
      <c r="A1062">
        <v>1061</v>
      </c>
      <c r="B1062">
        <v>0.3323024846578686</v>
      </c>
      <c r="C1062">
        <v>2.4074640002493885E-2</v>
      </c>
      <c r="D1062">
        <v>7.3077278525707681E-2</v>
      </c>
      <c r="E1062" s="10">
        <v>7.5392033037227624E-4</v>
      </c>
      <c r="F1062" s="10">
        <v>1.8460783350804173</v>
      </c>
      <c r="H1062">
        <v>0.50000003012147909</v>
      </c>
      <c r="I1062" s="11">
        <f t="shared" si="16"/>
        <v>0.30822784465537473</v>
      </c>
      <c r="J1062" s="11">
        <f>1/(H1062*Utilities!$B$11)</f>
        <v>7.9999995180563639</v>
      </c>
      <c r="K1062" s="11">
        <f>IF(B1062&lt;C1062,1,EXP(-1*(B1062-C1062)/(Utilities!$B$11*IterData!H1062)))</f>
        <v>8.4938942113072943E-2</v>
      </c>
    </row>
    <row r="1063" spans="1:11" x14ac:dyDescent="0.3">
      <c r="A1063">
        <v>1062</v>
      </c>
      <c r="B1063">
        <v>0.11546846939718319</v>
      </c>
      <c r="C1063">
        <v>2.4074640002493885E-2</v>
      </c>
      <c r="D1063">
        <v>0.46002155647906523</v>
      </c>
      <c r="E1063" s="10">
        <v>7.5392033037227624E-4</v>
      </c>
      <c r="F1063" s="10">
        <v>1.8460783350804173</v>
      </c>
      <c r="H1063">
        <v>0.50000002952503375</v>
      </c>
      <c r="I1063" s="11">
        <f t="shared" si="16"/>
        <v>9.1393829394689305E-2</v>
      </c>
      <c r="J1063" s="11">
        <f>1/(H1063*Utilities!$B$11)</f>
        <v>7.9999995275994875</v>
      </c>
      <c r="K1063" s="11">
        <f>IF(B1063&lt;C1063,1,EXP(-1*(B1063-C1063)/(Utilities!$B$11*IterData!H1063)))</f>
        <v>0.481354828337829</v>
      </c>
    </row>
    <row r="1064" spans="1:11" x14ac:dyDescent="0.3">
      <c r="A1064">
        <v>1063</v>
      </c>
      <c r="B1064">
        <v>0.55630368322005819</v>
      </c>
      <c r="C1064">
        <v>0.11546846939718319</v>
      </c>
      <c r="D1064">
        <v>2.3544513893159636E-2</v>
      </c>
      <c r="E1064" s="10">
        <v>8.3800907305383503E-4</v>
      </c>
      <c r="F1064" s="10">
        <v>1.9419084276452809</v>
      </c>
      <c r="H1064">
        <v>0.50000002894039897</v>
      </c>
      <c r="I1064" s="11">
        <f t="shared" si="16"/>
        <v>0.44083521382287499</v>
      </c>
      <c r="J1064" s="11">
        <f>1/(H1064*Utilities!$B$11)</f>
        <v>7.9999995369536432</v>
      </c>
      <c r="K1064" s="11">
        <f>IF(B1064&lt;C1064,1,EXP(-1*(B1064-C1064)/(Utilities!$B$11*IterData!H1064)))</f>
        <v>2.9402325578513543E-2</v>
      </c>
    </row>
    <row r="1065" spans="1:11" x14ac:dyDescent="0.3">
      <c r="A1065">
        <v>1064</v>
      </c>
      <c r="B1065">
        <v>0.58543720301818802</v>
      </c>
      <c r="C1065">
        <v>0.11546846939718319</v>
      </c>
      <c r="D1065">
        <v>1.8308796828527121E-2</v>
      </c>
      <c r="E1065" s="10">
        <v>8.3800907305383503E-4</v>
      </c>
      <c r="F1065" s="10">
        <v>1.9419084276452809</v>
      </c>
      <c r="H1065">
        <v>0.5000000283673407</v>
      </c>
      <c r="I1065" s="11">
        <f t="shared" si="16"/>
        <v>0.46996873362100483</v>
      </c>
      <c r="J1065" s="11">
        <f>1/(H1065*Utilities!$B$11)</f>
        <v>7.9999995461225746</v>
      </c>
      <c r="K1065" s="11">
        <f>IF(B1065&lt;C1065,1,EXP(-1*(B1065-C1065)/(Utilities!$B$11*IterData!H1065)))</f>
        <v>2.3289570057201153E-2</v>
      </c>
    </row>
    <row r="1066" spans="1:11" x14ac:dyDescent="0.3">
      <c r="A1066">
        <v>1065</v>
      </c>
      <c r="B1066">
        <v>1.3456622036683847</v>
      </c>
      <c r="C1066">
        <v>0.11546846939718319</v>
      </c>
      <c r="D1066">
        <v>2.8057627632198976E-5</v>
      </c>
      <c r="E1066" s="10">
        <v>8.3800907305383503E-4</v>
      </c>
      <c r="F1066" s="10">
        <v>1.9419084276452809</v>
      </c>
      <c r="H1066">
        <v>0.50000002780562969</v>
      </c>
      <c r="I1066" s="11">
        <f t="shared" si="16"/>
        <v>1.2301937342712015</v>
      </c>
      <c r="J1066" s="11">
        <f>1/(H1066*Utilities!$B$11)</f>
        <v>7.9999995551099499</v>
      </c>
      <c r="K1066" s="11">
        <f>IF(B1066&lt;C1066,1,EXP(-1*(B1066-C1066)/(Utilities!$B$11*IterData!H1066)))</f>
        <v>5.3194831059719237E-5</v>
      </c>
    </row>
    <row r="1067" spans="1:11" x14ac:dyDescent="0.3">
      <c r="A1067">
        <v>1066</v>
      </c>
      <c r="B1067">
        <v>0.53679327825047041</v>
      </c>
      <c r="C1067">
        <v>0.11546846939718319</v>
      </c>
      <c r="D1067">
        <v>2.7514069855393623E-2</v>
      </c>
      <c r="E1067" s="10">
        <v>8.3800907305383503E-4</v>
      </c>
      <c r="F1067" s="10">
        <v>1.9419084276452809</v>
      </c>
      <c r="H1067">
        <v>0.50000002725504133</v>
      </c>
      <c r="I1067" s="11">
        <f t="shared" si="16"/>
        <v>0.42132480885328721</v>
      </c>
      <c r="J1067" s="11">
        <f>1/(H1067*Utilities!$B$11)</f>
        <v>7.9999995639193626</v>
      </c>
      <c r="K1067" s="11">
        <f>IF(B1067&lt;C1067,1,EXP(-1*(B1067-C1067)/(Utilities!$B$11*IterData!H1067)))</f>
        <v>3.4369068620872668E-2</v>
      </c>
    </row>
    <row r="1068" spans="1:11" x14ac:dyDescent="0.3">
      <c r="A1068">
        <v>1067</v>
      </c>
      <c r="B1068">
        <v>2.5883381963111615E-2</v>
      </c>
      <c r="C1068">
        <v>0.11546846939718319</v>
      </c>
      <c r="D1068">
        <v>1</v>
      </c>
      <c r="E1068" s="10">
        <v>8.3800907305383503E-4</v>
      </c>
      <c r="F1068" s="10">
        <v>1.9419084276452809</v>
      </c>
      <c r="H1068">
        <v>0.50000002671535537</v>
      </c>
      <c r="I1068" s="11">
        <f t="shared" si="16"/>
        <v>-8.9585087434071578E-2</v>
      </c>
      <c r="J1068" s="11">
        <f>1/(H1068*Utilities!$B$11)</f>
        <v>7.9999995725543371</v>
      </c>
      <c r="K1068" s="11">
        <f>IF(B1068&lt;C1068,1,EXP(-1*(B1068-C1068)/(Utilities!$B$11*IterData!H1068)))</f>
        <v>1</v>
      </c>
    </row>
    <row r="1069" spans="1:11" x14ac:dyDescent="0.3">
      <c r="A1069">
        <v>1068</v>
      </c>
      <c r="B1069">
        <v>0.76856451222656075</v>
      </c>
      <c r="C1069">
        <v>2.5883381963111615E-2</v>
      </c>
      <c r="D1069">
        <v>1.7546826850665994E-3</v>
      </c>
      <c r="E1069" s="10">
        <v>8.5059350503451233E-4</v>
      </c>
      <c r="F1069" s="10">
        <v>1.8394135679052106</v>
      </c>
      <c r="H1069">
        <v>0.50000002618635586</v>
      </c>
      <c r="I1069" s="11">
        <f t="shared" si="16"/>
        <v>0.74268113026344917</v>
      </c>
      <c r="J1069" s="11">
        <f>1/(H1069*Utilities!$B$11)</f>
        <v>7.9999995810183284</v>
      </c>
      <c r="K1069" s="11">
        <f>IF(B1069&lt;C1069,1,EXP(-1*(B1069-C1069)/(Utilities!$B$11*IterData!H1069)))</f>
        <v>2.6282193089751708E-3</v>
      </c>
    </row>
    <row r="1070" spans="1:11" x14ac:dyDescent="0.3">
      <c r="A1070">
        <v>1069</v>
      </c>
      <c r="B1070">
        <v>0.18460614098623895</v>
      </c>
      <c r="C1070">
        <v>2.5883381963111615E-2</v>
      </c>
      <c r="D1070">
        <v>0.25732974410971604</v>
      </c>
      <c r="E1070" s="10">
        <v>8.5059350503451233E-4</v>
      </c>
      <c r="F1070" s="10">
        <v>1.8394135679052106</v>
      </c>
      <c r="H1070">
        <v>0.5000000256678313</v>
      </c>
      <c r="I1070" s="11">
        <f t="shared" si="16"/>
        <v>0.15872275902312732</v>
      </c>
      <c r="J1070" s="11">
        <f>1/(H1070*Utilities!$B$11)</f>
        <v>7.9999995893147204</v>
      </c>
      <c r="K1070" s="11">
        <f>IF(B1070&lt;C1070,1,EXP(-1*(B1070-C1070)/(Utilities!$B$11*IterData!H1070)))</f>
        <v>0.28089284777930651</v>
      </c>
    </row>
    <row r="1071" spans="1:11" x14ac:dyDescent="0.3">
      <c r="A1071">
        <v>1070</v>
      </c>
      <c r="B1071">
        <v>1.5194848767633951</v>
      </c>
      <c r="C1071">
        <v>2.5883381963111615E-2</v>
      </c>
      <c r="D1071">
        <v>2.8018569836880658E-6</v>
      </c>
      <c r="E1071" s="10">
        <v>8.5059350503451233E-4</v>
      </c>
      <c r="F1071" s="10">
        <v>1.8394135679052106</v>
      </c>
      <c r="H1071">
        <v>0.5000000251595742</v>
      </c>
      <c r="I1071" s="11">
        <f t="shared" si="16"/>
        <v>1.4936014948002834</v>
      </c>
      <c r="J1071" s="11">
        <f>1/(H1071*Utilities!$B$11)</f>
        <v>7.9999995974468332</v>
      </c>
      <c r="K1071" s="11">
        <f>IF(B1071&lt;C1071,1,EXP(-1*(B1071-C1071)/(Utilities!$B$11*IterData!H1071)))</f>
        <v>6.4669151428562944E-6</v>
      </c>
    </row>
    <row r="1072" spans="1:11" x14ac:dyDescent="0.3">
      <c r="A1072">
        <v>1071</v>
      </c>
      <c r="B1072">
        <v>0.12462095788714585</v>
      </c>
      <c r="C1072">
        <v>2.5883381963111615E-2</v>
      </c>
      <c r="D1072">
        <v>0.42913509245782883</v>
      </c>
      <c r="E1072" s="10">
        <v>8.5059350503451233E-4</v>
      </c>
      <c r="F1072" s="10">
        <v>1.8394135679052106</v>
      </c>
      <c r="H1072">
        <v>0.50000002466138127</v>
      </c>
      <c r="I1072" s="11">
        <f t="shared" si="16"/>
        <v>9.8737575924034232E-2</v>
      </c>
      <c r="J1072" s="11">
        <f>1/(H1072*Utilities!$B$11)</f>
        <v>7.9999996054179192</v>
      </c>
      <c r="K1072" s="11">
        <f>IF(B1072&lt;C1072,1,EXP(-1*(B1072-C1072)/(Utilities!$B$11*IterData!H1072)))</f>
        <v>0.45388992402546424</v>
      </c>
    </row>
    <row r="1073" spans="1:11" x14ac:dyDescent="0.3">
      <c r="A1073">
        <v>1072</v>
      </c>
      <c r="B1073">
        <v>0.31004983554900156</v>
      </c>
      <c r="C1073">
        <v>2.5883381963111615E-2</v>
      </c>
      <c r="D1073">
        <v>8.7421731056784413E-2</v>
      </c>
      <c r="E1073" s="10">
        <v>8.5059350503451233E-4</v>
      </c>
      <c r="F1073" s="10">
        <v>1.8394135679052106</v>
      </c>
      <c r="H1073">
        <v>0.50000002417305311</v>
      </c>
      <c r="I1073" s="11">
        <f t="shared" si="16"/>
        <v>0.28416645358588993</v>
      </c>
      <c r="J1073" s="11">
        <f>1/(H1073*Utilities!$B$11)</f>
        <v>7.9999996132311688</v>
      </c>
      <c r="K1073" s="11">
        <f>IF(B1073&lt;C1073,1,EXP(-1*(B1073-C1073)/(Utilities!$B$11*IterData!H1073)))</f>
        <v>0.10296856631059279</v>
      </c>
    </row>
    <row r="1074" spans="1:11" x14ac:dyDescent="0.3">
      <c r="A1074">
        <v>1073</v>
      </c>
      <c r="B1074">
        <v>0.52977967470171961</v>
      </c>
      <c r="C1074">
        <v>2.5883381963111615E-2</v>
      </c>
      <c r="D1074">
        <v>1.322765491206708E-2</v>
      </c>
      <c r="E1074" s="10">
        <v>8.5059350503451233E-4</v>
      </c>
      <c r="F1074" s="10">
        <v>1.8394135679052106</v>
      </c>
      <c r="H1074">
        <v>0.50000002369439467</v>
      </c>
      <c r="I1074" s="11">
        <f t="shared" si="16"/>
        <v>0.50389629273860803</v>
      </c>
      <c r="J1074" s="11">
        <f>1/(H1074*Utilities!$B$11)</f>
        <v>7.9999996208897031</v>
      </c>
      <c r="K1074" s="11">
        <f>IF(B1074&lt;C1074,1,EXP(-1*(B1074-C1074)/(Utilities!$B$11*IterData!H1074)))</f>
        <v>1.7753543469916262E-2</v>
      </c>
    </row>
    <row r="1075" spans="1:11" x14ac:dyDescent="0.3">
      <c r="A1075">
        <v>1074</v>
      </c>
      <c r="B1075">
        <v>0.37231311690917174</v>
      </c>
      <c r="C1075">
        <v>2.5883381963111615E-2</v>
      </c>
      <c r="D1075">
        <v>5.096968960559551E-2</v>
      </c>
      <c r="E1075" s="10">
        <v>8.5059350503451233E-4</v>
      </c>
      <c r="F1075" s="10">
        <v>1.8394135679052106</v>
      </c>
      <c r="H1075">
        <v>0.5000000232252142</v>
      </c>
      <c r="I1075" s="11">
        <f t="shared" si="16"/>
        <v>0.34642973494606011</v>
      </c>
      <c r="J1075" s="11">
        <f>1/(H1075*Utilities!$B$11)</f>
        <v>7.9999996283965897</v>
      </c>
      <c r="K1075" s="11">
        <f>IF(B1075&lt;C1075,1,EXP(-1*(B1075-C1075)/(Utilities!$B$11*IterData!H1075)))</f>
        <v>6.2571977126722161E-2</v>
      </c>
    </row>
    <row r="1076" spans="1:11" x14ac:dyDescent="0.3">
      <c r="A1076">
        <v>1075</v>
      </c>
      <c r="B1076">
        <v>2.5138567628272358E-2</v>
      </c>
      <c r="C1076">
        <v>0.37231311690917174</v>
      </c>
      <c r="D1076">
        <v>1</v>
      </c>
      <c r="E1076" s="10">
        <v>7.9003724549843901E-4</v>
      </c>
      <c r="F1076" s="10">
        <v>1.6728764046837086</v>
      </c>
      <c r="H1076">
        <v>0.50000002276532407</v>
      </c>
      <c r="I1076" s="11">
        <f t="shared" si="16"/>
        <v>-0.34717454928089936</v>
      </c>
      <c r="J1076" s="11">
        <f>1/(H1076*Utilities!$B$11)</f>
        <v>7.9999996357548318</v>
      </c>
      <c r="K1076" s="11">
        <f>IF(B1076&lt;C1076,1,EXP(-1*(B1076-C1076)/(Utilities!$B$11*IterData!H1076)))</f>
        <v>1</v>
      </c>
    </row>
    <row r="1077" spans="1:11" x14ac:dyDescent="0.3">
      <c r="A1077">
        <v>1076</v>
      </c>
      <c r="B1077">
        <v>9.7716666153092588E-2</v>
      </c>
      <c r="C1077">
        <v>2.5138567628272358E-2</v>
      </c>
      <c r="D1077">
        <v>0.53539405906127957</v>
      </c>
      <c r="E1077" s="10">
        <v>8.62282481188956E-4</v>
      </c>
      <c r="F1077" s="10">
        <v>1.8195301837808426</v>
      </c>
      <c r="H1077">
        <v>0.50000002231454055</v>
      </c>
      <c r="I1077" s="11">
        <f t="shared" si="16"/>
        <v>7.2578098524820223E-2</v>
      </c>
      <c r="J1077" s="11">
        <f>1/(H1077*Utilities!$B$11)</f>
        <v>7.9999996429673672</v>
      </c>
      <c r="K1077" s="11">
        <f>IF(B1077&lt;C1077,1,EXP(-1*(B1077-C1077)/(Utilities!$B$11*IterData!H1077)))</f>
        <v>0.55954867243131201</v>
      </c>
    </row>
    <row r="1078" spans="1:11" x14ac:dyDescent="0.3">
      <c r="A1078">
        <v>1077</v>
      </c>
      <c r="B1078">
        <v>1.9307235533163609</v>
      </c>
      <c r="C1078">
        <v>2.5138567628272358E-2</v>
      </c>
      <c r="D1078">
        <v>7.4050427845710165E-8</v>
      </c>
      <c r="E1078" s="10">
        <v>8.62282481188956E-4</v>
      </c>
      <c r="F1078" s="10">
        <v>1.8195301837808426</v>
      </c>
      <c r="H1078">
        <v>0.500000021872683</v>
      </c>
      <c r="I1078" s="11">
        <f t="shared" si="16"/>
        <v>1.9055849856880887</v>
      </c>
      <c r="J1078" s="11">
        <f>1/(H1078*Utilities!$B$11)</f>
        <v>7.9999996500370871</v>
      </c>
      <c r="K1078" s="11">
        <f>IF(B1078&lt;C1078,1,EXP(-1*(B1078-C1078)/(Utilities!$B$11*IterData!H1078)))</f>
        <v>2.3950795188522189E-7</v>
      </c>
    </row>
    <row r="1079" spans="1:11" x14ac:dyDescent="0.3">
      <c r="A1079">
        <v>1078</v>
      </c>
      <c r="B1079">
        <v>2.9905947673772654E-2</v>
      </c>
      <c r="C1079">
        <v>2.5138567628272358E-2</v>
      </c>
      <c r="D1079">
        <v>0.95971982723165328</v>
      </c>
      <c r="E1079" s="10">
        <v>8.62282481188956E-4</v>
      </c>
      <c r="F1079" s="10">
        <v>1.8195301837808426</v>
      </c>
      <c r="H1079">
        <v>0.50000002143957489</v>
      </c>
      <c r="I1079" s="11">
        <f t="shared" si="16"/>
        <v>4.7673800455002961E-3</v>
      </c>
      <c r="J1079" s="11">
        <f>1/(H1079*Utilities!$B$11)</f>
        <v>7.9999996569668168</v>
      </c>
      <c r="K1079" s="11">
        <f>IF(B1079&lt;C1079,1,EXP(-1*(B1079-C1079)/(Utilities!$B$11*IterData!H1079)))</f>
        <v>0.96257909581290002</v>
      </c>
    </row>
    <row r="1080" spans="1:11" x14ac:dyDescent="0.3">
      <c r="A1080">
        <v>1079</v>
      </c>
      <c r="B1080">
        <v>9.374365214375982E-2</v>
      </c>
      <c r="C1080">
        <v>2.5138567628272358E-2</v>
      </c>
      <c r="D1080">
        <v>0.55310962254913543</v>
      </c>
      <c r="E1080" s="10">
        <v>8.62282481188956E-4</v>
      </c>
      <c r="F1080" s="10">
        <v>1.8195301837808426</v>
      </c>
      <c r="H1080">
        <v>0.50000002101504282</v>
      </c>
      <c r="I1080" s="11">
        <f t="shared" si="16"/>
        <v>6.8605084515487469E-2</v>
      </c>
      <c r="J1080" s="11">
        <f>1/(H1080*Utilities!$B$11)</f>
        <v>7.9999996637593291</v>
      </c>
      <c r="K1080" s="11">
        <f>IF(B1080&lt;C1080,1,EXP(-1*(B1080-C1080)/(Utilities!$B$11*IterData!H1080)))</f>
        <v>0.57761908326471967</v>
      </c>
    </row>
    <row r="1081" spans="1:11" x14ac:dyDescent="0.3">
      <c r="A1081">
        <v>1080</v>
      </c>
      <c r="B1081">
        <v>0.14203735923479976</v>
      </c>
      <c r="C1081">
        <v>9.374365214375982E-2</v>
      </c>
      <c r="D1081">
        <v>0.65885117006224181</v>
      </c>
      <c r="E1081" s="10">
        <v>6.9836775902812928E-4</v>
      </c>
      <c r="F1081" s="10">
        <v>1.9763808918493693</v>
      </c>
      <c r="H1081">
        <v>0.50000002059891713</v>
      </c>
      <c r="I1081" s="11">
        <f t="shared" si="16"/>
        <v>4.8293707091039945E-2</v>
      </c>
      <c r="J1081" s="11">
        <f>1/(H1081*Utilities!$B$11)</f>
        <v>7.9999996704173393</v>
      </c>
      <c r="K1081" s="11">
        <f>IF(B1081&lt;C1081,1,EXP(-1*(B1081-C1081)/(Utilities!$B$11*IterData!H1081)))</f>
        <v>0.679532891707742</v>
      </c>
    </row>
    <row r="1082" spans="1:11" x14ac:dyDescent="0.3">
      <c r="A1082">
        <v>1081</v>
      </c>
      <c r="B1082">
        <v>0.3303317186396485</v>
      </c>
      <c r="C1082">
        <v>0.14203735923479976</v>
      </c>
      <c r="D1082">
        <v>0.19624928721018833</v>
      </c>
      <c r="E1082" s="10">
        <v>8.9851068901485183E-4</v>
      </c>
      <c r="F1082" s="10">
        <v>1.7101101711253326</v>
      </c>
      <c r="H1082">
        <v>0.50000002019103118</v>
      </c>
      <c r="I1082" s="11">
        <f t="shared" si="16"/>
        <v>0.18829435940484873</v>
      </c>
      <c r="J1082" s="11">
        <f>1/(H1082*Utilities!$B$11)</f>
        <v>7.9999996769435144</v>
      </c>
      <c r="K1082" s="11">
        <f>IF(B1082&lt;C1082,1,EXP(-1*(B1082-C1082)/(Utilities!$B$11*IterData!H1082)))</f>
        <v>0.2217167052700374</v>
      </c>
    </row>
    <row r="1083" spans="1:11" x14ac:dyDescent="0.3">
      <c r="A1083">
        <v>1082</v>
      </c>
      <c r="B1083">
        <v>2.0738747561799501E-2</v>
      </c>
      <c r="C1083">
        <v>0.14203735923479976</v>
      </c>
      <c r="D1083">
        <v>1</v>
      </c>
      <c r="E1083" s="10">
        <v>8.9851068901485183E-4</v>
      </c>
      <c r="F1083" s="10">
        <v>1.7101101711253326</v>
      </c>
      <c r="H1083">
        <v>0.50000001979122199</v>
      </c>
      <c r="I1083" s="11">
        <f t="shared" si="16"/>
        <v>-0.12129861167300027</v>
      </c>
      <c r="J1083" s="11">
        <f>1/(H1083*Utilities!$B$11)</f>
        <v>7.9999996833404605</v>
      </c>
      <c r="K1083" s="11">
        <f>IF(B1083&lt;C1083,1,EXP(-1*(B1083-C1083)/(Utilities!$B$11*IterData!H1083)))</f>
        <v>1</v>
      </c>
    </row>
    <row r="1084" spans="1:11" x14ac:dyDescent="0.3">
      <c r="A1084">
        <v>1083</v>
      </c>
      <c r="B1084">
        <v>0.5834662493732885</v>
      </c>
      <c r="C1084">
        <v>2.0738747561799501E-2</v>
      </c>
      <c r="D1084">
        <v>7.6314998021616868E-3</v>
      </c>
      <c r="E1084" s="10">
        <v>6.3485794708441747E-4</v>
      </c>
      <c r="F1084" s="10">
        <v>1.8937372861288584</v>
      </c>
      <c r="H1084">
        <v>0.50000001939932959</v>
      </c>
      <c r="I1084" s="11">
        <f t="shared" si="16"/>
        <v>0.56272750181148901</v>
      </c>
      <c r="J1084" s="11">
        <f>1/(H1084*Utilities!$B$11)</f>
        <v>7.999999689610739</v>
      </c>
      <c r="K1084" s="11">
        <f>IF(B1084&lt;C1084,1,EXP(-1*(B1084-C1084)/(Utilities!$B$11*IterData!H1084)))</f>
        <v>1.1088798328228157E-2</v>
      </c>
    </row>
    <row r="1085" spans="1:11" x14ac:dyDescent="0.3">
      <c r="A1085">
        <v>1084</v>
      </c>
      <c r="B1085">
        <v>0.70226830205304547</v>
      </c>
      <c r="C1085">
        <v>2.0738747561799501E-2</v>
      </c>
      <c r="D1085">
        <v>2.7115792309251475E-3</v>
      </c>
      <c r="E1085" s="10">
        <v>6.3485794708441747E-4</v>
      </c>
      <c r="F1085" s="10">
        <v>1.8937372861288584</v>
      </c>
      <c r="H1085">
        <v>0.50000001901519708</v>
      </c>
      <c r="I1085" s="11">
        <f t="shared" si="16"/>
        <v>0.68152955449124597</v>
      </c>
      <c r="J1085" s="11">
        <f>1/(H1085*Utilities!$B$11)</f>
        <v>7.9999996957568582</v>
      </c>
      <c r="K1085" s="11">
        <f>IF(B1085&lt;C1085,1,EXP(-1*(B1085-C1085)/(Utilities!$B$11*IterData!H1085)))</f>
        <v>4.2867079057193223E-3</v>
      </c>
    </row>
    <row r="1086" spans="1:11" x14ac:dyDescent="0.3">
      <c r="A1086">
        <v>1085</v>
      </c>
      <c r="B1086">
        <v>0.19721822719117141</v>
      </c>
      <c r="C1086">
        <v>2.0738747561799501E-2</v>
      </c>
      <c r="D1086">
        <v>0.21613721333081481</v>
      </c>
      <c r="E1086" s="10">
        <v>6.3485794708441747E-4</v>
      </c>
      <c r="F1086" s="10">
        <v>1.8937372861288584</v>
      </c>
      <c r="H1086">
        <v>0.50000001863867094</v>
      </c>
      <c r="I1086" s="11">
        <f t="shared" si="16"/>
        <v>0.17647947962937191</v>
      </c>
      <c r="J1086" s="11">
        <f>1/(H1086*Utilities!$B$11)</f>
        <v>7.9999997017812765</v>
      </c>
      <c r="K1086" s="11">
        <f>IF(B1086&lt;C1086,1,EXP(-1*(B1086-C1086)/(Utilities!$B$11*IterData!H1086)))</f>
        <v>0.24369549986406505</v>
      </c>
    </row>
    <row r="1087" spans="1:11" x14ac:dyDescent="0.3">
      <c r="A1087">
        <v>1086</v>
      </c>
      <c r="B1087">
        <v>0.30912929979450138</v>
      </c>
      <c r="C1087">
        <v>2.0738747561799501E-2</v>
      </c>
      <c r="D1087">
        <v>8.1631747820802333E-2</v>
      </c>
      <c r="E1087" s="10">
        <v>6.3485794708441747E-4</v>
      </c>
      <c r="F1087" s="10">
        <v>1.8937372861288584</v>
      </c>
      <c r="H1087">
        <v>0.5000000182696005</v>
      </c>
      <c r="I1087" s="11">
        <f t="shared" si="16"/>
        <v>0.28839055223270188</v>
      </c>
      <c r="J1087" s="11">
        <f>1/(H1087*Utilities!$B$11)</f>
        <v>7.9999997076864027</v>
      </c>
      <c r="K1087" s="11">
        <f>IF(B1087&lt;C1087,1,EXP(-1*(B1087-C1087)/(Utilities!$B$11*IterData!H1087)))</f>
        <v>9.9547104621476187E-2</v>
      </c>
    </row>
    <row r="1088" spans="1:11" x14ac:dyDescent="0.3">
      <c r="A1088">
        <v>1087</v>
      </c>
      <c r="B1088">
        <v>0.11912101805779522</v>
      </c>
      <c r="C1088">
        <v>2.0738747561799501E-2</v>
      </c>
      <c r="D1088">
        <v>0.42505691830911679</v>
      </c>
      <c r="E1088" s="10">
        <v>6.3485794708441747E-4</v>
      </c>
      <c r="F1088" s="10">
        <v>1.8937372861288584</v>
      </c>
      <c r="H1088">
        <v>0.50000001790783821</v>
      </c>
      <c r="I1088" s="11">
        <f t="shared" si="16"/>
        <v>9.8382270495995724E-2</v>
      </c>
      <c r="J1088" s="11">
        <f>1/(H1088*Utilities!$B$11)</f>
        <v>7.9999997134745993</v>
      </c>
      <c r="K1088" s="11">
        <f>IF(B1088&lt;C1088,1,EXP(-1*(B1088-C1088)/(Utilities!$B$11*IterData!H1088)))</f>
        <v>0.45518191088944437</v>
      </c>
    </row>
    <row r="1089" spans="1:11" x14ac:dyDescent="0.3">
      <c r="A1089">
        <v>1088</v>
      </c>
      <c r="B1089">
        <v>1.255919545262409</v>
      </c>
      <c r="C1089">
        <v>0.11912101805779522</v>
      </c>
      <c r="D1089">
        <v>5.0441614784086737E-5</v>
      </c>
      <c r="E1089" s="10">
        <v>6.93884476086574E-4</v>
      </c>
      <c r="F1089" s="10">
        <v>1.781472720089732</v>
      </c>
      <c r="H1089">
        <v>0.50000001755323931</v>
      </c>
      <c r="I1089" s="11">
        <f t="shared" si="16"/>
        <v>1.1367985272046137</v>
      </c>
      <c r="J1089" s="11">
        <f>1/(H1089*Utilities!$B$11)</f>
        <v>7.9999997191481809</v>
      </c>
      <c r="K1089" s="11">
        <f>IF(B1089&lt;C1089,1,EXP(-1*(B1089-C1089)/(Utilities!$B$11*IterData!H1089)))</f>
        <v>1.1229425014630916E-4</v>
      </c>
    </row>
    <row r="1090" spans="1:11" x14ac:dyDescent="0.3">
      <c r="A1090">
        <v>1089</v>
      </c>
      <c r="B1090">
        <v>0.13461987578799342</v>
      </c>
      <c r="C1090">
        <v>0.11912101805779522</v>
      </c>
      <c r="D1090">
        <v>0.87369315701533323</v>
      </c>
      <c r="E1090" s="10">
        <v>6.93884476086574E-4</v>
      </c>
      <c r="F1090" s="10">
        <v>1.781472720089732</v>
      </c>
      <c r="H1090">
        <v>0.5000000172056619</v>
      </c>
      <c r="I1090" s="11">
        <f t="shared" si="16"/>
        <v>1.5498857730198198E-2</v>
      </c>
      <c r="J1090" s="11">
        <f>1/(H1090*Utilities!$B$11)</f>
        <v>7.9999997247094194</v>
      </c>
      <c r="K1090" s="11">
        <f>IF(B1090&lt;C1090,1,EXP(-1*(B1090-C1090)/(Utilities!$B$11*IterData!H1090)))</f>
        <v>0.8833879171537028</v>
      </c>
    </row>
    <row r="1091" spans="1:11" x14ac:dyDescent="0.3">
      <c r="A1091">
        <v>1090</v>
      </c>
      <c r="B1091">
        <v>4.316791470399841E-2</v>
      </c>
      <c r="C1091">
        <v>0.13461987578799342</v>
      </c>
      <c r="D1091">
        <v>1</v>
      </c>
      <c r="E1091" s="10">
        <v>5.5403799544019117E-4</v>
      </c>
      <c r="F1091" s="10">
        <v>1.8281687884812237</v>
      </c>
      <c r="H1091">
        <v>0.50000001686496687</v>
      </c>
      <c r="I1091" s="11">
        <f t="shared" ref="I1091:I1154" si="17">B1091-C1091</f>
        <v>-9.1451961083995004E-2</v>
      </c>
      <c r="J1091" s="11">
        <f>1/(H1091*Utilities!$B$11)</f>
        <v>7.999999730160539</v>
      </c>
      <c r="K1091" s="11">
        <f>IF(B1091&lt;C1091,1,EXP(-1*(B1091-C1091)/(Utilities!$B$11*IterData!H1091)))</f>
        <v>1</v>
      </c>
    </row>
    <row r="1092" spans="1:11" x14ac:dyDescent="0.3">
      <c r="A1092">
        <v>1091</v>
      </c>
      <c r="B1092">
        <v>1.5798955082262056</v>
      </c>
      <c r="C1092">
        <v>4.316791470399841E-2</v>
      </c>
      <c r="D1092">
        <v>1.4962359162523913E-6</v>
      </c>
      <c r="E1092" s="10">
        <v>7.0199976054273786E-4</v>
      </c>
      <c r="F1092" s="10">
        <v>1.9281377313449704</v>
      </c>
      <c r="H1092">
        <v>0.50000001653101822</v>
      </c>
      <c r="I1092" s="11">
        <f t="shared" si="17"/>
        <v>1.5367275935222071</v>
      </c>
      <c r="J1092" s="11">
        <f>1/(H1092*Utilities!$B$11)</f>
        <v>7.9999997355037173</v>
      </c>
      <c r="K1092" s="11">
        <f>IF(B1092&lt;C1092,1,EXP(-1*(B1092-C1092)/(Utilities!$B$11*IterData!H1092)))</f>
        <v>4.579959779162821E-6</v>
      </c>
    </row>
    <row r="1093" spans="1:11" x14ac:dyDescent="0.3">
      <c r="A1093">
        <v>1092</v>
      </c>
      <c r="B1093">
        <v>0.36034737868196448</v>
      </c>
      <c r="C1093">
        <v>4.316791470399841E-2</v>
      </c>
      <c r="D1093">
        <v>6.2606904745195438E-2</v>
      </c>
      <c r="E1093" s="10">
        <v>7.0199976054273786E-4</v>
      </c>
      <c r="F1093" s="10">
        <v>1.9281377313449704</v>
      </c>
      <c r="H1093">
        <v>0.50000001620368206</v>
      </c>
      <c r="I1093" s="11">
        <f t="shared" si="17"/>
        <v>0.31717946397796609</v>
      </c>
      <c r="J1093" s="11">
        <f>1/(H1093*Utilities!$B$11)</f>
        <v>7.999999740741095</v>
      </c>
      <c r="K1093" s="11">
        <f>IF(B1093&lt;C1093,1,EXP(-1*(B1093-C1093)/(Utilities!$B$11*IterData!H1093)))</f>
        <v>7.9068901986822065E-2</v>
      </c>
    </row>
    <row r="1094" spans="1:11" x14ac:dyDescent="0.3">
      <c r="A1094">
        <v>1093</v>
      </c>
      <c r="B1094">
        <v>1.8386846284966223</v>
      </c>
      <c r="C1094">
        <v>0.36034737868196448</v>
      </c>
      <c r="D1094">
        <v>2.432525592778943E-6</v>
      </c>
      <c r="E1094" s="10">
        <v>7.5291837178727565E-4</v>
      </c>
      <c r="F1094" s="10">
        <v>1.6869101543654921</v>
      </c>
      <c r="H1094">
        <v>0.50000001588282772</v>
      </c>
      <c r="I1094" s="11">
        <f t="shared" si="17"/>
        <v>1.4783372498146579</v>
      </c>
      <c r="J1094" s="11">
        <f>1/(H1094*Utilities!$B$11)</f>
        <v>7.9999997458747645</v>
      </c>
      <c r="K1094" s="11">
        <f>IF(B1094&lt;C1094,1,EXP(-1*(B1094-C1094)/(Utilities!$B$11*IterData!H1094)))</f>
        <v>7.3068549013782596E-6</v>
      </c>
    </row>
    <row r="1095" spans="1:11" x14ac:dyDescent="0.3">
      <c r="A1095">
        <v>1094</v>
      </c>
      <c r="B1095">
        <v>0.94099347581424309</v>
      </c>
      <c r="C1095">
        <v>0.36034737868196448</v>
      </c>
      <c r="D1095">
        <v>6.2086333242280184E-3</v>
      </c>
      <c r="E1095" s="10">
        <v>7.5291837178727565E-4</v>
      </c>
      <c r="F1095" s="10">
        <v>1.6869101543654921</v>
      </c>
      <c r="H1095">
        <v>0.50000001556832663</v>
      </c>
      <c r="I1095" s="11">
        <f t="shared" si="17"/>
        <v>0.58064609713227866</v>
      </c>
      <c r="J1095" s="11">
        <f>1/(H1095*Utilities!$B$11)</f>
        <v>7.9999997509067819</v>
      </c>
      <c r="K1095" s="11">
        <f>IF(B1095&lt;C1095,1,EXP(-1*(B1095-C1095)/(Utilities!$B$11*IterData!H1095)))</f>
        <v>9.6079093180220024E-3</v>
      </c>
    </row>
    <row r="1096" spans="1:11" x14ac:dyDescent="0.3">
      <c r="A1096">
        <v>1095</v>
      </c>
      <c r="B1096">
        <v>1.9970953546263184E-2</v>
      </c>
      <c r="C1096">
        <v>0.36034737868196448</v>
      </c>
      <c r="D1096">
        <v>1</v>
      </c>
      <c r="E1096" s="10">
        <v>7.5291837178727565E-4</v>
      </c>
      <c r="F1096" s="10">
        <v>1.6869101543654921</v>
      </c>
      <c r="H1096">
        <v>0.50000001526005311</v>
      </c>
      <c r="I1096" s="11">
        <f t="shared" si="17"/>
        <v>-0.34037642513570132</v>
      </c>
      <c r="J1096" s="11">
        <f>1/(H1096*Utilities!$B$11)</f>
        <v>7.9999997558391573</v>
      </c>
      <c r="K1096" s="11">
        <f>IF(B1096&lt;C1096,1,EXP(-1*(B1096-C1096)/(Utilities!$B$11*IterData!H1096)))</f>
        <v>1</v>
      </c>
    </row>
    <row r="1097" spans="1:11" x14ac:dyDescent="0.3">
      <c r="A1097">
        <v>1096</v>
      </c>
      <c r="B1097">
        <v>0.41256897238379647</v>
      </c>
      <c r="C1097">
        <v>1.9970953546263184E-2</v>
      </c>
      <c r="D1097">
        <v>3.1991042853641335E-2</v>
      </c>
      <c r="E1097" s="10">
        <v>5.2367990471882577E-4</v>
      </c>
      <c r="F1097" s="10">
        <v>1.9342274569785807</v>
      </c>
      <c r="H1097">
        <v>0.50000001495788382</v>
      </c>
      <c r="I1097" s="11">
        <f t="shared" si="17"/>
        <v>0.39259801883753331</v>
      </c>
      <c r="J1097" s="11">
        <f>1/(H1097*Utilities!$B$11)</f>
        <v>7.999999760673866</v>
      </c>
      <c r="K1097" s="11">
        <f>IF(B1097&lt;C1097,1,EXP(-1*(B1097-C1097)/(Utilities!$B$11*IterData!H1097)))</f>
        <v>4.324887503295341E-2</v>
      </c>
    </row>
    <row r="1098" spans="1:11" x14ac:dyDescent="0.3">
      <c r="A1098">
        <v>1097</v>
      </c>
      <c r="B1098">
        <v>0.65055973863241268</v>
      </c>
      <c r="C1098">
        <v>1.9970953546263184E-2</v>
      </c>
      <c r="D1098">
        <v>3.9499711036046301E-3</v>
      </c>
      <c r="E1098" s="10">
        <v>5.2367990471882577E-4</v>
      </c>
      <c r="F1098" s="10">
        <v>1.9342274569785807</v>
      </c>
      <c r="H1098">
        <v>0.50000001466169786</v>
      </c>
      <c r="I1098" s="11">
        <f t="shared" si="17"/>
        <v>0.63058878508614946</v>
      </c>
      <c r="J1098" s="11">
        <f>1/(H1098*Utilities!$B$11)</f>
        <v>7.9999997654128414</v>
      </c>
      <c r="K1098" s="11">
        <f>IF(B1098&lt;C1098,1,EXP(-1*(B1098-C1098)/(Utilities!$B$11*IterData!H1098)))</f>
        <v>6.4433278028219526E-3</v>
      </c>
    </row>
    <row r="1099" spans="1:11" x14ac:dyDescent="0.3">
      <c r="A1099">
        <v>1098</v>
      </c>
      <c r="B1099">
        <v>0.3359954233951622</v>
      </c>
      <c r="C1099">
        <v>1.9970953546263184E-2</v>
      </c>
      <c r="D1099">
        <v>6.2289720714195612E-2</v>
      </c>
      <c r="E1099" s="10">
        <v>5.2367990471882577E-4</v>
      </c>
      <c r="F1099" s="10">
        <v>1.9342274569785807</v>
      </c>
      <c r="H1099">
        <v>0.50000001437137676</v>
      </c>
      <c r="I1099" s="11">
        <f t="shared" si="17"/>
        <v>0.31602446984889904</v>
      </c>
      <c r="J1099" s="11">
        <f>1/(H1099*Utilities!$B$11)</f>
        <v>7.9999997700579781</v>
      </c>
      <c r="K1099" s="11">
        <f>IF(B1099&lt;C1099,1,EXP(-1*(B1099-C1099)/(Utilities!$B$11*IterData!H1099)))</f>
        <v>7.980287990648377E-2</v>
      </c>
    </row>
    <row r="1100" spans="1:11" x14ac:dyDescent="0.3">
      <c r="A1100">
        <v>1099</v>
      </c>
      <c r="B1100">
        <v>0.39653080790297662</v>
      </c>
      <c r="C1100">
        <v>1.9970953546263184E-2</v>
      </c>
      <c r="D1100">
        <v>3.6490105175436285E-2</v>
      </c>
      <c r="E1100" s="10">
        <v>5.2367990471882577E-4</v>
      </c>
      <c r="F1100" s="10">
        <v>1.9342274569785807</v>
      </c>
      <c r="H1100">
        <v>0.5000000140868045</v>
      </c>
      <c r="I1100" s="11">
        <f t="shared" si="17"/>
        <v>0.37655985435671346</v>
      </c>
      <c r="J1100" s="11">
        <f>1/(H1100*Utilities!$B$11)</f>
        <v>7.9999997746111342</v>
      </c>
      <c r="K1100" s="11">
        <f>IF(B1100&lt;C1100,1,EXP(-1*(B1100-C1100)/(Utilities!$B$11*IterData!H1100)))</f>
        <v>4.9169648316617791E-2</v>
      </c>
    </row>
    <row r="1101" spans="1:11" x14ac:dyDescent="0.3">
      <c r="A1101">
        <v>1100</v>
      </c>
      <c r="B1101">
        <v>0.5036088876016751</v>
      </c>
      <c r="C1101">
        <v>0.39653080790297662</v>
      </c>
      <c r="D1101">
        <v>0.38973546092714206</v>
      </c>
      <c r="E1101" s="10">
        <v>4.5241427675234012E-4</v>
      </c>
      <c r="F1101" s="10">
        <v>2.2626574253157039</v>
      </c>
      <c r="H1101">
        <v>0.50000001380786707</v>
      </c>
      <c r="I1101" s="11">
        <f t="shared" si="17"/>
        <v>0.10707807969869848</v>
      </c>
      <c r="J1101" s="11">
        <f>1/(H1101*Utilities!$B$11)</f>
        <v>7.9999997790741331</v>
      </c>
      <c r="K1101" s="11">
        <f>IF(B1101&lt;C1101,1,EXP(-1*(B1101-C1101)/(Utilities!$B$11*IterData!H1101)))</f>
        <v>0.42459283102058681</v>
      </c>
    </row>
    <row r="1102" spans="1:11" x14ac:dyDescent="0.3">
      <c r="A1102">
        <v>1101</v>
      </c>
      <c r="B1102">
        <v>0.2030359593362035</v>
      </c>
      <c r="C1102">
        <v>0.39653080790297662</v>
      </c>
      <c r="D1102">
        <v>1</v>
      </c>
      <c r="E1102" s="10">
        <v>4.5241427675234012E-4</v>
      </c>
      <c r="F1102" s="10">
        <v>2.2626574253157039</v>
      </c>
      <c r="H1102">
        <v>0.500000013534453</v>
      </c>
      <c r="I1102" s="11">
        <f t="shared" si="17"/>
        <v>-0.19349484856677313</v>
      </c>
      <c r="J1102" s="11">
        <f>1/(H1102*Utilities!$B$11)</f>
        <v>7.9999997834487582</v>
      </c>
      <c r="K1102" s="11">
        <f>IF(B1102&lt;C1102,1,EXP(-1*(B1102-C1102)/(Utilities!$B$11*IterData!H1102)))</f>
        <v>1</v>
      </c>
    </row>
    <row r="1103" spans="1:11" x14ac:dyDescent="0.3">
      <c r="A1103">
        <v>1102</v>
      </c>
      <c r="B1103">
        <v>0.23782522938478137</v>
      </c>
      <c r="C1103">
        <v>0.2030359593362035</v>
      </c>
      <c r="D1103">
        <v>0.73586971277415447</v>
      </c>
      <c r="E1103" s="10">
        <v>4.7348169016380413E-4</v>
      </c>
      <c r="F1103" s="10">
        <v>2.1511461806048469</v>
      </c>
      <c r="H1103">
        <v>0.50000001326645283</v>
      </c>
      <c r="I1103" s="11">
        <f t="shared" si="17"/>
        <v>3.4789270048577875E-2</v>
      </c>
      <c r="J1103" s="11">
        <f>1/(H1103*Utilities!$B$11)</f>
        <v>7.9999997877367601</v>
      </c>
      <c r="K1103" s="11">
        <f>IF(B1103&lt;C1103,1,EXP(-1*(B1103-C1103)/(Utilities!$B$11*IterData!H1103)))</f>
        <v>0.75705895180852889</v>
      </c>
    </row>
    <row r="1104" spans="1:11" x14ac:dyDescent="0.3">
      <c r="A1104">
        <v>1103</v>
      </c>
      <c r="B1104">
        <v>0.12162391040407644</v>
      </c>
      <c r="C1104">
        <v>0.23782522938478137</v>
      </c>
      <c r="D1104">
        <v>1</v>
      </c>
      <c r="E1104" s="10">
        <v>5.5863023646835679E-4</v>
      </c>
      <c r="F1104" s="10">
        <v>1.7894767040484181</v>
      </c>
      <c r="H1104">
        <v>0.50000001300375951</v>
      </c>
      <c r="I1104" s="11">
        <f t="shared" si="17"/>
        <v>-0.11620131898070493</v>
      </c>
      <c r="J1104" s="11">
        <f>1/(H1104*Utilities!$B$11)</f>
        <v>7.9999997919398531</v>
      </c>
      <c r="K1104" s="11">
        <f>IF(B1104&lt;C1104,1,EXP(-1*(B1104-C1104)/(Utilities!$B$11*IterData!H1104)))</f>
        <v>1</v>
      </c>
    </row>
    <row r="1105" spans="1:11" x14ac:dyDescent="0.3">
      <c r="A1105">
        <v>1104</v>
      </c>
      <c r="B1105">
        <v>0.53080615982236223</v>
      </c>
      <c r="C1105">
        <v>0.12162391040407644</v>
      </c>
      <c r="D1105">
        <v>2.6946616556151323E-2</v>
      </c>
      <c r="E1105" s="10">
        <v>5.0974286191074057E-4</v>
      </c>
      <c r="F1105" s="10">
        <v>1.8539013168950573</v>
      </c>
      <c r="H1105">
        <v>0.50000001274626782</v>
      </c>
      <c r="I1105" s="11">
        <f t="shared" si="17"/>
        <v>0.40918224941828579</v>
      </c>
      <c r="J1105" s="11">
        <f>1/(H1105*Utilities!$B$11)</f>
        <v>7.9999997960597202</v>
      </c>
      <c r="K1105" s="11">
        <f>IF(B1105&lt;C1105,1,EXP(-1*(B1105-C1105)/(Utilities!$B$11*IterData!H1105)))</f>
        <v>3.7875231161490816E-2</v>
      </c>
    </row>
    <row r="1106" spans="1:11" x14ac:dyDescent="0.3">
      <c r="A1106">
        <v>1105</v>
      </c>
      <c r="B1106">
        <v>0.17313696473732967</v>
      </c>
      <c r="C1106">
        <v>0.12162391040407644</v>
      </c>
      <c r="D1106">
        <v>0.63420984790281654</v>
      </c>
      <c r="E1106" s="10">
        <v>5.0974286191074057E-4</v>
      </c>
      <c r="F1106" s="10">
        <v>1.8539013168950573</v>
      </c>
      <c r="H1106">
        <v>0.50000001249387482</v>
      </c>
      <c r="I1106" s="11">
        <f t="shared" si="17"/>
        <v>5.1513054333253233E-2</v>
      </c>
      <c r="J1106" s="11">
        <f>1/(H1106*Utilities!$B$11)</f>
        <v>7.9999998000980082</v>
      </c>
      <c r="K1106" s="11">
        <f>IF(B1106&lt;C1106,1,EXP(-1*(B1106-C1106)/(Utilities!$B$11*IterData!H1106)))</f>
        <v>0.66225511686889227</v>
      </c>
    </row>
    <row r="1107" spans="1:11" x14ac:dyDescent="0.3">
      <c r="A1107">
        <v>1106</v>
      </c>
      <c r="B1107">
        <v>0.20084436324236857</v>
      </c>
      <c r="C1107">
        <v>0.17313696473732967</v>
      </c>
      <c r="D1107">
        <v>0.78258318464056731</v>
      </c>
      <c r="E1107" s="10">
        <v>4.6746182925073575E-4</v>
      </c>
      <c r="F1107" s="10">
        <v>2.1375717840861426</v>
      </c>
      <c r="H1107">
        <v>0.5000000122464795</v>
      </c>
      <c r="I1107" s="11">
        <f t="shared" si="17"/>
        <v>2.7707398505038894E-2</v>
      </c>
      <c r="J1107" s="11">
        <f>1/(H1107*Utilities!$B$11)</f>
        <v>7.9999998040563325</v>
      </c>
      <c r="K1107" s="11">
        <f>IF(B1107&lt;C1107,1,EXP(-1*(B1107-C1107)/(Utilities!$B$11*IterData!H1107)))</f>
        <v>0.80118837673880861</v>
      </c>
    </row>
    <row r="1108" spans="1:11" x14ac:dyDescent="0.3">
      <c r="A1108">
        <v>1107</v>
      </c>
      <c r="B1108">
        <v>5.0279591650264001E-2</v>
      </c>
      <c r="C1108">
        <v>0.20084436324236857</v>
      </c>
      <c r="D1108">
        <v>1</v>
      </c>
      <c r="E1108" s="10">
        <v>6.0563980205537887E-4</v>
      </c>
      <c r="F1108" s="10">
        <v>2.0821296554175137</v>
      </c>
      <c r="H1108">
        <v>0.50000001200398292</v>
      </c>
      <c r="I1108" s="11">
        <f t="shared" si="17"/>
        <v>-0.15056477159210457</v>
      </c>
      <c r="J1108" s="11">
        <f>1/(H1108*Utilities!$B$11)</f>
        <v>7.9999998079362777</v>
      </c>
      <c r="K1108" s="11">
        <f>IF(B1108&lt;C1108,1,EXP(-1*(B1108-C1108)/(Utilities!$B$11*IterData!H1108)))</f>
        <v>1</v>
      </c>
    </row>
    <row r="1109" spans="1:11" x14ac:dyDescent="0.3">
      <c r="A1109">
        <v>1108</v>
      </c>
      <c r="B1109">
        <v>0.18624731882442416</v>
      </c>
      <c r="C1109">
        <v>5.0279591650264001E-2</v>
      </c>
      <c r="D1109">
        <v>0.2996267021498053</v>
      </c>
      <c r="E1109" s="10">
        <v>4.2208858730147231E-4</v>
      </c>
      <c r="F1109" s="10">
        <v>1.942482144771488</v>
      </c>
      <c r="H1109">
        <v>0.50000001176628817</v>
      </c>
      <c r="I1109" s="11">
        <f t="shared" si="17"/>
        <v>0.13596772717416017</v>
      </c>
      <c r="J1109" s="11">
        <f>1/(H1109*Utilities!$B$11)</f>
        <v>7.9999998117393938</v>
      </c>
      <c r="K1109" s="11">
        <f>IF(B1109&lt;C1109,1,EXP(-1*(B1109-C1109)/(Utilities!$B$11*IterData!H1109)))</f>
        <v>0.33697659846555877</v>
      </c>
    </row>
    <row r="1110" spans="1:11" x14ac:dyDescent="0.3">
      <c r="A1110">
        <v>1109</v>
      </c>
      <c r="B1110">
        <v>0.37735493194813274</v>
      </c>
      <c r="C1110">
        <v>0.18624731882442416</v>
      </c>
      <c r="D1110">
        <v>0.183506222033295</v>
      </c>
      <c r="E1110" s="10">
        <v>4.2130740678772899E-4</v>
      </c>
      <c r="F1110" s="10">
        <v>2.1736970202237211</v>
      </c>
      <c r="H1110">
        <v>0.50000001153330009</v>
      </c>
      <c r="I1110" s="11">
        <f t="shared" si="17"/>
        <v>0.19110761312370858</v>
      </c>
      <c r="J1110" s="11">
        <f>1/(H1110*Utilities!$B$11)</f>
        <v>7.999999815467203</v>
      </c>
      <c r="K1110" s="11">
        <f>IF(B1110&lt;C1110,1,EXP(-1*(B1110-C1110)/(Utilities!$B$11*IterData!H1110)))</f>
        <v>0.21678247019409791</v>
      </c>
    </row>
    <row r="1111" spans="1:11" x14ac:dyDescent="0.3">
      <c r="A1111">
        <v>1110</v>
      </c>
      <c r="B1111">
        <v>9.3363141234652933E-2</v>
      </c>
      <c r="C1111">
        <v>0.18624731882442416</v>
      </c>
      <c r="D1111">
        <v>1</v>
      </c>
      <c r="E1111" s="10">
        <v>4.2130740678772899E-4</v>
      </c>
      <c r="F1111" s="10">
        <v>2.1736970202237211</v>
      </c>
      <c r="H1111">
        <v>0.50000001130492544</v>
      </c>
      <c r="I1111" s="11">
        <f t="shared" si="17"/>
        <v>-9.288417758977123E-2</v>
      </c>
      <c r="J1111" s="11">
        <f>1/(H1111*Utilities!$B$11)</f>
        <v>7.9999998191211974</v>
      </c>
      <c r="K1111" s="11">
        <f>IF(B1111&lt;C1111,1,EXP(-1*(B1111-C1111)/(Utilities!$B$11*IterData!H1111)))</f>
        <v>1</v>
      </c>
    </row>
    <row r="1112" spans="1:11" x14ac:dyDescent="0.3">
      <c r="A1112">
        <v>1111</v>
      </c>
      <c r="B1112">
        <v>0.18364690576343023</v>
      </c>
      <c r="C1112">
        <v>9.3363141234652933E-2</v>
      </c>
      <c r="D1112">
        <v>0.44823300499020519</v>
      </c>
      <c r="E1112" s="10">
        <v>4.4591101407593769E-4</v>
      </c>
      <c r="F1112" s="10">
        <v>1.9002245515826497</v>
      </c>
      <c r="H1112">
        <v>0.50000001108107284</v>
      </c>
      <c r="I1112" s="11">
        <f t="shared" si="17"/>
        <v>9.0283764528777302E-2</v>
      </c>
      <c r="J1112" s="11">
        <f>1/(H1112*Utilities!$B$11)</f>
        <v>7.9999998227028382</v>
      </c>
      <c r="K1112" s="11">
        <f>IF(B1112&lt;C1112,1,EXP(-1*(B1112-C1112)/(Utilities!$B$11*IterData!H1112)))</f>
        <v>0.48564853281016573</v>
      </c>
    </row>
    <row r="1113" spans="1:11" x14ac:dyDescent="0.3">
      <c r="A1113">
        <v>1112</v>
      </c>
      <c r="B1113">
        <v>0.35828925068436474</v>
      </c>
      <c r="C1113">
        <v>0.18364690576343023</v>
      </c>
      <c r="D1113">
        <v>0.21148139174345806</v>
      </c>
      <c r="E1113" s="10">
        <v>5.7401613152386222E-4</v>
      </c>
      <c r="F1113" s="10">
        <v>2.0872959373360853</v>
      </c>
      <c r="H1113">
        <v>0.50000001086165291</v>
      </c>
      <c r="I1113" s="11">
        <f t="shared" si="17"/>
        <v>0.1746423449209345</v>
      </c>
      <c r="J1113" s="11">
        <f>1/(H1113*Utilities!$B$11)</f>
        <v>7.999999826213557</v>
      </c>
      <c r="K1113" s="11">
        <f>IF(B1113&lt;C1113,1,EXP(-1*(B1113-C1113)/(Utilities!$B$11*IterData!H1113)))</f>
        <v>0.24730355507131144</v>
      </c>
    </row>
    <row r="1114" spans="1:11" x14ac:dyDescent="0.3">
      <c r="A1114">
        <v>1113</v>
      </c>
      <c r="B1114">
        <v>0.5047069930461775</v>
      </c>
      <c r="C1114">
        <v>0.18364690576343023</v>
      </c>
      <c r="D1114">
        <v>5.7342171061510724E-2</v>
      </c>
      <c r="E1114" s="10">
        <v>5.7401613152386222E-4</v>
      </c>
      <c r="F1114" s="10">
        <v>2.0872959373360853</v>
      </c>
      <c r="H1114">
        <v>0.50000001064657784</v>
      </c>
      <c r="I1114" s="11">
        <f t="shared" si="17"/>
        <v>0.32106008728274726</v>
      </c>
      <c r="J1114" s="11">
        <f>1/(H1114*Utilities!$B$11)</f>
        <v>7.9999998296547581</v>
      </c>
      <c r="K1114" s="11">
        <f>IF(B1114&lt;C1114,1,EXP(-1*(B1114-C1114)/(Utilities!$B$11*IterData!H1114)))</f>
        <v>7.6651918580669692E-2</v>
      </c>
    </row>
    <row r="1115" spans="1:11" x14ac:dyDescent="0.3">
      <c r="A1115">
        <v>1114</v>
      </c>
      <c r="B1115">
        <v>1.1753517734014773</v>
      </c>
      <c r="C1115">
        <v>0.18364690576343023</v>
      </c>
      <c r="D1115">
        <v>1.4510200270548282E-4</v>
      </c>
      <c r="E1115" s="10">
        <v>5.7401613152386222E-4</v>
      </c>
      <c r="F1115" s="10">
        <v>2.0872959373360853</v>
      </c>
      <c r="H1115">
        <v>0.50000001043576148</v>
      </c>
      <c r="I1115" s="11">
        <f t="shared" si="17"/>
        <v>0.99170486763804711</v>
      </c>
      <c r="J1115" s="11">
        <f>1/(H1115*Utilities!$B$11)</f>
        <v>7.9999998330278199</v>
      </c>
      <c r="K1115" s="11">
        <f>IF(B1115&lt;C1115,1,EXP(-1*(B1115-C1115)/(Utilities!$B$11*IterData!H1115)))</f>
        <v>3.584796099629071E-4</v>
      </c>
    </row>
    <row r="1116" spans="1:11" x14ac:dyDescent="0.3">
      <c r="A1116">
        <v>1115</v>
      </c>
      <c r="B1116">
        <v>1.2228463710676354</v>
      </c>
      <c r="C1116">
        <v>0.18364690576343023</v>
      </c>
      <c r="D1116">
        <v>9.4240640569210745E-5</v>
      </c>
      <c r="E1116" s="10">
        <v>5.7401613152386222E-4</v>
      </c>
      <c r="F1116" s="10">
        <v>2.0872959373360853</v>
      </c>
      <c r="H1116">
        <v>0.50000001022911955</v>
      </c>
      <c r="I1116" s="11">
        <f t="shared" si="17"/>
        <v>1.0391994653042051</v>
      </c>
      <c r="J1116" s="11">
        <f>1/(H1116*Utilities!$B$11)</f>
        <v>7.9999998363340907</v>
      </c>
      <c r="K1116" s="11">
        <f>IF(B1116&lt;C1116,1,EXP(-1*(B1116-C1116)/(Utilities!$B$11*IterData!H1116)))</f>
        <v>2.4516096764711257E-4</v>
      </c>
    </row>
    <row r="1117" spans="1:11" x14ac:dyDescent="0.3">
      <c r="A1117">
        <v>1116</v>
      </c>
      <c r="B1117">
        <v>1.3608754644540286</v>
      </c>
      <c r="C1117">
        <v>0.18364690576343023</v>
      </c>
      <c r="D1117">
        <v>2.7254378762682524E-5</v>
      </c>
      <c r="E1117" s="10">
        <v>5.7401613152386222E-4</v>
      </c>
      <c r="F1117" s="10">
        <v>2.0872959373360853</v>
      </c>
      <c r="H1117">
        <v>0.50000001002656935</v>
      </c>
      <c r="I1117" s="11">
        <f t="shared" si="17"/>
        <v>1.1772285586905984</v>
      </c>
      <c r="J1117" s="11">
        <f>1/(H1117*Utilities!$B$11)</f>
        <v>7.9999998395748939</v>
      </c>
      <c r="K1117" s="11">
        <f>IF(B1117&lt;C1117,1,EXP(-1*(B1117-C1117)/(Utilities!$B$11*IterData!H1117)))</f>
        <v>8.1262306738982639E-5</v>
      </c>
    </row>
    <row r="1118" spans="1:11" x14ac:dyDescent="0.3">
      <c r="A1118">
        <v>1117</v>
      </c>
      <c r="B1118">
        <v>0.88547413133696007</v>
      </c>
      <c r="C1118">
        <v>0.18364690576343023</v>
      </c>
      <c r="D1118">
        <v>1.8893395329457523E-3</v>
      </c>
      <c r="E1118" s="10">
        <v>5.7401613152386222E-4</v>
      </c>
      <c r="F1118" s="10">
        <v>2.0872959373360853</v>
      </c>
      <c r="H1118">
        <v>0.50000000982802995</v>
      </c>
      <c r="I1118" s="11">
        <f t="shared" si="17"/>
        <v>0.70182722557352983</v>
      </c>
      <c r="J1118" s="11">
        <f>1/(H1118*Utilities!$B$11)</f>
        <v>7.9999998427515235</v>
      </c>
      <c r="K1118" s="11">
        <f>IF(B1118&lt;C1118,1,EXP(-1*(B1118-C1118)/(Utilities!$B$11*IterData!H1118)))</f>
        <v>3.644202631556188E-3</v>
      </c>
    </row>
    <row r="1119" spans="1:11" x14ac:dyDescent="0.3">
      <c r="A1119">
        <v>1118</v>
      </c>
      <c r="B1119">
        <v>0.51715021591392463</v>
      </c>
      <c r="C1119">
        <v>0.18364690576343023</v>
      </c>
      <c r="D1119">
        <v>5.0648100649044625E-2</v>
      </c>
      <c r="E1119" s="10">
        <v>5.7401613152386222E-4</v>
      </c>
      <c r="F1119" s="10">
        <v>2.0872959373360853</v>
      </c>
      <c r="H1119">
        <v>0.50000000963342195</v>
      </c>
      <c r="I1119" s="11">
        <f t="shared" si="17"/>
        <v>0.33350331015049439</v>
      </c>
      <c r="J1119" s="11">
        <f>1/(H1119*Utilities!$B$11)</f>
        <v>7.9999998458652515</v>
      </c>
      <c r="K1119" s="11">
        <f>IF(B1119&lt;C1119,1,EXP(-1*(B1119-C1119)/(Utilities!$B$11*IterData!H1119)))</f>
        <v>6.9389034394295265E-2</v>
      </c>
    </row>
    <row r="1120" spans="1:11" x14ac:dyDescent="0.3">
      <c r="A1120">
        <v>1119</v>
      </c>
      <c r="B1120">
        <v>6.2238827189312694E-2</v>
      </c>
      <c r="C1120">
        <v>0.18364690576343023</v>
      </c>
      <c r="D1120">
        <v>1</v>
      </c>
      <c r="E1120" s="10">
        <v>5.7401613152386222E-4</v>
      </c>
      <c r="F1120" s="10">
        <v>2.0872959373360853</v>
      </c>
      <c r="H1120">
        <v>0.50000000944266743</v>
      </c>
      <c r="I1120" s="11">
        <f t="shared" si="17"/>
        <v>-0.12140807857411753</v>
      </c>
      <c r="J1120" s="11">
        <f>1/(H1120*Utilities!$B$11)</f>
        <v>7.9999998489173239</v>
      </c>
      <c r="K1120" s="11">
        <f>IF(B1120&lt;C1120,1,EXP(-1*(B1120-C1120)/(Utilities!$B$11*IterData!H1120)))</f>
        <v>1</v>
      </c>
    </row>
    <row r="1121" spans="1:11" x14ac:dyDescent="0.3">
      <c r="A1121">
        <v>1120</v>
      </c>
      <c r="B1121">
        <v>0.24768814974014552</v>
      </c>
      <c r="C1121">
        <v>6.2238827189312694E-2</v>
      </c>
      <c r="D1121">
        <v>0.18983008445219909</v>
      </c>
      <c r="E1121" s="10">
        <v>4.4876546147268028E-4</v>
      </c>
      <c r="F1121" s="10">
        <v>1.9183207187769267</v>
      </c>
      <c r="H1121">
        <v>0.5000000092556901</v>
      </c>
      <c r="I1121" s="11">
        <f t="shared" si="17"/>
        <v>0.18544932255083282</v>
      </c>
      <c r="J1121" s="11">
        <f>1/(H1121*Utilities!$B$11)</f>
        <v>7.999999851908961</v>
      </c>
      <c r="K1121" s="11">
        <f>IF(B1121&lt;C1121,1,EXP(-1*(B1121-C1121)/(Utilities!$B$11*IterData!H1121)))</f>
        <v>0.2268209015322841</v>
      </c>
    </row>
    <row r="1122" spans="1:11" x14ac:dyDescent="0.3">
      <c r="A1122">
        <v>1121</v>
      </c>
      <c r="B1122">
        <v>0.41867449248966226</v>
      </c>
      <c r="C1122">
        <v>6.2238827189312694E-2</v>
      </c>
      <c r="D1122">
        <v>4.0904508554049583E-2</v>
      </c>
      <c r="E1122" s="10">
        <v>4.4876546147268028E-4</v>
      </c>
      <c r="F1122" s="10">
        <v>1.9183207187769267</v>
      </c>
      <c r="H1122">
        <v>0.50000000907241515</v>
      </c>
      <c r="I1122" s="11">
        <f t="shared" si="17"/>
        <v>0.35643566530034959</v>
      </c>
      <c r="J1122" s="11">
        <f>1/(H1122*Utilities!$B$11)</f>
        <v>7.9999998548413602</v>
      </c>
      <c r="K1122" s="11">
        <f>IF(B1122&lt;C1122,1,EXP(-1*(B1122-C1122)/(Utilities!$B$11*IterData!H1122)))</f>
        <v>5.7758470173563697E-2</v>
      </c>
    </row>
    <row r="1123" spans="1:11" x14ac:dyDescent="0.3">
      <c r="A1123">
        <v>1122</v>
      </c>
      <c r="B1123">
        <v>0.44647490540048507</v>
      </c>
      <c r="C1123">
        <v>6.2238827189312694E-2</v>
      </c>
      <c r="D1123">
        <v>3.1780481190682719E-2</v>
      </c>
      <c r="E1123" s="10">
        <v>4.4876546147268028E-4</v>
      </c>
      <c r="F1123" s="10">
        <v>1.9183207187769267</v>
      </c>
      <c r="H1123">
        <v>0.5000000088927693</v>
      </c>
      <c r="I1123" s="11">
        <f t="shared" si="17"/>
        <v>0.38423607821117239</v>
      </c>
      <c r="J1123" s="11">
        <f>1/(H1123*Utilities!$B$11)</f>
        <v>7.9999998577156939</v>
      </c>
      <c r="K1123" s="11">
        <f>IF(B1123&lt;C1123,1,EXP(-1*(B1123-C1123)/(Utilities!$B$11*IterData!H1123)))</f>
        <v>4.6240993412307245E-2</v>
      </c>
    </row>
    <row r="1124" spans="1:11" x14ac:dyDescent="0.3">
      <c r="A1124">
        <v>1123</v>
      </c>
      <c r="B1124">
        <v>0.35413860941152281</v>
      </c>
      <c r="C1124">
        <v>6.2238827189312694E-2</v>
      </c>
      <c r="D1124">
        <v>7.2626341108788253E-2</v>
      </c>
      <c r="E1124" s="10">
        <v>4.4876546147268028E-4</v>
      </c>
      <c r="F1124" s="10">
        <v>1.9183207187769267</v>
      </c>
      <c r="H1124">
        <v>0.5000000087166806</v>
      </c>
      <c r="I1124" s="11">
        <f t="shared" si="17"/>
        <v>0.29189978222221014</v>
      </c>
      <c r="J1124" s="11">
        <f>1/(H1124*Utilities!$B$11)</f>
        <v>7.9999998605331131</v>
      </c>
      <c r="K1124" s="11">
        <f>IF(B1124&lt;C1124,1,EXP(-1*(B1124-C1124)/(Utilities!$B$11*IterData!H1124)))</f>
        <v>9.6791294938243871E-2</v>
      </c>
    </row>
    <row r="1125" spans="1:11" x14ac:dyDescent="0.3">
      <c r="A1125">
        <v>1124</v>
      </c>
      <c r="B1125">
        <v>0.31390292172364243</v>
      </c>
      <c r="C1125">
        <v>6.2238827189312694E-2</v>
      </c>
      <c r="D1125">
        <v>0.10404169992541074</v>
      </c>
      <c r="E1125" s="10">
        <v>4.4876546147268028E-4</v>
      </c>
      <c r="F1125" s="10">
        <v>1.9183207187769267</v>
      </c>
      <c r="H1125">
        <v>0.50000000854407878</v>
      </c>
      <c r="I1125" s="11">
        <f t="shared" si="17"/>
        <v>0.25166409453432975</v>
      </c>
      <c r="J1125" s="11">
        <f>1/(H1125*Utilities!$B$11)</f>
        <v>7.9999998632947422</v>
      </c>
      <c r="K1125" s="11">
        <f>IF(B1125&lt;C1125,1,EXP(-1*(B1125-C1125)/(Utilities!$B$11*IterData!H1125)))</f>
        <v>0.13354554184892731</v>
      </c>
    </row>
    <row r="1126" spans="1:11" x14ac:dyDescent="0.3">
      <c r="A1126">
        <v>1125</v>
      </c>
      <c r="B1126">
        <v>0.282644024847721</v>
      </c>
      <c r="C1126">
        <v>6.2238827189312694E-2</v>
      </c>
      <c r="D1126">
        <v>0.13756665087287259</v>
      </c>
      <c r="E1126" s="10">
        <v>4.4876546147268028E-4</v>
      </c>
      <c r="F1126" s="10">
        <v>1.9183207187769267</v>
      </c>
      <c r="H1126">
        <v>0.50000000837489467</v>
      </c>
      <c r="I1126" s="11">
        <f t="shared" si="17"/>
        <v>0.2204051976584083</v>
      </c>
      <c r="J1126" s="11">
        <f>1/(H1126*Utilities!$B$11)</f>
        <v>7.999999866001688</v>
      </c>
      <c r="K1126" s="11">
        <f>IF(B1126&lt;C1126,1,EXP(-1*(B1126-C1126)/(Utilities!$B$11*IterData!H1126)))</f>
        <v>0.17148807441489389</v>
      </c>
    </row>
    <row r="1127" spans="1:11" x14ac:dyDescent="0.3">
      <c r="A1127">
        <v>1126</v>
      </c>
      <c r="B1127">
        <v>0.13391900256517675</v>
      </c>
      <c r="C1127">
        <v>6.2238827189312694E-2</v>
      </c>
      <c r="D1127">
        <v>0.52429802350752919</v>
      </c>
      <c r="E1127" s="10">
        <v>4.4876546147268028E-4</v>
      </c>
      <c r="F1127" s="10">
        <v>1.9183207187769267</v>
      </c>
      <c r="H1127">
        <v>0.50000000820906065</v>
      </c>
      <c r="I1127" s="11">
        <f t="shared" si="17"/>
        <v>7.1680175375864047E-2</v>
      </c>
      <c r="J1127" s="11">
        <f>1/(H1127*Utilities!$B$11)</f>
        <v>7.9999998686550313</v>
      </c>
      <c r="K1127" s="11">
        <f>IF(B1127&lt;C1127,1,EXP(-1*(B1127-C1127)/(Utilities!$B$11*IterData!H1127)))</f>
        <v>0.56358258805298189</v>
      </c>
    </row>
    <row r="1128" spans="1:11" x14ac:dyDescent="0.3">
      <c r="A1128">
        <v>1127</v>
      </c>
      <c r="B1128">
        <v>3.0085511745610395E-2</v>
      </c>
      <c r="C1128">
        <v>0.13391900256517675</v>
      </c>
      <c r="D1128">
        <v>1</v>
      </c>
      <c r="E1128" s="10">
        <v>4.9194935603999283E-4</v>
      </c>
      <c r="F1128" s="10">
        <v>2.0995611588710061</v>
      </c>
      <c r="H1128">
        <v>0.50000000804651035</v>
      </c>
      <c r="I1128" s="11">
        <f t="shared" si="17"/>
        <v>-0.10383349081956636</v>
      </c>
      <c r="J1128" s="11">
        <f>1/(H1128*Utilities!$B$11)</f>
        <v>7.9999998712558362</v>
      </c>
      <c r="K1128" s="11">
        <f>IF(B1128&lt;C1128,1,EXP(-1*(B1128-C1128)/(Utilities!$B$11*IterData!H1128)))</f>
        <v>1</v>
      </c>
    </row>
    <row r="1129" spans="1:11" x14ac:dyDescent="0.3">
      <c r="A1129">
        <v>1128</v>
      </c>
      <c r="B1129">
        <v>6.6111295596845879E-2</v>
      </c>
      <c r="C1129">
        <v>3.0085511745610395E-2</v>
      </c>
      <c r="D1129">
        <v>0.72245751149413662</v>
      </c>
      <c r="E1129" s="10">
        <v>5.372857765635656E-4</v>
      </c>
      <c r="F1129" s="10">
        <v>1.907221621938197</v>
      </c>
      <c r="H1129">
        <v>0.5000000078871788</v>
      </c>
      <c r="I1129" s="11">
        <f t="shared" si="17"/>
        <v>3.6025783851235484E-2</v>
      </c>
      <c r="J1129" s="11">
        <f>1/(H1129*Utilities!$B$11)</f>
        <v>7.999999873805141</v>
      </c>
      <c r="K1129" s="11">
        <f>IF(B1129&lt;C1129,1,EXP(-1*(B1129-C1129)/(Utilities!$B$11*IterData!H1129)))</f>
        <v>0.74960695766530416</v>
      </c>
    </row>
    <row r="1130" spans="1:11" x14ac:dyDescent="0.3">
      <c r="A1130">
        <v>1129</v>
      </c>
      <c r="B1130">
        <v>0.14133926150358059</v>
      </c>
      <c r="C1130">
        <v>6.6111295596845879E-2</v>
      </c>
      <c r="D1130">
        <v>0.50689115768311077</v>
      </c>
      <c r="E1130" s="10">
        <v>5.7135113426206837E-4</v>
      </c>
      <c r="F1130" s="10">
        <v>2.0084503382936143</v>
      </c>
      <c r="H1130">
        <v>0.50000000773100217</v>
      </c>
      <c r="I1130" s="11">
        <f t="shared" si="17"/>
        <v>7.5227965906734709E-2</v>
      </c>
      <c r="J1130" s="11">
        <f>1/(H1130*Utilities!$B$11)</f>
        <v>7.999999876303967</v>
      </c>
      <c r="K1130" s="11">
        <f>IF(B1130&lt;C1130,1,EXP(-1*(B1130-C1130)/(Utilities!$B$11*IterData!H1130)))</f>
        <v>0.54781167056764069</v>
      </c>
    </row>
    <row r="1131" spans="1:11" x14ac:dyDescent="0.3">
      <c r="A1131">
        <v>1130</v>
      </c>
      <c r="B1131">
        <v>2.9117925885652478E-2</v>
      </c>
      <c r="C1131">
        <v>6.6111295596845879E-2</v>
      </c>
      <c r="D1131">
        <v>1</v>
      </c>
      <c r="E1131" s="10">
        <v>5.7135113426206837E-4</v>
      </c>
      <c r="F1131" s="10">
        <v>2.0084503382936143</v>
      </c>
      <c r="H1131">
        <v>0.50000000757791807</v>
      </c>
      <c r="I1131" s="11">
        <f t="shared" si="17"/>
        <v>-3.6993369711193401E-2</v>
      </c>
      <c r="J1131" s="11">
        <f>1/(H1131*Utilities!$B$11)</f>
        <v>7.9999998787533126</v>
      </c>
      <c r="K1131" s="11">
        <f>IF(B1131&lt;C1131,1,EXP(-1*(B1131-C1131)/(Utilities!$B$11*IterData!H1131)))</f>
        <v>1</v>
      </c>
    </row>
    <row r="1132" spans="1:11" x14ac:dyDescent="0.3">
      <c r="A1132">
        <v>1131</v>
      </c>
      <c r="B1132">
        <v>0.25555198350443942</v>
      </c>
      <c r="C1132">
        <v>2.9117925885652478E-2</v>
      </c>
      <c r="D1132">
        <v>0.12889265885627763</v>
      </c>
      <c r="E1132" s="10">
        <v>6.0462187681208329E-4</v>
      </c>
      <c r="F1132" s="10">
        <v>1.9487195071576262</v>
      </c>
      <c r="H1132">
        <v>0.50000000742786532</v>
      </c>
      <c r="I1132" s="11">
        <f t="shared" si="17"/>
        <v>0.22643405761878693</v>
      </c>
      <c r="J1132" s="11">
        <f>1/(H1132*Utilities!$B$11)</f>
        <v>7.9999998811541566</v>
      </c>
      <c r="K1132" s="11">
        <f>IF(B1132&lt;C1132,1,EXP(-1*(B1132-C1132)/(Utilities!$B$11*IterData!H1132)))</f>
        <v>0.1634133442000795</v>
      </c>
    </row>
    <row r="1133" spans="1:11" x14ac:dyDescent="0.3">
      <c r="A1133">
        <v>1132</v>
      </c>
      <c r="B1133">
        <v>7.3008720234515156E-2</v>
      </c>
      <c r="C1133">
        <v>2.9117925885652478E-2</v>
      </c>
      <c r="D1133">
        <v>0.67201472410032981</v>
      </c>
      <c r="E1133" s="10">
        <v>6.0462187681208329E-4</v>
      </c>
      <c r="F1133" s="10">
        <v>1.9487195071576262</v>
      </c>
      <c r="H1133">
        <v>0.50000000728078364</v>
      </c>
      <c r="I1133" s="11">
        <f t="shared" si="17"/>
        <v>4.3890794348862679E-2</v>
      </c>
      <c r="J1133" s="11">
        <f>1/(H1133*Utilities!$B$11)</f>
        <v>7.9999998835074635</v>
      </c>
      <c r="K1133" s="11">
        <f>IF(B1133&lt;C1133,1,EXP(-1*(B1133-C1133)/(Utilities!$B$11*IterData!H1133)))</f>
        <v>0.70389481135408472</v>
      </c>
    </row>
    <row r="1134" spans="1:11" x14ac:dyDescent="0.3">
      <c r="A1134">
        <v>1133</v>
      </c>
      <c r="B1134">
        <v>0.44754881167834037</v>
      </c>
      <c r="C1134">
        <v>7.3008720234515156E-2</v>
      </c>
      <c r="D1134">
        <v>3.3546211585955131E-2</v>
      </c>
      <c r="E1134" s="10">
        <v>5.5129497156892592E-4</v>
      </c>
      <c r="F1134" s="10">
        <v>2.0242283215509453</v>
      </c>
      <c r="H1134">
        <v>0.50000000713661452</v>
      </c>
      <c r="I1134" s="11">
        <f t="shared" si="17"/>
        <v>0.37454009144382522</v>
      </c>
      <c r="J1134" s="11">
        <f>1/(H1134*Utilities!$B$11)</f>
        <v>7.9999998858141694</v>
      </c>
      <c r="K1134" s="11">
        <f>IF(B1134&lt;C1134,1,EXP(-1*(B1134-C1134)/(Utilities!$B$11*IterData!H1134)))</f>
        <v>4.9970587892642609E-2</v>
      </c>
    </row>
    <row r="1135" spans="1:11" x14ac:dyDescent="0.3">
      <c r="A1135">
        <v>1134</v>
      </c>
      <c r="B1135">
        <v>0.5034866024506166</v>
      </c>
      <c r="C1135">
        <v>7.3008720234515156E-2</v>
      </c>
      <c r="D1135">
        <v>2.0135007889934976E-2</v>
      </c>
      <c r="E1135" s="10">
        <v>5.5129497156892592E-4</v>
      </c>
      <c r="F1135" s="10">
        <v>2.0242283215509453</v>
      </c>
      <c r="H1135">
        <v>0.50000000699530012</v>
      </c>
      <c r="I1135" s="11">
        <f t="shared" si="17"/>
        <v>0.43047788221610145</v>
      </c>
      <c r="J1135" s="11">
        <f>1/(H1135*Utilities!$B$11)</f>
        <v>7.9999998880751999</v>
      </c>
      <c r="K1135" s="11">
        <f>IF(B1135&lt;C1135,1,EXP(-1*(B1135-C1135)/(Utilities!$B$11*IterData!H1135)))</f>
        <v>3.1942335750526428E-2</v>
      </c>
    </row>
    <row r="1136" spans="1:11" x14ac:dyDescent="0.3">
      <c r="A1136">
        <v>1135</v>
      </c>
      <c r="B1136">
        <v>1.7874696433343887E-2</v>
      </c>
      <c r="C1136">
        <v>7.3008720234515156E-2</v>
      </c>
      <c r="D1136">
        <v>1</v>
      </c>
      <c r="E1136" s="10">
        <v>5.5129497156892592E-4</v>
      </c>
      <c r="F1136" s="10">
        <v>2.0242283215509453</v>
      </c>
      <c r="H1136">
        <v>0.50000000685678381</v>
      </c>
      <c r="I1136" s="11">
        <f t="shared" si="17"/>
        <v>-5.5134023801171272E-2</v>
      </c>
      <c r="J1136" s="11">
        <f>1/(H1136*Utilities!$B$11)</f>
        <v>7.9999998902914609</v>
      </c>
      <c r="K1136" s="11">
        <f>IF(B1136&lt;C1136,1,EXP(-1*(B1136-C1136)/(Utilities!$B$11*IterData!H1136)))</f>
        <v>1</v>
      </c>
    </row>
    <row r="1137" spans="1:11" x14ac:dyDescent="0.3">
      <c r="A1137">
        <v>1136</v>
      </c>
      <c r="B1137">
        <v>0.54196840550628778</v>
      </c>
      <c r="C1137">
        <v>1.7874696433343887E-2</v>
      </c>
      <c r="D1137">
        <v>8.5402622430924748E-3</v>
      </c>
      <c r="E1137" s="10">
        <v>4.6062508964302162E-4</v>
      </c>
      <c r="F1137" s="10">
        <v>1.9977096055864678</v>
      </c>
      <c r="H1137">
        <v>0.50000000672101041</v>
      </c>
      <c r="I1137" s="11">
        <f t="shared" si="17"/>
        <v>0.52409370907294384</v>
      </c>
      <c r="J1137" s="11">
        <f>1/(H1137*Utilities!$B$11)</f>
        <v>7.9999998924638351</v>
      </c>
      <c r="K1137" s="11">
        <f>IF(B1137&lt;C1137,1,EXP(-1*(B1137-C1137)/(Utilities!$B$11*IterData!H1137)))</f>
        <v>1.5104695605883272E-2</v>
      </c>
    </row>
    <row r="1138" spans="1:11" x14ac:dyDescent="0.3">
      <c r="A1138">
        <v>1137</v>
      </c>
      <c r="B1138">
        <v>3.5213615924523489E-2</v>
      </c>
      <c r="C1138">
        <v>1.7874696433343887E-2</v>
      </c>
      <c r="D1138">
        <v>0.85409332644422775</v>
      </c>
      <c r="E1138" s="10">
        <v>4.6062508964302162E-4</v>
      </c>
      <c r="F1138" s="10">
        <v>1.9977096055864678</v>
      </c>
      <c r="H1138">
        <v>0.50000000658792554</v>
      </c>
      <c r="I1138" s="11">
        <f t="shared" si="17"/>
        <v>1.7338919491179602E-2</v>
      </c>
      <c r="J1138" s="11">
        <f>1/(H1138*Utilities!$B$11)</f>
        <v>7.9999998945931932</v>
      </c>
      <c r="K1138" s="11">
        <f>IF(B1138&lt;C1138,1,EXP(-1*(B1138-C1138)/(Utilities!$B$11*IterData!H1138)))</f>
        <v>0.87047925246481295</v>
      </c>
    </row>
    <row r="1139" spans="1:11" x14ac:dyDescent="0.3">
      <c r="A1139">
        <v>1138</v>
      </c>
      <c r="B1139">
        <v>7.7012046752444205E-2</v>
      </c>
      <c r="C1139">
        <v>3.5213615924523489E-2</v>
      </c>
      <c r="D1139">
        <v>0.68349707016665162</v>
      </c>
      <c r="E1139" s="10">
        <v>5.3835930693315443E-4</v>
      </c>
      <c r="F1139" s="10">
        <v>1.8998577927827558</v>
      </c>
      <c r="H1139">
        <v>0.50000000645747589</v>
      </c>
      <c r="I1139" s="11">
        <f t="shared" si="17"/>
        <v>4.1798430827920716E-2</v>
      </c>
      <c r="J1139" s="11">
        <f>1/(H1139*Utilities!$B$11)</f>
        <v>7.9999998966803876</v>
      </c>
      <c r="K1139" s="11">
        <f>IF(B1139&lt;C1139,1,EXP(-1*(B1139-C1139)/(Utilities!$B$11*IterData!H1139)))</f>
        <v>0.71577640643651208</v>
      </c>
    </row>
    <row r="1140" spans="1:11" x14ac:dyDescent="0.3">
      <c r="A1140">
        <v>1139</v>
      </c>
      <c r="B1140">
        <v>0.39153493599128503</v>
      </c>
      <c r="C1140">
        <v>3.5213615924523489E-2</v>
      </c>
      <c r="D1140">
        <v>3.8898490748620562E-2</v>
      </c>
      <c r="E1140" s="10">
        <v>5.3835930693315443E-4</v>
      </c>
      <c r="F1140" s="10">
        <v>1.8998577927827558</v>
      </c>
      <c r="H1140">
        <v>0.50000000632960928</v>
      </c>
      <c r="I1140" s="11">
        <f t="shared" si="17"/>
        <v>0.35632132006676154</v>
      </c>
      <c r="J1140" s="11">
        <f>1/(H1140*Utilities!$B$11)</f>
        <v>7.9999998987262524</v>
      </c>
      <c r="K1140" s="11">
        <f>IF(B1140&lt;C1140,1,EXP(-1*(B1140-C1140)/(Utilities!$B$11*IterData!H1140)))</f>
        <v>5.781132868791531E-2</v>
      </c>
    </row>
    <row r="1141" spans="1:11" x14ac:dyDescent="0.3">
      <c r="A1141">
        <v>1140</v>
      </c>
      <c r="B1141">
        <v>0.11229543320517263</v>
      </c>
      <c r="C1141">
        <v>3.5213615924523489E-2</v>
      </c>
      <c r="D1141">
        <v>0.49510463006727107</v>
      </c>
      <c r="E1141" s="10">
        <v>5.3835930693315443E-4</v>
      </c>
      <c r="F1141" s="10">
        <v>1.8998577927827558</v>
      </c>
      <c r="H1141">
        <v>0.50000000620427465</v>
      </c>
      <c r="I1141" s="11">
        <f t="shared" si="17"/>
        <v>7.708181728064914E-2</v>
      </c>
      <c r="J1141" s="11">
        <f>1/(H1141*Utilities!$B$11)</f>
        <v>7.9999999007316065</v>
      </c>
      <c r="K1141" s="11">
        <f>IF(B1141&lt;C1141,1,EXP(-1*(B1141-C1141)/(Utilities!$B$11*IterData!H1141)))</f>
        <v>0.53974712799455282</v>
      </c>
    </row>
    <row r="1142" spans="1:11" x14ac:dyDescent="0.3">
      <c r="A1142">
        <v>1141</v>
      </c>
      <c r="B1142">
        <v>2.221004348234407E-2</v>
      </c>
      <c r="C1142">
        <v>0.11229543320517263</v>
      </c>
      <c r="D1142">
        <v>1</v>
      </c>
      <c r="E1142" s="10">
        <v>4.0205120409225536E-4</v>
      </c>
      <c r="F1142" s="10">
        <v>2.1398964497904482</v>
      </c>
      <c r="H1142">
        <v>0.5000000060814217</v>
      </c>
      <c r="I1142" s="11">
        <f t="shared" si="17"/>
        <v>-9.0085389722828563E-2</v>
      </c>
      <c r="J1142" s="11">
        <f>1/(H1142*Utilities!$B$11)</f>
        <v>7.9999999026972537</v>
      </c>
      <c r="K1142" s="11">
        <f>IF(B1142&lt;C1142,1,EXP(-1*(B1142-C1142)/(Utilities!$B$11*IterData!H1142)))</f>
        <v>1</v>
      </c>
    </row>
    <row r="1143" spans="1:11" x14ac:dyDescent="0.3">
      <c r="A1143">
        <v>1142</v>
      </c>
      <c r="B1143">
        <v>5.8074966622404176E-2</v>
      </c>
      <c r="C1143">
        <v>2.221004348234407E-2</v>
      </c>
      <c r="D1143">
        <v>0.72060659119040216</v>
      </c>
      <c r="E1143" s="10">
        <v>4.583258597395656E-4</v>
      </c>
      <c r="F1143" s="10">
        <v>2.0123438395256614</v>
      </c>
      <c r="H1143">
        <v>0.50000000596100147</v>
      </c>
      <c r="I1143" s="11">
        <f t="shared" si="17"/>
        <v>3.5864923140060109E-2</v>
      </c>
      <c r="J1143" s="11">
        <f>1/(H1143*Utilities!$B$11)</f>
        <v>7.9999999046239774</v>
      </c>
      <c r="K1143" s="11">
        <f>IF(B1143&lt;C1143,1,EXP(-1*(B1143-C1143)/(Utilities!$B$11*IterData!H1143)))</f>
        <v>0.75057223625587643</v>
      </c>
    </row>
    <row r="1144" spans="1:11" x14ac:dyDescent="0.3">
      <c r="A1144">
        <v>1143</v>
      </c>
      <c r="B1144">
        <v>6.131182501859609E-2</v>
      </c>
      <c r="C1144">
        <v>5.8074966622404176E-2</v>
      </c>
      <c r="D1144">
        <v>0.97083589337313325</v>
      </c>
      <c r="E1144" s="10">
        <v>4.3449107242996612E-4</v>
      </c>
      <c r="F1144" s="10">
        <v>1.9292046109306942</v>
      </c>
      <c r="H1144">
        <v>0.50000000584296578</v>
      </c>
      <c r="I1144" s="11">
        <f t="shared" si="17"/>
        <v>3.2368583961919148E-3</v>
      </c>
      <c r="J1144" s="11">
        <f>1/(H1144*Utilities!$B$11)</f>
        <v>7.9999999065125484</v>
      </c>
      <c r="K1144" s="11">
        <f>IF(B1144&lt;C1144,1,EXP(-1*(B1144-C1144)/(Utilities!$B$11*IterData!H1144)))</f>
        <v>0.97443752989421994</v>
      </c>
    </row>
    <row r="1145" spans="1:11" x14ac:dyDescent="0.3">
      <c r="A1145">
        <v>1144</v>
      </c>
      <c r="B1145">
        <v>1.303584056344758</v>
      </c>
      <c r="C1145">
        <v>6.131182501859609E-2</v>
      </c>
      <c r="D1145">
        <v>1.1544801246345138E-5</v>
      </c>
      <c r="E1145" s="10">
        <v>3.6868339802254783E-4</v>
      </c>
      <c r="F1145" s="10">
        <v>1.96628982558954</v>
      </c>
      <c r="H1145">
        <v>0.50000000572726733</v>
      </c>
      <c r="I1145" s="11">
        <f t="shared" si="17"/>
        <v>1.242272231326162</v>
      </c>
      <c r="J1145" s="11">
        <f>1/(H1145*Utilities!$B$11)</f>
        <v>7.9999999083637237</v>
      </c>
      <c r="K1145" s="11">
        <f>IF(B1145&lt;C1145,1,EXP(-1*(B1145-C1145)/(Utilities!$B$11*IterData!H1145)))</f>
        <v>4.8295231119217627E-5</v>
      </c>
    </row>
    <row r="1146" spans="1:11" x14ac:dyDescent="0.3">
      <c r="A1146">
        <v>1145</v>
      </c>
      <c r="B1146">
        <v>1.4666130140763116E-2</v>
      </c>
      <c r="C1146">
        <v>6.131182501859609E-2</v>
      </c>
      <c r="D1146">
        <v>1</v>
      </c>
      <c r="E1146" s="10">
        <v>3.6868339802254783E-4</v>
      </c>
      <c r="F1146" s="10">
        <v>1.96628982558954</v>
      </c>
      <c r="H1146">
        <v>0.50000000561385982</v>
      </c>
      <c r="I1146" s="11">
        <f t="shared" si="17"/>
        <v>-4.6645694877832974E-2</v>
      </c>
      <c r="J1146" s="11">
        <f>1/(H1146*Utilities!$B$11)</f>
        <v>7.9999999101782437</v>
      </c>
      <c r="K1146" s="11">
        <f>IF(B1146&lt;C1146,1,EXP(-1*(B1146-C1146)/(Utilities!$B$11*IterData!H1146)))</f>
        <v>1</v>
      </c>
    </row>
    <row r="1147" spans="1:11" x14ac:dyDescent="0.3">
      <c r="A1147">
        <v>1146</v>
      </c>
      <c r="B1147">
        <v>0.41695858023390026</v>
      </c>
      <c r="C1147">
        <v>1.4666130140763116E-2</v>
      </c>
      <c r="D1147">
        <v>2.501656329068833E-2</v>
      </c>
      <c r="E1147" s="10">
        <v>3.7649942210572822E-4</v>
      </c>
      <c r="F1147" s="10">
        <v>2.026422813514646</v>
      </c>
      <c r="H1147">
        <v>0.50000000550269796</v>
      </c>
      <c r="I1147" s="11">
        <f t="shared" si="17"/>
        <v>0.40229245009313713</v>
      </c>
      <c r="J1147" s="11">
        <f>1/(H1147*Utilities!$B$11)</f>
        <v>7.9999999119568335</v>
      </c>
      <c r="K1147" s="11">
        <f>IF(B1147&lt;C1147,1,EXP(-1*(B1147-C1147)/(Utilities!$B$11*IterData!H1147)))</f>
        <v>4.0021456134202354E-2</v>
      </c>
    </row>
    <row r="1148" spans="1:11" x14ac:dyDescent="0.3">
      <c r="A1148">
        <v>1147</v>
      </c>
      <c r="B1148">
        <v>2.0124610635672665E-2</v>
      </c>
      <c r="C1148">
        <v>1.4666130140763116E-2</v>
      </c>
      <c r="D1148">
        <v>0.95114665546477895</v>
      </c>
      <c r="E1148" s="10">
        <v>3.7649942210572822E-4</v>
      </c>
      <c r="F1148" s="10">
        <v>2.026422813514646</v>
      </c>
      <c r="H1148">
        <v>0.50000000539373723</v>
      </c>
      <c r="I1148" s="11">
        <f t="shared" si="17"/>
        <v>5.458480494909549E-3</v>
      </c>
      <c r="J1148" s="11">
        <f>1/(H1148*Utilities!$B$11)</f>
        <v>7.9999999137002051</v>
      </c>
      <c r="K1148" s="11">
        <f>IF(B1148&lt;C1148,1,EXP(-1*(B1148-C1148)/(Utilities!$B$11*IterData!H1148)))</f>
        <v>0.95727186875673265</v>
      </c>
    </row>
    <row r="1149" spans="1:11" x14ac:dyDescent="0.3">
      <c r="A1149">
        <v>1148</v>
      </c>
      <c r="B1149">
        <v>0.3100408053809578</v>
      </c>
      <c r="C1149">
        <v>2.0124610635672665E-2</v>
      </c>
      <c r="D1149">
        <v>6.9767269021514089E-2</v>
      </c>
      <c r="E1149" s="10">
        <v>3.5041273454200462E-4</v>
      </c>
      <c r="F1149" s="10">
        <v>2.0823638761804202</v>
      </c>
      <c r="H1149">
        <v>0.50000000528693411</v>
      </c>
      <c r="I1149" s="11">
        <f t="shared" si="17"/>
        <v>0.28991619474528513</v>
      </c>
      <c r="J1149" s="11">
        <f>1/(H1149*Utilities!$B$11)</f>
        <v>7.9999999154090551</v>
      </c>
      <c r="K1149" s="11">
        <f>IF(B1149&lt;C1149,1,EXP(-1*(B1149-C1149)/(Utilities!$B$11*IterData!H1149)))</f>
        <v>9.8339496850611746E-2</v>
      </c>
    </row>
    <row r="1150" spans="1:11" x14ac:dyDescent="0.3">
      <c r="A1150">
        <v>1149</v>
      </c>
      <c r="B1150">
        <v>1.158452699852982</v>
      </c>
      <c r="C1150">
        <v>2.0124610635672665E-2</v>
      </c>
      <c r="D1150">
        <v>2.8559763891353644E-5</v>
      </c>
      <c r="E1150" s="10">
        <v>3.5041273454200462E-4</v>
      </c>
      <c r="F1150" s="10">
        <v>2.0823638761804202</v>
      </c>
      <c r="H1150">
        <v>0.50000000518224574</v>
      </c>
      <c r="I1150" s="11">
        <f t="shared" si="17"/>
        <v>1.1383280892173093</v>
      </c>
      <c r="J1150" s="11">
        <f>1/(H1150*Utilities!$B$11)</f>
        <v>7.999999917084069</v>
      </c>
      <c r="K1150" s="11">
        <f>IF(B1150&lt;C1150,1,EXP(-1*(B1150-C1150)/(Utilities!$B$11*IterData!H1150)))</f>
        <v>1.1092850987187327E-4</v>
      </c>
    </row>
    <row r="1151" spans="1:11" x14ac:dyDescent="0.3">
      <c r="A1151">
        <v>1150</v>
      </c>
      <c r="B1151">
        <v>1.7203795527994443</v>
      </c>
      <c r="C1151">
        <v>2.0124610635672665E-2</v>
      </c>
      <c r="D1151">
        <v>1.6092212108002837E-7</v>
      </c>
      <c r="E1151" s="10">
        <v>3.5041273454200462E-4</v>
      </c>
      <c r="F1151" s="10">
        <v>2.0823638761804202</v>
      </c>
      <c r="H1151">
        <v>0.50000000507963038</v>
      </c>
      <c r="I1151" s="11">
        <f t="shared" si="17"/>
        <v>1.7002549421637716</v>
      </c>
      <c r="J1151" s="11">
        <f>1/(H1151*Utilities!$B$11)</f>
        <v>7.9999999187259148</v>
      </c>
      <c r="K1151" s="11">
        <f>IF(B1151&lt;C1151,1,EXP(-1*(B1151-C1151)/(Utilities!$B$11*IterData!H1151)))</f>
        <v>1.2379677933269498E-6</v>
      </c>
    </row>
    <row r="1152" spans="1:11" x14ac:dyDescent="0.3">
      <c r="A1152">
        <v>1151</v>
      </c>
      <c r="B1152">
        <v>0.44995096898923498</v>
      </c>
      <c r="C1152">
        <v>2.0124610635672665E-2</v>
      </c>
      <c r="D1152">
        <v>1.9104314711665578E-2</v>
      </c>
      <c r="E1152" s="10">
        <v>3.5041273454200462E-4</v>
      </c>
      <c r="F1152" s="10">
        <v>2.0823638761804202</v>
      </c>
      <c r="H1152">
        <v>0.50000000497904695</v>
      </c>
      <c r="I1152" s="11">
        <f t="shared" si="17"/>
        <v>0.42982635835356231</v>
      </c>
      <c r="J1152" s="11">
        <f>1/(H1152*Utilities!$B$11)</f>
        <v>7.9999999203352496</v>
      </c>
      <c r="K1152" s="11">
        <f>IF(B1152&lt;C1152,1,EXP(-1*(B1152-C1152)/(Utilities!$B$11*IterData!H1152)))</f>
        <v>3.2109259497166247E-2</v>
      </c>
    </row>
    <row r="1153" spans="1:11" x14ac:dyDescent="0.3">
      <c r="A1153">
        <v>1152</v>
      </c>
      <c r="B1153">
        <v>0.35725844498168186</v>
      </c>
      <c r="C1153">
        <v>2.0124610635672665E-2</v>
      </c>
      <c r="D1153">
        <v>4.473382343921542E-2</v>
      </c>
      <c r="E1153" s="10">
        <v>3.5041273454200462E-4</v>
      </c>
      <c r="F1153" s="10">
        <v>2.0823638761804202</v>
      </c>
      <c r="H1153">
        <v>0.50000000488045526</v>
      </c>
      <c r="I1153" s="11">
        <f t="shared" si="17"/>
        <v>0.33713383434600919</v>
      </c>
      <c r="J1153" s="11">
        <f>1/(H1153*Utilities!$B$11)</f>
        <v>7.9999999219127167</v>
      </c>
      <c r="K1153" s="11">
        <f>IF(B1153&lt;C1153,1,EXP(-1*(B1153-C1153)/(Utilities!$B$11*IterData!H1153)))</f>
        <v>6.7402669943581781E-2</v>
      </c>
    </row>
    <row r="1154" spans="1:11" x14ac:dyDescent="0.3">
      <c r="A1154">
        <v>1153</v>
      </c>
      <c r="B1154">
        <v>9.7033860006879552E-2</v>
      </c>
      <c r="C1154">
        <v>2.0124610635672665E-2</v>
      </c>
      <c r="D1154">
        <v>0.49193390575386053</v>
      </c>
      <c r="E1154" s="10">
        <v>3.5041273454200462E-4</v>
      </c>
      <c r="F1154" s="10">
        <v>2.0823638761804202</v>
      </c>
      <c r="H1154">
        <v>0.50000000478381579</v>
      </c>
      <c r="I1154" s="11">
        <f t="shared" si="17"/>
        <v>7.6909249371206884E-2</v>
      </c>
      <c r="J1154" s="11">
        <f>1/(H1154*Utilities!$B$11)</f>
        <v>7.9999999234589483</v>
      </c>
      <c r="K1154" s="11">
        <f>IF(B1154&lt;C1154,1,EXP(-1*(B1154-C1154)/(Utilities!$B$11*IterData!H1154)))</f>
        <v>0.54049278589731831</v>
      </c>
    </row>
    <row r="1155" spans="1:11" x14ac:dyDescent="0.3">
      <c r="A1155">
        <v>1154</v>
      </c>
      <c r="B1155">
        <v>7.8259050705188876E-2</v>
      </c>
      <c r="C1155">
        <v>2.0124610635672665E-2</v>
      </c>
      <c r="D1155">
        <v>0.58467616700981739</v>
      </c>
      <c r="E1155" s="10">
        <v>3.5041273454200462E-4</v>
      </c>
      <c r="F1155" s="10">
        <v>2.0823638761804202</v>
      </c>
      <c r="H1155">
        <v>0.50000000468908989</v>
      </c>
      <c r="I1155" s="11">
        <f t="shared" ref="I1155:I1218" si="18">B1155-C1155</f>
        <v>5.8134440069516208E-2</v>
      </c>
      <c r="J1155" s="11">
        <f>1/(H1155*Utilities!$B$11)</f>
        <v>7.9999999249745626</v>
      </c>
      <c r="K1155" s="11">
        <f>IF(B1155&lt;C1155,1,EXP(-1*(B1155-C1155)/(Utilities!$B$11*IterData!H1155)))</f>
        <v>0.62808767260780896</v>
      </c>
    </row>
    <row r="1156" spans="1:11" x14ac:dyDescent="0.3">
      <c r="A1156">
        <v>1155</v>
      </c>
      <c r="B1156">
        <v>0.14814877831386322</v>
      </c>
      <c r="C1156">
        <v>7.8259050705188876E-2</v>
      </c>
      <c r="D1156">
        <v>0.52425290017594783</v>
      </c>
      <c r="E1156" s="10">
        <v>3.7198222752766953E-4</v>
      </c>
      <c r="F1156" s="10">
        <v>1.9527072908471612</v>
      </c>
      <c r="H1156">
        <v>0.50000000459623972</v>
      </c>
      <c r="I1156" s="11">
        <f t="shared" si="18"/>
        <v>6.9889727608674346E-2</v>
      </c>
      <c r="J1156" s="11">
        <f>1/(H1156*Utilities!$B$11)</f>
        <v>7.9999999264601653</v>
      </c>
      <c r="K1156" s="11">
        <f>IF(B1156&lt;C1156,1,EXP(-1*(B1156-C1156)/(Utilities!$B$11*IterData!H1156)))</f>
        <v>0.57171319783682817</v>
      </c>
    </row>
    <row r="1157" spans="1:11" x14ac:dyDescent="0.3">
      <c r="A1157">
        <v>1156</v>
      </c>
      <c r="B1157">
        <v>5.0364456975556172E-2</v>
      </c>
      <c r="C1157">
        <v>7.8259050705188876E-2</v>
      </c>
      <c r="D1157">
        <v>1</v>
      </c>
      <c r="E1157" s="10">
        <v>3.7198222752766953E-4</v>
      </c>
      <c r="F1157" s="10">
        <v>1.9527072908471612</v>
      </c>
      <c r="H1157">
        <v>0.50000000450522808</v>
      </c>
      <c r="I1157" s="11">
        <f t="shared" si="18"/>
        <v>-2.7894593729632704E-2</v>
      </c>
      <c r="J1157" s="11">
        <f>1/(H1157*Utilities!$B$11)</f>
        <v>7.9999999279163516</v>
      </c>
      <c r="K1157" s="11">
        <f>IF(B1157&lt;C1157,1,EXP(-1*(B1157-C1157)/(Utilities!$B$11*IterData!H1157)))</f>
        <v>1</v>
      </c>
    </row>
    <row r="1158" spans="1:11" x14ac:dyDescent="0.3">
      <c r="A1158">
        <v>1157</v>
      </c>
      <c r="B1158">
        <v>0.37648898005178077</v>
      </c>
      <c r="C1158">
        <v>5.0364456975556172E-2</v>
      </c>
      <c r="D1158">
        <v>4.8869169645497749E-2</v>
      </c>
      <c r="E1158" s="10">
        <v>4.2619305012960815E-4</v>
      </c>
      <c r="F1158" s="10">
        <v>1.9400888192876553</v>
      </c>
      <c r="H1158">
        <v>0.50000000441601855</v>
      </c>
      <c r="I1158" s="11">
        <f t="shared" si="18"/>
        <v>0.32612452307622458</v>
      </c>
      <c r="J1158" s="11">
        <f>1/(H1158*Utilities!$B$11)</f>
        <v>7.9999999293437041</v>
      </c>
      <c r="K1158" s="11">
        <f>IF(B1158&lt;C1158,1,EXP(-1*(B1158-C1158)/(Utilities!$B$11*IterData!H1158)))</f>
        <v>7.3608397626707747E-2</v>
      </c>
    </row>
    <row r="1159" spans="1:11" x14ac:dyDescent="0.3">
      <c r="A1159">
        <v>1158</v>
      </c>
      <c r="B1159">
        <v>0.26790448656034332</v>
      </c>
      <c r="C1159">
        <v>5.0364456975556172E-2</v>
      </c>
      <c r="D1159">
        <v>0.13328163721315414</v>
      </c>
      <c r="E1159" s="10">
        <v>4.2619305012960815E-4</v>
      </c>
      <c r="F1159" s="10">
        <v>1.9400888192876553</v>
      </c>
      <c r="H1159">
        <v>0.5000000043285755</v>
      </c>
      <c r="I1159" s="11">
        <f t="shared" si="18"/>
        <v>0.21754002958478716</v>
      </c>
      <c r="J1159" s="11">
        <f>1/(H1159*Utilities!$B$11)</f>
        <v>7.9999999307427929</v>
      </c>
      <c r="K1159" s="11">
        <f>IF(B1159&lt;C1159,1,EXP(-1*(B1159-C1159)/(Utilities!$B$11*IterData!H1159)))</f>
        <v>0.17546420418949346</v>
      </c>
    </row>
    <row r="1160" spans="1:11" x14ac:dyDescent="0.3">
      <c r="A1160">
        <v>1159</v>
      </c>
      <c r="B1160">
        <v>3.3630336078725898E-2</v>
      </c>
      <c r="C1160">
        <v>5.0364456975556172E-2</v>
      </c>
      <c r="D1160">
        <v>1</v>
      </c>
      <c r="E1160" s="10">
        <v>4.2619305012960815E-4</v>
      </c>
      <c r="F1160" s="10">
        <v>1.9400888192876553</v>
      </c>
      <c r="H1160">
        <v>0.50000000424286395</v>
      </c>
      <c r="I1160" s="11">
        <f t="shared" si="18"/>
        <v>-1.6734120896830275E-2</v>
      </c>
      <c r="J1160" s="11">
        <f>1/(H1160*Utilities!$B$11)</f>
        <v>7.9999999321141777</v>
      </c>
      <c r="K1160" s="11">
        <f>IF(B1160&lt;C1160,1,EXP(-1*(B1160-C1160)/(Utilities!$B$11*IterData!H1160)))</f>
        <v>1</v>
      </c>
    </row>
    <row r="1161" spans="1:11" x14ac:dyDescent="0.3">
      <c r="A1161">
        <v>1160</v>
      </c>
      <c r="B1161">
        <v>0.29492428861250308</v>
      </c>
      <c r="C1161">
        <v>3.3630336078725898E-2</v>
      </c>
      <c r="D1161">
        <v>8.8495120919189582E-2</v>
      </c>
      <c r="E1161" s="10">
        <v>4.1614778717985143E-4</v>
      </c>
      <c r="F1161" s="10">
        <v>2.0588998520620296</v>
      </c>
      <c r="H1161">
        <v>0.5000000041588496</v>
      </c>
      <c r="I1161" s="11">
        <f t="shared" si="18"/>
        <v>0.26129395253377719</v>
      </c>
      <c r="J1161" s="11">
        <f>1/(H1161*Utilities!$B$11)</f>
        <v>7.9999999334584073</v>
      </c>
      <c r="K1161" s="11">
        <f>IF(B1161&lt;C1161,1,EXP(-1*(B1161-C1161)/(Utilities!$B$11*IterData!H1161)))</f>
        <v>0.12364365470836369</v>
      </c>
    </row>
    <row r="1162" spans="1:11" x14ac:dyDescent="0.3">
      <c r="A1162">
        <v>1161</v>
      </c>
      <c r="B1162">
        <v>0.48674460917277484</v>
      </c>
      <c r="C1162">
        <v>3.3630336078725898E-2</v>
      </c>
      <c r="D1162">
        <v>1.4868277920631286E-2</v>
      </c>
      <c r="E1162" s="10">
        <v>4.1614778717985143E-4</v>
      </c>
      <c r="F1162" s="10">
        <v>2.0588998520620296</v>
      </c>
      <c r="H1162">
        <v>0.50000000407649892</v>
      </c>
      <c r="I1162" s="11">
        <f t="shared" si="18"/>
        <v>0.45311427309404895</v>
      </c>
      <c r="J1162" s="11">
        <f>1/(H1162*Utilities!$B$11)</f>
        <v>7.9999999347760182</v>
      </c>
      <c r="K1162" s="11">
        <f>IF(B1162&lt;C1162,1,EXP(-1*(B1162-C1162)/(Utilities!$B$11*IterData!H1162)))</f>
        <v>2.6651385121022966E-2</v>
      </c>
    </row>
    <row r="1163" spans="1:11" x14ac:dyDescent="0.3">
      <c r="A1163">
        <v>1162</v>
      </c>
      <c r="B1163">
        <v>0.6746744067276973</v>
      </c>
      <c r="C1163">
        <v>3.3630336078725898E-2</v>
      </c>
      <c r="D1163">
        <v>2.5821171052058745E-3</v>
      </c>
      <c r="E1163" s="10">
        <v>4.1614778717985143E-4</v>
      </c>
      <c r="F1163" s="10">
        <v>2.0588998520620296</v>
      </c>
      <c r="H1163">
        <v>0.50000000399577882</v>
      </c>
      <c r="I1163" s="11">
        <f t="shared" si="18"/>
        <v>0.6410440706489714</v>
      </c>
      <c r="J1163" s="11">
        <f>1/(H1163*Utilities!$B$11)</f>
        <v>7.9999999360675398</v>
      </c>
      <c r="K1163" s="11">
        <f>IF(B1163&lt;C1163,1,EXP(-1*(B1163-C1163)/(Utilities!$B$11*IterData!H1163)))</f>
        <v>5.9263158975385206E-3</v>
      </c>
    </row>
    <row r="1164" spans="1:11" x14ac:dyDescent="0.3">
      <c r="A1164">
        <v>1163</v>
      </c>
      <c r="B1164">
        <v>2.1292523928597871</v>
      </c>
      <c r="C1164">
        <v>3.3630336078725898E-2</v>
      </c>
      <c r="D1164">
        <v>3.4062036547325369E-9</v>
      </c>
      <c r="E1164" s="10">
        <v>4.1614778717985143E-4</v>
      </c>
      <c r="F1164" s="10">
        <v>2.0588998520620296</v>
      </c>
      <c r="H1164">
        <v>0.50000000391665711</v>
      </c>
      <c r="I1164" s="11">
        <f t="shared" si="18"/>
        <v>2.0956220567810613</v>
      </c>
      <c r="J1164" s="11">
        <f>1/(H1164*Utilities!$B$11)</f>
        <v>7.9999999373334871</v>
      </c>
      <c r="K1164" s="11">
        <f>IF(B1164&lt;C1164,1,EXP(-1*(B1164-C1164)/(Utilities!$B$11*IterData!H1164)))</f>
        <v>5.2367675123782975E-8</v>
      </c>
    </row>
    <row r="1165" spans="1:11" x14ac:dyDescent="0.3">
      <c r="A1165">
        <v>1164</v>
      </c>
      <c r="B1165">
        <v>0.64303643509824859</v>
      </c>
      <c r="C1165">
        <v>3.3630336078725898E-2</v>
      </c>
      <c r="D1165">
        <v>3.4313910348524523E-3</v>
      </c>
      <c r="E1165" s="10">
        <v>4.1614778717985143E-4</v>
      </c>
      <c r="F1165" s="10">
        <v>2.0588998520620296</v>
      </c>
      <c r="H1165">
        <v>0.50000000383910204</v>
      </c>
      <c r="I1165" s="11">
        <f t="shared" si="18"/>
        <v>0.6094060990195227</v>
      </c>
      <c r="J1165" s="11">
        <f>1/(H1165*Utilities!$B$11)</f>
        <v>7.9999999385743683</v>
      </c>
      <c r="K1165" s="11">
        <f>IF(B1165&lt;C1165,1,EXP(-1*(B1165-C1165)/(Utilities!$B$11*IterData!H1165)))</f>
        <v>7.6331951893183455E-3</v>
      </c>
    </row>
    <row r="1166" spans="1:11" x14ac:dyDescent="0.3">
      <c r="A1166">
        <v>1165</v>
      </c>
      <c r="B1166">
        <v>0.69060620377659054</v>
      </c>
      <c r="C1166">
        <v>3.3630336078725898E-2</v>
      </c>
      <c r="D1166">
        <v>2.1918375109477354E-3</v>
      </c>
      <c r="E1166" s="10">
        <v>4.1614778717985143E-4</v>
      </c>
      <c r="F1166" s="10">
        <v>2.0588998520620296</v>
      </c>
      <c r="H1166">
        <v>0.50000000376308273</v>
      </c>
      <c r="I1166" s="11">
        <f t="shared" si="18"/>
        <v>0.65697586769786465</v>
      </c>
      <c r="J1166" s="11">
        <f>1/(H1166*Utilities!$B$11)</f>
        <v>7.9999999397906771</v>
      </c>
      <c r="K1166" s="11">
        <f>IF(B1166&lt;C1166,1,EXP(-1*(B1166-C1166)/(Utilities!$B$11*IterData!H1166)))</f>
        <v>5.2171348764012112E-3</v>
      </c>
    </row>
    <row r="1167" spans="1:11" x14ac:dyDescent="0.3">
      <c r="A1167">
        <v>1166</v>
      </c>
      <c r="B1167">
        <v>0.65661343979402453</v>
      </c>
      <c r="C1167">
        <v>3.3630336078725898E-2</v>
      </c>
      <c r="D1167">
        <v>2.9938761838888221E-3</v>
      </c>
      <c r="E1167" s="10">
        <v>4.1614778717985143E-4</v>
      </c>
      <c r="F1167" s="10">
        <v>2.0588998520620296</v>
      </c>
      <c r="H1167">
        <v>0.50000000368856878</v>
      </c>
      <c r="I1167" s="11">
        <f t="shared" si="18"/>
        <v>0.62298310371529864</v>
      </c>
      <c r="J1167" s="11">
        <f>1/(H1167*Utilities!$B$11)</f>
        <v>7.9999999409828995</v>
      </c>
      <c r="K1167" s="11">
        <f>IF(B1167&lt;C1167,1,EXP(-1*(B1167-C1167)/(Utilities!$B$11*IterData!H1167)))</f>
        <v>6.8475470005200855E-3</v>
      </c>
    </row>
    <row r="1168" spans="1:11" x14ac:dyDescent="0.3">
      <c r="A1168">
        <v>1167</v>
      </c>
      <c r="B1168">
        <v>1.5428934396283678</v>
      </c>
      <c r="C1168">
        <v>3.3630336078725898E-2</v>
      </c>
      <c r="D1168">
        <v>7.5959515768540382E-7</v>
      </c>
      <c r="E1168" s="10">
        <v>4.1614778717985143E-4</v>
      </c>
      <c r="F1168" s="10">
        <v>2.0588998520620296</v>
      </c>
      <c r="H1168">
        <v>0.50000000361553021</v>
      </c>
      <c r="I1168" s="11">
        <f t="shared" si="18"/>
        <v>1.509263103549642</v>
      </c>
      <c r="J1168" s="11">
        <f>1/(H1168*Utilities!$B$11)</f>
        <v>7.9999999421515167</v>
      </c>
      <c r="K1168" s="11">
        <f>IF(B1168&lt;C1168,1,EXP(-1*(B1168-C1168)/(Utilities!$B$11*IterData!H1168)))</f>
        <v>5.7053584767314563E-6</v>
      </c>
    </row>
    <row r="1169" spans="1:11" x14ac:dyDescent="0.3">
      <c r="A1169">
        <v>1168</v>
      </c>
      <c r="B1169">
        <v>0.38796485151345894</v>
      </c>
      <c r="C1169">
        <v>3.3630336078725898E-2</v>
      </c>
      <c r="D1169">
        <v>3.64832623706371E-2</v>
      </c>
      <c r="E1169" s="10">
        <v>4.1614778717985143E-4</v>
      </c>
      <c r="F1169" s="10">
        <v>2.0588998520620296</v>
      </c>
      <c r="H1169">
        <v>0.50000000354393792</v>
      </c>
      <c r="I1169" s="11">
        <f t="shared" si="18"/>
        <v>0.35433451543473304</v>
      </c>
      <c r="J1169" s="11">
        <f>1/(H1169*Utilities!$B$11)</f>
        <v>7.9999999432969933</v>
      </c>
      <c r="K1169" s="11">
        <f>IF(B1169&lt;C1169,1,EXP(-1*(B1169-C1169)/(Utilities!$B$11*IterData!H1169)))</f>
        <v>5.8737547645951016E-2</v>
      </c>
    </row>
    <row r="1170" spans="1:11" x14ac:dyDescent="0.3">
      <c r="A1170">
        <v>1169</v>
      </c>
      <c r="B1170">
        <v>0.79590405042405621</v>
      </c>
      <c r="C1170">
        <v>3.3630336078725898E-2</v>
      </c>
      <c r="D1170">
        <v>8.0169387334001665E-4</v>
      </c>
      <c r="E1170" s="10">
        <v>4.1614778717985143E-4</v>
      </c>
      <c r="F1170" s="10">
        <v>2.0588998520620296</v>
      </c>
      <c r="H1170">
        <v>0.50000000347376317</v>
      </c>
      <c r="I1170" s="11">
        <f t="shared" si="18"/>
        <v>0.76227371434533031</v>
      </c>
      <c r="J1170" s="11">
        <f>1/(H1170*Utilities!$B$11)</f>
        <v>7.9999999444197893</v>
      </c>
      <c r="K1170" s="11">
        <f>IF(B1170&lt;C1170,1,EXP(-1*(B1170-C1170)/(Utilities!$B$11*IterData!H1170)))</f>
        <v>2.2469317223103996E-3</v>
      </c>
    </row>
    <row r="1171" spans="1:11" x14ac:dyDescent="0.3">
      <c r="A1171">
        <v>1170</v>
      </c>
      <c r="B1171">
        <v>0.30532714887239548</v>
      </c>
      <c r="C1171">
        <v>3.3630336078725898E-2</v>
      </c>
      <c r="D1171">
        <v>7.8623695899695104E-2</v>
      </c>
      <c r="E1171" s="10">
        <v>4.1614778717985143E-4</v>
      </c>
      <c r="F1171" s="10">
        <v>2.0588998520620296</v>
      </c>
      <c r="H1171">
        <v>0.50000000340497808</v>
      </c>
      <c r="I1171" s="11">
        <f t="shared" si="18"/>
        <v>0.27169681279366958</v>
      </c>
      <c r="J1171" s="11">
        <f>1/(H1171*Utilities!$B$11)</f>
        <v>7.9999999455203508</v>
      </c>
      <c r="K1171" s="11">
        <f>IF(B1171&lt;C1171,1,EXP(-1*(B1171-C1171)/(Utilities!$B$11*IterData!H1171)))</f>
        <v>0.11377021899416129</v>
      </c>
    </row>
    <row r="1172" spans="1:11" x14ac:dyDescent="0.3">
      <c r="A1172">
        <v>1171</v>
      </c>
      <c r="B1172">
        <v>0.45680657406188918</v>
      </c>
      <c r="C1172">
        <v>3.3630336078725898E-2</v>
      </c>
      <c r="D1172">
        <v>1.8981034719796886E-2</v>
      </c>
      <c r="E1172" s="10">
        <v>4.1614778717985143E-4</v>
      </c>
      <c r="F1172" s="10">
        <v>2.0588998520620296</v>
      </c>
      <c r="H1172">
        <v>0.50000000333755501</v>
      </c>
      <c r="I1172" s="11">
        <f t="shared" si="18"/>
        <v>0.42317623798316328</v>
      </c>
      <c r="J1172" s="11">
        <f>1/(H1172*Utilities!$B$11)</f>
        <v>7.9999999465991198</v>
      </c>
      <c r="K1172" s="11">
        <f>IF(B1172&lt;C1172,1,EXP(-1*(B1172-C1172)/(Utilities!$B$11*IterData!H1172)))</f>
        <v>3.3863759380073896E-2</v>
      </c>
    </row>
    <row r="1173" spans="1:11" x14ac:dyDescent="0.3">
      <c r="A1173">
        <v>1172</v>
      </c>
      <c r="B1173">
        <v>0.72816703381903947</v>
      </c>
      <c r="C1173">
        <v>3.3630336078725898E-2</v>
      </c>
      <c r="D1173">
        <v>1.4855413385579574E-3</v>
      </c>
      <c r="E1173" s="10">
        <v>4.1614778717985143E-4</v>
      </c>
      <c r="F1173" s="10">
        <v>2.0588998520620296</v>
      </c>
      <c r="H1173">
        <v>0.50000000327146699</v>
      </c>
      <c r="I1173" s="11">
        <f t="shared" si="18"/>
        <v>0.69453669774031357</v>
      </c>
      <c r="J1173" s="11">
        <f>1/(H1173*Utilities!$B$11)</f>
        <v>7.9999999476565282</v>
      </c>
      <c r="K1173" s="11">
        <f>IF(B1173&lt;C1173,1,EXP(-1*(B1173-C1173)/(Utilities!$B$11*IterData!H1173)))</f>
        <v>3.8630681815084718E-3</v>
      </c>
    </row>
    <row r="1174" spans="1:11" x14ac:dyDescent="0.3">
      <c r="A1174">
        <v>1173</v>
      </c>
      <c r="B1174">
        <v>0.24705544917003225</v>
      </c>
      <c r="C1174">
        <v>3.3630336078725898E-2</v>
      </c>
      <c r="D1174">
        <v>0.13495940514354335</v>
      </c>
      <c r="E1174" s="10">
        <v>4.1614778717985143E-4</v>
      </c>
      <c r="F1174" s="10">
        <v>2.0588998520620296</v>
      </c>
      <c r="H1174">
        <v>0.50000000320668758</v>
      </c>
      <c r="I1174" s="11">
        <f t="shared" si="18"/>
        <v>0.21342511309130635</v>
      </c>
      <c r="J1174" s="11">
        <f>1/(H1174*Utilities!$B$11)</f>
        <v>7.9999999486929987</v>
      </c>
      <c r="K1174" s="11">
        <f>IF(B1174&lt;C1174,1,EXP(-1*(B1174-C1174)/(Utilities!$B$11*IterData!H1174)))</f>
        <v>0.18133649345941782</v>
      </c>
    </row>
    <row r="1175" spans="1:11" x14ac:dyDescent="0.3">
      <c r="A1175">
        <v>1174</v>
      </c>
      <c r="B1175">
        <v>8.8358412347091408E-2</v>
      </c>
      <c r="C1175">
        <v>3.3630336078725898E-2</v>
      </c>
      <c r="D1175">
        <v>0.598094752204132</v>
      </c>
      <c r="E1175" s="10">
        <v>4.1614778717985143E-4</v>
      </c>
      <c r="F1175" s="10">
        <v>2.0588998520620296</v>
      </c>
      <c r="H1175">
        <v>0.50000000314319093</v>
      </c>
      <c r="I1175" s="11">
        <f t="shared" si="18"/>
        <v>5.4728076268365511E-2</v>
      </c>
      <c r="J1175" s="11">
        <f>1/(H1175*Utilities!$B$11)</f>
        <v>7.9999999497089451</v>
      </c>
      <c r="K1175" s="11">
        <f>IF(B1175&lt;C1175,1,EXP(-1*(B1175-C1175)/(Utilities!$B$11*IterData!H1175)))</f>
        <v>0.64543897815420614</v>
      </c>
    </row>
    <row r="1176" spans="1:11" x14ac:dyDescent="0.3">
      <c r="A1176">
        <v>1175</v>
      </c>
      <c r="B1176">
        <v>0.38779533255873999</v>
      </c>
      <c r="C1176">
        <v>3.3630336078725898E-2</v>
      </c>
      <c r="D1176">
        <v>3.5823508237565652E-2</v>
      </c>
      <c r="E1176" s="10">
        <v>4.1614778717985143E-4</v>
      </c>
      <c r="F1176" s="10">
        <v>2.0588998520620296</v>
      </c>
      <c r="H1176">
        <v>0.5000000030809516</v>
      </c>
      <c r="I1176" s="11">
        <f t="shared" si="18"/>
        <v>0.35416499648001409</v>
      </c>
      <c r="J1176" s="11">
        <f>1/(H1176*Utilities!$B$11)</f>
        <v>7.9999999507047743</v>
      </c>
      <c r="K1176" s="11">
        <f>IF(B1176&lt;C1176,1,EXP(-1*(B1176-C1176)/(Utilities!$B$11*IterData!H1176)))</f>
        <v>5.8817258550436798E-2</v>
      </c>
    </row>
    <row r="1177" spans="1:11" x14ac:dyDescent="0.3">
      <c r="A1177">
        <v>1176</v>
      </c>
      <c r="B1177">
        <v>0.1974453852589296</v>
      </c>
      <c r="C1177">
        <v>3.3630336078725898E-2</v>
      </c>
      <c r="D1177">
        <v>0.21412999965421503</v>
      </c>
      <c r="E1177" s="10">
        <v>4.1614778717985143E-4</v>
      </c>
      <c r="F1177" s="10">
        <v>2.0588998520620296</v>
      </c>
      <c r="H1177">
        <v>0.50000000301994463</v>
      </c>
      <c r="I1177" s="11">
        <f t="shared" si="18"/>
        <v>0.1638150491802037</v>
      </c>
      <c r="J1177" s="11">
        <f>1/(H1177*Utilities!$B$11)</f>
        <v>7.999999951680886</v>
      </c>
      <c r="K1177" s="11">
        <f>IF(B1177&lt;C1177,1,EXP(-1*(B1177-C1177)/(Utilities!$B$11*IterData!H1177)))</f>
        <v>0.26967968246010432</v>
      </c>
    </row>
    <row r="1178" spans="1:11" x14ac:dyDescent="0.3">
      <c r="A1178">
        <v>1177</v>
      </c>
      <c r="B1178">
        <v>0.42962282155774384</v>
      </c>
      <c r="C1178">
        <v>3.3630336078725898E-2</v>
      </c>
      <c r="D1178">
        <v>2.402488234818452E-2</v>
      </c>
      <c r="E1178" s="10">
        <v>4.1614778717985143E-4</v>
      </c>
      <c r="F1178" s="10">
        <v>2.0588998520620296</v>
      </c>
      <c r="H1178">
        <v>0.5000000029601458</v>
      </c>
      <c r="I1178" s="11">
        <f t="shared" si="18"/>
        <v>0.39599248547901794</v>
      </c>
      <c r="J1178" s="11">
        <f>1/(H1178*Utilities!$B$11)</f>
        <v>7.9999999526376673</v>
      </c>
      <c r="K1178" s="11">
        <f>IF(B1178&lt;C1178,1,EXP(-1*(B1178-C1178)/(Utilities!$B$11*IterData!H1178)))</f>
        <v>4.2090220178527891E-2</v>
      </c>
    </row>
    <row r="1179" spans="1:11" x14ac:dyDescent="0.3">
      <c r="A1179">
        <v>1178</v>
      </c>
      <c r="B1179">
        <v>0.15020912659357688</v>
      </c>
      <c r="C1179">
        <v>3.3630336078725898E-2</v>
      </c>
      <c r="D1179">
        <v>0.33332459119184665</v>
      </c>
      <c r="E1179" s="10">
        <v>4.1614778717985143E-4</v>
      </c>
      <c r="F1179" s="10">
        <v>2.0588998520620296</v>
      </c>
      <c r="H1179">
        <v>0.5000000029015309</v>
      </c>
      <c r="I1179" s="11">
        <f t="shared" si="18"/>
        <v>0.11657879051485098</v>
      </c>
      <c r="J1179" s="11">
        <f>1/(H1179*Utilities!$B$11)</f>
        <v>7.9999999535755055</v>
      </c>
      <c r="K1179" s="11">
        <f>IF(B1179&lt;C1179,1,EXP(-1*(B1179-C1179)/(Utilities!$B$11*IterData!H1179)))</f>
        <v>0.39351727204552933</v>
      </c>
    </row>
    <row r="1180" spans="1:11" x14ac:dyDescent="0.3">
      <c r="A1180">
        <v>1179</v>
      </c>
      <c r="B1180">
        <v>2.0171963482464772</v>
      </c>
      <c r="C1180">
        <v>0.15020912659357688</v>
      </c>
      <c r="D1180">
        <v>2.2507362152807669E-8</v>
      </c>
      <c r="E1180" s="10">
        <v>3.7267053978525861E-4</v>
      </c>
      <c r="F1180" s="10">
        <v>1.9166587113909503</v>
      </c>
      <c r="H1180">
        <v>0.50000000284407675</v>
      </c>
      <c r="I1180" s="11">
        <f t="shared" si="18"/>
        <v>1.8669872216529004</v>
      </c>
      <c r="J1180" s="11">
        <f>1/(H1180*Utilities!$B$11)</f>
        <v>7.999999954494772</v>
      </c>
      <c r="K1180" s="11">
        <f>IF(B1180&lt;C1180,1,EXP(-1*(B1180-C1180)/(Utilities!$B$11*IterData!H1180)))</f>
        <v>3.2615350627445536E-7</v>
      </c>
    </row>
    <row r="1181" spans="1:11" x14ac:dyDescent="0.3">
      <c r="A1181">
        <v>1180</v>
      </c>
      <c r="B1181">
        <v>0.50645342506948676</v>
      </c>
      <c r="C1181">
        <v>0.15020912659357688</v>
      </c>
      <c r="D1181">
        <v>3.463307395428044E-2</v>
      </c>
      <c r="E1181" s="10">
        <v>3.7267053978525861E-4</v>
      </c>
      <c r="F1181" s="10">
        <v>1.9166587113909503</v>
      </c>
      <c r="H1181">
        <v>0.50000000278776024</v>
      </c>
      <c r="I1181" s="11">
        <f t="shared" si="18"/>
        <v>0.35624429847590988</v>
      </c>
      <c r="J1181" s="11">
        <f>1/(H1181*Utilities!$B$11)</f>
        <v>7.9999999553958361</v>
      </c>
      <c r="K1181" s="11">
        <f>IF(B1181&lt;C1181,1,EXP(-1*(B1181-C1181)/(Utilities!$B$11*IterData!H1181)))</f>
        <v>5.7846960260509665E-2</v>
      </c>
    </row>
    <row r="1182" spans="1:11" x14ac:dyDescent="0.3">
      <c r="A1182">
        <v>1181</v>
      </c>
      <c r="B1182">
        <v>2.0054268732403746</v>
      </c>
      <c r="C1182">
        <v>0.15020912659357688</v>
      </c>
      <c r="D1182">
        <v>2.4414291118494661E-8</v>
      </c>
      <c r="E1182" s="10">
        <v>3.7267053978525861E-4</v>
      </c>
      <c r="F1182" s="10">
        <v>1.9166587113909503</v>
      </c>
      <c r="H1182">
        <v>0.50000000273255896</v>
      </c>
      <c r="I1182" s="11">
        <f t="shared" si="18"/>
        <v>1.8552177466467978</v>
      </c>
      <c r="J1182" s="11">
        <f>1/(H1182*Utilities!$B$11)</f>
        <v>7.9999999562790567</v>
      </c>
      <c r="K1182" s="11">
        <f>IF(B1182&lt;C1182,1,EXP(-1*(B1182-C1182)/(Utilities!$B$11*IterData!H1182)))</f>
        <v>3.5835493897283195E-7</v>
      </c>
    </row>
    <row r="1183" spans="1:11" x14ac:dyDescent="0.3">
      <c r="A1183">
        <v>1182</v>
      </c>
      <c r="B1183">
        <v>0.63012193326085786</v>
      </c>
      <c r="C1183">
        <v>0.15020912659357688</v>
      </c>
      <c r="D1183">
        <v>1.0694181445778597E-2</v>
      </c>
      <c r="E1183" s="10">
        <v>3.7267053978525861E-4</v>
      </c>
      <c r="F1183" s="10">
        <v>1.9166587113909503</v>
      </c>
      <c r="H1183">
        <v>0.50000000267845068</v>
      </c>
      <c r="I1183" s="11">
        <f t="shared" si="18"/>
        <v>0.47991280666728098</v>
      </c>
      <c r="J1183" s="11">
        <f>1/(H1183*Utilities!$B$11)</f>
        <v>7.9999999571447891</v>
      </c>
      <c r="K1183" s="11">
        <f>IF(B1183&lt;C1183,1,EXP(-1*(B1183-C1183)/(Utilities!$B$11*IterData!H1183)))</f>
        <v>2.1508599807620835E-2</v>
      </c>
    </row>
    <row r="1184" spans="1:11" x14ac:dyDescent="0.3">
      <c r="A1184">
        <v>1183</v>
      </c>
      <c r="B1184">
        <v>3.3999797719578131E-2</v>
      </c>
      <c r="C1184">
        <v>0.15020912659357688</v>
      </c>
      <c r="D1184">
        <v>1</v>
      </c>
      <c r="E1184" s="10">
        <v>3.7267053978525861E-4</v>
      </c>
      <c r="F1184" s="10">
        <v>1.9166587113909503</v>
      </c>
      <c r="H1184">
        <v>0.50000000262541378</v>
      </c>
      <c r="I1184" s="11">
        <f t="shared" si="18"/>
        <v>-0.11620932887399875</v>
      </c>
      <c r="J1184" s="11">
        <f>1/(H1184*Utilities!$B$11)</f>
        <v>7.9999999579933796</v>
      </c>
      <c r="K1184" s="11">
        <f>IF(B1184&lt;C1184,1,EXP(-1*(B1184-C1184)/(Utilities!$B$11*IterData!H1184)))</f>
        <v>1</v>
      </c>
    </row>
    <row r="1185" spans="1:11" x14ac:dyDescent="0.3">
      <c r="A1185">
        <v>1184</v>
      </c>
      <c r="B1185">
        <v>0.53935316883863116</v>
      </c>
      <c r="C1185">
        <v>3.3999797719578131E-2</v>
      </c>
      <c r="D1185">
        <v>8.3398745340529448E-3</v>
      </c>
      <c r="E1185" s="10">
        <v>3.9209758829453087E-4</v>
      </c>
      <c r="F1185" s="10">
        <v>2.0755912639314733</v>
      </c>
      <c r="H1185">
        <v>0.50000000257342714</v>
      </c>
      <c r="I1185" s="11">
        <f t="shared" si="18"/>
        <v>0.50535337111905299</v>
      </c>
      <c r="J1185" s="11">
        <f>1/(H1185*Utilities!$B$11)</f>
        <v>7.9999999588251658</v>
      </c>
      <c r="K1185" s="11">
        <f>IF(B1185&lt;C1185,1,EXP(-1*(B1185-C1185)/(Utilities!$B$11*IterData!H1185)))</f>
        <v>1.7547795523710705E-2</v>
      </c>
    </row>
    <row r="1186" spans="1:11" x14ac:dyDescent="0.3">
      <c r="A1186">
        <v>1185</v>
      </c>
      <c r="B1186">
        <v>0.48108311614578297</v>
      </c>
      <c r="C1186">
        <v>3.3999797719578131E-2</v>
      </c>
      <c r="D1186">
        <v>1.4431386340791412E-2</v>
      </c>
      <c r="E1186" s="10">
        <v>3.9209758829453087E-4</v>
      </c>
      <c r="F1186" s="10">
        <v>2.0755912639314733</v>
      </c>
      <c r="H1186">
        <v>0.50000000252246979</v>
      </c>
      <c r="I1186" s="11">
        <f t="shared" si="18"/>
        <v>0.44708331842620486</v>
      </c>
      <c r="J1186" s="11">
        <f>1/(H1186*Utilities!$B$11)</f>
        <v>7.9999999596404834</v>
      </c>
      <c r="K1186" s="11">
        <f>IF(B1186&lt;C1186,1,EXP(-1*(B1186-C1186)/(Utilities!$B$11*IterData!H1186)))</f>
        <v>2.7968776126780493E-2</v>
      </c>
    </row>
    <row r="1187" spans="1:11" x14ac:dyDescent="0.3">
      <c r="A1187">
        <v>1186</v>
      </c>
      <c r="B1187">
        <v>1.8265485578935235E-2</v>
      </c>
      <c r="C1187">
        <v>3.3999797719578131E-2</v>
      </c>
      <c r="D1187">
        <v>1</v>
      </c>
      <c r="E1187" s="10">
        <v>3.9209758829453087E-4</v>
      </c>
      <c r="F1187" s="10">
        <v>2.0755912639314733</v>
      </c>
      <c r="H1187">
        <v>0.50000000247252152</v>
      </c>
      <c r="I1187" s="11">
        <f t="shared" si="18"/>
        <v>-1.5734312140642897E-2</v>
      </c>
      <c r="J1187" s="11">
        <f>1/(H1187*Utilities!$B$11)</f>
        <v>7.9999999604396557</v>
      </c>
      <c r="K1187" s="11">
        <f>IF(B1187&lt;C1187,1,EXP(-1*(B1187-C1187)/(Utilities!$B$11*IterData!H1187)))</f>
        <v>1</v>
      </c>
    </row>
    <row r="1188" spans="1:11" x14ac:dyDescent="0.3">
      <c r="A1188">
        <v>1187</v>
      </c>
      <c r="B1188">
        <v>1.233247884897948</v>
      </c>
      <c r="C1188">
        <v>1.8265485578935235E-2</v>
      </c>
      <c r="D1188">
        <v>9.7575149278337199E-6</v>
      </c>
      <c r="E1188" s="10">
        <v>3.3141242403484972E-4</v>
      </c>
      <c r="F1188" s="10">
        <v>2.0932591436393069</v>
      </c>
      <c r="H1188">
        <v>0.50000000242356235</v>
      </c>
      <c r="I1188" s="11">
        <f t="shared" si="18"/>
        <v>1.2149823993190128</v>
      </c>
      <c r="J1188" s="11">
        <f>1/(H1188*Utilities!$B$11)</f>
        <v>7.9999999612230024</v>
      </c>
      <c r="K1188" s="11">
        <f>IF(B1188&lt;C1188,1,EXP(-1*(B1188-C1188)/(Utilities!$B$11*IterData!H1188)))</f>
        <v>6.007846215610742E-5</v>
      </c>
    </row>
    <row r="1189" spans="1:11" x14ac:dyDescent="0.3">
      <c r="A1189">
        <v>1188</v>
      </c>
      <c r="B1189">
        <v>0.10963148429697409</v>
      </c>
      <c r="C1189">
        <v>1.8265485578935235E-2</v>
      </c>
      <c r="D1189">
        <v>0.41964655920416483</v>
      </c>
      <c r="E1189" s="10">
        <v>3.3141242403484972E-4</v>
      </c>
      <c r="F1189" s="10">
        <v>2.0932591436393069</v>
      </c>
      <c r="H1189">
        <v>0.50000000237557263</v>
      </c>
      <c r="I1189" s="11">
        <f t="shared" si="18"/>
        <v>9.1365998718038854E-2</v>
      </c>
      <c r="J1189" s="11">
        <f>1/(H1189*Utilities!$B$11)</f>
        <v>7.999999961990838</v>
      </c>
      <c r="K1189" s="11">
        <f>IF(B1189&lt;C1189,1,EXP(-1*(B1189-C1189)/(Utilities!$B$11*IterData!H1189)))</f>
        <v>0.48146199259910011</v>
      </c>
    </row>
    <row r="1190" spans="1:11" x14ac:dyDescent="0.3">
      <c r="A1190">
        <v>1189</v>
      </c>
      <c r="B1190">
        <v>0.11822956830951832</v>
      </c>
      <c r="C1190">
        <v>1.8265485578935235E-2</v>
      </c>
      <c r="D1190">
        <v>0.38640920652966282</v>
      </c>
      <c r="E1190" s="10">
        <v>3.3141242403484972E-4</v>
      </c>
      <c r="F1190" s="10">
        <v>2.0932591436393069</v>
      </c>
      <c r="H1190">
        <v>0.50000000232853314</v>
      </c>
      <c r="I1190" s="11">
        <f t="shared" si="18"/>
        <v>9.996408273058309E-2</v>
      </c>
      <c r="J1190" s="11">
        <f>1/(H1190*Utilities!$B$11)</f>
        <v>7.9999999627434697</v>
      </c>
      <c r="K1190" s="11">
        <f>IF(B1190&lt;C1190,1,EXP(-1*(B1190-C1190)/(Utilities!$B$11*IterData!H1190)))</f>
        <v>0.44945809369763201</v>
      </c>
    </row>
    <row r="1191" spans="1:11" x14ac:dyDescent="0.3">
      <c r="A1191">
        <v>1190</v>
      </c>
      <c r="B1191">
        <v>0.45670623485419098</v>
      </c>
      <c r="C1191">
        <v>0.11822956830951832</v>
      </c>
      <c r="D1191">
        <v>3.9863352901194228E-2</v>
      </c>
      <c r="E1191" s="10">
        <v>4.3451856592933687E-4</v>
      </c>
      <c r="F1191" s="10">
        <v>2.1229298819403959</v>
      </c>
      <c r="H1191">
        <v>0.50000000228242503</v>
      </c>
      <c r="I1191" s="11">
        <f t="shared" si="18"/>
        <v>0.33847666654467268</v>
      </c>
      <c r="J1191" s="11">
        <f>1/(H1191*Utilities!$B$11)</f>
        <v>7.9999999634811996</v>
      </c>
      <c r="K1191" s="11">
        <f>IF(B1191&lt;C1191,1,EXP(-1*(B1191-C1191)/(Utilities!$B$11*IterData!H1191)))</f>
        <v>6.6682460610942323E-2</v>
      </c>
    </row>
    <row r="1192" spans="1:11" x14ac:dyDescent="0.3">
      <c r="A1192">
        <v>1191</v>
      </c>
      <c r="B1192">
        <v>5.5876264970309286E-2</v>
      </c>
      <c r="C1192">
        <v>0.11822956830951832</v>
      </c>
      <c r="D1192">
        <v>1</v>
      </c>
      <c r="E1192" s="10">
        <v>4.3451856592933687E-4</v>
      </c>
      <c r="F1192" s="10">
        <v>2.1229298819403959</v>
      </c>
      <c r="H1192">
        <v>0.50000000223723007</v>
      </c>
      <c r="I1192" s="11">
        <f t="shared" si="18"/>
        <v>-6.2353303339209035E-2</v>
      </c>
      <c r="J1192" s="11">
        <f>1/(H1192*Utilities!$B$11)</f>
        <v>7.9999999642043189</v>
      </c>
      <c r="K1192" s="11">
        <f>IF(B1192&lt;C1192,1,EXP(-1*(B1192-C1192)/(Utilities!$B$11*IterData!H1192)))</f>
        <v>1</v>
      </c>
    </row>
    <row r="1193" spans="1:11" x14ac:dyDescent="0.3">
      <c r="A1193">
        <v>1192</v>
      </c>
      <c r="B1193">
        <v>6.1269410400583757E-2</v>
      </c>
      <c r="C1193">
        <v>5.5876264970309286E-2</v>
      </c>
      <c r="D1193">
        <v>0.94987105555218421</v>
      </c>
      <c r="E1193" s="10">
        <v>3.5780892884382172E-4</v>
      </c>
      <c r="F1193" s="10">
        <v>2.1254088571095426</v>
      </c>
      <c r="H1193">
        <v>0.50000000219292995</v>
      </c>
      <c r="I1193" s="11">
        <f t="shared" si="18"/>
        <v>5.3931454302744708E-3</v>
      </c>
      <c r="J1193" s="11">
        <f>1/(H1193*Utilities!$B$11)</f>
        <v>7.9999999649131208</v>
      </c>
      <c r="K1193" s="11">
        <f>IF(B1193&lt;C1193,1,EXP(-1*(B1193-C1193)/(Utilities!$B$11*IterData!H1193)))</f>
        <v>0.95777234662583755</v>
      </c>
    </row>
    <row r="1194" spans="1:11" x14ac:dyDescent="0.3">
      <c r="A1194">
        <v>1193</v>
      </c>
      <c r="B1194">
        <v>0.18779023781077453</v>
      </c>
      <c r="C1194">
        <v>6.1269410400583757E-2</v>
      </c>
      <c r="D1194">
        <v>0.29893928942427023</v>
      </c>
      <c r="E1194" s="10">
        <v>4.153519057874187E-4</v>
      </c>
      <c r="F1194" s="10">
        <v>2.0904021622116704</v>
      </c>
      <c r="H1194">
        <v>0.50000000214950702</v>
      </c>
      <c r="I1194" s="11">
        <f t="shared" si="18"/>
        <v>0.12652082741019077</v>
      </c>
      <c r="J1194" s="11">
        <f>1/(H1194*Utilities!$B$11)</f>
        <v>7.9999999656078877</v>
      </c>
      <c r="K1194" s="11">
        <f>IF(B1194&lt;C1194,1,EXP(-1*(B1194-C1194)/(Utilities!$B$11*IterData!H1194)))</f>
        <v>0.36343071153752299</v>
      </c>
    </row>
    <row r="1195" spans="1:11" x14ac:dyDescent="0.3">
      <c r="A1195">
        <v>1194</v>
      </c>
      <c r="B1195">
        <v>0.30855958611059792</v>
      </c>
      <c r="C1195">
        <v>6.1269410400583757E-2</v>
      </c>
      <c r="D1195">
        <v>9.4220664939444795E-2</v>
      </c>
      <c r="E1195" s="10">
        <v>4.153519057874187E-4</v>
      </c>
      <c r="F1195" s="10">
        <v>2.0904021622116704</v>
      </c>
      <c r="H1195">
        <v>0.50000000210694384</v>
      </c>
      <c r="I1195" s="11">
        <f t="shared" si="18"/>
        <v>0.24729017571001416</v>
      </c>
      <c r="J1195" s="11">
        <f>1/(H1195*Utilities!$B$11)</f>
        <v>7.9999999662888985</v>
      </c>
      <c r="K1195" s="11">
        <f>IF(B1195&lt;C1195,1,EXP(-1*(B1195-C1195)/(Utilities!$B$11*IterData!H1195)))</f>
        <v>0.1383011953276034</v>
      </c>
    </row>
    <row r="1196" spans="1:11" x14ac:dyDescent="0.3">
      <c r="A1196">
        <v>1195</v>
      </c>
      <c r="B1196">
        <v>0.16575706733551684</v>
      </c>
      <c r="C1196">
        <v>6.1269410400583757E-2</v>
      </c>
      <c r="D1196">
        <v>0.36828359604726912</v>
      </c>
      <c r="E1196" s="10">
        <v>4.153519057874187E-4</v>
      </c>
      <c r="F1196" s="10">
        <v>2.0904021622116704</v>
      </c>
      <c r="H1196">
        <v>0.50000000206522366</v>
      </c>
      <c r="I1196" s="11">
        <f t="shared" si="18"/>
        <v>0.10448765693493309</v>
      </c>
      <c r="J1196" s="11">
        <f>1/(H1196*Utilities!$B$11)</f>
        <v>7.9999999669564215</v>
      </c>
      <c r="K1196" s="11">
        <f>IF(B1196&lt;C1196,1,EXP(-1*(B1196-C1196)/(Utilities!$B$11*IterData!H1196)))</f>
        <v>0.43348362733269569</v>
      </c>
    </row>
    <row r="1197" spans="1:11" x14ac:dyDescent="0.3">
      <c r="A1197">
        <v>1196</v>
      </c>
      <c r="B1197">
        <v>0.10126312791745617</v>
      </c>
      <c r="C1197">
        <v>0.16575706733551684</v>
      </c>
      <c r="D1197">
        <v>1</v>
      </c>
      <c r="E1197" s="10">
        <v>3.9755860602541394E-4</v>
      </c>
      <c r="F1197" s="10">
        <v>1.8949972225295053</v>
      </c>
      <c r="H1197">
        <v>0.50000000202432948</v>
      </c>
      <c r="I1197" s="11">
        <f t="shared" si="18"/>
        <v>-6.449393941806067E-2</v>
      </c>
      <c r="J1197" s="11">
        <f>1/(H1197*Utilities!$B$11)</f>
        <v>7.9999999676107283</v>
      </c>
      <c r="K1197" s="11">
        <f>IF(B1197&lt;C1197,1,EXP(-1*(B1197-C1197)/(Utilities!$B$11*IterData!H1197)))</f>
        <v>1</v>
      </c>
    </row>
    <row r="1198" spans="1:11" x14ac:dyDescent="0.3">
      <c r="A1198">
        <v>1197</v>
      </c>
      <c r="B1198">
        <v>4.8989950678316317E-2</v>
      </c>
      <c r="C1198">
        <v>0.10126312791745617</v>
      </c>
      <c r="D1198">
        <v>1</v>
      </c>
      <c r="E1198" s="10">
        <v>3.8943349517659863E-4</v>
      </c>
      <c r="F1198" s="10">
        <v>2.1406234645330535</v>
      </c>
      <c r="H1198">
        <v>0.50000000198424499</v>
      </c>
      <c r="I1198" s="11">
        <f t="shared" si="18"/>
        <v>-5.2273177239139858E-2</v>
      </c>
      <c r="J1198" s="11">
        <f>1/(H1198*Utilities!$B$11)</f>
        <v>7.9999999682520802</v>
      </c>
      <c r="K1198" s="11">
        <f>IF(B1198&lt;C1198,1,EXP(-1*(B1198-C1198)/(Utilities!$B$11*IterData!H1198)))</f>
        <v>1</v>
      </c>
    </row>
    <row r="1199" spans="1:11" x14ac:dyDescent="0.3">
      <c r="A1199">
        <v>1198</v>
      </c>
      <c r="B1199">
        <v>0.27455747326855495</v>
      </c>
      <c r="C1199">
        <v>4.8989950678316317E-2</v>
      </c>
      <c r="D1199">
        <v>0.11511321828572646</v>
      </c>
      <c r="E1199" s="10">
        <v>4.2044227742699602E-4</v>
      </c>
      <c r="F1199" s="10">
        <v>1.9445368187559495</v>
      </c>
      <c r="H1199">
        <v>0.50000000194495431</v>
      </c>
      <c r="I1199" s="11">
        <f t="shared" si="18"/>
        <v>0.22556752259023863</v>
      </c>
      <c r="J1199" s="11">
        <f>1/(H1199*Utilities!$B$11)</f>
        <v>7.9999999688807311</v>
      </c>
      <c r="K1199" s="11">
        <f>IF(B1199&lt;C1199,1,EXP(-1*(B1199-C1199)/(Utilities!$B$11*IterData!H1199)))</f>
        <v>0.16455010364849393</v>
      </c>
    </row>
    <row r="1200" spans="1:11" x14ac:dyDescent="0.3">
      <c r="A1200">
        <v>1199</v>
      </c>
      <c r="B1200">
        <v>1.821613327412527E-2</v>
      </c>
      <c r="C1200">
        <v>4.8989950678316317E-2</v>
      </c>
      <c r="D1200">
        <v>1</v>
      </c>
      <c r="E1200" s="10">
        <v>4.2044227742699602E-4</v>
      </c>
      <c r="F1200" s="10">
        <v>1.9445368187559495</v>
      </c>
      <c r="H1200">
        <v>0.50000000190644167</v>
      </c>
      <c r="I1200" s="11">
        <f t="shared" si="18"/>
        <v>-3.0773817404191047E-2</v>
      </c>
      <c r="J1200" s="11">
        <f>1/(H1200*Utilities!$B$11)</f>
        <v>7.9999999694969333</v>
      </c>
      <c r="K1200" s="11">
        <f>IF(B1200&lt;C1200,1,EXP(-1*(B1200-C1200)/(Utilities!$B$11*IterData!H1200)))</f>
        <v>1</v>
      </c>
    </row>
    <row r="1201" spans="1:11" x14ac:dyDescent="0.3">
      <c r="A1201">
        <v>1200</v>
      </c>
      <c r="B1201">
        <v>0.52185171688491649</v>
      </c>
      <c r="C1201">
        <v>1.821613327412527E-2</v>
      </c>
      <c r="D1201">
        <v>7.9474704400090395E-3</v>
      </c>
      <c r="E1201" s="10">
        <v>3.6889369028862191E-4</v>
      </c>
      <c r="F1201" s="10">
        <v>2.0631819906434661</v>
      </c>
      <c r="H1201">
        <v>0.50000000186869165</v>
      </c>
      <c r="I1201" s="11">
        <f t="shared" si="18"/>
        <v>0.50363558361079119</v>
      </c>
      <c r="J1201" s="11">
        <f>1/(H1201*Utilities!$B$11)</f>
        <v>7.9999999701009337</v>
      </c>
      <c r="K1201" s="11">
        <f>IF(B1201&lt;C1201,1,EXP(-1*(B1201-C1201)/(Utilities!$B$11*IterData!H1201)))</f>
        <v>1.7790607067000891E-2</v>
      </c>
    </row>
    <row r="1202" spans="1:11" x14ac:dyDescent="0.3">
      <c r="A1202">
        <v>1201</v>
      </c>
      <c r="B1202">
        <v>0.2341550514189471</v>
      </c>
      <c r="C1202">
        <v>1.821613327412527E-2</v>
      </c>
      <c r="D1202">
        <v>0.12558893600818904</v>
      </c>
      <c r="E1202" s="10">
        <v>3.6889369028862191E-4</v>
      </c>
      <c r="F1202" s="10">
        <v>2.0631819906434661</v>
      </c>
      <c r="H1202">
        <v>0.50000000183168902</v>
      </c>
      <c r="I1202" s="11">
        <f t="shared" si="18"/>
        <v>0.21593891814482183</v>
      </c>
      <c r="J1202" s="11">
        <f>1/(H1202*Utilities!$B$11)</f>
        <v>7.9999999706929756</v>
      </c>
      <c r="K1202" s="11">
        <f>IF(B1202&lt;C1202,1,EXP(-1*(B1202-C1202)/(Utilities!$B$11*IterData!H1202)))</f>
        <v>0.17772616025239929</v>
      </c>
    </row>
    <row r="1203" spans="1:11" x14ac:dyDescent="0.3">
      <c r="A1203">
        <v>1202</v>
      </c>
      <c r="B1203">
        <v>2.3233458774138096E-2</v>
      </c>
      <c r="C1203">
        <v>1.821613327412527E-2</v>
      </c>
      <c r="D1203">
        <v>0.95289877151555302</v>
      </c>
      <c r="E1203" s="10">
        <v>3.6889369028862191E-4</v>
      </c>
      <c r="F1203" s="10">
        <v>2.0631819906434661</v>
      </c>
      <c r="H1203">
        <v>0.50000000179541915</v>
      </c>
      <c r="I1203" s="11">
        <f t="shared" si="18"/>
        <v>5.0173255000128258E-3</v>
      </c>
      <c r="J1203" s="11">
        <f>1/(H1203*Utilities!$B$11)</f>
        <v>7.9999999712732937</v>
      </c>
      <c r="K1203" s="11">
        <f>IF(B1203&lt;C1203,1,EXP(-1*(B1203-C1203)/(Utilities!$B$11*IterData!H1203)))</f>
        <v>0.96065627925973063</v>
      </c>
    </row>
    <row r="1204" spans="1:11" x14ac:dyDescent="0.3">
      <c r="A1204">
        <v>1203</v>
      </c>
      <c r="B1204">
        <v>1.7902165777478078</v>
      </c>
      <c r="C1204">
        <v>2.3233458774138096E-2</v>
      </c>
      <c r="D1204">
        <v>4.1174550525232457E-8</v>
      </c>
      <c r="E1204" s="10">
        <v>4.0447566640660764E-4</v>
      </c>
      <c r="F1204" s="10">
        <v>2.0494251037271805</v>
      </c>
      <c r="H1204">
        <v>0.50000000175986747</v>
      </c>
      <c r="I1204" s="11">
        <f t="shared" si="18"/>
        <v>1.7669831189736698</v>
      </c>
      <c r="J1204" s="11">
        <f>1/(H1204*Utilities!$B$11)</f>
        <v>7.9999999718421204</v>
      </c>
      <c r="K1204" s="11">
        <f>IF(B1204&lt;C1204,1,EXP(-1*(B1204-C1204)/(Utilities!$B$11*IterData!H1204)))</f>
        <v>7.2589177605019256E-7</v>
      </c>
    </row>
    <row r="1205" spans="1:11" x14ac:dyDescent="0.3">
      <c r="A1205">
        <v>1204</v>
      </c>
      <c r="B1205">
        <v>1.7766399241542427E-2</v>
      </c>
      <c r="C1205">
        <v>2.3233458774138096E-2</v>
      </c>
      <c r="D1205">
        <v>1</v>
      </c>
      <c r="E1205" s="10">
        <v>4.0447566640660764E-4</v>
      </c>
      <c r="F1205" s="10">
        <v>2.0494251037271805</v>
      </c>
      <c r="H1205">
        <v>0.50000000172501979</v>
      </c>
      <c r="I1205" s="11">
        <f t="shared" si="18"/>
        <v>-5.4670595325956688E-3</v>
      </c>
      <c r="J1205" s="11">
        <f>1/(H1205*Utilities!$B$11)</f>
        <v>7.9999999723996833</v>
      </c>
      <c r="K1205" s="11">
        <f>IF(B1205&lt;C1205,1,EXP(-1*(B1205-C1205)/(Utilities!$B$11*IterData!H1205)))</f>
        <v>1</v>
      </c>
    </row>
    <row r="1206" spans="1:11" x14ac:dyDescent="0.3">
      <c r="A1206">
        <v>1205</v>
      </c>
      <c r="B1206">
        <v>2.1187570172618484</v>
      </c>
      <c r="C1206">
        <v>1.7766399241542427E-2</v>
      </c>
      <c r="D1206">
        <v>1.5995404155811657E-9</v>
      </c>
      <c r="E1206" s="10">
        <v>3.6356316239027442E-4</v>
      </c>
      <c r="F1206" s="10">
        <v>2.021265859061244</v>
      </c>
      <c r="H1206">
        <v>0.50000000169086212</v>
      </c>
      <c r="I1206" s="11">
        <f t="shared" si="18"/>
        <v>2.100990618020306</v>
      </c>
      <c r="J1206" s="11">
        <f>1/(H1206*Utilities!$B$11)</f>
        <v>7.9999999729462061</v>
      </c>
      <c r="K1206" s="11">
        <f>IF(B1206&lt;C1206,1,EXP(-1*(B1206-C1206)/(Utilities!$B$11*IterData!H1206)))</f>
        <v>5.01661727332609E-8</v>
      </c>
    </row>
    <row r="1207" spans="1:11" x14ac:dyDescent="0.3">
      <c r="A1207">
        <v>1206</v>
      </c>
      <c r="B1207">
        <v>0.28609591480023167</v>
      </c>
      <c r="C1207">
        <v>1.7766399241542427E-2</v>
      </c>
      <c r="D1207">
        <v>7.5106876672327696E-2</v>
      </c>
      <c r="E1207" s="10">
        <v>3.6356316239027442E-4</v>
      </c>
      <c r="F1207" s="10">
        <v>2.021265859061244</v>
      </c>
      <c r="H1207">
        <v>0.50000000165738079</v>
      </c>
      <c r="I1207" s="11">
        <f t="shared" si="18"/>
        <v>0.26832951555868922</v>
      </c>
      <c r="J1207" s="11">
        <f>1/(H1207*Utilities!$B$11)</f>
        <v>7.9999999734819074</v>
      </c>
      <c r="K1207" s="11">
        <f>IF(B1207&lt;C1207,1,EXP(-1*(B1207-C1207)/(Utilities!$B$11*IterData!H1207)))</f>
        <v>0.1168766566002529</v>
      </c>
    </row>
    <row r="1208" spans="1:11" x14ac:dyDescent="0.3">
      <c r="A1208">
        <v>1207</v>
      </c>
      <c r="B1208">
        <v>8.4042359671141015E-2</v>
      </c>
      <c r="C1208">
        <v>1.7766399241542427E-2</v>
      </c>
      <c r="D1208">
        <v>0.52731316189751365</v>
      </c>
      <c r="E1208" s="10">
        <v>3.6356316239027442E-4</v>
      </c>
      <c r="F1208" s="10">
        <v>2.021265859061244</v>
      </c>
      <c r="H1208">
        <v>0.50000000162456248</v>
      </c>
      <c r="I1208" s="11">
        <f t="shared" si="18"/>
        <v>6.6275960429598588E-2</v>
      </c>
      <c r="J1208" s="11">
        <f>1/(H1208*Utilities!$B$11)</f>
        <v>7.9999999740070002</v>
      </c>
      <c r="K1208" s="11">
        <f>IF(B1208&lt;C1208,1,EXP(-1*(B1208-C1208)/(Utilities!$B$11*IterData!H1208)))</f>
        <v>0.58848273988222388</v>
      </c>
    </row>
    <row r="1209" spans="1:11" x14ac:dyDescent="0.3">
      <c r="A1209">
        <v>1208</v>
      </c>
      <c r="B1209">
        <v>0.15547701052158369</v>
      </c>
      <c r="C1209">
        <v>1.7766399241542427E-2</v>
      </c>
      <c r="D1209">
        <v>0.2642564242756687</v>
      </c>
      <c r="E1209" s="10">
        <v>3.6356316239027442E-4</v>
      </c>
      <c r="F1209" s="10">
        <v>2.021265859061244</v>
      </c>
      <c r="H1209">
        <v>0.50000000159239399</v>
      </c>
      <c r="I1209" s="11">
        <f t="shared" si="18"/>
        <v>0.13771061128004125</v>
      </c>
      <c r="J1209" s="11">
        <f>1/(H1209*Utilities!$B$11)</f>
        <v>7.9999999745216961</v>
      </c>
      <c r="K1209" s="11">
        <f>IF(B1209&lt;C1209,1,EXP(-1*(B1209-C1209)/(Utilities!$B$11*IterData!H1209)))</f>
        <v>0.33231070584496442</v>
      </c>
    </row>
    <row r="1210" spans="1:11" x14ac:dyDescent="0.3">
      <c r="A1210">
        <v>1209</v>
      </c>
      <c r="B1210">
        <v>1.0564906164741108</v>
      </c>
      <c r="C1210">
        <v>1.7766399241542427E-2</v>
      </c>
      <c r="D1210">
        <v>4.3335404649693017E-5</v>
      </c>
      <c r="E1210" s="10">
        <v>3.6356316239027442E-4</v>
      </c>
      <c r="F1210" s="10">
        <v>2.021265859061244</v>
      </c>
      <c r="H1210">
        <v>0.50000000156086244</v>
      </c>
      <c r="I1210" s="11">
        <f t="shared" si="18"/>
        <v>1.0387242172325684</v>
      </c>
      <c r="J1210" s="11">
        <f>1/(H1210*Utilities!$B$11)</f>
        <v>7.999999975026201</v>
      </c>
      <c r="K1210" s="11">
        <f>IF(B1210&lt;C1210,1,EXP(-1*(B1210-C1210)/(Utilities!$B$11*IterData!H1210)))</f>
        <v>2.4609480455101785E-4</v>
      </c>
    </row>
    <row r="1211" spans="1:11" x14ac:dyDescent="0.3">
      <c r="A1211">
        <v>1210</v>
      </c>
      <c r="B1211">
        <v>0.44561818205998976</v>
      </c>
      <c r="C1211">
        <v>1.7766399241542427E-2</v>
      </c>
      <c r="D1211">
        <v>1.5897311930715929E-2</v>
      </c>
      <c r="E1211" s="10">
        <v>3.6356316239027442E-4</v>
      </c>
      <c r="F1211" s="10">
        <v>2.021265859061244</v>
      </c>
      <c r="H1211">
        <v>0.50000000152995527</v>
      </c>
      <c r="I1211" s="11">
        <f t="shared" si="18"/>
        <v>0.42785178281844732</v>
      </c>
      <c r="J1211" s="11">
        <f>1/(H1211*Utilities!$B$11)</f>
        <v>7.9999999755207156</v>
      </c>
      <c r="K1211" s="11">
        <f>IF(B1211&lt;C1211,1,EXP(-1*(B1211-C1211)/(Utilities!$B$11*IterData!H1211)))</f>
        <v>3.2620503321192741E-2</v>
      </c>
    </row>
    <row r="1212" spans="1:11" x14ac:dyDescent="0.3">
      <c r="A1212">
        <v>1211</v>
      </c>
      <c r="B1212">
        <v>0.38788322932464336</v>
      </c>
      <c r="C1212">
        <v>1.7766399241542427E-2</v>
      </c>
      <c r="D1212">
        <v>2.7717484955702431E-2</v>
      </c>
      <c r="E1212" s="10">
        <v>3.6356316239027442E-4</v>
      </c>
      <c r="F1212" s="10">
        <v>2.021265859061244</v>
      </c>
      <c r="H1212">
        <v>0.50000000149966017</v>
      </c>
      <c r="I1212" s="11">
        <f t="shared" si="18"/>
        <v>0.37011683008310092</v>
      </c>
      <c r="J1212" s="11">
        <f>1/(H1212*Utilities!$B$11)</f>
        <v>7.9999999760054372</v>
      </c>
      <c r="K1212" s="11">
        <f>IF(B1212&lt;C1212,1,EXP(-1*(B1212-C1212)/(Utilities!$B$11*IterData!H1212)))</f>
        <v>5.1770508191533067E-2</v>
      </c>
    </row>
    <row r="1213" spans="1:11" x14ac:dyDescent="0.3">
      <c r="A1213">
        <v>1212</v>
      </c>
      <c r="B1213">
        <v>0.26586605244334699</v>
      </c>
      <c r="C1213">
        <v>1.7766399241542427E-2</v>
      </c>
      <c r="D1213">
        <v>9.0213677299865985E-2</v>
      </c>
      <c r="E1213" s="10">
        <v>3.6356316239027442E-4</v>
      </c>
      <c r="F1213" s="10">
        <v>2.021265859061244</v>
      </c>
      <c r="H1213">
        <v>0.50000000146996493</v>
      </c>
      <c r="I1213" s="11">
        <f t="shared" si="18"/>
        <v>0.24809965320180455</v>
      </c>
      <c r="J1213" s="11">
        <f>1/(H1213*Utilities!$B$11)</f>
        <v>7.9999999764805612</v>
      </c>
      <c r="K1213" s="11">
        <f>IF(B1213&lt;C1213,1,EXP(-1*(B1213-C1213)/(Utilities!$B$11*IterData!H1213)))</f>
        <v>0.13740847501293252</v>
      </c>
    </row>
    <row r="1214" spans="1:11" x14ac:dyDescent="0.3">
      <c r="A1214">
        <v>1213</v>
      </c>
      <c r="B1214">
        <v>3.0981952318257046E-2</v>
      </c>
      <c r="C1214">
        <v>1.7766399241542427E-2</v>
      </c>
      <c r="D1214">
        <v>0.87963896152631682</v>
      </c>
      <c r="E1214" s="10">
        <v>3.6356316239027442E-4</v>
      </c>
      <c r="F1214" s="10">
        <v>2.021265859061244</v>
      </c>
      <c r="H1214">
        <v>0.50000000144085766</v>
      </c>
      <c r="I1214" s="11">
        <f t="shared" si="18"/>
        <v>1.3215553076714619E-2</v>
      </c>
      <c r="J1214" s="11">
        <f>1/(H1214*Utilities!$B$11)</f>
        <v>7.9999999769462775</v>
      </c>
      <c r="K1214" s="11">
        <f>IF(B1214&lt;C1214,1,EXP(-1*(B1214-C1214)/(Utilities!$B$11*IterData!H1214)))</f>
        <v>0.89967254179994904</v>
      </c>
    </row>
    <row r="1215" spans="1:11" x14ac:dyDescent="0.3">
      <c r="A1215">
        <v>1214</v>
      </c>
      <c r="B1215">
        <v>0.31786026849124488</v>
      </c>
      <c r="C1215">
        <v>3.0981952318257046E-2</v>
      </c>
      <c r="D1215">
        <v>6.1657389230412953E-2</v>
      </c>
      <c r="E1215" s="10">
        <v>3.6999709255833096E-4</v>
      </c>
      <c r="F1215" s="10">
        <v>2.0870219919058859</v>
      </c>
      <c r="H1215">
        <v>0.5000000014123267</v>
      </c>
      <c r="I1215" s="11">
        <f t="shared" si="18"/>
        <v>0.28687831617298781</v>
      </c>
      <c r="J1215" s="11">
        <f>1/(H1215*Utilities!$B$11)</f>
        <v>7.9999999774027728</v>
      </c>
      <c r="K1215" s="11">
        <f>IF(B1215&lt;C1215,1,EXP(-1*(B1215-C1215)/(Utilities!$B$11*IterData!H1215)))</f>
        <v>0.10075872081926115</v>
      </c>
    </row>
    <row r="1216" spans="1:11" x14ac:dyDescent="0.3">
      <c r="A1216">
        <v>1215</v>
      </c>
      <c r="B1216">
        <v>0.9773378785691591</v>
      </c>
      <c r="C1216">
        <v>3.0981952318257046E-2</v>
      </c>
      <c r="D1216">
        <v>1.0118302243440788E-4</v>
      </c>
      <c r="E1216" s="10">
        <v>3.6999709255833096E-4</v>
      </c>
      <c r="F1216" s="10">
        <v>2.0870219919058859</v>
      </c>
      <c r="H1216">
        <v>0.50000000138436074</v>
      </c>
      <c r="I1216" s="11">
        <f t="shared" si="18"/>
        <v>0.94635592625090204</v>
      </c>
      <c r="J1216" s="11">
        <f>1/(H1216*Utilities!$B$11)</f>
        <v>7.9999999778502282</v>
      </c>
      <c r="K1216" s="11">
        <f>IF(B1216&lt;C1216,1,EXP(-1*(B1216-C1216)/(Utilities!$B$11*IterData!H1216)))</f>
        <v>5.1525564157942159E-4</v>
      </c>
    </row>
    <row r="1217" spans="1:11" x14ac:dyDescent="0.3">
      <c r="A1217">
        <v>1216</v>
      </c>
      <c r="B1217">
        <v>0.45854593649101422</v>
      </c>
      <c r="C1217">
        <v>3.0981952318257046E-2</v>
      </c>
      <c r="D1217">
        <v>1.5617824407767798E-2</v>
      </c>
      <c r="E1217" s="10">
        <v>3.6999709255833096E-4</v>
      </c>
      <c r="F1217" s="10">
        <v>2.0870219919058859</v>
      </c>
      <c r="H1217">
        <v>0.50000000135694855</v>
      </c>
      <c r="I1217" s="11">
        <f t="shared" si="18"/>
        <v>0.42756398417275715</v>
      </c>
      <c r="J1217" s="11">
        <f>1/(H1217*Utilities!$B$11)</f>
        <v>7.9999999782888231</v>
      </c>
      <c r="K1217" s="11">
        <f>IF(B1217&lt;C1217,1,EXP(-1*(B1217-C1217)/(Utilities!$B$11*IterData!H1217)))</f>
        <v>3.2695694902656385E-2</v>
      </c>
    </row>
    <row r="1218" spans="1:11" x14ac:dyDescent="0.3">
      <c r="A1218">
        <v>1217</v>
      </c>
      <c r="B1218">
        <v>6.5765960899856729E-2</v>
      </c>
      <c r="C1218">
        <v>3.0981952318257046E-2</v>
      </c>
      <c r="D1218">
        <v>0.71272679647343296</v>
      </c>
      <c r="E1218" s="10">
        <v>3.6999709255833096E-4</v>
      </c>
      <c r="F1218" s="10">
        <v>2.0870219919058859</v>
      </c>
      <c r="H1218">
        <v>0.50000000133007927</v>
      </c>
      <c r="I1218" s="11">
        <f t="shared" si="18"/>
        <v>3.4784008581599683E-2</v>
      </c>
      <c r="J1218" s="11">
        <f>1/(H1218*Utilities!$B$11)</f>
        <v>7.9999999787187317</v>
      </c>
      <c r="K1218" s="11">
        <f>IF(B1218&lt;C1218,1,EXP(-1*(B1218-C1218)/(Utilities!$B$11*IterData!H1218)))</f>
        <v>0.75709081337429873</v>
      </c>
    </row>
    <row r="1219" spans="1:11" x14ac:dyDescent="0.3">
      <c r="A1219">
        <v>1218</v>
      </c>
      <c r="B1219">
        <v>0.46060009187217643</v>
      </c>
      <c r="C1219">
        <v>6.5765960899856729E-2</v>
      </c>
      <c r="D1219">
        <v>2.1338042591763001E-2</v>
      </c>
      <c r="E1219" s="10">
        <v>3.1273997089910176E-4</v>
      </c>
      <c r="F1219" s="10">
        <v>2.0028825503260026</v>
      </c>
      <c r="H1219">
        <v>0.50000000130374189</v>
      </c>
      <c r="I1219" s="11">
        <f t="shared" ref="I1219:I1282" si="19">B1219-C1219</f>
        <v>0.39483413097231967</v>
      </c>
      <c r="J1219" s="11">
        <f>1/(H1219*Utilities!$B$11)</f>
        <v>7.9999999791401297</v>
      </c>
      <c r="K1219" s="11">
        <f>IF(B1219&lt;C1219,1,EXP(-1*(B1219-C1219)/(Utilities!$B$11*IterData!H1219)))</f>
        <v>4.2482075729970759E-2</v>
      </c>
    </row>
    <row r="1220" spans="1:11" x14ac:dyDescent="0.3">
      <c r="A1220">
        <v>1219</v>
      </c>
      <c r="B1220">
        <v>0.19758239618969126</v>
      </c>
      <c r="C1220">
        <v>6.5765960899856729E-2</v>
      </c>
      <c r="D1220">
        <v>0.27651951726399648</v>
      </c>
      <c r="E1220" s="10">
        <v>3.1273997089910176E-4</v>
      </c>
      <c r="F1220" s="10">
        <v>2.0028825503260026</v>
      </c>
      <c r="H1220">
        <v>0.5000000012779261</v>
      </c>
      <c r="I1220" s="11">
        <f t="shared" si="19"/>
        <v>0.13181643528983453</v>
      </c>
      <c r="J1220" s="11">
        <f>1/(H1220*Utilities!$B$11)</f>
        <v>7.9999999795531824</v>
      </c>
      <c r="K1220" s="11">
        <f>IF(B1220&lt;C1220,1,EXP(-1*(B1220-C1220)/(Utilities!$B$11*IterData!H1220)))</f>
        <v>0.34835560077541383</v>
      </c>
    </row>
    <row r="1221" spans="1:11" x14ac:dyDescent="0.3">
      <c r="A1221">
        <v>1220</v>
      </c>
      <c r="B1221">
        <v>0.2739220547234375</v>
      </c>
      <c r="C1221">
        <v>0.19758239618969126</v>
      </c>
      <c r="D1221">
        <v>0.47469866514647147</v>
      </c>
      <c r="E1221" s="10">
        <v>3.7558922069054224E-4</v>
      </c>
      <c r="F1221" s="10">
        <v>1.8970878523222257</v>
      </c>
      <c r="H1221">
        <v>0.50000000125262145</v>
      </c>
      <c r="I1221" s="11">
        <f t="shared" si="19"/>
        <v>7.6339658533746246E-2</v>
      </c>
      <c r="J1221" s="11">
        <f>1/(H1221*Utilities!$B$11)</f>
        <v>7.9999999799580568</v>
      </c>
      <c r="K1221" s="11">
        <f>IF(B1221&lt;C1221,1,EXP(-1*(B1221-C1221)/(Utilities!$B$11*IterData!H1221)))</f>
        <v>0.54296128130385402</v>
      </c>
    </row>
    <row r="1222" spans="1:11" x14ac:dyDescent="0.3">
      <c r="A1222">
        <v>1221</v>
      </c>
      <c r="B1222">
        <v>0.3039747614071453</v>
      </c>
      <c r="C1222">
        <v>0.19758239618969126</v>
      </c>
      <c r="D1222">
        <v>0.35372318999664498</v>
      </c>
      <c r="E1222" s="10">
        <v>3.7558922069054224E-4</v>
      </c>
      <c r="F1222" s="10">
        <v>1.8970878523222257</v>
      </c>
      <c r="H1222">
        <v>0.50000000122781785</v>
      </c>
      <c r="I1222" s="11">
        <f t="shared" si="19"/>
        <v>0.10639236521745404</v>
      </c>
      <c r="J1222" s="11">
        <f>1/(H1222*Utilities!$B$11)</f>
        <v>7.9999999803549144</v>
      </c>
      <c r="K1222" s="11">
        <f>IF(B1222&lt;C1222,1,EXP(-1*(B1222-C1222)/(Utilities!$B$11*IterData!H1222)))</f>
        <v>0.42692841778708013</v>
      </c>
    </row>
    <row r="1223" spans="1:11" x14ac:dyDescent="0.3">
      <c r="A1223">
        <v>1222</v>
      </c>
      <c r="B1223">
        <v>4.1894291527100246E-2</v>
      </c>
      <c r="C1223">
        <v>0.19758239618969126</v>
      </c>
      <c r="D1223">
        <v>1</v>
      </c>
      <c r="E1223" s="10">
        <v>3.7558922069054224E-4</v>
      </c>
      <c r="F1223" s="10">
        <v>1.8970878523222257</v>
      </c>
      <c r="H1223">
        <v>0.50000000120350541</v>
      </c>
      <c r="I1223" s="11">
        <f t="shared" si="19"/>
        <v>-0.155688104662591</v>
      </c>
      <c r="J1223" s="11">
        <f>1/(H1223*Utilities!$B$11)</f>
        <v>7.9999999807439135</v>
      </c>
      <c r="K1223" s="11">
        <f>IF(B1223&lt;C1223,1,EXP(-1*(B1223-C1223)/(Utilities!$B$11*IterData!H1223)))</f>
        <v>1</v>
      </c>
    </row>
    <row r="1224" spans="1:11" x14ac:dyDescent="0.3">
      <c r="A1224">
        <v>1223</v>
      </c>
      <c r="B1224">
        <v>1.2953005334054798E-2</v>
      </c>
      <c r="C1224">
        <v>4.1894291527100246E-2</v>
      </c>
      <c r="D1224">
        <v>1</v>
      </c>
      <c r="E1224" s="10">
        <v>3.9654418585564959E-4</v>
      </c>
      <c r="F1224" s="10">
        <v>1.9651542489394838</v>
      </c>
      <c r="H1224">
        <v>0.50000000117967447</v>
      </c>
      <c r="I1224" s="11">
        <f t="shared" si="19"/>
        <v>-2.8941286193045448E-2</v>
      </c>
      <c r="J1224" s="11">
        <f>1/(H1224*Utilities!$B$11)</f>
        <v>7.9999999811252085</v>
      </c>
      <c r="K1224" s="11">
        <f>IF(B1224&lt;C1224,1,EXP(-1*(B1224-C1224)/(Utilities!$B$11*IterData!H1224)))</f>
        <v>1</v>
      </c>
    </row>
    <row r="1225" spans="1:11" x14ac:dyDescent="0.3">
      <c r="A1225">
        <v>1224</v>
      </c>
      <c r="B1225">
        <v>4.4457492348026775E-2</v>
      </c>
      <c r="C1225">
        <v>1.2953005334054798E-2</v>
      </c>
      <c r="D1225">
        <v>0.73455387552416818</v>
      </c>
      <c r="E1225" s="10">
        <v>3.1950837258512289E-4</v>
      </c>
      <c r="F1225" s="10">
        <v>2.0710053290157071</v>
      </c>
      <c r="H1225">
        <v>0.50000000115631538</v>
      </c>
      <c r="I1225" s="11">
        <f t="shared" si="19"/>
        <v>3.1504487013971974E-2</v>
      </c>
      <c r="J1225" s="11">
        <f>1/(H1225*Utilities!$B$11)</f>
        <v>7.999999981498954</v>
      </c>
      <c r="K1225" s="11">
        <f>IF(B1225&lt;C1225,1,EXP(-1*(B1225-C1225)/(Utilities!$B$11*IterData!H1225)))</f>
        <v>0.77721683895871041</v>
      </c>
    </row>
    <row r="1226" spans="1:11" x14ac:dyDescent="0.3">
      <c r="A1226">
        <v>1225</v>
      </c>
      <c r="B1226">
        <v>1.8845970412189557</v>
      </c>
      <c r="C1226">
        <v>4.4457492348026775E-2</v>
      </c>
      <c r="D1226">
        <v>1.4730177768832762E-8</v>
      </c>
      <c r="E1226" s="10">
        <v>2.8276740588690613E-4</v>
      </c>
      <c r="F1226" s="10">
        <v>2.1765745558323593</v>
      </c>
      <c r="H1226">
        <v>0.5000000011334188</v>
      </c>
      <c r="I1226" s="11">
        <f t="shared" si="19"/>
        <v>1.8401395488709289</v>
      </c>
      <c r="J1226" s="11">
        <f>1/(H1226*Utilities!$B$11)</f>
        <v>7.9999999818652991</v>
      </c>
      <c r="K1226" s="11">
        <f>IF(B1226&lt;C1226,1,EXP(-1*(B1226-C1226)/(Utilities!$B$11*IterData!H1226)))</f>
        <v>4.0429688799465239E-7</v>
      </c>
    </row>
    <row r="1227" spans="1:11" x14ac:dyDescent="0.3">
      <c r="A1227">
        <v>1226</v>
      </c>
      <c r="B1227">
        <v>0.11772519976156828</v>
      </c>
      <c r="C1227">
        <v>4.4457492348026775E-2</v>
      </c>
      <c r="D1227">
        <v>0.48742947156890298</v>
      </c>
      <c r="E1227" s="10">
        <v>2.8276740588690613E-4</v>
      </c>
      <c r="F1227" s="10">
        <v>2.1765745558323593</v>
      </c>
      <c r="H1227">
        <v>0.50000000111097553</v>
      </c>
      <c r="I1227" s="11">
        <f t="shared" si="19"/>
        <v>7.3267707413541508E-2</v>
      </c>
      <c r="J1227" s="11">
        <f>1/(H1227*Utilities!$B$11)</f>
        <v>7.9999999822243915</v>
      </c>
      <c r="K1227" s="11">
        <f>IF(B1227&lt;C1227,1,EXP(-1*(B1227-C1227)/(Utilities!$B$11*IterData!H1227)))</f>
        <v>0.55647020036790318</v>
      </c>
    </row>
    <row r="1228" spans="1:11" x14ac:dyDescent="0.3">
      <c r="A1228">
        <v>1227</v>
      </c>
      <c r="B1228">
        <v>0.14169475407212737</v>
      </c>
      <c r="C1228">
        <v>4.4457492348026775E-2</v>
      </c>
      <c r="D1228">
        <v>0.38501192967524134</v>
      </c>
      <c r="E1228" s="10">
        <v>2.8276740588690613E-4</v>
      </c>
      <c r="F1228" s="10">
        <v>2.1765745558323593</v>
      </c>
      <c r="H1228">
        <v>0.5000000010889768</v>
      </c>
      <c r="I1228" s="11">
        <f t="shared" si="19"/>
        <v>9.723726172410059E-2</v>
      </c>
      <c r="J1228" s="11">
        <f>1/(H1228*Utilities!$B$11)</f>
        <v>7.9999999825763712</v>
      </c>
      <c r="K1228" s="11">
        <f>IF(B1228&lt;C1228,1,EXP(-1*(B1228-C1228)/(Utilities!$B$11*IterData!H1228)))</f>
        <v>0.45937055185503345</v>
      </c>
    </row>
    <row r="1229" spans="1:11" x14ac:dyDescent="0.3">
      <c r="A1229">
        <v>1228</v>
      </c>
      <c r="B1229">
        <v>4.2500213374967039E-2</v>
      </c>
      <c r="C1229">
        <v>4.4457492348026775E-2</v>
      </c>
      <c r="D1229">
        <v>1</v>
      </c>
      <c r="E1229" s="10">
        <v>2.8276740588690613E-4</v>
      </c>
      <c r="F1229" s="10">
        <v>2.1765745558323593</v>
      </c>
      <c r="H1229">
        <v>0.5000000010674136</v>
      </c>
      <c r="I1229" s="11">
        <f t="shared" si="19"/>
        <v>-1.9572789730597367E-3</v>
      </c>
      <c r="J1229" s="11">
        <f>1/(H1229*Utilities!$B$11)</f>
        <v>7.9999999829213824</v>
      </c>
      <c r="K1229" s="11">
        <f>IF(B1229&lt;C1229,1,EXP(-1*(B1229-C1229)/(Utilities!$B$11*IterData!H1229)))</f>
        <v>1</v>
      </c>
    </row>
    <row r="1230" spans="1:11" x14ac:dyDescent="0.3">
      <c r="A1230">
        <v>1229</v>
      </c>
      <c r="B1230">
        <v>0.64460768542279212</v>
      </c>
      <c r="C1230">
        <v>4.2500213374967039E-2</v>
      </c>
      <c r="D1230">
        <v>2.6854132485588712E-3</v>
      </c>
      <c r="E1230" s="10">
        <v>3.3202593245571763E-4</v>
      </c>
      <c r="F1230" s="10">
        <v>2.0072749816545508</v>
      </c>
      <c r="H1230">
        <v>0.5000000010462774</v>
      </c>
      <c r="I1230" s="11">
        <f t="shared" si="19"/>
        <v>0.60210747204782511</v>
      </c>
      <c r="J1230" s="11">
        <f>1/(H1230*Utilities!$B$11)</f>
        <v>7.9999999832595616</v>
      </c>
      <c r="K1230" s="11">
        <f>IF(B1230&lt;C1230,1,EXP(-1*(B1230-C1230)/(Utilities!$B$11*IterData!H1230)))</f>
        <v>8.0921585511322842E-3</v>
      </c>
    </row>
    <row r="1231" spans="1:11" x14ac:dyDescent="0.3">
      <c r="A1231">
        <v>1230</v>
      </c>
      <c r="B1231">
        <v>1.3094005478642625</v>
      </c>
      <c r="C1231">
        <v>4.2500213374967039E-2</v>
      </c>
      <c r="D1231">
        <v>3.8543843483964888E-6</v>
      </c>
      <c r="E1231" s="10">
        <v>3.3202593245571763E-4</v>
      </c>
      <c r="F1231" s="10">
        <v>2.0072749816545508</v>
      </c>
      <c r="H1231">
        <v>0.50000000102555975</v>
      </c>
      <c r="I1231" s="11">
        <f t="shared" si="19"/>
        <v>1.2669003344892955</v>
      </c>
      <c r="J1231" s="11">
        <f>1/(H1231*Utilities!$B$11)</f>
        <v>7.999999983591044</v>
      </c>
      <c r="K1231" s="11">
        <f>IF(B1231&lt;C1231,1,EXP(-1*(B1231-C1231)/(Utilities!$B$11*IterData!H1231)))</f>
        <v>3.9658603189355145E-5</v>
      </c>
    </row>
    <row r="1232" spans="1:11" x14ac:dyDescent="0.3">
      <c r="A1232">
        <v>1231</v>
      </c>
      <c r="B1232">
        <v>2.0756120579607633</v>
      </c>
      <c r="C1232">
        <v>4.2500213374967039E-2</v>
      </c>
      <c r="D1232">
        <v>2.0161312085954709E-9</v>
      </c>
      <c r="E1232" s="10">
        <v>3.3202593245571763E-4</v>
      </c>
      <c r="F1232" s="10">
        <v>2.0072749816545508</v>
      </c>
      <c r="H1232">
        <v>0.50000000100525221</v>
      </c>
      <c r="I1232" s="11">
        <f t="shared" si="19"/>
        <v>2.0331118445857963</v>
      </c>
      <c r="J1232" s="11">
        <f>1/(H1232*Utilities!$B$11)</f>
        <v>7.9999999839159646</v>
      </c>
      <c r="K1232" s="11">
        <f>IF(B1232&lt;C1232,1,EXP(-1*(B1232-C1232)/(Utilities!$B$11*IterData!H1232)))</f>
        <v>8.6346745388912743E-8</v>
      </c>
    </row>
    <row r="1233" spans="1:11" x14ac:dyDescent="0.3">
      <c r="A1233">
        <v>1232</v>
      </c>
      <c r="B1233">
        <v>6.1204626698067421E-2</v>
      </c>
      <c r="C1233">
        <v>4.2500213374967039E-2</v>
      </c>
      <c r="D1233">
        <v>0.83164409729892563</v>
      </c>
      <c r="E1233" s="10">
        <v>3.3202593245571763E-4</v>
      </c>
      <c r="F1233" s="10">
        <v>2.0072749816545508</v>
      </c>
      <c r="H1233">
        <v>0.50000000098534692</v>
      </c>
      <c r="I1233" s="11">
        <f t="shared" si="19"/>
        <v>1.8704413323100383E-2</v>
      </c>
      <c r="J1233" s="11">
        <f>1/(H1233*Utilities!$B$11)</f>
        <v>7.9999999842344494</v>
      </c>
      <c r="K1233" s="11">
        <f>IF(B1233&lt;C1233,1,EXP(-1*(B1233-C1233)/(Utilities!$B$11*IterData!H1233)))</f>
        <v>0.86102192845496328</v>
      </c>
    </row>
    <row r="1234" spans="1:11" x14ac:dyDescent="0.3">
      <c r="A1234">
        <v>1233</v>
      </c>
      <c r="B1234">
        <v>0.56034685968981846</v>
      </c>
      <c r="C1234">
        <v>4.2500213374967039E-2</v>
      </c>
      <c r="D1234">
        <v>6.0479294246200358E-3</v>
      </c>
      <c r="E1234" s="10">
        <v>3.3202593245571763E-4</v>
      </c>
      <c r="F1234" s="10">
        <v>2.0072749816545508</v>
      </c>
      <c r="H1234">
        <v>0.50000000096583574</v>
      </c>
      <c r="I1234" s="11">
        <f t="shared" si="19"/>
        <v>0.51784664631485144</v>
      </c>
      <c r="J1234" s="11">
        <f>1/(H1234*Utilities!$B$11)</f>
        <v>7.9999999845466281</v>
      </c>
      <c r="K1234" s="11">
        <f>IF(B1234&lt;C1234,1,EXP(-1*(B1234-C1234)/(Utilities!$B$11*IterData!H1234)))</f>
        <v>1.5878756019798324E-2</v>
      </c>
    </row>
    <row r="1235" spans="1:11" x14ac:dyDescent="0.3">
      <c r="A1235">
        <v>1234</v>
      </c>
      <c r="B1235">
        <v>2.0866875450921276E-2</v>
      </c>
      <c r="C1235">
        <v>4.2500213374967039E-2</v>
      </c>
      <c r="D1235">
        <v>1</v>
      </c>
      <c r="E1235" s="10">
        <v>3.3202593245571763E-4</v>
      </c>
      <c r="F1235" s="10">
        <v>2.0072749816545508</v>
      </c>
      <c r="H1235">
        <v>0.50000000094671093</v>
      </c>
      <c r="I1235" s="11">
        <f t="shared" si="19"/>
        <v>-2.1633337924045763E-2</v>
      </c>
      <c r="J1235" s="11">
        <f>1/(H1235*Utilities!$B$11)</f>
        <v>7.9999999848526251</v>
      </c>
      <c r="K1235" s="11">
        <f>IF(B1235&lt;C1235,1,EXP(-1*(B1235-C1235)/(Utilities!$B$11*IterData!H1235)))</f>
        <v>1</v>
      </c>
    </row>
    <row r="1236" spans="1:11" x14ac:dyDescent="0.3">
      <c r="A1236">
        <v>1235</v>
      </c>
      <c r="B1236">
        <v>0.23537313001688689</v>
      </c>
      <c r="C1236">
        <v>2.0866875450921276E-2</v>
      </c>
      <c r="D1236">
        <v>0.12011306263232897</v>
      </c>
      <c r="E1236" s="10">
        <v>3.0967916773844297E-4</v>
      </c>
      <c r="F1236" s="10">
        <v>2.1179221489527276</v>
      </c>
      <c r="H1236">
        <v>0.50000000092796482</v>
      </c>
      <c r="I1236" s="11">
        <f t="shared" si="19"/>
        <v>0.21450625456596562</v>
      </c>
      <c r="J1236" s="11">
        <f>1/(H1236*Utilities!$B$11)</f>
        <v>7.9999999851525629</v>
      </c>
      <c r="K1236" s="11">
        <f>IF(B1236&lt;C1236,1,EXP(-1*(B1236-C1236)/(Utilities!$B$11*IterData!H1236)))</f>
        <v>0.17977485198244458</v>
      </c>
    </row>
    <row r="1237" spans="1:11" x14ac:dyDescent="0.3">
      <c r="A1237">
        <v>1236</v>
      </c>
      <c r="B1237">
        <v>0.47901535089169905</v>
      </c>
      <c r="C1237">
        <v>2.0866875450921276E-2</v>
      </c>
      <c r="D1237">
        <v>1.0778820695687441E-2</v>
      </c>
      <c r="E1237" s="10">
        <v>3.0967916773844297E-4</v>
      </c>
      <c r="F1237" s="10">
        <v>2.1179221489527276</v>
      </c>
      <c r="H1237">
        <v>0.50000000090958985</v>
      </c>
      <c r="I1237" s="11">
        <f t="shared" si="19"/>
        <v>0.4581484754407778</v>
      </c>
      <c r="J1237" s="11">
        <f>1/(H1237*Utilities!$B$11)</f>
        <v>7.9999999854465624</v>
      </c>
      <c r="K1237" s="11">
        <f>IF(B1237&lt;C1237,1,EXP(-1*(B1237-C1237)/(Utilities!$B$11*IterData!H1237)))</f>
        <v>2.5599363352250194E-2</v>
      </c>
    </row>
    <row r="1238" spans="1:11" x14ac:dyDescent="0.3">
      <c r="A1238">
        <v>1237</v>
      </c>
      <c r="B1238">
        <v>1.3464543421577719</v>
      </c>
      <c r="C1238">
        <v>2.0866875450921276E-2</v>
      </c>
      <c r="D1238">
        <v>2.008718609017243E-6</v>
      </c>
      <c r="E1238" s="10">
        <v>3.0967916773844297E-4</v>
      </c>
      <c r="F1238" s="10">
        <v>2.1179221489527276</v>
      </c>
      <c r="H1238">
        <v>0.50000000089157881</v>
      </c>
      <c r="I1238" s="11">
        <f t="shared" si="19"/>
        <v>1.3255874667068506</v>
      </c>
      <c r="J1238" s="11">
        <f>1/(H1238*Utilities!$B$11)</f>
        <v>7.999999985734739</v>
      </c>
      <c r="K1238" s="11">
        <f>IF(B1238&lt;C1238,1,EXP(-1*(B1238-C1238)/(Utilities!$B$11*IterData!H1238)))</f>
        <v>2.4799186326548301E-5</v>
      </c>
    </row>
    <row r="1239" spans="1:11" x14ac:dyDescent="0.3">
      <c r="A1239">
        <v>1238</v>
      </c>
      <c r="B1239">
        <v>0.50176461715405518</v>
      </c>
      <c r="C1239">
        <v>2.0866875450921276E-2</v>
      </c>
      <c r="D1239">
        <v>8.5415633531724933E-3</v>
      </c>
      <c r="E1239" s="10">
        <v>3.0967916773844297E-4</v>
      </c>
      <c r="F1239" s="10">
        <v>2.1179221489527276</v>
      </c>
      <c r="H1239">
        <v>0.50000000087392438</v>
      </c>
      <c r="I1239" s="11">
        <f t="shared" si="19"/>
        <v>0.48089774170313393</v>
      </c>
      <c r="J1239" s="11">
        <f>1/(H1239*Utilities!$B$11)</f>
        <v>7.99999998601721</v>
      </c>
      <c r="K1239" s="11">
        <f>IF(B1239&lt;C1239,1,EXP(-1*(B1239-C1239)/(Utilities!$B$11*IterData!H1239)))</f>
        <v>2.1339788867517848E-2</v>
      </c>
    </row>
    <row r="1240" spans="1:11" x14ac:dyDescent="0.3">
      <c r="A1240">
        <v>1239</v>
      </c>
      <c r="B1240">
        <v>0.15704421881371486</v>
      </c>
      <c r="C1240">
        <v>2.0866875450921276E-2</v>
      </c>
      <c r="D1240">
        <v>0.25929475216805348</v>
      </c>
      <c r="E1240" s="10">
        <v>3.0967916773844297E-4</v>
      </c>
      <c r="F1240" s="10">
        <v>2.1179221489527276</v>
      </c>
      <c r="H1240">
        <v>0.50000000085661944</v>
      </c>
      <c r="I1240" s="11">
        <f t="shared" si="19"/>
        <v>0.13617734336279358</v>
      </c>
      <c r="J1240" s="11">
        <f>1/(H1240*Utilities!$B$11)</f>
        <v>7.9999999862940889</v>
      </c>
      <c r="K1240" s="11">
        <f>IF(B1240&lt;C1240,1,EXP(-1*(B1240-C1240)/(Utilities!$B$11*IterData!H1240)))</f>
        <v>0.33641197802031797</v>
      </c>
    </row>
    <row r="1241" spans="1:11" x14ac:dyDescent="0.3">
      <c r="A1241">
        <v>1240</v>
      </c>
      <c r="B1241">
        <v>4.0405690785291208E-2</v>
      </c>
      <c r="C1241">
        <v>2.0866875450921276E-2</v>
      </c>
      <c r="D1241">
        <v>0.82380201764412198</v>
      </c>
      <c r="E1241" s="10">
        <v>3.0967916773844297E-4</v>
      </c>
      <c r="F1241" s="10">
        <v>2.1179221489527276</v>
      </c>
      <c r="H1241">
        <v>0.50000000083965723</v>
      </c>
      <c r="I1241" s="11">
        <f t="shared" si="19"/>
        <v>1.9538815334369932E-2</v>
      </c>
      <c r="J1241" s="11">
        <f>1/(H1241*Utilities!$B$11)</f>
        <v>7.9999999865654843</v>
      </c>
      <c r="K1241" s="11">
        <f>IF(B1241&lt;C1241,1,EXP(-1*(B1241-C1241)/(Utilities!$B$11*IterData!H1241)))</f>
        <v>0.85529356131124057</v>
      </c>
    </row>
    <row r="1242" spans="1:11" x14ac:dyDescent="0.3">
      <c r="A1242">
        <v>1241</v>
      </c>
      <c r="B1242">
        <v>4.8706680394990702E-2</v>
      </c>
      <c r="C1242">
        <v>4.0405690785291208E-2</v>
      </c>
      <c r="D1242">
        <v>0.9208922658956129</v>
      </c>
      <c r="E1242" s="10">
        <v>2.7517788734730266E-4</v>
      </c>
      <c r="F1242" s="10">
        <v>2.0547644222304351</v>
      </c>
      <c r="H1242">
        <v>0.50000000082303098</v>
      </c>
      <c r="I1242" s="11">
        <f t="shared" si="19"/>
        <v>8.300989609699494E-3</v>
      </c>
      <c r="J1242" s="11">
        <f>1/(H1242*Utilities!$B$11)</f>
        <v>7.9999999868315044</v>
      </c>
      <c r="K1242" s="11">
        <f>IF(B1242&lt;C1242,1,EXP(-1*(B1242-C1242)/(Utilities!$B$11*IterData!H1242)))</f>
        <v>0.93574907868843438</v>
      </c>
    </row>
    <row r="1243" spans="1:11" x14ac:dyDescent="0.3">
      <c r="A1243">
        <v>1242</v>
      </c>
      <c r="B1243">
        <v>1.6672699851956887</v>
      </c>
      <c r="C1243">
        <v>4.8706680394990702E-2</v>
      </c>
      <c r="D1243">
        <v>1.036708385961915E-7</v>
      </c>
      <c r="E1243" s="10">
        <v>3.6296283458780694E-4</v>
      </c>
      <c r="F1243" s="10">
        <v>1.9801208555036947</v>
      </c>
      <c r="H1243">
        <v>0.50000000080673379</v>
      </c>
      <c r="I1243" s="11">
        <f t="shared" si="19"/>
        <v>1.618563304800698</v>
      </c>
      <c r="J1243" s="11">
        <f>1/(H1243*Utilities!$B$11)</f>
        <v>7.9999999870922593</v>
      </c>
      <c r="K1243" s="11">
        <f>IF(B1243&lt;C1243,1,EXP(-1*(B1243-C1243)/(Utilities!$B$11*IterData!H1243)))</f>
        <v>2.3797707046323445E-6</v>
      </c>
    </row>
    <row r="1244" spans="1:11" x14ac:dyDescent="0.3">
      <c r="A1244">
        <v>1243</v>
      </c>
      <c r="B1244">
        <v>0.62855167987582594</v>
      </c>
      <c r="C1244">
        <v>4.8706680394990702E-2</v>
      </c>
      <c r="D1244">
        <v>3.1323283608548922E-3</v>
      </c>
      <c r="E1244" s="10">
        <v>3.6296283458780694E-4</v>
      </c>
      <c r="F1244" s="10">
        <v>1.9801208555036947</v>
      </c>
      <c r="H1244">
        <v>0.50000000079075946</v>
      </c>
      <c r="I1244" s="11">
        <f t="shared" si="19"/>
        <v>0.57984499948083523</v>
      </c>
      <c r="J1244" s="11">
        <f>1/(H1244*Utilities!$B$11)</f>
        <v>7.9999999873478487</v>
      </c>
      <c r="K1244" s="11">
        <f>IF(B1244&lt;C1244,1,EXP(-1*(B1244-C1244)/(Utilities!$B$11*IterData!H1244)))</f>
        <v>9.6696807116045461E-3</v>
      </c>
    </row>
    <row r="1245" spans="1:11" x14ac:dyDescent="0.3">
      <c r="A1245">
        <v>1244</v>
      </c>
      <c r="B1245">
        <v>0.16956212593978864</v>
      </c>
      <c r="C1245">
        <v>4.8706680394990702E-2</v>
      </c>
      <c r="D1245">
        <v>0.30036604677416529</v>
      </c>
      <c r="E1245" s="10">
        <v>3.6296283458780694E-4</v>
      </c>
      <c r="F1245" s="10">
        <v>1.9801208555036947</v>
      </c>
      <c r="H1245">
        <v>0.50000000077510132</v>
      </c>
      <c r="I1245" s="11">
        <f t="shared" si="19"/>
        <v>0.12085544554479793</v>
      </c>
      <c r="J1245" s="11">
        <f>1/(H1245*Utilities!$B$11)</f>
        <v>7.9999999875983789</v>
      </c>
      <c r="K1245" s="11">
        <f>IF(B1245&lt;C1245,1,EXP(-1*(B1245-C1245)/(Utilities!$B$11*IterData!H1245)))</f>
        <v>0.3802814802928744</v>
      </c>
    </row>
    <row r="1246" spans="1:11" x14ac:dyDescent="0.3">
      <c r="A1246">
        <v>1245</v>
      </c>
      <c r="B1246">
        <v>0.15159866787824589</v>
      </c>
      <c r="C1246">
        <v>0.16956212593978864</v>
      </c>
      <c r="D1246">
        <v>1</v>
      </c>
      <c r="E1246" s="10">
        <v>3.5912717604473455E-4</v>
      </c>
      <c r="F1246" s="10">
        <v>2.2075552215189536</v>
      </c>
      <c r="H1246">
        <v>0.50000000075975326</v>
      </c>
      <c r="I1246" s="11">
        <f t="shared" si="19"/>
        <v>-1.7963458061542759E-2</v>
      </c>
      <c r="J1246" s="11">
        <f>1/(H1246*Utilities!$B$11)</f>
        <v>7.9999999878439478</v>
      </c>
      <c r="K1246" s="11">
        <f>IF(B1246&lt;C1246,1,EXP(-1*(B1246-C1246)/(Utilities!$B$11*IterData!H1246)))</f>
        <v>1</v>
      </c>
    </row>
    <row r="1247" spans="1:11" x14ac:dyDescent="0.3">
      <c r="A1247">
        <v>1246</v>
      </c>
      <c r="B1247">
        <v>0.14434237801182656</v>
      </c>
      <c r="C1247">
        <v>0.15159866787824589</v>
      </c>
      <c r="D1247">
        <v>1</v>
      </c>
      <c r="E1247" s="10">
        <v>3.2468454422062955E-4</v>
      </c>
      <c r="F1247" s="10">
        <v>1.9492519784869031</v>
      </c>
      <c r="H1247">
        <v>0.50000000074470918</v>
      </c>
      <c r="I1247" s="11">
        <f t="shared" si="19"/>
        <v>-7.2562898664193243E-3</v>
      </c>
      <c r="J1247" s="11">
        <f>1/(H1247*Utilities!$B$11)</f>
        <v>7.9999999880846531</v>
      </c>
      <c r="K1247" s="11">
        <f>IF(B1247&lt;C1247,1,EXP(-1*(B1247-C1247)/(Utilities!$B$11*IterData!H1247)))</f>
        <v>1</v>
      </c>
    </row>
    <row r="1248" spans="1:11" x14ac:dyDescent="0.3">
      <c r="A1248">
        <v>1247</v>
      </c>
      <c r="B1248">
        <v>0.14529992470669806</v>
      </c>
      <c r="C1248">
        <v>0.14434237801182656</v>
      </c>
      <c r="D1248">
        <v>0.99049299424743542</v>
      </c>
      <c r="E1248" s="10">
        <v>2.8836458253358001E-4</v>
      </c>
      <c r="F1248" s="10">
        <v>1.9808694543629668</v>
      </c>
      <c r="H1248">
        <v>0.50000000072996298</v>
      </c>
      <c r="I1248" s="11">
        <f t="shared" si="19"/>
        <v>9.5754669487149724E-4</v>
      </c>
      <c r="J1248" s="11">
        <f>1/(H1248*Utilities!$B$11)</f>
        <v>7.9999999883205923</v>
      </c>
      <c r="K1248" s="11">
        <f>IF(B1248&lt;C1248,1,EXP(-1*(B1248-C1248)/(Utilities!$B$11*IterData!H1248)))</f>
        <v>0.99236889233677472</v>
      </c>
    </row>
    <row r="1249" spans="1:11" x14ac:dyDescent="0.3">
      <c r="A1249">
        <v>1248</v>
      </c>
      <c r="B1249">
        <v>3.7960594510911508E-2</v>
      </c>
      <c r="C1249">
        <v>0.14529992470669806</v>
      </c>
      <c r="D1249">
        <v>1</v>
      </c>
      <c r="E1249" s="10">
        <v>3.0394940509448809E-4</v>
      </c>
      <c r="F1249" s="10">
        <v>2.2378854490484721</v>
      </c>
      <c r="H1249">
        <v>0.50000000071550876</v>
      </c>
      <c r="I1249" s="11">
        <f t="shared" si="19"/>
        <v>-0.10733933019578655</v>
      </c>
      <c r="J1249" s="11">
        <f>1/(H1249*Utilities!$B$11)</f>
        <v>7.9999999885518598</v>
      </c>
      <c r="K1249" s="11">
        <f>IF(B1249&lt;C1249,1,EXP(-1*(B1249-C1249)/(Utilities!$B$11*IterData!H1249)))</f>
        <v>1</v>
      </c>
    </row>
    <row r="1250" spans="1:11" x14ac:dyDescent="0.3">
      <c r="A1250">
        <v>1249</v>
      </c>
      <c r="B1250">
        <v>1.2132365523377735</v>
      </c>
      <c r="C1250">
        <v>3.7960594510911508E-2</v>
      </c>
      <c r="D1250">
        <v>7.9419052614111875E-6</v>
      </c>
      <c r="E1250" s="10">
        <v>3.2303704712143195E-4</v>
      </c>
      <c r="F1250" s="10">
        <v>2.0184512796692879</v>
      </c>
      <c r="H1250">
        <v>0.50000000070134065</v>
      </c>
      <c r="I1250" s="11">
        <f t="shared" si="19"/>
        <v>1.1752759578268619</v>
      </c>
      <c r="J1250" s="11">
        <f>1/(H1250*Utilities!$B$11)</f>
        <v>7.9999999887785496</v>
      </c>
      <c r="K1250" s="11">
        <f>IF(B1250&lt;C1250,1,EXP(-1*(B1250-C1250)/(Utilities!$B$11*IterData!H1250)))</f>
        <v>8.2541641259278637E-5</v>
      </c>
    </row>
    <row r="1251" spans="1:11" x14ac:dyDescent="0.3">
      <c r="A1251">
        <v>1250</v>
      </c>
      <c r="B1251">
        <v>0.27329943597011924</v>
      </c>
      <c r="C1251">
        <v>3.7960594510911508E-2</v>
      </c>
      <c r="D1251">
        <v>9.5046559127891478E-2</v>
      </c>
      <c r="E1251" s="10">
        <v>3.2303704712143195E-4</v>
      </c>
      <c r="F1251" s="10">
        <v>2.0184512796692879</v>
      </c>
      <c r="H1251">
        <v>0.50000000068745321</v>
      </c>
      <c r="I1251" s="11">
        <f t="shared" si="19"/>
        <v>0.23533884145920775</v>
      </c>
      <c r="J1251" s="11">
        <f>1/(H1251*Utilities!$B$11)</f>
        <v>7.9999999890007487</v>
      </c>
      <c r="K1251" s="11">
        <f>IF(B1251&lt;C1251,1,EXP(-1*(B1251-C1251)/(Utilities!$B$11*IterData!H1251)))</f>
        <v>0.15217703543291772</v>
      </c>
    </row>
    <row r="1252" spans="1:11" x14ac:dyDescent="0.3">
      <c r="A1252">
        <v>1251</v>
      </c>
      <c r="B1252">
        <v>1.6675987936047538E-2</v>
      </c>
      <c r="C1252">
        <v>3.7960594510911508E-2</v>
      </c>
      <c r="D1252">
        <v>1</v>
      </c>
      <c r="E1252" s="10">
        <v>3.2303704712143195E-4</v>
      </c>
      <c r="F1252" s="10">
        <v>2.0184512796692879</v>
      </c>
      <c r="H1252">
        <v>0.50000000067384076</v>
      </c>
      <c r="I1252" s="11">
        <f t="shared" si="19"/>
        <v>-2.128460657486397E-2</v>
      </c>
      <c r="J1252" s="11">
        <f>1/(H1252*Utilities!$B$11)</f>
        <v>7.9999999892185478</v>
      </c>
      <c r="K1252" s="11">
        <f>IF(B1252&lt;C1252,1,EXP(-1*(B1252-C1252)/(Utilities!$B$11*IterData!H1252)))</f>
        <v>1</v>
      </c>
    </row>
    <row r="1253" spans="1:11" x14ac:dyDescent="0.3">
      <c r="A1253">
        <v>1252</v>
      </c>
      <c r="B1253">
        <v>4.6096024043957774E-2</v>
      </c>
      <c r="C1253">
        <v>1.6675987936047538E-2</v>
      </c>
      <c r="D1253">
        <v>0.74477651813084667</v>
      </c>
      <c r="E1253" s="10">
        <v>3.8295525030613572E-4</v>
      </c>
      <c r="F1253" s="10">
        <v>2.0475245760927381</v>
      </c>
      <c r="H1253">
        <v>0.50000000066049777</v>
      </c>
      <c r="I1253" s="11">
        <f t="shared" si="19"/>
        <v>2.9420036107910236E-2</v>
      </c>
      <c r="J1253" s="11">
        <f>1/(H1253*Utilities!$B$11)</f>
        <v>7.9999999894320357</v>
      </c>
      <c r="K1253" s="11">
        <f>IF(B1253&lt;C1253,1,EXP(-1*(B1253-C1253)/(Utilities!$B$11*IterData!H1253)))</f>
        <v>0.7902860673067611</v>
      </c>
    </row>
    <row r="1254" spans="1:11" x14ac:dyDescent="0.3">
      <c r="A1254">
        <v>1253</v>
      </c>
      <c r="B1254">
        <v>1.8282930194205465</v>
      </c>
      <c r="C1254">
        <v>4.6096024043957774E-2</v>
      </c>
      <c r="D1254">
        <v>1.7435758409282297E-8</v>
      </c>
      <c r="E1254" s="10">
        <v>3.7766914111734694E-4</v>
      </c>
      <c r="F1254" s="10">
        <v>2.1006137691679805</v>
      </c>
      <c r="H1254">
        <v>0.50000000064741901</v>
      </c>
      <c r="I1254" s="11">
        <f t="shared" si="19"/>
        <v>1.7821969953765886</v>
      </c>
      <c r="J1254" s="11">
        <f>1/(H1254*Utilities!$B$11)</f>
        <v>7.9999999896412959</v>
      </c>
      <c r="K1254" s="11">
        <f>IF(B1254&lt;C1254,1,EXP(-1*(B1254-C1254)/(Utilities!$B$11*IterData!H1254)))</f>
        <v>6.4270760962443372E-7</v>
      </c>
    </row>
    <row r="1255" spans="1:11" x14ac:dyDescent="0.3">
      <c r="A1255">
        <v>1254</v>
      </c>
      <c r="B1255">
        <v>0.38093880013895587</v>
      </c>
      <c r="C1255">
        <v>4.6096024043957774E-2</v>
      </c>
      <c r="D1255">
        <v>3.4765049363190692E-2</v>
      </c>
      <c r="E1255" s="10">
        <v>3.7766914111734694E-4</v>
      </c>
      <c r="F1255" s="10">
        <v>2.1006137691679805</v>
      </c>
      <c r="H1255">
        <v>0.50000000063459926</v>
      </c>
      <c r="I1255" s="11">
        <f t="shared" si="19"/>
        <v>0.33484277609499807</v>
      </c>
      <c r="J1255" s="11">
        <f>1/(H1255*Utilities!$B$11)</f>
        <v>7.9999999898464118</v>
      </c>
      <c r="K1255" s="11">
        <f>IF(B1255&lt;C1255,1,EXP(-1*(B1255-C1255)/(Utilities!$B$11*IterData!H1255)))</f>
        <v>6.8649446779890211E-2</v>
      </c>
    </row>
    <row r="1256" spans="1:11" x14ac:dyDescent="0.3">
      <c r="A1256">
        <v>1255</v>
      </c>
      <c r="B1256">
        <v>0.67236679581906866</v>
      </c>
      <c r="C1256">
        <v>4.6096024043957774E-2</v>
      </c>
      <c r="D1256">
        <v>1.8589219783720573E-3</v>
      </c>
      <c r="E1256" s="10">
        <v>3.7766914111734694E-4</v>
      </c>
      <c r="F1256" s="10">
        <v>2.1006137691679805</v>
      </c>
      <c r="H1256">
        <v>0.50000000062203342</v>
      </c>
      <c r="I1256" s="11">
        <f t="shared" si="19"/>
        <v>0.62627077177511092</v>
      </c>
      <c r="J1256" s="11">
        <f>1/(H1256*Utilities!$B$11)</f>
        <v>7.9999999900474652</v>
      </c>
      <c r="K1256" s="11">
        <f>IF(B1256&lt;C1256,1,EXP(-1*(B1256-C1256)/(Utilities!$B$11*IterData!H1256)))</f>
        <v>6.6697949079014751E-3</v>
      </c>
    </row>
    <row r="1257" spans="1:11" x14ac:dyDescent="0.3">
      <c r="A1257">
        <v>1256</v>
      </c>
      <c r="B1257">
        <v>0.11602536443682247</v>
      </c>
      <c r="C1257">
        <v>4.6096024043957774E-2</v>
      </c>
      <c r="D1257">
        <v>0.49527108918094392</v>
      </c>
      <c r="E1257" s="10">
        <v>3.7766914111734694E-4</v>
      </c>
      <c r="F1257" s="10">
        <v>2.1006137691679805</v>
      </c>
      <c r="H1257">
        <v>0.50000000060971628</v>
      </c>
      <c r="I1257" s="11">
        <f t="shared" si="19"/>
        <v>6.9929340392864692E-2</v>
      </c>
      <c r="J1257" s="11">
        <f>1/(H1257*Utilities!$B$11)</f>
        <v>7.9999999902445396</v>
      </c>
      <c r="K1257" s="11">
        <f>IF(B1257&lt;C1257,1,EXP(-1*(B1257-C1257)/(Utilities!$B$11*IterData!H1257)))</f>
        <v>0.57153204678173741</v>
      </c>
    </row>
    <row r="1258" spans="1:11" x14ac:dyDescent="0.3">
      <c r="A1258">
        <v>1257</v>
      </c>
      <c r="B1258">
        <v>0.61151771250690057</v>
      </c>
      <c r="C1258">
        <v>0.11602536443682247</v>
      </c>
      <c r="D1258">
        <v>6.855726118209577E-3</v>
      </c>
      <c r="E1258" s="10">
        <v>3.0906361374976124E-4</v>
      </c>
      <c r="F1258" s="10">
        <v>2.2137231507366657</v>
      </c>
      <c r="H1258">
        <v>0.50000000059764316</v>
      </c>
      <c r="I1258" s="11">
        <f t="shared" si="19"/>
        <v>0.49549234807007808</v>
      </c>
      <c r="J1258" s="11">
        <f>1/(H1258*Utilities!$B$11)</f>
        <v>7.9999999904377095</v>
      </c>
      <c r="K1258" s="11">
        <f>IF(B1258&lt;C1258,1,EXP(-1*(B1258-C1258)/(Utilities!$B$11*IterData!H1258)))</f>
        <v>1.8988176560178396E-2</v>
      </c>
    </row>
    <row r="1259" spans="1:11" x14ac:dyDescent="0.3">
      <c r="A1259">
        <v>1258</v>
      </c>
      <c r="B1259">
        <v>1.4873386706134037E-2</v>
      </c>
      <c r="C1259">
        <v>0.11602536443682247</v>
      </c>
      <c r="D1259">
        <v>1</v>
      </c>
      <c r="E1259" s="10">
        <v>3.0906361374976124E-4</v>
      </c>
      <c r="F1259" s="10">
        <v>2.2137231507366657</v>
      </c>
      <c r="H1259">
        <v>0.50000000058580896</v>
      </c>
      <c r="I1259" s="11">
        <f t="shared" si="19"/>
        <v>-0.10115197773068843</v>
      </c>
      <c r="J1259" s="11">
        <f>1/(H1259*Utilities!$B$11)</f>
        <v>7.9999999906270567</v>
      </c>
      <c r="K1259" s="11">
        <f>IF(B1259&lt;C1259,1,EXP(-1*(B1259-C1259)/(Utilities!$B$11*IterData!H1259)))</f>
        <v>1</v>
      </c>
    </row>
    <row r="1260" spans="1:11" x14ac:dyDescent="0.3">
      <c r="A1260">
        <v>1259</v>
      </c>
      <c r="B1260">
        <v>0.20495573981329587</v>
      </c>
      <c r="C1260">
        <v>1.4873386706134037E-2</v>
      </c>
      <c r="D1260">
        <v>0.14741412763010697</v>
      </c>
      <c r="E1260" s="10">
        <v>3.8116591202798491E-4</v>
      </c>
      <c r="F1260" s="10">
        <v>2.0226059267947147</v>
      </c>
      <c r="H1260">
        <v>0.50000000057420924</v>
      </c>
      <c r="I1260" s="11">
        <f t="shared" si="19"/>
        <v>0.19008235310716184</v>
      </c>
      <c r="J1260" s="11">
        <f>1/(H1260*Utilities!$B$11)</f>
        <v>7.9999999908126522</v>
      </c>
      <c r="K1260" s="11">
        <f>IF(B1260&lt;C1260,1,EXP(-1*(B1260-C1260)/(Utilities!$B$11*IterData!H1260)))</f>
        <v>0.21856784196174744</v>
      </c>
    </row>
    <row r="1261" spans="1:11" x14ac:dyDescent="0.3">
      <c r="A1261">
        <v>1260</v>
      </c>
      <c r="B1261">
        <v>2.3465344465852409</v>
      </c>
      <c r="C1261">
        <v>1.4873386706134037E-2</v>
      </c>
      <c r="D1261">
        <v>6.2046100103436511E-11</v>
      </c>
      <c r="E1261" s="10">
        <v>3.8116591202798491E-4</v>
      </c>
      <c r="F1261" s="10">
        <v>2.0226059267947147</v>
      </c>
      <c r="H1261">
        <v>0.50000000056283911</v>
      </c>
      <c r="I1261" s="11">
        <f t="shared" si="19"/>
        <v>2.331661059879107</v>
      </c>
      <c r="J1261" s="11">
        <f>1/(H1261*Utilities!$B$11)</f>
        <v>7.9999999909945743</v>
      </c>
      <c r="K1261" s="11">
        <f>IF(B1261&lt;C1261,1,EXP(-1*(B1261-C1261)/(Utilities!$B$11*IterData!H1261)))</f>
        <v>7.9246438517492649E-9</v>
      </c>
    </row>
    <row r="1262" spans="1:11" x14ac:dyDescent="0.3">
      <c r="A1262">
        <v>1261</v>
      </c>
      <c r="B1262">
        <v>1.9527722451216641E-2</v>
      </c>
      <c r="C1262">
        <v>1.4873386706134037E-2</v>
      </c>
      <c r="D1262">
        <v>0.95413229900680474</v>
      </c>
      <c r="E1262" s="10">
        <v>3.8116591202798491E-4</v>
      </c>
      <c r="F1262" s="10">
        <v>2.0226059267947147</v>
      </c>
      <c r="H1262">
        <v>0.50000000055169413</v>
      </c>
      <c r="I1262" s="11">
        <f t="shared" si="19"/>
        <v>4.654335745082604E-3</v>
      </c>
      <c r="J1262" s="11">
        <f>1/(H1262*Utilities!$B$11)</f>
        <v>7.9999999911728938</v>
      </c>
      <c r="K1262" s="11">
        <f>IF(B1262&lt;C1262,1,EXP(-1*(B1262-C1262)/(Utilities!$B$11*IterData!H1262)))</f>
        <v>0.96345000066540609</v>
      </c>
    </row>
    <row r="1263" spans="1:11" x14ac:dyDescent="0.3">
      <c r="A1263">
        <v>1262</v>
      </c>
      <c r="B1263">
        <v>1.0808676876090688</v>
      </c>
      <c r="C1263">
        <v>1.9527722451216641E-2</v>
      </c>
      <c r="D1263">
        <v>2.2202886019774833E-5</v>
      </c>
      <c r="E1263" s="10">
        <v>2.6536163918307006E-4</v>
      </c>
      <c r="F1263" s="10">
        <v>2.1571133062762238</v>
      </c>
      <c r="H1263">
        <v>0.50000000054076987</v>
      </c>
      <c r="I1263" s="11">
        <f t="shared" si="19"/>
        <v>1.0613399651578521</v>
      </c>
      <c r="J1263" s="11">
        <f>1/(H1263*Utilities!$B$11)</f>
        <v>7.999999991347682</v>
      </c>
      <c r="K1263" s="11">
        <f>IF(B1263&lt;C1263,1,EXP(-1*(B1263-C1263)/(Utilities!$B$11*IterData!H1263)))</f>
        <v>2.0536540295336219E-4</v>
      </c>
    </row>
    <row r="1264" spans="1:11" x14ac:dyDescent="0.3">
      <c r="A1264">
        <v>1263</v>
      </c>
      <c r="B1264">
        <v>0.4750983947813634</v>
      </c>
      <c r="C1264">
        <v>1.9527722451216641E-2</v>
      </c>
      <c r="D1264">
        <v>1.0020862909268369E-2</v>
      </c>
      <c r="E1264" s="10">
        <v>2.6536163918307006E-4</v>
      </c>
      <c r="F1264" s="10">
        <v>2.1571133062762238</v>
      </c>
      <c r="H1264">
        <v>0.50000000053006188</v>
      </c>
      <c r="I1264" s="11">
        <f t="shared" si="19"/>
        <v>0.45557067233014675</v>
      </c>
      <c r="J1264" s="11">
        <f>1/(H1264*Utilities!$B$11)</f>
        <v>7.9999999915190099</v>
      </c>
      <c r="K1264" s="11">
        <f>IF(B1264&lt;C1264,1,EXP(-1*(B1264-C1264)/(Utilities!$B$11*IterData!H1264)))</f>
        <v>2.6132765345001096E-2</v>
      </c>
    </row>
    <row r="1265" spans="1:11" x14ac:dyDescent="0.3">
      <c r="A1265">
        <v>1264</v>
      </c>
      <c r="B1265">
        <v>0.46309677452430076</v>
      </c>
      <c r="C1265">
        <v>1.9527722451216641E-2</v>
      </c>
      <c r="D1265">
        <v>1.127271302709024E-2</v>
      </c>
      <c r="E1265" s="10">
        <v>2.6536163918307006E-4</v>
      </c>
      <c r="F1265" s="10">
        <v>2.1571133062762238</v>
      </c>
      <c r="H1265">
        <v>0.50000000051956595</v>
      </c>
      <c r="I1265" s="11">
        <f t="shared" si="19"/>
        <v>0.44356905207308411</v>
      </c>
      <c r="J1265" s="11">
        <f>1/(H1265*Utilities!$B$11)</f>
        <v>7.9999999916869449</v>
      </c>
      <c r="K1265" s="11">
        <f>IF(B1265&lt;C1265,1,EXP(-1*(B1265-C1265)/(Utilities!$B$11*IterData!H1265)))</f>
        <v>2.8766251183023544E-2</v>
      </c>
    </row>
    <row r="1266" spans="1:11" x14ac:dyDescent="0.3">
      <c r="A1266">
        <v>1265</v>
      </c>
      <c r="B1266">
        <v>0.44957813101690847</v>
      </c>
      <c r="C1266">
        <v>1.9527722451216641E-2</v>
      </c>
      <c r="D1266">
        <v>1.2879606239354503E-2</v>
      </c>
      <c r="E1266" s="10">
        <v>2.6536163918307006E-4</v>
      </c>
      <c r="F1266" s="10">
        <v>2.1571133062762238</v>
      </c>
      <c r="H1266">
        <v>0.50000000050927784</v>
      </c>
      <c r="I1266" s="11">
        <f t="shared" si="19"/>
        <v>0.43005040856569182</v>
      </c>
      <c r="J1266" s="11">
        <f>1/(H1266*Utilities!$B$11)</f>
        <v>7.9999999918515545</v>
      </c>
      <c r="K1266" s="11">
        <f>IF(B1266&lt;C1266,1,EXP(-1*(B1266-C1266)/(Utilities!$B$11*IterData!H1266)))</f>
        <v>3.2051757368721352E-2</v>
      </c>
    </row>
    <row r="1267" spans="1:11" x14ac:dyDescent="0.3">
      <c r="A1267">
        <v>1266</v>
      </c>
      <c r="B1267">
        <v>0.40165374911981305</v>
      </c>
      <c r="C1267">
        <v>1.9527722451216641E-2</v>
      </c>
      <c r="D1267">
        <v>2.0854773872496672E-2</v>
      </c>
      <c r="E1267" s="10">
        <v>2.6536163918307006E-4</v>
      </c>
      <c r="F1267" s="10">
        <v>2.1571133062762238</v>
      </c>
      <c r="H1267">
        <v>0.50000000049919346</v>
      </c>
      <c r="I1267" s="11">
        <f t="shared" si="19"/>
        <v>0.38212602666859641</v>
      </c>
      <c r="J1267" s="11">
        <f>1/(H1267*Utilities!$B$11)</f>
        <v>7.9999999920129046</v>
      </c>
      <c r="K1267" s="11">
        <f>IF(B1267&lt;C1267,1,EXP(-1*(B1267-C1267)/(Utilities!$B$11*IterData!H1267)))</f>
        <v>4.70281833945062E-2</v>
      </c>
    </row>
    <row r="1268" spans="1:11" x14ac:dyDescent="0.3">
      <c r="A1268">
        <v>1267</v>
      </c>
      <c r="B1268">
        <v>3.1402684616728273E-2</v>
      </c>
      <c r="C1268">
        <v>1.9527722451216641E-2</v>
      </c>
      <c r="D1268">
        <v>0.88659710993638119</v>
      </c>
      <c r="E1268" s="10">
        <v>2.6536163918307006E-4</v>
      </c>
      <c r="F1268" s="10">
        <v>2.1571133062762238</v>
      </c>
      <c r="H1268">
        <v>0.50000000048930882</v>
      </c>
      <c r="I1268" s="11">
        <f t="shared" si="19"/>
        <v>1.1874962165511632E-2</v>
      </c>
      <c r="J1268" s="11">
        <f>1/(H1268*Utilities!$B$11)</f>
        <v>7.9999999921710589</v>
      </c>
      <c r="K1268" s="11">
        <f>IF(B1268&lt;C1268,1,EXP(-1*(B1268-C1268)/(Utilities!$B$11*IterData!H1268)))</f>
        <v>0.90937320979809377</v>
      </c>
    </row>
    <row r="1269" spans="1:11" x14ac:dyDescent="0.3">
      <c r="A1269">
        <v>1268</v>
      </c>
      <c r="B1269">
        <v>0.4970887523519319</v>
      </c>
      <c r="C1269">
        <v>3.1402684616728273E-2</v>
      </c>
      <c r="D1269">
        <v>8.8803041931933887E-3</v>
      </c>
      <c r="E1269" s="10">
        <v>2.661183026489386E-4</v>
      </c>
      <c r="F1269" s="10">
        <v>2.176478123324507</v>
      </c>
      <c r="H1269">
        <v>0.50000000047961979</v>
      </c>
      <c r="I1269" s="11">
        <f t="shared" si="19"/>
        <v>0.4656860677352036</v>
      </c>
      <c r="J1269" s="11">
        <f>1/(H1269*Utilities!$B$11)</f>
        <v>7.9999999923260834</v>
      </c>
      <c r="K1269" s="11">
        <f>IF(B1269&lt;C1269,1,EXP(-1*(B1269-C1269)/(Utilities!$B$11*IterData!H1269)))</f>
        <v>2.4101323130598314E-2</v>
      </c>
    </row>
    <row r="1270" spans="1:11" x14ac:dyDescent="0.3">
      <c r="A1270">
        <v>1269</v>
      </c>
      <c r="B1270">
        <v>0.11620144229625054</v>
      </c>
      <c r="C1270">
        <v>3.1402684616728273E-2</v>
      </c>
      <c r="D1270">
        <v>0.42279113728867512</v>
      </c>
      <c r="E1270" s="10">
        <v>2.661183026489386E-4</v>
      </c>
      <c r="F1270" s="10">
        <v>2.176478123324507</v>
      </c>
      <c r="H1270">
        <v>0.50000000047012272</v>
      </c>
      <c r="I1270" s="11">
        <f t="shared" si="19"/>
        <v>8.4798757679522274E-2</v>
      </c>
      <c r="J1270" s="11">
        <f>1/(H1270*Utilities!$B$11)</f>
        <v>7.9999999924780365</v>
      </c>
      <c r="K1270" s="11">
        <f>IF(B1270&lt;C1270,1,EXP(-1*(B1270-C1270)/(Utilities!$B$11*IterData!H1270)))</f>
        <v>0.50743327182567499</v>
      </c>
    </row>
    <row r="1271" spans="1:11" x14ac:dyDescent="0.3">
      <c r="A1271">
        <v>1270</v>
      </c>
      <c r="B1271">
        <v>0.64085742162743786</v>
      </c>
      <c r="C1271">
        <v>3.1402684616728273E-2</v>
      </c>
      <c r="D1271">
        <v>2.0456082062789175E-3</v>
      </c>
      <c r="E1271" s="10">
        <v>2.661183026489386E-4</v>
      </c>
      <c r="F1271" s="10">
        <v>2.176478123324507</v>
      </c>
      <c r="H1271">
        <v>0.50000000046081372</v>
      </c>
      <c r="I1271" s="11">
        <f t="shared" si="19"/>
        <v>0.60945473701070962</v>
      </c>
      <c r="J1271" s="11">
        <f>1/(H1271*Utilities!$B$11)</f>
        <v>7.9999999926269805</v>
      </c>
      <c r="K1271" s="11">
        <f>IF(B1271&lt;C1271,1,EXP(-1*(B1271-C1271)/(Utilities!$B$11*IterData!H1271)))</f>
        <v>7.6302254095038111E-3</v>
      </c>
    </row>
    <row r="1272" spans="1:11" x14ac:dyDescent="0.3">
      <c r="A1272">
        <v>1271</v>
      </c>
      <c r="B1272">
        <v>0.37585193472540596</v>
      </c>
      <c r="C1272">
        <v>3.1402684616728273E-2</v>
      </c>
      <c r="D1272">
        <v>3.0126202470309192E-2</v>
      </c>
      <c r="E1272" s="10">
        <v>2.661183026489386E-4</v>
      </c>
      <c r="F1272" s="10">
        <v>2.176478123324507</v>
      </c>
      <c r="H1272">
        <v>0.50000000045168891</v>
      </c>
      <c r="I1272" s="11">
        <f t="shared" si="19"/>
        <v>0.34444925010867766</v>
      </c>
      <c r="J1272" s="11">
        <f>1/(H1272*Utilities!$B$11)</f>
        <v>7.9999999927729775</v>
      </c>
      <c r="K1272" s="11">
        <f>IF(B1272&lt;C1272,1,EXP(-1*(B1272-C1272)/(Utilities!$B$11*IterData!H1272)))</f>
        <v>6.357124723362341E-2</v>
      </c>
    </row>
    <row r="1273" spans="1:11" x14ac:dyDescent="0.3">
      <c r="A1273">
        <v>1272</v>
      </c>
      <c r="B1273">
        <v>0.39500794061264477</v>
      </c>
      <c r="C1273">
        <v>3.1402684616728273E-2</v>
      </c>
      <c r="D1273">
        <v>2.4722362471143174E-2</v>
      </c>
      <c r="E1273" s="10">
        <v>2.661183026489386E-4</v>
      </c>
      <c r="F1273" s="10">
        <v>2.176478123324507</v>
      </c>
      <c r="H1273">
        <v>0.50000000044274495</v>
      </c>
      <c r="I1273" s="11">
        <f t="shared" si="19"/>
        <v>0.36360525599591648</v>
      </c>
      <c r="J1273" s="11">
        <f>1/(H1273*Utilities!$B$11)</f>
        <v>7.9999999929160808</v>
      </c>
      <c r="K1273" s="11">
        <f>IF(B1273&lt;C1273,1,EXP(-1*(B1273-C1273)/(Utilities!$B$11*IterData!H1273)))</f>
        <v>5.4538846827872862E-2</v>
      </c>
    </row>
    <row r="1274" spans="1:11" x14ac:dyDescent="0.3">
      <c r="A1274">
        <v>1273</v>
      </c>
      <c r="B1274">
        <v>2.0812608338613519</v>
      </c>
      <c r="C1274">
        <v>3.1402684616728273E-2</v>
      </c>
      <c r="D1274">
        <v>8.5856787724109543E-10</v>
      </c>
      <c r="E1274" s="10">
        <v>2.661183026489386E-4</v>
      </c>
      <c r="F1274" s="10">
        <v>2.176478123324507</v>
      </c>
      <c r="H1274">
        <v>0.50000000043397796</v>
      </c>
      <c r="I1274" s="11">
        <f t="shared" si="19"/>
        <v>2.0498581492446237</v>
      </c>
      <c r="J1274" s="11">
        <f>1/(H1274*Utilities!$B$11)</f>
        <v>7.9999999930563526</v>
      </c>
      <c r="K1274" s="11">
        <f>IF(B1274&lt;C1274,1,EXP(-1*(B1274-C1274)/(Utilities!$B$11*IterData!H1274)))</f>
        <v>7.5520236784696907E-8</v>
      </c>
    </row>
    <row r="1275" spans="1:11" x14ac:dyDescent="0.3">
      <c r="A1275">
        <v>1274</v>
      </c>
      <c r="B1275">
        <v>0.38256074904684861</v>
      </c>
      <c r="C1275">
        <v>3.1402684616728273E-2</v>
      </c>
      <c r="D1275">
        <v>2.7903504474806756E-2</v>
      </c>
      <c r="E1275" s="10">
        <v>2.661183026489386E-4</v>
      </c>
      <c r="F1275" s="10">
        <v>2.176478123324507</v>
      </c>
      <c r="H1275">
        <v>0.50000000042538462</v>
      </c>
      <c r="I1275" s="11">
        <f t="shared" si="19"/>
        <v>0.35115806443012032</v>
      </c>
      <c r="J1275" s="11">
        <f>1/(H1275*Utilities!$B$11)</f>
        <v>7.9999999931938461</v>
      </c>
      <c r="K1275" s="11">
        <f>IF(B1275&lt;C1275,1,EXP(-1*(B1275-C1275)/(Utilities!$B$11*IterData!H1275)))</f>
        <v>6.0249288666216032E-2</v>
      </c>
    </row>
    <row r="1276" spans="1:11" x14ac:dyDescent="0.3">
      <c r="A1276">
        <v>1275</v>
      </c>
      <c r="B1276">
        <v>0.19188697040238994</v>
      </c>
      <c r="C1276">
        <v>3.1402684616728273E-2</v>
      </c>
      <c r="D1276">
        <v>0.19457458603979641</v>
      </c>
      <c r="E1276" s="10">
        <v>2.661183026489386E-4</v>
      </c>
      <c r="F1276" s="10">
        <v>2.176478123324507</v>
      </c>
      <c r="H1276">
        <v>0.50000000041696147</v>
      </c>
      <c r="I1276" s="11">
        <f t="shared" si="19"/>
        <v>0.16048428578566168</v>
      </c>
      <c r="J1276" s="11">
        <f>1/(H1276*Utilities!$B$11)</f>
        <v>7.9999999933286166</v>
      </c>
      <c r="K1276" s="11">
        <f>IF(B1276&lt;C1276,1,EXP(-1*(B1276-C1276)/(Utilities!$B$11*IterData!H1276)))</f>
        <v>0.27696218864062239</v>
      </c>
    </row>
    <row r="1277" spans="1:11" x14ac:dyDescent="0.3">
      <c r="A1277">
        <v>1276</v>
      </c>
      <c r="B1277">
        <v>0.16482134731803796</v>
      </c>
      <c r="C1277">
        <v>3.1402684616728273E-2</v>
      </c>
      <c r="D1277">
        <v>0.25616392491154572</v>
      </c>
      <c r="E1277" s="10">
        <v>2.661183026489386E-4</v>
      </c>
      <c r="F1277" s="10">
        <v>2.176478123324507</v>
      </c>
      <c r="H1277">
        <v>0.50000000040870507</v>
      </c>
      <c r="I1277" s="11">
        <f t="shared" si="19"/>
        <v>0.1334186627013097</v>
      </c>
      <c r="J1277" s="11">
        <f>1/(H1277*Utilities!$B$11)</f>
        <v>7.9999999934607189</v>
      </c>
      <c r="K1277" s="11">
        <f>IF(B1277&lt;C1277,1,EXP(-1*(B1277-C1277)/(Utilities!$B$11*IterData!H1277)))</f>
        <v>0.34391893593245842</v>
      </c>
    </row>
    <row r="1278" spans="1:11" x14ac:dyDescent="0.3">
      <c r="A1278">
        <v>1277</v>
      </c>
      <c r="B1278">
        <v>0.45405988246501733</v>
      </c>
      <c r="C1278">
        <v>0.16482134731803796</v>
      </c>
      <c r="D1278">
        <v>5.2085906643761185E-2</v>
      </c>
      <c r="E1278" s="10">
        <v>3.4567594902765609E-4</v>
      </c>
      <c r="F1278" s="10">
        <v>2.2150999682695951</v>
      </c>
      <c r="H1278">
        <v>0.50000000040061221</v>
      </c>
      <c r="I1278" s="11">
        <f t="shared" si="19"/>
        <v>0.28923853514697939</v>
      </c>
      <c r="J1278" s="11">
        <f>1/(H1278*Utilities!$B$11)</f>
        <v>7.9999999935902046</v>
      </c>
      <c r="K1278" s="11">
        <f>IF(B1278&lt;C1278,1,EXP(-1*(B1278-C1278)/(Utilities!$B$11*IterData!H1278)))</f>
        <v>9.8874067966368245E-2</v>
      </c>
    </row>
    <row r="1279" spans="1:11" x14ac:dyDescent="0.3">
      <c r="A1279">
        <v>1278</v>
      </c>
      <c r="B1279">
        <v>0.31327175547255609</v>
      </c>
      <c r="C1279">
        <v>0.16482134731803796</v>
      </c>
      <c r="D1279">
        <v>0.21920301448728782</v>
      </c>
      <c r="E1279" s="10">
        <v>3.4567594902765609E-4</v>
      </c>
      <c r="F1279" s="10">
        <v>2.2150999682695951</v>
      </c>
      <c r="H1279">
        <v>0.50000000039267956</v>
      </c>
      <c r="I1279" s="11">
        <f t="shared" si="19"/>
        <v>0.14845040815451813</v>
      </c>
      <c r="J1279" s="11">
        <f>1/(H1279*Utilities!$B$11)</f>
        <v>7.9999999937171271</v>
      </c>
      <c r="K1279" s="11">
        <f>IF(B1279&lt;C1279,1,EXP(-1*(B1279-C1279)/(Utilities!$B$11*IterData!H1279)))</f>
        <v>0.30495127650392251</v>
      </c>
    </row>
    <row r="1280" spans="1:11" x14ac:dyDescent="0.3">
      <c r="A1280">
        <v>1279</v>
      </c>
      <c r="B1280">
        <v>0.40669889744316712</v>
      </c>
      <c r="C1280">
        <v>0.16482134731803796</v>
      </c>
      <c r="D1280">
        <v>8.4172156865663483E-2</v>
      </c>
      <c r="E1280" s="10">
        <v>3.4567594902765609E-4</v>
      </c>
      <c r="F1280" s="10">
        <v>2.2150999682695951</v>
      </c>
      <c r="H1280">
        <v>0.50000000038490389</v>
      </c>
      <c r="I1280" s="11">
        <f t="shared" si="19"/>
        <v>0.24187755012512915</v>
      </c>
      <c r="J1280" s="11">
        <f>1/(H1280*Utilities!$B$11)</f>
        <v>7.9999999938415378</v>
      </c>
      <c r="K1280" s="11">
        <f>IF(B1280&lt;C1280,1,EXP(-1*(B1280-C1280)/(Utilities!$B$11*IterData!H1280)))</f>
        <v>0.14442132266906813</v>
      </c>
    </row>
    <row r="1281" spans="1:11" x14ac:dyDescent="0.3">
      <c r="A1281">
        <v>1280</v>
      </c>
      <c r="B1281">
        <v>0.23337399873172135</v>
      </c>
      <c r="C1281">
        <v>0.16482134731803796</v>
      </c>
      <c r="D1281">
        <v>0.49560345894359548</v>
      </c>
      <c r="E1281" s="10">
        <v>3.4567594902765609E-4</v>
      </c>
      <c r="F1281" s="10">
        <v>2.2150999682695951</v>
      </c>
      <c r="H1281">
        <v>0.50000000037728232</v>
      </c>
      <c r="I1281" s="11">
        <f t="shared" si="19"/>
        <v>6.8552651413683385E-2</v>
      </c>
      <c r="J1281" s="11">
        <f>1/(H1281*Utilities!$B$11)</f>
        <v>7.9999999939634829</v>
      </c>
      <c r="K1281" s="11">
        <f>IF(B1281&lt;C1281,1,EXP(-1*(B1281-C1281)/(Utilities!$B$11*IterData!H1281)))</f>
        <v>0.57786141187877704</v>
      </c>
    </row>
    <row r="1282" spans="1:11" x14ac:dyDescent="0.3">
      <c r="A1282">
        <v>1281</v>
      </c>
      <c r="B1282">
        <v>0.30770396661842925</v>
      </c>
      <c r="C1282">
        <v>0.23337399873172135</v>
      </c>
      <c r="D1282">
        <v>0.46685642469974187</v>
      </c>
      <c r="E1282" s="10">
        <v>2.9141456157170237E-4</v>
      </c>
      <c r="F1282" s="10">
        <v>2.3016834423488679</v>
      </c>
      <c r="H1282">
        <v>0.50000000036981163</v>
      </c>
      <c r="I1282" s="11">
        <f t="shared" si="19"/>
        <v>7.4329967886707898E-2</v>
      </c>
      <c r="J1282" s="11">
        <f>1/(H1282*Utilities!$B$11)</f>
        <v>7.999999994083014</v>
      </c>
      <c r="K1282" s="11">
        <f>IF(B1282&lt;C1282,1,EXP(-1*(B1282-C1282)/(Utilities!$B$11*IterData!H1282)))</f>
        <v>0.55176130613071328</v>
      </c>
    </row>
    <row r="1283" spans="1:11" x14ac:dyDescent="0.3">
      <c r="A1283">
        <v>1282</v>
      </c>
      <c r="B1283">
        <v>7.7647605446479986E-2</v>
      </c>
      <c r="C1283">
        <v>0.23337399873172135</v>
      </c>
      <c r="D1283">
        <v>1</v>
      </c>
      <c r="E1283" s="10">
        <v>2.9141456157170237E-4</v>
      </c>
      <c r="F1283" s="10">
        <v>2.3016834423488679</v>
      </c>
      <c r="H1283">
        <v>0.50000000036248893</v>
      </c>
      <c r="I1283" s="11">
        <f t="shared" ref="I1283:I1346" si="20">B1283-C1283</f>
        <v>-0.15572639328524135</v>
      </c>
      <c r="J1283" s="11">
        <f>1/(H1283*Utilities!$B$11)</f>
        <v>7.9999999942001772</v>
      </c>
      <c r="K1283" s="11">
        <f>IF(B1283&lt;C1283,1,EXP(-1*(B1283-C1283)/(Utilities!$B$11*IterData!H1283)))</f>
        <v>1</v>
      </c>
    </row>
    <row r="1284" spans="1:11" x14ac:dyDescent="0.3">
      <c r="A1284">
        <v>1283</v>
      </c>
      <c r="B1284">
        <v>0.34419475666632976</v>
      </c>
      <c r="C1284">
        <v>7.7647605446479986E-2</v>
      </c>
      <c r="D1284">
        <v>6.4839521737921429E-2</v>
      </c>
      <c r="E1284" s="10">
        <v>2.5927247486224643E-4</v>
      </c>
      <c r="F1284" s="10">
        <v>2.2316834993597059</v>
      </c>
      <c r="H1284">
        <v>0.50000000035531111</v>
      </c>
      <c r="I1284" s="11">
        <f t="shared" si="20"/>
        <v>0.26654715121984979</v>
      </c>
      <c r="J1284" s="11">
        <f>1/(H1284*Utilities!$B$11)</f>
        <v>7.9999999943150222</v>
      </c>
      <c r="K1284" s="11">
        <f>IF(B1284&lt;C1284,1,EXP(-1*(B1284-C1284)/(Utilities!$B$11*IterData!H1284)))</f>
        <v>0.11855512837376055</v>
      </c>
    </row>
    <row r="1285" spans="1:11" x14ac:dyDescent="0.3">
      <c r="A1285">
        <v>1284</v>
      </c>
      <c r="B1285">
        <v>0.8351287462300061</v>
      </c>
      <c r="C1285">
        <v>0.34419475666632976</v>
      </c>
      <c r="D1285">
        <v>6.4551698810399244E-3</v>
      </c>
      <c r="E1285" s="10">
        <v>3.2090009897396406E-4</v>
      </c>
      <c r="F1285" s="10">
        <v>2.3335945115765906</v>
      </c>
      <c r="H1285">
        <v>0.50000000034827552</v>
      </c>
      <c r="I1285" s="11">
        <f t="shared" si="20"/>
        <v>0.49093398956367634</v>
      </c>
      <c r="J1285" s="11">
        <f>1/(H1285*Utilities!$B$11)</f>
        <v>7.9999999944275917</v>
      </c>
      <c r="K1285" s="11">
        <f>IF(B1285&lt;C1285,1,EXP(-1*(B1285-C1285)/(Utilities!$B$11*IterData!H1285)))</f>
        <v>1.9693396277528665E-2</v>
      </c>
    </row>
    <row r="1286" spans="1:11" x14ac:dyDescent="0.3">
      <c r="A1286">
        <v>1285</v>
      </c>
      <c r="B1286">
        <v>0.42216225811014751</v>
      </c>
      <c r="C1286">
        <v>0.34419475666632976</v>
      </c>
      <c r="D1286">
        <v>0.44865282244039145</v>
      </c>
      <c r="E1286" s="10">
        <v>3.2090009897396406E-4</v>
      </c>
      <c r="F1286" s="10">
        <v>2.3335945115765906</v>
      </c>
      <c r="H1286">
        <v>0.50000000034137915</v>
      </c>
      <c r="I1286" s="11">
        <f t="shared" si="20"/>
        <v>7.7967501443817755E-2</v>
      </c>
      <c r="J1286" s="11">
        <f>1/(H1286*Utilities!$B$11)</f>
        <v>7.9999999945379336</v>
      </c>
      <c r="K1286" s="11">
        <f>IF(B1286&lt;C1286,1,EXP(-1*(B1286-C1286)/(Utilities!$B$11*IterData!H1286)))</f>
        <v>0.53593627702583768</v>
      </c>
    </row>
    <row r="1287" spans="1:11" x14ac:dyDescent="0.3">
      <c r="A1287">
        <v>1286</v>
      </c>
      <c r="B1287">
        <v>0.46940699234387878</v>
      </c>
      <c r="C1287">
        <v>0.42216225811014751</v>
      </c>
      <c r="D1287">
        <v>0.61504870113632237</v>
      </c>
      <c r="E1287" s="10">
        <v>3.4999197787089777E-4</v>
      </c>
      <c r="F1287" s="10">
        <v>2.3482335915754322</v>
      </c>
      <c r="H1287">
        <v>0.50000000033461944</v>
      </c>
      <c r="I1287" s="11">
        <f t="shared" si="20"/>
        <v>4.7244734233731267E-2</v>
      </c>
      <c r="J1287" s="11">
        <f>1/(H1287*Utilities!$B$11)</f>
        <v>7.9999999946460889</v>
      </c>
      <c r="K1287" s="11">
        <f>IF(B1287&lt;C1287,1,EXP(-1*(B1287-C1287)/(Utilities!$B$11*IterData!H1287)))</f>
        <v>0.68525936755647365</v>
      </c>
    </row>
    <row r="1288" spans="1:11" x14ac:dyDescent="0.3">
      <c r="A1288">
        <v>1287</v>
      </c>
      <c r="B1288">
        <v>9.4294950988553825E-2</v>
      </c>
      <c r="C1288">
        <v>0.46940699234387878</v>
      </c>
      <c r="D1288">
        <v>1</v>
      </c>
      <c r="E1288" s="10">
        <v>3.1353623895848554E-4</v>
      </c>
      <c r="F1288" s="10">
        <v>1.8695939202822631</v>
      </c>
      <c r="H1288">
        <v>0.50000000032799352</v>
      </c>
      <c r="I1288" s="11">
        <f t="shared" si="20"/>
        <v>-0.37511204135532494</v>
      </c>
      <c r="J1288" s="11">
        <f>1/(H1288*Utilities!$B$11)</f>
        <v>7.9999999947521037</v>
      </c>
      <c r="K1288" s="11">
        <f>IF(B1288&lt;C1288,1,EXP(-1*(B1288-C1288)/(Utilities!$B$11*IterData!H1288)))</f>
        <v>1</v>
      </c>
    </row>
    <row r="1289" spans="1:11" x14ac:dyDescent="0.3">
      <c r="A1289">
        <v>1288</v>
      </c>
      <c r="B1289">
        <v>0.63146326747630577</v>
      </c>
      <c r="C1289">
        <v>9.4294950988553825E-2</v>
      </c>
      <c r="D1289">
        <v>3.9462783679618243E-3</v>
      </c>
      <c r="E1289" s="10">
        <v>3.6898135943657468E-4</v>
      </c>
      <c r="F1289" s="10">
        <v>1.9453005655259346</v>
      </c>
      <c r="H1289">
        <v>0.50000000032149883</v>
      </c>
      <c r="I1289" s="11">
        <f t="shared" si="20"/>
        <v>0.53716831648775198</v>
      </c>
      <c r="J1289" s="11">
        <f>1/(H1289*Utilities!$B$11)</f>
        <v>7.9999999948560188</v>
      </c>
      <c r="K1289" s="11">
        <f>IF(B1289&lt;C1289,1,EXP(-1*(B1289-C1289)/(Utilities!$B$11*IterData!H1289)))</f>
        <v>1.3604610597930968E-2</v>
      </c>
    </row>
    <row r="1290" spans="1:11" x14ac:dyDescent="0.3">
      <c r="A1290">
        <v>1289</v>
      </c>
      <c r="B1290">
        <v>0.33587288329638842</v>
      </c>
      <c r="C1290">
        <v>9.4294950988553825E-2</v>
      </c>
      <c r="D1290">
        <v>8.2814539399962195E-2</v>
      </c>
      <c r="E1290" s="10">
        <v>3.6898135943657468E-4</v>
      </c>
      <c r="F1290" s="10">
        <v>1.9453005655259346</v>
      </c>
      <c r="H1290">
        <v>0.5000000003151327</v>
      </c>
      <c r="I1290" s="11">
        <f t="shared" si="20"/>
        <v>0.24157793230783459</v>
      </c>
      <c r="J1290" s="11">
        <f>1/(H1290*Utilities!$B$11)</f>
        <v>7.9999999949578768</v>
      </c>
      <c r="K1290" s="11">
        <f>IF(B1290&lt;C1290,1,EXP(-1*(B1290-C1290)/(Utilities!$B$11*IterData!H1290)))</f>
        <v>0.14476790744752011</v>
      </c>
    </row>
    <row r="1291" spans="1:11" x14ac:dyDescent="0.3">
      <c r="A1291">
        <v>1290</v>
      </c>
      <c r="B1291">
        <v>1.3212495252243227E-2</v>
      </c>
      <c r="C1291">
        <v>9.4294950988553825E-2</v>
      </c>
      <c r="D1291">
        <v>1</v>
      </c>
      <c r="E1291" s="10">
        <v>3.6898135943657468E-4</v>
      </c>
      <c r="F1291" s="10">
        <v>1.9453005655259346</v>
      </c>
      <c r="H1291">
        <v>0.50000000030889269</v>
      </c>
      <c r="I1291" s="11">
        <f t="shared" si="20"/>
        <v>-8.1082455736310594E-2</v>
      </c>
      <c r="J1291" s="11">
        <f>1/(H1291*Utilities!$B$11)</f>
        <v>7.999999995057717</v>
      </c>
      <c r="K1291" s="11">
        <f>IF(B1291&lt;C1291,1,EXP(-1*(B1291-C1291)/(Utilities!$B$11*IterData!H1291)))</f>
        <v>1</v>
      </c>
    </row>
    <row r="1292" spans="1:11" x14ac:dyDescent="0.3">
      <c r="A1292">
        <v>1291</v>
      </c>
      <c r="B1292">
        <v>0.15006438089100735</v>
      </c>
      <c r="C1292">
        <v>1.3212495252243227E-2</v>
      </c>
      <c r="D1292">
        <v>0.24331307898472898</v>
      </c>
      <c r="E1292" s="10">
        <v>3.3307852647444862E-4</v>
      </c>
      <c r="F1292" s="10">
        <v>2.0694244379303433</v>
      </c>
      <c r="H1292">
        <v>0.50000000030277614</v>
      </c>
      <c r="I1292" s="11">
        <f t="shared" si="20"/>
        <v>0.13685188563876413</v>
      </c>
      <c r="J1292" s="11">
        <f>1/(H1292*Utilities!$B$11)</f>
        <v>7.9999999951555818</v>
      </c>
      <c r="K1292" s="11">
        <f>IF(B1292&lt;C1292,1,EXP(-1*(B1292-C1292)/(Utilities!$B$11*IterData!H1292)))</f>
        <v>0.33460147424491465</v>
      </c>
    </row>
    <row r="1293" spans="1:11" x14ac:dyDescent="0.3">
      <c r="A1293">
        <v>1292</v>
      </c>
      <c r="B1293">
        <v>1.4366288998847372</v>
      </c>
      <c r="C1293">
        <v>0.15006438089100735</v>
      </c>
      <c r="D1293">
        <v>1.6779615566099871E-6</v>
      </c>
      <c r="E1293" s="10">
        <v>3.7155500553981099E-4</v>
      </c>
      <c r="F1293" s="10">
        <v>2.1862874791301024</v>
      </c>
      <c r="H1293">
        <v>0.50000000029678082</v>
      </c>
      <c r="I1293" s="11">
        <f t="shared" si="20"/>
        <v>1.2865645189937298</v>
      </c>
      <c r="J1293" s="11">
        <f>1/(H1293*Utilities!$B$11)</f>
        <v>7.9999999952515068</v>
      </c>
      <c r="K1293" s="11">
        <f>IF(B1293&lt;C1293,1,EXP(-1*(B1293-C1293)/(Utilities!$B$11*IterData!H1293)))</f>
        <v>3.3885744581434396E-5</v>
      </c>
    </row>
    <row r="1294" spans="1:11" x14ac:dyDescent="0.3">
      <c r="A1294">
        <v>1293</v>
      </c>
      <c r="B1294">
        <v>0.42033689952403336</v>
      </c>
      <c r="C1294">
        <v>0.15006438089100735</v>
      </c>
      <c r="D1294">
        <v>6.1072174169396691E-2</v>
      </c>
      <c r="E1294" s="10">
        <v>3.7155500553981099E-4</v>
      </c>
      <c r="F1294" s="10">
        <v>2.1862874791301024</v>
      </c>
      <c r="H1294">
        <v>0.50000000029090419</v>
      </c>
      <c r="I1294" s="11">
        <f t="shared" si="20"/>
        <v>0.27027251863302604</v>
      </c>
      <c r="J1294" s="11">
        <f>1/(H1294*Utilities!$B$11)</f>
        <v>7.999999995345533</v>
      </c>
      <c r="K1294" s="11">
        <f>IF(B1294&lt;C1294,1,EXP(-1*(B1294-C1294)/(Utilities!$B$11*IterData!H1294)))</f>
        <v>0.11507396910207691</v>
      </c>
    </row>
    <row r="1295" spans="1:11" x14ac:dyDescent="0.3">
      <c r="A1295">
        <v>1294</v>
      </c>
      <c r="B1295">
        <v>0.22632189557754279</v>
      </c>
      <c r="C1295">
        <v>0.15006438089100735</v>
      </c>
      <c r="D1295">
        <v>0.4541091044754072</v>
      </c>
      <c r="E1295" s="10">
        <v>3.7155500553981099E-4</v>
      </c>
      <c r="F1295" s="10">
        <v>2.1862874791301024</v>
      </c>
      <c r="H1295">
        <v>0.5000000002851438</v>
      </c>
      <c r="I1295" s="11">
        <f t="shared" si="20"/>
        <v>7.6257514686535438E-2</v>
      </c>
      <c r="J1295" s="11">
        <f>1/(H1295*Utilities!$B$11)</f>
        <v>7.9999999954376992</v>
      </c>
      <c r="K1295" s="11">
        <f>IF(B1295&lt;C1295,1,EXP(-1*(B1295-C1295)/(Utilities!$B$11*IterData!H1295)))</f>
        <v>0.54331820535369268</v>
      </c>
    </row>
    <row r="1296" spans="1:11" x14ac:dyDescent="0.3">
      <c r="A1296">
        <v>1295</v>
      </c>
      <c r="B1296">
        <v>1.2032260034657556</v>
      </c>
      <c r="C1296">
        <v>0.22632189557754279</v>
      </c>
      <c r="D1296">
        <v>4.0236880720464479E-5</v>
      </c>
      <c r="E1296" s="10">
        <v>2.8584709361060759E-4</v>
      </c>
      <c r="F1296" s="10">
        <v>1.9529696919591999</v>
      </c>
      <c r="H1296">
        <v>0.50000000027949765</v>
      </c>
      <c r="I1296" s="11">
        <f t="shared" si="20"/>
        <v>0.9769041078882128</v>
      </c>
      <c r="J1296" s="11">
        <f>1/(H1296*Utilities!$B$11)</f>
        <v>7.9999999955280376</v>
      </c>
      <c r="K1296" s="11">
        <f>IF(B1296&lt;C1296,1,EXP(-1*(B1296-C1296)/(Utilities!$B$11*IterData!H1296)))</f>
        <v>4.035408409139597E-4</v>
      </c>
    </row>
    <row r="1297" spans="1:11" x14ac:dyDescent="0.3">
      <c r="A1297">
        <v>1296</v>
      </c>
      <c r="B1297">
        <v>1.4003556659773617</v>
      </c>
      <c r="C1297">
        <v>0.22632189557754279</v>
      </c>
      <c r="D1297">
        <v>5.1713223687114337E-6</v>
      </c>
      <c r="E1297" s="10">
        <v>2.8584709361060759E-4</v>
      </c>
      <c r="F1297" s="10">
        <v>1.9529696919591999</v>
      </c>
      <c r="H1297">
        <v>0.50000000027396319</v>
      </c>
      <c r="I1297" s="11">
        <f t="shared" si="20"/>
        <v>1.1740337703998189</v>
      </c>
      <c r="J1297" s="11">
        <f>1/(H1297*Utilities!$B$11)</f>
        <v>7.999999995616589</v>
      </c>
      <c r="K1297" s="11">
        <f>IF(B1297&lt;C1297,1,EXP(-1*(B1297-C1297)/(Utilities!$B$11*IterData!H1297)))</f>
        <v>8.3365987289169092E-5</v>
      </c>
    </row>
    <row r="1298" spans="1:11" x14ac:dyDescent="0.3">
      <c r="A1298">
        <v>1297</v>
      </c>
      <c r="B1298">
        <v>6.9105551274864938E-2</v>
      </c>
      <c r="C1298">
        <v>0.22632189557754279</v>
      </c>
      <c r="D1298">
        <v>1</v>
      </c>
      <c r="E1298" s="10">
        <v>2.8584709361060759E-4</v>
      </c>
      <c r="F1298" s="10">
        <v>1.9529696919591999</v>
      </c>
      <c r="H1298">
        <v>0.50000000026853841</v>
      </c>
      <c r="I1298" s="11">
        <f t="shared" si="20"/>
        <v>-0.15721634430267784</v>
      </c>
      <c r="J1298" s="11">
        <f>1/(H1298*Utilities!$B$11)</f>
        <v>7.9999999957033854</v>
      </c>
      <c r="K1298" s="11">
        <f>IF(B1298&lt;C1298,1,EXP(-1*(B1298-C1298)/(Utilities!$B$11*IterData!H1298)))</f>
        <v>1</v>
      </c>
    </row>
    <row r="1299" spans="1:11" x14ac:dyDescent="0.3">
      <c r="A1299">
        <v>1298</v>
      </c>
      <c r="B1299">
        <v>1.5319959438986033</v>
      </c>
      <c r="C1299">
        <v>6.9105551274864938E-2</v>
      </c>
      <c r="D1299">
        <v>2.5280337380682884E-7</v>
      </c>
      <c r="E1299" s="10">
        <v>3.7292364236723264E-4</v>
      </c>
      <c r="F1299" s="10">
        <v>2.1266062610994787</v>
      </c>
      <c r="H1299">
        <v>0.500000000263221</v>
      </c>
      <c r="I1299" s="11">
        <f t="shared" si="20"/>
        <v>1.4628903926237384</v>
      </c>
      <c r="J1299" s="11">
        <f>1/(H1299*Utilities!$B$11)</f>
        <v>7.999999995788464</v>
      </c>
      <c r="K1299" s="11">
        <f>IF(B1299&lt;C1299,1,EXP(-1*(B1299-C1299)/(Utilities!$B$11*IterData!H1299)))</f>
        <v>8.2679568520321145E-6</v>
      </c>
    </row>
    <row r="1300" spans="1:11" x14ac:dyDescent="0.3">
      <c r="A1300">
        <v>1299</v>
      </c>
      <c r="B1300">
        <v>0.40907604624465815</v>
      </c>
      <c r="C1300">
        <v>6.9105551274864938E-2</v>
      </c>
      <c r="D1300">
        <v>2.9217910574614463E-2</v>
      </c>
      <c r="E1300" s="10">
        <v>3.7292364236723264E-4</v>
      </c>
      <c r="F1300" s="10">
        <v>2.1266062610994787</v>
      </c>
      <c r="H1300">
        <v>0.50000000025800884</v>
      </c>
      <c r="I1300" s="11">
        <f t="shared" si="20"/>
        <v>0.3399704949697932</v>
      </c>
      <c r="J1300" s="11">
        <f>1/(H1300*Utilities!$B$11)</f>
        <v>7.9999999958718586</v>
      </c>
      <c r="K1300" s="11">
        <f>IF(B1300&lt;C1300,1,EXP(-1*(B1300-C1300)/(Utilities!$B$11*IterData!H1300)))</f>
        <v>6.5890305447080424E-2</v>
      </c>
    </row>
    <row r="1301" spans="1:11" x14ac:dyDescent="0.3">
      <c r="A1301">
        <v>1300</v>
      </c>
      <c r="B1301">
        <v>0.52925581667503474</v>
      </c>
      <c r="C1301">
        <v>6.9105551274864938E-2</v>
      </c>
      <c r="D1301">
        <v>8.3494237227443695E-3</v>
      </c>
      <c r="E1301" s="10">
        <v>3.7292364236723264E-4</v>
      </c>
      <c r="F1301" s="10">
        <v>2.1266062610994787</v>
      </c>
      <c r="H1301">
        <v>0.50000000025289992</v>
      </c>
      <c r="I1301" s="11">
        <f t="shared" si="20"/>
        <v>0.46015026540016979</v>
      </c>
      <c r="J1301" s="11">
        <f>1/(H1301*Utilities!$B$11)</f>
        <v>7.9999999959536012</v>
      </c>
      <c r="K1301" s="11">
        <f>IF(B1301&lt;C1301,1,EXP(-1*(B1301-C1301)/(Utilities!$B$11*IterData!H1301)))</f>
        <v>2.5192671976440276E-2</v>
      </c>
    </row>
    <row r="1302" spans="1:11" x14ac:dyDescent="0.3">
      <c r="A1302">
        <v>1301</v>
      </c>
      <c r="B1302">
        <v>4.9629731112853688E-2</v>
      </c>
      <c r="C1302">
        <v>6.9105551274864938E-2</v>
      </c>
      <c r="D1302">
        <v>1</v>
      </c>
      <c r="E1302" s="10">
        <v>3.7292364236723264E-4</v>
      </c>
      <c r="F1302" s="10">
        <v>2.1266062610994787</v>
      </c>
      <c r="H1302">
        <v>0.50000000024789215</v>
      </c>
      <c r="I1302" s="11">
        <f t="shared" si="20"/>
        <v>-1.9475820162011249E-2</v>
      </c>
      <c r="J1302" s="11">
        <f>1/(H1302*Utilities!$B$11)</f>
        <v>7.9999999960337256</v>
      </c>
      <c r="K1302" s="11">
        <f>IF(B1302&lt;C1302,1,EXP(-1*(B1302-C1302)/(Utilities!$B$11*IterData!H1302)))</f>
        <v>1</v>
      </c>
    </row>
    <row r="1303" spans="1:11" x14ac:dyDescent="0.3">
      <c r="A1303">
        <v>1302</v>
      </c>
      <c r="B1303">
        <v>0.14489188008388576</v>
      </c>
      <c r="C1303">
        <v>4.9629731112853688E-2</v>
      </c>
      <c r="D1303">
        <v>0.3707413819289278</v>
      </c>
      <c r="E1303" s="10">
        <v>3.7365466472955619E-4</v>
      </c>
      <c r="F1303" s="10">
        <v>2.1073349633622191</v>
      </c>
      <c r="H1303">
        <v>0.50000000024298352</v>
      </c>
      <c r="I1303" s="11">
        <f t="shared" si="20"/>
        <v>9.5262148971032079E-2</v>
      </c>
      <c r="J1303" s="11">
        <f>1/(H1303*Utilities!$B$11)</f>
        <v>7.9999999961122636</v>
      </c>
      <c r="K1303" s="11">
        <f>IF(B1303&lt;C1303,1,EXP(-1*(B1303-C1303)/(Utilities!$B$11*IterData!H1303)))</f>
        <v>0.46668666873151166</v>
      </c>
    </row>
    <row r="1304" spans="1:11" x14ac:dyDescent="0.3">
      <c r="A1304">
        <v>1303</v>
      </c>
      <c r="B1304">
        <v>0.39935452947139205</v>
      </c>
      <c r="C1304">
        <v>4.9629731112853688E-2</v>
      </c>
      <c r="D1304">
        <v>2.6107535330199171E-2</v>
      </c>
      <c r="E1304" s="10">
        <v>3.7365466472955619E-4</v>
      </c>
      <c r="F1304" s="10">
        <v>2.1073349633622191</v>
      </c>
      <c r="H1304">
        <v>0.50000000023817215</v>
      </c>
      <c r="I1304" s="11">
        <f t="shared" si="20"/>
        <v>0.34972479835853837</v>
      </c>
      <c r="J1304" s="11">
        <f>1/(H1304*Utilities!$B$11)</f>
        <v>7.9999999961892456</v>
      </c>
      <c r="K1304" s="11">
        <f>IF(B1304&lt;C1304,1,EXP(-1*(B1304-C1304)/(Utilities!$B$11*IterData!H1304)))</f>
        <v>6.094409042330743E-2</v>
      </c>
    </row>
    <row r="1305" spans="1:11" x14ac:dyDescent="0.3">
      <c r="A1305">
        <v>1304</v>
      </c>
      <c r="B1305">
        <v>1.3276503491207143</v>
      </c>
      <c r="C1305">
        <v>4.9629731112853688E-2</v>
      </c>
      <c r="D1305">
        <v>1.6212532757110035E-6</v>
      </c>
      <c r="E1305" s="10">
        <v>3.7365466472955619E-4</v>
      </c>
      <c r="F1305" s="10">
        <v>2.1073349633622191</v>
      </c>
      <c r="H1305">
        <v>0.50000000023345603</v>
      </c>
      <c r="I1305" s="11">
        <f t="shared" si="20"/>
        <v>1.2780206180078606</v>
      </c>
      <c r="J1305" s="11">
        <f>1/(H1305*Utilities!$B$11)</f>
        <v>7.9999999962647035</v>
      </c>
      <c r="K1305" s="11">
        <f>IF(B1305&lt;C1305,1,EXP(-1*(B1305-C1305)/(Utilities!$B$11*IterData!H1305)))</f>
        <v>3.6282865994772436E-5</v>
      </c>
    </row>
    <row r="1306" spans="1:11" x14ac:dyDescent="0.3">
      <c r="A1306">
        <v>1305</v>
      </c>
      <c r="B1306">
        <v>0.96837222459977979</v>
      </c>
      <c r="C1306">
        <v>4.9629731112853688E-2</v>
      </c>
      <c r="D1306">
        <v>6.8295162057103979E-5</v>
      </c>
      <c r="E1306" s="10">
        <v>3.7365466472955619E-4</v>
      </c>
      <c r="F1306" s="10">
        <v>2.1073349633622191</v>
      </c>
      <c r="H1306">
        <v>0.50000000022883329</v>
      </c>
      <c r="I1306" s="11">
        <f t="shared" si="20"/>
        <v>0.91874249348692605</v>
      </c>
      <c r="J1306" s="11">
        <f>1/(H1306*Utilities!$B$11)</f>
        <v>7.9999999963386674</v>
      </c>
      <c r="K1306" s="11">
        <f>IF(B1306&lt;C1306,1,EXP(-1*(B1306-C1306)/(Utilities!$B$11*IterData!H1306)))</f>
        <v>6.4263095269958691E-4</v>
      </c>
    </row>
    <row r="1307" spans="1:11" x14ac:dyDescent="0.3">
      <c r="A1307">
        <v>1306</v>
      </c>
      <c r="B1307">
        <v>1.8562487456906196</v>
      </c>
      <c r="C1307">
        <v>4.9629731112853688E-2</v>
      </c>
      <c r="D1307">
        <v>6.3452746171569987E-9</v>
      </c>
      <c r="E1307" s="10">
        <v>3.7365466472955619E-4</v>
      </c>
      <c r="F1307" s="10">
        <v>2.1073349633622191</v>
      </c>
      <c r="H1307">
        <v>0.50000000022430213</v>
      </c>
      <c r="I1307" s="11">
        <f t="shared" si="20"/>
        <v>1.8066190145777659</v>
      </c>
      <c r="J1307" s="11">
        <f>1/(H1307*Utilities!$B$11)</f>
        <v>7.9999999964111659</v>
      </c>
      <c r="K1307" s="11">
        <f>IF(B1307&lt;C1307,1,EXP(-1*(B1307-C1307)/(Utilities!$B$11*IterData!H1307)))</f>
        <v>5.2864320140880131E-7</v>
      </c>
    </row>
    <row r="1308" spans="1:11" x14ac:dyDescent="0.3">
      <c r="A1308">
        <v>1307</v>
      </c>
      <c r="B1308">
        <v>1.5077260812926428E-2</v>
      </c>
      <c r="C1308">
        <v>4.9629731112853688E-2</v>
      </c>
      <c r="D1308">
        <v>1</v>
      </c>
      <c r="E1308" s="10">
        <v>3.7365466472955619E-4</v>
      </c>
      <c r="F1308" s="10">
        <v>2.1073349633622191</v>
      </c>
      <c r="H1308">
        <v>0.50000000021986057</v>
      </c>
      <c r="I1308" s="11">
        <f t="shared" si="20"/>
        <v>-3.4552470299927258E-2</v>
      </c>
      <c r="J1308" s="11">
        <f>1/(H1308*Utilities!$B$11)</f>
        <v>7.9999999964822308</v>
      </c>
      <c r="K1308" s="11">
        <f>IF(B1308&lt;C1308,1,EXP(-1*(B1308-C1308)/(Utilities!$B$11*IterData!H1308)))</f>
        <v>1</v>
      </c>
    </row>
    <row r="1309" spans="1:11" x14ac:dyDescent="0.3">
      <c r="A1309">
        <v>1308</v>
      </c>
      <c r="B1309">
        <v>1.7831216300575803</v>
      </c>
      <c r="C1309">
        <v>1.5077260812926428E-2</v>
      </c>
      <c r="D1309">
        <v>9.2299124689072279E-9</v>
      </c>
      <c r="E1309" s="10">
        <v>2.9492572227684649E-4</v>
      </c>
      <c r="F1309" s="10">
        <v>2.0770197957025571</v>
      </c>
      <c r="H1309">
        <v>0.50000000021550706</v>
      </c>
      <c r="I1309" s="11">
        <f t="shared" si="20"/>
        <v>1.7680443692446539</v>
      </c>
      <c r="J1309" s="11">
        <f>1/(H1309*Utilities!$B$11)</f>
        <v>7.9999999965518871</v>
      </c>
      <c r="K1309" s="11">
        <f>IF(B1309&lt;C1309,1,EXP(-1*(B1309-C1309)/(Utilities!$B$11*IterData!H1309)))</f>
        <v>7.1975500918471611E-7</v>
      </c>
    </row>
    <row r="1310" spans="1:11" x14ac:dyDescent="0.3">
      <c r="A1310">
        <v>1309</v>
      </c>
      <c r="B1310">
        <v>0.5773394490465753</v>
      </c>
      <c r="C1310">
        <v>1.5077260812926428E-2</v>
      </c>
      <c r="D1310">
        <v>2.7724894812784554E-3</v>
      </c>
      <c r="E1310" s="10">
        <v>2.9492572227684649E-4</v>
      </c>
      <c r="F1310" s="10">
        <v>2.0770197957025571</v>
      </c>
      <c r="H1310">
        <v>0.5000000002112398</v>
      </c>
      <c r="I1310" s="11">
        <f t="shared" si="20"/>
        <v>0.56226218823364893</v>
      </c>
      <c r="J1310" s="11">
        <f>1/(H1310*Utilities!$B$11)</f>
        <v>7.9999999966201631</v>
      </c>
      <c r="K1310" s="11">
        <f>IF(B1310&lt;C1310,1,EXP(-1*(B1310-C1310)/(Utilities!$B$11*IterData!H1310)))</f>
        <v>1.1130151477279453E-2</v>
      </c>
    </row>
    <row r="1311" spans="1:11" x14ac:dyDescent="0.3">
      <c r="A1311">
        <v>1310</v>
      </c>
      <c r="B1311">
        <v>0.43158238196447285</v>
      </c>
      <c r="C1311">
        <v>1.5077260812926428E-2</v>
      </c>
      <c r="D1311">
        <v>1.2714989983730192E-2</v>
      </c>
      <c r="E1311" s="10">
        <v>2.9492572227684649E-4</v>
      </c>
      <c r="F1311" s="10">
        <v>2.0770197957025571</v>
      </c>
      <c r="H1311">
        <v>0.50000000020705693</v>
      </c>
      <c r="I1311" s="11">
        <f t="shared" si="20"/>
        <v>0.41650512115154642</v>
      </c>
      <c r="J1311" s="11">
        <f>1/(H1311*Utilities!$B$11)</f>
        <v>7.9999999966870892</v>
      </c>
      <c r="K1311" s="11">
        <f>IF(B1311&lt;C1311,1,EXP(-1*(B1311-C1311)/(Utilities!$B$11*IterData!H1311)))</f>
        <v>3.5720126989873383E-2</v>
      </c>
    </row>
    <row r="1312" spans="1:11" x14ac:dyDescent="0.3">
      <c r="A1312">
        <v>1311</v>
      </c>
      <c r="B1312">
        <v>6.4913501586164546E-2</v>
      </c>
      <c r="C1312">
        <v>1.5077260812926428E-2</v>
      </c>
      <c r="D1312">
        <v>0.59292788785632178</v>
      </c>
      <c r="E1312" s="10">
        <v>2.9492572227684649E-4</v>
      </c>
      <c r="F1312" s="10">
        <v>2.0770197957025571</v>
      </c>
      <c r="H1312">
        <v>0.50000000020295698</v>
      </c>
      <c r="I1312" s="11">
        <f t="shared" si="20"/>
        <v>4.9836240773238116E-2</v>
      </c>
      <c r="J1312" s="11">
        <f>1/(H1312*Utilities!$B$11)</f>
        <v>7.9999999967526882</v>
      </c>
      <c r="K1312" s="11">
        <f>IF(B1312&lt;C1312,1,EXP(-1*(B1312-C1312)/(Utilities!$B$11*IterData!H1312)))</f>
        <v>0.67119879036785268</v>
      </c>
    </row>
    <row r="1313" spans="1:11" x14ac:dyDescent="0.3">
      <c r="A1313">
        <v>1312</v>
      </c>
      <c r="B1313">
        <v>1.1770617593493287</v>
      </c>
      <c r="C1313">
        <v>1.5077260812926428E-2</v>
      </c>
      <c r="D1313">
        <v>5.0496617769288084E-6</v>
      </c>
      <c r="E1313" s="10">
        <v>2.9492572227684649E-4</v>
      </c>
      <c r="F1313" s="10">
        <v>2.0770197957025571</v>
      </c>
      <c r="H1313">
        <v>0.50000000019893809</v>
      </c>
      <c r="I1313" s="11">
        <f t="shared" si="20"/>
        <v>1.1619844985364023</v>
      </c>
      <c r="J1313" s="11">
        <f>1/(H1313*Utilities!$B$11)</f>
        <v>7.9999999968169906</v>
      </c>
      <c r="K1313" s="11">
        <f>IF(B1313&lt;C1313,1,EXP(-1*(B1313-C1313)/(Utilities!$B$11*IterData!H1313)))</f>
        <v>9.1802044936187231E-5</v>
      </c>
    </row>
    <row r="1314" spans="1:11" x14ac:dyDescent="0.3">
      <c r="A1314">
        <v>1313</v>
      </c>
      <c r="B1314">
        <v>0.79435044368113439</v>
      </c>
      <c r="C1314">
        <v>1.5077260812926428E-2</v>
      </c>
      <c r="D1314">
        <v>2.7866909773527164E-4</v>
      </c>
      <c r="E1314" s="10">
        <v>2.9492572227684649E-4</v>
      </c>
      <c r="F1314" s="10">
        <v>2.0770197957025571</v>
      </c>
      <c r="H1314">
        <v>0.50000000019499891</v>
      </c>
      <c r="I1314" s="11">
        <f t="shared" si="20"/>
        <v>0.77927318286820801</v>
      </c>
      <c r="J1314" s="11">
        <f>1/(H1314*Utilities!$B$11)</f>
        <v>7.9999999968800175</v>
      </c>
      <c r="K1314" s="11">
        <f>IF(B1314&lt;C1314,1,EXP(-1*(B1314-C1314)/(Utilities!$B$11*IterData!H1314)))</f>
        <v>1.9612260599571312E-3</v>
      </c>
    </row>
    <row r="1315" spans="1:11" x14ac:dyDescent="0.3">
      <c r="A1315">
        <v>1314</v>
      </c>
      <c r="B1315">
        <v>0.83525534173601346</v>
      </c>
      <c r="C1315">
        <v>1.5077260812926428E-2</v>
      </c>
      <c r="D1315">
        <v>1.8015157404994568E-4</v>
      </c>
      <c r="E1315" s="10">
        <v>2.9492572227684649E-4</v>
      </c>
      <c r="F1315" s="10">
        <v>2.0770197957025571</v>
      </c>
      <c r="H1315">
        <v>0.50000000019113766</v>
      </c>
      <c r="I1315" s="11">
        <f t="shared" si="20"/>
        <v>0.82017808092308708</v>
      </c>
      <c r="J1315" s="11">
        <f>1/(H1315*Utilities!$B$11)</f>
        <v>7.9999999969417974</v>
      </c>
      <c r="K1315" s="11">
        <f>IF(B1315&lt;C1315,1,EXP(-1*(B1315-C1315)/(Utilities!$B$11*IterData!H1315)))</f>
        <v>1.4138700121919011E-3</v>
      </c>
    </row>
    <row r="1316" spans="1:11" x14ac:dyDescent="0.3">
      <c r="A1316">
        <v>1315</v>
      </c>
      <c r="B1316">
        <v>0.14713505282115408</v>
      </c>
      <c r="C1316">
        <v>1.5077260812926428E-2</v>
      </c>
      <c r="D1316">
        <v>0.24926268683236691</v>
      </c>
      <c r="E1316" s="10">
        <v>2.9492572227684649E-4</v>
      </c>
      <c r="F1316" s="10">
        <v>2.0770197957025571</v>
      </c>
      <c r="H1316">
        <v>0.50000000018735291</v>
      </c>
      <c r="I1316" s="11">
        <f t="shared" si="20"/>
        <v>0.13205779200822765</v>
      </c>
      <c r="J1316" s="11">
        <f>1/(H1316*Utilities!$B$11)</f>
        <v>7.9999999970023534</v>
      </c>
      <c r="K1316" s="11">
        <f>IF(B1316&lt;C1316,1,EXP(-1*(B1316-C1316)/(Utilities!$B$11*IterData!H1316)))</f>
        <v>0.34768362521013491</v>
      </c>
    </row>
    <row r="1317" spans="1:11" x14ac:dyDescent="0.3">
      <c r="A1317">
        <v>1316</v>
      </c>
      <c r="B1317">
        <v>8.5585996592904764E-2</v>
      </c>
      <c r="C1317">
        <v>1.5077260812926428E-2</v>
      </c>
      <c r="D1317">
        <v>0.47601021256186521</v>
      </c>
      <c r="E1317" s="10">
        <v>2.9492572227684649E-4</v>
      </c>
      <c r="F1317" s="10">
        <v>2.0770197957025571</v>
      </c>
      <c r="H1317">
        <v>0.50000000018364299</v>
      </c>
      <c r="I1317" s="11">
        <f t="shared" si="20"/>
        <v>7.0508735779978335E-2</v>
      </c>
      <c r="J1317" s="11">
        <f>1/(H1317*Utilities!$B$11)</f>
        <v>7.9999999970617122</v>
      </c>
      <c r="K1317" s="11">
        <f>IF(B1317&lt;C1317,1,EXP(-1*(B1317-C1317)/(Utilities!$B$11*IterData!H1317)))</f>
        <v>0.568889032392353</v>
      </c>
    </row>
    <row r="1318" spans="1:11" x14ac:dyDescent="0.3">
      <c r="A1318">
        <v>1317</v>
      </c>
      <c r="B1318">
        <v>0.38914902127823703</v>
      </c>
      <c r="C1318">
        <v>8.5585996592904764E-2</v>
      </c>
      <c r="D1318">
        <v>4.0829924330543076E-2</v>
      </c>
      <c r="E1318" s="10">
        <v>3.4301299300399968E-4</v>
      </c>
      <c r="F1318" s="10">
        <v>2.1629278470682811</v>
      </c>
      <c r="H1318">
        <v>0.50000000018000668</v>
      </c>
      <c r="I1318" s="11">
        <f t="shared" si="20"/>
        <v>0.30356302468533225</v>
      </c>
      <c r="J1318" s="11">
        <f>1/(H1318*Utilities!$B$11)</f>
        <v>7.9999999971198932</v>
      </c>
      <c r="K1318" s="11">
        <f>IF(B1318&lt;C1318,1,EXP(-1*(B1318-C1318)/(Utilities!$B$11*IterData!H1318)))</f>
        <v>8.8168616912290498E-2</v>
      </c>
    </row>
    <row r="1319" spans="1:11" x14ac:dyDescent="0.3">
      <c r="A1319">
        <v>1318</v>
      </c>
      <c r="B1319">
        <v>1.7143173503190827E-2</v>
      </c>
      <c r="C1319">
        <v>0.38914902127823703</v>
      </c>
      <c r="D1319">
        <v>1</v>
      </c>
      <c r="E1319" s="10">
        <v>3.5495285023602488E-4</v>
      </c>
      <c r="F1319" s="10">
        <v>2.3278114237050356</v>
      </c>
      <c r="H1319">
        <v>0.50000000017644231</v>
      </c>
      <c r="I1319" s="11">
        <f t="shared" si="20"/>
        <v>-0.37200584777504619</v>
      </c>
      <c r="J1319" s="11">
        <f>1/(H1319*Utilities!$B$11)</f>
        <v>7.9999999971769231</v>
      </c>
      <c r="K1319" s="11">
        <f>IF(B1319&lt;C1319,1,EXP(-1*(B1319-C1319)/(Utilities!$B$11*IterData!H1319)))</f>
        <v>1</v>
      </c>
    </row>
    <row r="1320" spans="1:11" x14ac:dyDescent="0.3">
      <c r="A1320">
        <v>1319</v>
      </c>
      <c r="B1320">
        <v>0.43542997793135602</v>
      </c>
      <c r="C1320">
        <v>1.7143173503190827E-2</v>
      </c>
      <c r="D1320">
        <v>1.2109532110341159E-2</v>
      </c>
      <c r="E1320" s="10">
        <v>3.6855192811004357E-4</v>
      </c>
      <c r="F1320" s="10">
        <v>2.0601844932564748</v>
      </c>
      <c r="H1320">
        <v>0.50000000017294843</v>
      </c>
      <c r="I1320" s="11">
        <f t="shared" si="20"/>
        <v>0.41828680442816518</v>
      </c>
      <c r="J1320" s="11">
        <f>1/(H1320*Utilities!$B$11)</f>
        <v>7.9999999972328251</v>
      </c>
      <c r="K1320" s="11">
        <f>IF(B1320&lt;C1320,1,EXP(-1*(B1320-C1320)/(Utilities!$B$11*IterData!H1320)))</f>
        <v>3.5214602654384877E-2</v>
      </c>
    </row>
    <row r="1321" spans="1:11" x14ac:dyDescent="0.3">
      <c r="A1321">
        <v>1320</v>
      </c>
      <c r="B1321">
        <v>7.2124074202426419E-2</v>
      </c>
      <c r="C1321">
        <v>1.7143173503190827E-2</v>
      </c>
      <c r="D1321">
        <v>0.55956347330424228</v>
      </c>
      <c r="E1321" s="10">
        <v>3.6855192811004357E-4</v>
      </c>
      <c r="F1321" s="10">
        <v>2.0601844932564748</v>
      </c>
      <c r="H1321">
        <v>0.50000000016952384</v>
      </c>
      <c r="I1321" s="11">
        <f t="shared" si="20"/>
        <v>5.4980900699235592E-2</v>
      </c>
      <c r="J1321" s="11">
        <f>1/(H1321*Utilities!$B$11)</f>
        <v>7.9999999972876186</v>
      </c>
      <c r="K1321" s="11">
        <f>IF(B1321&lt;C1321,1,EXP(-1*(B1321-C1321)/(Utilities!$B$11*IterData!H1321)))</f>
        <v>0.64413483385993875</v>
      </c>
    </row>
    <row r="1322" spans="1:11" x14ac:dyDescent="0.3">
      <c r="A1322">
        <v>1321</v>
      </c>
      <c r="B1322">
        <v>3.3030100636256728E-2</v>
      </c>
      <c r="C1322">
        <v>1.7143173503190827E-2</v>
      </c>
      <c r="D1322">
        <v>0.84544425358993947</v>
      </c>
      <c r="E1322" s="10">
        <v>3.6855192811004357E-4</v>
      </c>
      <c r="F1322" s="10">
        <v>2.0601844932564748</v>
      </c>
      <c r="H1322">
        <v>0.50000000016616708</v>
      </c>
      <c r="I1322" s="11">
        <f t="shared" si="20"/>
        <v>1.5886927133065901E-2</v>
      </c>
      <c r="J1322" s="11">
        <f>1/(H1322*Utilities!$B$11)</f>
        <v>7.9999999973413267</v>
      </c>
      <c r="K1322" s="11">
        <f>IF(B1322&lt;C1322,1,EXP(-1*(B1322-C1322)/(Utilities!$B$11*IterData!H1322)))</f>
        <v>0.88064963962183995</v>
      </c>
    </row>
    <row r="1323" spans="1:11" x14ac:dyDescent="0.3">
      <c r="A1323">
        <v>1322</v>
      </c>
      <c r="B1323">
        <v>0.41052132763788324</v>
      </c>
      <c r="C1323">
        <v>3.3030100636256728E-2</v>
      </c>
      <c r="D1323">
        <v>1.8456342226173691E-2</v>
      </c>
      <c r="E1323" s="10">
        <v>2.8854352895736125E-4</v>
      </c>
      <c r="F1323" s="10">
        <v>2.0511591887232146</v>
      </c>
      <c r="H1323">
        <v>0.50000000016287671</v>
      </c>
      <c r="I1323" s="11">
        <f t="shared" si="20"/>
        <v>0.37749122700162652</v>
      </c>
      <c r="J1323" s="11">
        <f>1/(H1323*Utilities!$B$11)</f>
        <v>7.9999999973939726</v>
      </c>
      <c r="K1323" s="11">
        <f>IF(B1323&lt;C1323,1,EXP(-1*(B1323-C1323)/(Utilities!$B$11*IterData!H1323)))</f>
        <v>4.8804643594294303E-2</v>
      </c>
    </row>
    <row r="1324" spans="1:11" x14ac:dyDescent="0.3">
      <c r="A1324">
        <v>1323</v>
      </c>
      <c r="B1324">
        <v>0.6243902349963717</v>
      </c>
      <c r="C1324">
        <v>3.3030100636256728E-2</v>
      </c>
      <c r="D1324">
        <v>1.9132428295452113E-3</v>
      </c>
      <c r="E1324" s="10">
        <v>2.8854352895736125E-4</v>
      </c>
      <c r="F1324" s="10">
        <v>2.0511591887232146</v>
      </c>
      <c r="H1324">
        <v>0.50000000015965163</v>
      </c>
      <c r="I1324" s="11">
        <f t="shared" si="20"/>
        <v>0.59136013436011492</v>
      </c>
      <c r="J1324" s="11">
        <f>1/(H1324*Utilities!$B$11)</f>
        <v>7.999999997445574</v>
      </c>
      <c r="K1324" s="11">
        <f>IF(B1324&lt;C1324,1,EXP(-1*(B1324-C1324)/(Utilities!$B$11*IterData!H1324)))</f>
        <v>8.8186976960855038E-3</v>
      </c>
    </row>
    <row r="1325" spans="1:11" x14ac:dyDescent="0.3">
      <c r="A1325">
        <v>1324</v>
      </c>
      <c r="B1325">
        <v>1.4990181003709888E-2</v>
      </c>
      <c r="C1325">
        <v>3.3030100636256728E-2</v>
      </c>
      <c r="D1325">
        <v>1</v>
      </c>
      <c r="E1325" s="10">
        <v>2.8854352895736125E-4</v>
      </c>
      <c r="F1325" s="10">
        <v>2.0511591887232146</v>
      </c>
      <c r="H1325">
        <v>0.50000000015649027</v>
      </c>
      <c r="I1325" s="11">
        <f t="shared" si="20"/>
        <v>-1.8039919632546839E-2</v>
      </c>
      <c r="J1325" s="11">
        <f>1/(H1325*Utilities!$B$11)</f>
        <v>7.9999999974961558</v>
      </c>
      <c r="K1325" s="11">
        <f>IF(B1325&lt;C1325,1,EXP(-1*(B1325-C1325)/(Utilities!$B$11*IterData!H1325)))</f>
        <v>1</v>
      </c>
    </row>
    <row r="1326" spans="1:11" x14ac:dyDescent="0.3">
      <c r="A1326">
        <v>1325</v>
      </c>
      <c r="B1326">
        <v>0.62056369649883303</v>
      </c>
      <c r="C1326">
        <v>1.4990181003709888E-2</v>
      </c>
      <c r="D1326">
        <v>1.6301564905831893E-3</v>
      </c>
      <c r="E1326" s="10">
        <v>3.7053528071810205E-4</v>
      </c>
      <c r="F1326" s="10">
        <v>2.0496282667820935</v>
      </c>
      <c r="H1326">
        <v>0.50000000015339152</v>
      </c>
      <c r="I1326" s="11">
        <f t="shared" si="20"/>
        <v>0.60557351549512317</v>
      </c>
      <c r="J1326" s="11">
        <f>1/(H1326*Utilities!$B$11)</f>
        <v>7.9999999975457357</v>
      </c>
      <c r="K1326" s="11">
        <f>IF(B1326&lt;C1326,1,EXP(-1*(B1326-C1326)/(Utilities!$B$11*IterData!H1326)))</f>
        <v>7.8708586172286463E-3</v>
      </c>
    </row>
    <row r="1327" spans="1:11" x14ac:dyDescent="0.3">
      <c r="A1327">
        <v>1326</v>
      </c>
      <c r="B1327">
        <v>0.48962819649043704</v>
      </c>
      <c r="C1327">
        <v>1.4990181003709888E-2</v>
      </c>
      <c r="D1327">
        <v>6.5064579354723786E-3</v>
      </c>
      <c r="E1327" s="10">
        <v>3.7053528071810205E-4</v>
      </c>
      <c r="F1327" s="10">
        <v>2.0496282667820935</v>
      </c>
      <c r="H1327">
        <v>0.50000000015035417</v>
      </c>
      <c r="I1327" s="11">
        <f t="shared" si="20"/>
        <v>0.47463801548672713</v>
      </c>
      <c r="J1327" s="11">
        <f>1/(H1327*Utilities!$B$11)</f>
        <v>7.9999999975943332</v>
      </c>
      <c r="K1327" s="11">
        <f>IF(B1327&lt;C1327,1,EXP(-1*(B1327-C1327)/(Utilities!$B$11*IterData!H1327)))</f>
        <v>2.2435648757837184E-2</v>
      </c>
    </row>
    <row r="1328" spans="1:11" x14ac:dyDescent="0.3">
      <c r="A1328">
        <v>1327</v>
      </c>
      <c r="B1328">
        <v>1.4544988230323606E-2</v>
      </c>
      <c r="C1328">
        <v>1.4990181003709888E-2</v>
      </c>
      <c r="D1328">
        <v>1</v>
      </c>
      <c r="E1328" s="10">
        <v>3.7053528071810205E-4</v>
      </c>
      <c r="F1328" s="10">
        <v>2.0496282667820935</v>
      </c>
      <c r="H1328">
        <v>0.500000000147377</v>
      </c>
      <c r="I1328" s="11">
        <f t="shared" si="20"/>
        <v>-4.451927733862826E-4</v>
      </c>
      <c r="J1328" s="11">
        <f>1/(H1328*Utilities!$B$11)</f>
        <v>7.999999997641968</v>
      </c>
      <c r="K1328" s="11">
        <f>IF(B1328&lt;C1328,1,EXP(-1*(B1328-C1328)/(Utilities!$B$11*IterData!H1328)))</f>
        <v>1</v>
      </c>
    </row>
    <row r="1329" spans="1:11" x14ac:dyDescent="0.3">
      <c r="A1329">
        <v>1328</v>
      </c>
      <c r="B1329">
        <v>0.1562484219136856</v>
      </c>
      <c r="C1329">
        <v>1.4544988230323606E-2</v>
      </c>
      <c r="D1329">
        <v>0.22191579319087537</v>
      </c>
      <c r="E1329" s="10">
        <v>3.7746165770919976E-4</v>
      </c>
      <c r="F1329" s="10">
        <v>2.0404856434120671</v>
      </c>
      <c r="H1329">
        <v>0.50000000014445867</v>
      </c>
      <c r="I1329" s="11">
        <f t="shared" si="20"/>
        <v>0.141703433683362</v>
      </c>
      <c r="J1329" s="11">
        <f>1/(H1329*Utilities!$B$11)</f>
        <v>7.9999999976886613</v>
      </c>
      <c r="K1329" s="11">
        <f>IF(B1329&lt;C1329,1,EXP(-1*(B1329-C1329)/(Utilities!$B$11*IterData!H1329)))</f>
        <v>0.32186358600785153</v>
      </c>
    </row>
    <row r="1330" spans="1:11" x14ac:dyDescent="0.3">
      <c r="A1330">
        <v>1329</v>
      </c>
      <c r="B1330">
        <v>0.38260293253485994</v>
      </c>
      <c r="C1330">
        <v>1.4544988230323606E-2</v>
      </c>
      <c r="D1330">
        <v>1.9976632515436039E-2</v>
      </c>
      <c r="E1330" s="10">
        <v>3.7746165770919976E-4</v>
      </c>
      <c r="F1330" s="10">
        <v>2.0404856434120671</v>
      </c>
      <c r="H1330">
        <v>0.50000000014159829</v>
      </c>
      <c r="I1330" s="11">
        <f t="shared" si="20"/>
        <v>0.36805794430453631</v>
      </c>
      <c r="J1330" s="11">
        <f>1/(H1330*Utilities!$B$11)</f>
        <v>7.9999999977344274</v>
      </c>
      <c r="K1330" s="11">
        <f>IF(B1330&lt;C1330,1,EXP(-1*(B1330-C1330)/(Utilities!$B$11*IterData!H1330)))</f>
        <v>5.2630285571892678E-2</v>
      </c>
    </row>
    <row r="1331" spans="1:11" x14ac:dyDescent="0.3">
      <c r="A1331">
        <v>1330</v>
      </c>
      <c r="B1331">
        <v>1.4811905044536484E-2</v>
      </c>
      <c r="C1331">
        <v>1.4544988230323606E-2</v>
      </c>
      <c r="D1331">
        <v>0.9971640340680985</v>
      </c>
      <c r="E1331" s="10">
        <v>3.7746165770919976E-4</v>
      </c>
      <c r="F1331" s="10">
        <v>2.0404856434120671</v>
      </c>
      <c r="H1331">
        <v>0.50000000013879442</v>
      </c>
      <c r="I1331" s="11">
        <f t="shared" si="20"/>
        <v>2.669168142128784E-4</v>
      </c>
      <c r="J1331" s="11">
        <f>1/(H1331*Utilities!$B$11)</f>
        <v>7.9999999977792893</v>
      </c>
      <c r="K1331" s="11">
        <f>IF(B1331&lt;C1331,1,EXP(-1*(B1331-C1331)/(Utilities!$B$11*IterData!H1331)))</f>
        <v>0.9978669436917661</v>
      </c>
    </row>
    <row r="1332" spans="1:11" x14ac:dyDescent="0.3">
      <c r="A1332">
        <v>1331</v>
      </c>
      <c r="B1332">
        <v>0.18752973154350336</v>
      </c>
      <c r="C1332">
        <v>1.4811905044536484E-2</v>
      </c>
      <c r="D1332">
        <v>0.15896051895405897</v>
      </c>
      <c r="E1332" s="10">
        <v>3.6616281243165776E-4</v>
      </c>
      <c r="F1332" s="10">
        <v>2.0307996797729229</v>
      </c>
      <c r="H1332">
        <v>0.50000000013604606</v>
      </c>
      <c r="I1332" s="11">
        <f t="shared" si="20"/>
        <v>0.17271782649896689</v>
      </c>
      <c r="J1332" s="11">
        <f>1/(H1332*Utilities!$B$11)</f>
        <v>7.999999997823263</v>
      </c>
      <c r="K1332" s="11">
        <f>IF(B1332&lt;C1332,1,EXP(-1*(B1332-C1332)/(Utilities!$B$11*IterData!H1332)))</f>
        <v>0.25114053111282625</v>
      </c>
    </row>
    <row r="1333" spans="1:11" x14ac:dyDescent="0.3">
      <c r="A1333">
        <v>1332</v>
      </c>
      <c r="B1333">
        <v>1.1372439958907084E-2</v>
      </c>
      <c r="C1333">
        <v>1.4811905044536484E-2</v>
      </c>
      <c r="D1333">
        <v>1</v>
      </c>
      <c r="E1333" s="10">
        <v>3.6616281243165776E-4</v>
      </c>
      <c r="F1333" s="10">
        <v>2.0307996797729229</v>
      </c>
      <c r="H1333">
        <v>0.50000000013335222</v>
      </c>
      <c r="I1333" s="11">
        <f t="shared" si="20"/>
        <v>-3.4394650856294003E-3</v>
      </c>
      <c r="J1333" s="11">
        <f>1/(H1333*Utilities!$B$11)</f>
        <v>7.9999999978663645</v>
      </c>
      <c r="K1333" s="11">
        <f>IF(B1333&lt;C1333,1,EXP(-1*(B1333-C1333)/(Utilities!$B$11*IterData!H1333)))</f>
        <v>1</v>
      </c>
    </row>
    <row r="1334" spans="1:11" x14ac:dyDescent="0.3">
      <c r="A1334">
        <v>1333</v>
      </c>
      <c r="B1334">
        <v>0.89865983944541949</v>
      </c>
      <c r="C1334">
        <v>1.1372439958907084E-2</v>
      </c>
      <c r="D1334">
        <v>7.7748381359375423E-5</v>
      </c>
      <c r="E1334" s="10">
        <v>2.6386756194834765E-4</v>
      </c>
      <c r="F1334" s="10">
        <v>2.1252396645363048</v>
      </c>
      <c r="H1334">
        <v>0.50000000013071166</v>
      </c>
      <c r="I1334" s="11">
        <f t="shared" si="20"/>
        <v>0.88728739948651236</v>
      </c>
      <c r="J1334" s="11">
        <f>1/(H1334*Utilities!$B$11)</f>
        <v>7.9999999979086134</v>
      </c>
      <c r="K1334" s="11">
        <f>IF(B1334&lt;C1334,1,EXP(-1*(B1334-C1334)/(Utilities!$B$11*IterData!H1334)))</f>
        <v>8.2650946072422202E-4</v>
      </c>
    </row>
    <row r="1335" spans="1:11" x14ac:dyDescent="0.3">
      <c r="A1335">
        <v>1334</v>
      </c>
      <c r="B1335">
        <v>0.70991968427064212</v>
      </c>
      <c r="C1335">
        <v>1.1372439958907084E-2</v>
      </c>
      <c r="D1335">
        <v>5.7860172193797325E-4</v>
      </c>
      <c r="E1335" s="10">
        <v>2.6386756194834765E-4</v>
      </c>
      <c r="F1335" s="10">
        <v>2.1252396645363048</v>
      </c>
      <c r="H1335">
        <v>0.5000000001281234</v>
      </c>
      <c r="I1335" s="11">
        <f t="shared" si="20"/>
        <v>0.69854724431173498</v>
      </c>
      <c r="J1335" s="11">
        <f>1/(H1335*Utilities!$B$11)</f>
        <v>7.9999999979500256</v>
      </c>
      <c r="K1335" s="11">
        <f>IF(B1335&lt;C1335,1,EXP(-1*(B1335-C1335)/(Utilities!$B$11*IterData!H1335)))</f>
        <v>3.7410911713544001E-3</v>
      </c>
    </row>
    <row r="1336" spans="1:11" x14ac:dyDescent="0.3">
      <c r="A1336">
        <v>1335</v>
      </c>
      <c r="B1336">
        <v>0.39599264223862068</v>
      </c>
      <c r="C1336">
        <v>1.1372439958907084E-2</v>
      </c>
      <c r="D1336">
        <v>1.6444836209035509E-2</v>
      </c>
      <c r="E1336" s="10">
        <v>2.6386756194834765E-4</v>
      </c>
      <c r="F1336" s="10">
        <v>2.1252396645363048</v>
      </c>
      <c r="H1336">
        <v>0.50000000012558643</v>
      </c>
      <c r="I1336" s="11">
        <f t="shared" si="20"/>
        <v>0.38462020227971361</v>
      </c>
      <c r="J1336" s="11">
        <f>1/(H1336*Utilities!$B$11)</f>
        <v>7.9999999979906171</v>
      </c>
      <c r="K1336" s="11">
        <f>IF(B1336&lt;C1336,1,EXP(-1*(B1336-C1336)/(Utilities!$B$11*IterData!H1336)))</f>
        <v>4.60991108094021E-2</v>
      </c>
    </row>
    <row r="1337" spans="1:11" x14ac:dyDescent="0.3">
      <c r="A1337">
        <v>1336</v>
      </c>
      <c r="B1337">
        <v>0.46942434002782479</v>
      </c>
      <c r="C1337">
        <v>1.1372439958907084E-2</v>
      </c>
      <c r="D1337">
        <v>7.478981145773808E-3</v>
      </c>
      <c r="E1337" s="10">
        <v>2.6386756194834765E-4</v>
      </c>
      <c r="F1337" s="10">
        <v>2.1252396645363048</v>
      </c>
      <c r="H1337">
        <v>0.50000000012309964</v>
      </c>
      <c r="I1337" s="11">
        <f t="shared" si="20"/>
        <v>0.45805190006891772</v>
      </c>
      <c r="J1337" s="11">
        <f>1/(H1337*Utilities!$B$11)</f>
        <v>7.9999999980304057</v>
      </c>
      <c r="K1337" s="11">
        <f>IF(B1337&lt;C1337,1,EXP(-1*(B1337-C1337)/(Utilities!$B$11*IterData!H1337)))</f>
        <v>2.5619148991119629E-2</v>
      </c>
    </row>
    <row r="1338" spans="1:11" x14ac:dyDescent="0.3">
      <c r="A1338">
        <v>1337</v>
      </c>
      <c r="B1338">
        <v>0.27175868869055719</v>
      </c>
      <c r="C1338">
        <v>1.1372439958907084E-2</v>
      </c>
      <c r="D1338">
        <v>6.1723452449538113E-2</v>
      </c>
      <c r="E1338" s="10">
        <v>2.6386756194834765E-4</v>
      </c>
      <c r="F1338" s="10">
        <v>2.1252396645363048</v>
      </c>
      <c r="H1338">
        <v>0.50000000012066204</v>
      </c>
      <c r="I1338" s="11">
        <f t="shared" si="20"/>
        <v>0.26038624873165012</v>
      </c>
      <c r="J1338" s="11">
        <f>1/(H1338*Utilities!$B$11)</f>
        <v>7.9999999980694074</v>
      </c>
      <c r="K1338" s="11">
        <f>IF(B1338&lt;C1338,1,EXP(-1*(B1338-C1338)/(Utilities!$B$11*IterData!H1338)))</f>
        <v>0.12454477497846626</v>
      </c>
    </row>
    <row r="1339" spans="1:11" x14ac:dyDescent="0.3">
      <c r="A1339">
        <v>1338</v>
      </c>
      <c r="B1339">
        <v>0.43791995067557238</v>
      </c>
      <c r="C1339">
        <v>1.1372439958907084E-2</v>
      </c>
      <c r="D1339">
        <v>1.0401923337543363E-2</v>
      </c>
      <c r="E1339" s="10">
        <v>2.6386756194834765E-4</v>
      </c>
      <c r="F1339" s="10">
        <v>2.1252396645363048</v>
      </c>
      <c r="H1339">
        <v>0.50000000011827284</v>
      </c>
      <c r="I1339" s="11">
        <f t="shared" si="20"/>
        <v>0.4265475107166653</v>
      </c>
      <c r="J1339" s="11">
        <f>1/(H1339*Utilities!$B$11)</f>
        <v>7.9999999981076346</v>
      </c>
      <c r="K1339" s="11">
        <f>IF(B1339&lt;C1339,1,EXP(-1*(B1339-C1339)/(Utilities!$B$11*IterData!H1339)))</f>
        <v>3.2962653024693651E-2</v>
      </c>
    </row>
    <row r="1340" spans="1:11" x14ac:dyDescent="0.3">
      <c r="A1340">
        <v>1339</v>
      </c>
      <c r="B1340">
        <v>0.66409099106833824</v>
      </c>
      <c r="C1340">
        <v>1.1372439958907084E-2</v>
      </c>
      <c r="D1340">
        <v>9.1927879128716669E-4</v>
      </c>
      <c r="E1340" s="10">
        <v>2.6386756194834765E-4</v>
      </c>
      <c r="F1340" s="10">
        <v>2.1252396645363048</v>
      </c>
      <c r="H1340">
        <v>0.50000000011593082</v>
      </c>
      <c r="I1340" s="11">
        <f t="shared" si="20"/>
        <v>0.65271855110943111</v>
      </c>
      <c r="J1340" s="11">
        <f>1/(H1340*Utilities!$B$11)</f>
        <v>7.9999999981451069</v>
      </c>
      <c r="K1340" s="11">
        <f>IF(B1340&lt;C1340,1,EXP(-1*(B1340-C1340)/(Utilities!$B$11*IterData!H1340)))</f>
        <v>5.3978831708474751E-3</v>
      </c>
    </row>
    <row r="1341" spans="1:11" x14ac:dyDescent="0.3">
      <c r="A1341">
        <v>1340</v>
      </c>
      <c r="B1341">
        <v>2.6517120187137064E-2</v>
      </c>
      <c r="C1341">
        <v>1.1372439958907084E-2</v>
      </c>
      <c r="D1341">
        <v>0.85014277585464137</v>
      </c>
      <c r="E1341" s="10">
        <v>2.6386756194834765E-4</v>
      </c>
      <c r="F1341" s="10">
        <v>2.1252396645363048</v>
      </c>
      <c r="H1341">
        <v>0.50000000011363521</v>
      </c>
      <c r="I1341" s="11">
        <f t="shared" si="20"/>
        <v>1.5144680228229981E-2</v>
      </c>
      <c r="J1341" s="11">
        <f>1/(H1341*Utilities!$B$11)</f>
        <v>7.9999999981818366</v>
      </c>
      <c r="K1341" s="11">
        <f>IF(B1341&lt;C1341,1,EXP(-1*(B1341-C1341)/(Utilities!$B$11*IterData!H1341)))</f>
        <v>0.88589447179381164</v>
      </c>
    </row>
    <row r="1342" spans="1:11" x14ac:dyDescent="0.3">
      <c r="A1342">
        <v>1341</v>
      </c>
      <c r="B1342">
        <v>0.57751426925537752</v>
      </c>
      <c r="C1342">
        <v>2.6517120187137064E-2</v>
      </c>
      <c r="D1342">
        <v>2.7092121284010206E-3</v>
      </c>
      <c r="E1342" s="10">
        <v>2.5911196134309451E-4</v>
      </c>
      <c r="F1342" s="10">
        <v>2.1763116944262983</v>
      </c>
      <c r="H1342">
        <v>0.50000000011138512</v>
      </c>
      <c r="I1342" s="11">
        <f t="shared" si="20"/>
        <v>0.55099714906824049</v>
      </c>
      <c r="J1342" s="11">
        <f>1/(H1342*Utilities!$B$11)</f>
        <v>7.999999998217838</v>
      </c>
      <c r="K1342" s="11">
        <f>IF(B1342&lt;C1342,1,EXP(-1*(B1342-C1342)/(Utilities!$B$11*IterData!H1342)))</f>
        <v>1.2179790811958094E-2</v>
      </c>
    </row>
    <row r="1343" spans="1:11" x14ac:dyDescent="0.3">
      <c r="A1343">
        <v>1342</v>
      </c>
      <c r="B1343">
        <v>0.23165310166788605</v>
      </c>
      <c r="C1343">
        <v>2.6517120187137064E-2</v>
      </c>
      <c r="D1343">
        <v>0.11054419351178327</v>
      </c>
      <c r="E1343" s="10">
        <v>2.5911196134309451E-4</v>
      </c>
      <c r="F1343" s="10">
        <v>2.1763116944262983</v>
      </c>
      <c r="H1343">
        <v>0.50000000010917955</v>
      </c>
      <c r="I1343" s="11">
        <f t="shared" si="20"/>
        <v>0.20513598148074899</v>
      </c>
      <c r="J1343" s="11">
        <f>1/(H1343*Utilities!$B$11)</f>
        <v>7.9999999982531271</v>
      </c>
      <c r="K1343" s="11">
        <f>IF(B1343&lt;C1343,1,EXP(-1*(B1343-C1343)/(Utilities!$B$11*IterData!H1343)))</f>
        <v>0.19376913555171649</v>
      </c>
    </row>
    <row r="1344" spans="1:11" x14ac:dyDescent="0.3">
      <c r="A1344">
        <v>1343</v>
      </c>
      <c r="B1344">
        <v>0.24801942616114622</v>
      </c>
      <c r="C1344">
        <v>2.6517120187137064E-2</v>
      </c>
      <c r="D1344">
        <v>9.2567166385657623E-2</v>
      </c>
      <c r="E1344" s="10">
        <v>2.5911196134309451E-4</v>
      </c>
      <c r="F1344" s="10">
        <v>2.1763116944262983</v>
      </c>
      <c r="H1344">
        <v>0.50000000010701762</v>
      </c>
      <c r="I1344" s="11">
        <f t="shared" si="20"/>
        <v>0.22150230597400916</v>
      </c>
      <c r="J1344" s="11">
        <f>1/(H1344*Utilities!$B$11)</f>
        <v>7.9999999982877181</v>
      </c>
      <c r="K1344" s="11">
        <f>IF(B1344&lt;C1344,1,EXP(-1*(B1344-C1344)/(Utilities!$B$11*IterData!H1344)))</f>
        <v>0.16998952739083137</v>
      </c>
    </row>
    <row r="1345" spans="1:11" x14ac:dyDescent="0.3">
      <c r="A1345">
        <v>1344</v>
      </c>
      <c r="B1345">
        <v>0.18835950550026256</v>
      </c>
      <c r="C1345">
        <v>2.6517120187137064E-2</v>
      </c>
      <c r="D1345">
        <v>0.1754977026418629</v>
      </c>
      <c r="E1345" s="10">
        <v>2.5911196134309451E-4</v>
      </c>
      <c r="F1345" s="10">
        <v>2.1763116944262983</v>
      </c>
      <c r="H1345">
        <v>0.50000000010489853</v>
      </c>
      <c r="I1345" s="11">
        <f t="shared" si="20"/>
        <v>0.1618423853131255</v>
      </c>
      <c r="J1345" s="11">
        <f>1/(H1345*Utilities!$B$11)</f>
        <v>7.9999999983216235</v>
      </c>
      <c r="K1345" s="11">
        <f>IF(B1345&lt;C1345,1,EXP(-1*(B1345-C1345)/(Utilities!$B$11*IterData!H1345)))</f>
        <v>0.27396933847452265</v>
      </c>
    </row>
    <row r="1346" spans="1:11" x14ac:dyDescent="0.3">
      <c r="A1346">
        <v>1345</v>
      </c>
      <c r="B1346">
        <v>0.24039158337565222</v>
      </c>
      <c r="C1346">
        <v>2.6517120187137064E-2</v>
      </c>
      <c r="D1346">
        <v>0.10012967095606282</v>
      </c>
      <c r="E1346" s="10">
        <v>2.5911196134309451E-4</v>
      </c>
      <c r="F1346" s="10">
        <v>2.1763116944262983</v>
      </c>
      <c r="H1346">
        <v>0.50000000010282142</v>
      </c>
      <c r="I1346" s="11">
        <f t="shared" si="20"/>
        <v>0.21387446318851516</v>
      </c>
      <c r="J1346" s="11">
        <f>1/(H1346*Utilities!$B$11)</f>
        <v>7.9999999983548573</v>
      </c>
      <c r="K1346" s="11">
        <f>IF(B1346&lt;C1346,1,EXP(-1*(B1346-C1346)/(Utilities!$B$11*IterData!H1346)))</f>
        <v>0.18068579324284478</v>
      </c>
    </row>
    <row r="1347" spans="1:11" x14ac:dyDescent="0.3">
      <c r="A1347">
        <v>1346</v>
      </c>
      <c r="B1347">
        <v>5.9021621030955956E-2</v>
      </c>
      <c r="C1347">
        <v>2.6517120187137064E-2</v>
      </c>
      <c r="D1347">
        <v>0.70468212454822476</v>
      </c>
      <c r="E1347" s="10">
        <v>2.5911196134309451E-4</v>
      </c>
      <c r="F1347" s="10">
        <v>2.1763116944262983</v>
      </c>
      <c r="H1347">
        <v>0.50000000010078538</v>
      </c>
      <c r="I1347" s="11">
        <f t="shared" ref="I1347:I1410" si="21">B1347-C1347</f>
        <v>3.2504500843818895E-2</v>
      </c>
      <c r="J1347" s="11">
        <f>1/(H1347*Utilities!$B$11)</f>
        <v>7.9999999983874339</v>
      </c>
      <c r="K1347" s="11">
        <f>IF(B1347&lt;C1347,1,EXP(-1*(B1347-C1347)/(Utilities!$B$11*IterData!H1347)))</f>
        <v>0.77102382328169072</v>
      </c>
    </row>
    <row r="1348" spans="1:11" x14ac:dyDescent="0.3">
      <c r="A1348">
        <v>1347</v>
      </c>
      <c r="B1348">
        <v>1.3264423684394165E-2</v>
      </c>
      <c r="C1348">
        <v>5.9021621030955956E-2</v>
      </c>
      <c r="D1348">
        <v>1</v>
      </c>
      <c r="E1348" s="10">
        <v>2.5138686409931763E-4</v>
      </c>
      <c r="F1348" s="10">
        <v>2.2231897457181753</v>
      </c>
      <c r="H1348">
        <v>0.50000000009878975</v>
      </c>
      <c r="I1348" s="11">
        <f t="shared" si="21"/>
        <v>-4.5757197346561793E-2</v>
      </c>
      <c r="J1348" s="11">
        <f>1/(H1348*Utilities!$B$11)</f>
        <v>7.9999999984193639</v>
      </c>
      <c r="K1348" s="11">
        <f>IF(B1348&lt;C1348,1,EXP(-1*(B1348-C1348)/(Utilities!$B$11*IterData!H1348)))</f>
        <v>1</v>
      </c>
    </row>
    <row r="1349" spans="1:11" x14ac:dyDescent="0.3">
      <c r="A1349">
        <v>1348</v>
      </c>
      <c r="B1349">
        <v>2.9503929084597938E-2</v>
      </c>
      <c r="C1349">
        <v>1.3264423684394165E-2</v>
      </c>
      <c r="D1349">
        <v>0.83935056237462036</v>
      </c>
      <c r="E1349" s="10">
        <v>2.5866141212771844E-4</v>
      </c>
      <c r="F1349" s="10">
        <v>2.1464678208120893</v>
      </c>
      <c r="H1349">
        <v>0.50000000009683354</v>
      </c>
      <c r="I1349" s="11">
        <f t="shared" si="21"/>
        <v>1.6239505400203774E-2</v>
      </c>
      <c r="J1349" s="11">
        <f>1/(H1349*Utilities!$B$11)</f>
        <v>7.9999999984506633</v>
      </c>
      <c r="K1349" s="11">
        <f>IF(B1349&lt;C1349,1,EXP(-1*(B1349-C1349)/(Utilities!$B$11*IterData!H1349)))</f>
        <v>0.87816915611852131</v>
      </c>
    </row>
    <row r="1350" spans="1:11" x14ac:dyDescent="0.3">
      <c r="A1350">
        <v>1349</v>
      </c>
      <c r="B1350">
        <v>7.2909138706693882E-2</v>
      </c>
      <c r="C1350">
        <v>2.9503929084597938E-2</v>
      </c>
      <c r="D1350">
        <v>0.6259849046485505</v>
      </c>
      <c r="E1350" s="10">
        <v>3.0853574361516524E-4</v>
      </c>
      <c r="F1350" s="10">
        <v>2.0393297084578128</v>
      </c>
      <c r="H1350">
        <v>0.50000000009491619</v>
      </c>
      <c r="I1350" s="11">
        <f t="shared" si="21"/>
        <v>4.3405209622095944E-2</v>
      </c>
      <c r="J1350" s="11">
        <f>1/(H1350*Utilities!$B$11)</f>
        <v>7.999999998481341</v>
      </c>
      <c r="K1350" s="11">
        <f>IF(B1350&lt;C1350,1,EXP(-1*(B1350-C1350)/(Utilities!$B$11*IterData!H1350)))</f>
        <v>0.7066345303692283</v>
      </c>
    </row>
    <row r="1351" spans="1:11" x14ac:dyDescent="0.3">
      <c r="A1351">
        <v>1350</v>
      </c>
      <c r="B1351">
        <v>4.6908599465972145E-2</v>
      </c>
      <c r="C1351">
        <v>2.9503929084597938E-2</v>
      </c>
      <c r="D1351">
        <v>0.82863920137595515</v>
      </c>
      <c r="E1351" s="10">
        <v>3.0853574361516524E-4</v>
      </c>
      <c r="F1351" s="10">
        <v>2.0393297084578128</v>
      </c>
      <c r="H1351">
        <v>0.50000000009303669</v>
      </c>
      <c r="I1351" s="11">
        <f t="shared" si="21"/>
        <v>1.7404670381374207E-2</v>
      </c>
      <c r="J1351" s="11">
        <f>1/(H1351*Utilities!$B$11)</f>
        <v>7.999999998511413</v>
      </c>
      <c r="K1351" s="11">
        <f>IF(B1351&lt;C1351,1,EXP(-1*(B1351-C1351)/(Utilities!$B$11*IterData!H1351)))</f>
        <v>0.87002149301381138</v>
      </c>
    </row>
    <row r="1352" spans="1:11" x14ac:dyDescent="0.3">
      <c r="A1352">
        <v>1351</v>
      </c>
      <c r="B1352">
        <v>0.18587677489899837</v>
      </c>
      <c r="C1352">
        <v>4.6908599465972145E-2</v>
      </c>
      <c r="D1352">
        <v>0.22269146293967371</v>
      </c>
      <c r="E1352" s="10">
        <v>2.9406853241595863E-4</v>
      </c>
      <c r="F1352" s="10">
        <v>2.1687954580893529</v>
      </c>
      <c r="H1352">
        <v>0.50000000009119439</v>
      </c>
      <c r="I1352" s="11">
        <f t="shared" si="21"/>
        <v>0.13896817543302623</v>
      </c>
      <c r="J1352" s="11">
        <f>1/(H1352*Utilities!$B$11)</f>
        <v>7.9999999985408898</v>
      </c>
      <c r="K1352" s="11">
        <f>IF(B1352&lt;C1352,1,EXP(-1*(B1352-C1352)/(Utilities!$B$11*IterData!H1352)))</f>
        <v>0.32898424948733324</v>
      </c>
    </row>
    <row r="1353" spans="1:11" x14ac:dyDescent="0.3">
      <c r="A1353">
        <v>1352</v>
      </c>
      <c r="B1353">
        <v>0.60872528877623655</v>
      </c>
      <c r="C1353">
        <v>4.6908599465972145E-2</v>
      </c>
      <c r="D1353">
        <v>2.2959483176936799E-3</v>
      </c>
      <c r="E1353" s="10">
        <v>2.9406853241595863E-4</v>
      </c>
      <c r="F1353" s="10">
        <v>2.1687954580893529</v>
      </c>
      <c r="H1353">
        <v>0.50000000008938861</v>
      </c>
      <c r="I1353" s="11">
        <f t="shared" si="21"/>
        <v>0.56181668931026441</v>
      </c>
      <c r="J1353" s="11">
        <f>1/(H1353*Utilities!$B$11)</f>
        <v>7.9999999985697823</v>
      </c>
      <c r="K1353" s="11">
        <f>IF(B1353&lt;C1353,1,EXP(-1*(B1353-C1353)/(Utilities!$B$11*IterData!H1353)))</f>
        <v>1.1169890000866194E-2</v>
      </c>
    </row>
    <row r="1354" spans="1:11" x14ac:dyDescent="0.3">
      <c r="A1354">
        <v>1353</v>
      </c>
      <c r="B1354">
        <v>0.29582089078605661</v>
      </c>
      <c r="C1354">
        <v>4.6908599465972145E-2</v>
      </c>
      <c r="D1354">
        <v>6.7594636501382324E-2</v>
      </c>
      <c r="E1354" s="10">
        <v>2.9406853241595863E-4</v>
      </c>
      <c r="F1354" s="10">
        <v>2.1687954580893529</v>
      </c>
      <c r="H1354">
        <v>0.50000000008761869</v>
      </c>
      <c r="I1354" s="11">
        <f t="shared" si="21"/>
        <v>0.24891229132008447</v>
      </c>
      <c r="J1354" s="11">
        <f>1/(H1354*Utilities!$B$11)</f>
        <v>7.999999998598101</v>
      </c>
      <c r="K1354" s="11">
        <f>IF(B1354&lt;C1354,1,EXP(-1*(B1354-C1354)/(Utilities!$B$11*IterData!H1354)))</f>
        <v>0.13651806480611564</v>
      </c>
    </row>
    <row r="1355" spans="1:11" x14ac:dyDescent="0.3">
      <c r="A1355">
        <v>1354</v>
      </c>
      <c r="B1355">
        <v>0.16739737808825708</v>
      </c>
      <c r="C1355">
        <v>0.29582089078605661</v>
      </c>
      <c r="D1355">
        <v>1</v>
      </c>
      <c r="E1355" s="10">
        <v>2.9478226319209995E-4</v>
      </c>
      <c r="F1355" s="10">
        <v>2.3322678980956888</v>
      </c>
      <c r="H1355">
        <v>0.50000000008588363</v>
      </c>
      <c r="I1355" s="11">
        <f t="shared" si="21"/>
        <v>-0.12842351269779953</v>
      </c>
      <c r="J1355" s="11">
        <f>1/(H1355*Utilities!$B$11)</f>
        <v>7.9999999986258619</v>
      </c>
      <c r="K1355" s="11">
        <f>IF(B1355&lt;C1355,1,EXP(-1*(B1355-C1355)/(Utilities!$B$11*IterData!H1355)))</f>
        <v>1</v>
      </c>
    </row>
    <row r="1356" spans="1:11" x14ac:dyDescent="0.3">
      <c r="A1356">
        <v>1355</v>
      </c>
      <c r="B1356">
        <v>0.21566637151944079</v>
      </c>
      <c r="C1356">
        <v>0.16739737808825708</v>
      </c>
      <c r="D1356">
        <v>0.59259985489404754</v>
      </c>
      <c r="E1356" s="10">
        <v>2.3004883575607402E-4</v>
      </c>
      <c r="F1356" s="10">
        <v>2.0260689511881731</v>
      </c>
      <c r="H1356">
        <v>0.5000000000841831</v>
      </c>
      <c r="I1356" s="11">
        <f t="shared" si="21"/>
        <v>4.826899343118371E-2</v>
      </c>
      <c r="J1356" s="11">
        <f>1/(H1356*Utilities!$B$11)</f>
        <v>7.9999999986530703</v>
      </c>
      <c r="K1356" s="11">
        <f>IF(B1356&lt;C1356,1,EXP(-1*(B1356-C1356)/(Utilities!$B$11*IterData!H1356)))</f>
        <v>0.67966724417379065</v>
      </c>
    </row>
    <row r="1357" spans="1:11" x14ac:dyDescent="0.3">
      <c r="A1357">
        <v>1356</v>
      </c>
      <c r="B1357">
        <v>0.28864344829396466</v>
      </c>
      <c r="C1357">
        <v>0.16739737808825708</v>
      </c>
      <c r="D1357">
        <v>0.26839986701055929</v>
      </c>
      <c r="E1357" s="10">
        <v>2.3004883575607402E-4</v>
      </c>
      <c r="F1357" s="10">
        <v>2.0260689511881731</v>
      </c>
      <c r="H1357">
        <v>0.50000000008251611</v>
      </c>
      <c r="I1357" s="11">
        <f t="shared" si="21"/>
        <v>0.12124607020570757</v>
      </c>
      <c r="J1357" s="11">
        <f>1/(H1357*Utilities!$B$11)</f>
        <v>7.9999999986797423</v>
      </c>
      <c r="K1357" s="11">
        <f>IF(B1357&lt;C1357,1,EXP(-1*(B1357-C1357)/(Utilities!$B$11*IterData!H1357)))</f>
        <v>0.37909495609829796</v>
      </c>
    </row>
    <row r="1358" spans="1:11" x14ac:dyDescent="0.3">
      <c r="A1358">
        <v>1357</v>
      </c>
      <c r="B1358">
        <v>1.2351300177815225E-2</v>
      </c>
      <c r="C1358">
        <v>0.28864344829396466</v>
      </c>
      <c r="D1358">
        <v>1</v>
      </c>
      <c r="E1358" s="10">
        <v>2.533739812791083E-4</v>
      </c>
      <c r="F1358" s="10">
        <v>2.3705775575160426</v>
      </c>
      <c r="H1358">
        <v>0.50000000008088219</v>
      </c>
      <c r="I1358" s="11">
        <f t="shared" si="21"/>
        <v>-0.27629214811614944</v>
      </c>
      <c r="J1358" s="11">
        <f>1/(H1358*Utilities!$B$11)</f>
        <v>7.999999998705885</v>
      </c>
      <c r="K1358" s="11">
        <f>IF(B1358&lt;C1358,1,EXP(-1*(B1358-C1358)/(Utilities!$B$11*IterData!H1358)))</f>
        <v>1</v>
      </c>
    </row>
    <row r="1359" spans="1:11" x14ac:dyDescent="0.3">
      <c r="A1359">
        <v>1358</v>
      </c>
      <c r="B1359">
        <v>1.2703917484997851E-2</v>
      </c>
      <c r="C1359">
        <v>1.2351300177815225E-2</v>
      </c>
      <c r="D1359">
        <v>0.99617649386076723</v>
      </c>
      <c r="E1359" s="10">
        <v>2.9273748183102132E-4</v>
      </c>
      <c r="F1359" s="10">
        <v>2.1041901694832297</v>
      </c>
      <c r="H1359">
        <v>0.50000000007928058</v>
      </c>
      <c r="I1359" s="11">
        <f t="shared" si="21"/>
        <v>3.5261730718262607E-4</v>
      </c>
      <c r="J1359" s="11">
        <f>1/(H1359*Utilities!$B$11)</f>
        <v>7.9999999987315107</v>
      </c>
      <c r="K1359" s="11">
        <f>IF(B1359&lt;C1359,1,EXP(-1*(B1359-C1359)/(Utilities!$B$11*IterData!H1359)))</f>
        <v>0.99718303665115171</v>
      </c>
    </row>
    <row r="1360" spans="1:11" x14ac:dyDescent="0.3">
      <c r="A1360">
        <v>1359</v>
      </c>
      <c r="B1360">
        <v>0.99429622669348505</v>
      </c>
      <c r="C1360">
        <v>1.2703917484997851E-2</v>
      </c>
      <c r="D1360">
        <v>2.3188094385340386E-5</v>
      </c>
      <c r="E1360" s="10">
        <v>2.2581042579109055E-4</v>
      </c>
      <c r="F1360" s="10">
        <v>2.1822334578378522</v>
      </c>
      <c r="H1360">
        <v>0.50000000007771073</v>
      </c>
      <c r="I1360" s="11">
        <f t="shared" si="21"/>
        <v>0.98159230920848717</v>
      </c>
      <c r="J1360" s="11">
        <f>1/(H1360*Utilities!$B$11)</f>
        <v>7.9999999987566284</v>
      </c>
      <c r="K1360" s="11">
        <f>IF(B1360&lt;C1360,1,EXP(-1*(B1360-C1360)/(Utilities!$B$11*IterData!H1360)))</f>
        <v>3.8868610331335127E-4</v>
      </c>
    </row>
    <row r="1361" spans="1:11" x14ac:dyDescent="0.3">
      <c r="A1361">
        <v>1360</v>
      </c>
      <c r="B1361">
        <v>2.0427694072445681</v>
      </c>
      <c r="C1361">
        <v>1.2703917484997851E-2</v>
      </c>
      <c r="D1361">
        <v>2.5567537942637453E-10</v>
      </c>
      <c r="E1361" s="10">
        <v>2.2581042579109055E-4</v>
      </c>
      <c r="F1361" s="10">
        <v>2.1822334578378522</v>
      </c>
      <c r="H1361">
        <v>0.50000000007617196</v>
      </c>
      <c r="I1361" s="11">
        <f t="shared" si="21"/>
        <v>2.0300654897595702</v>
      </c>
      <c r="J1361" s="11">
        <f>1/(H1361*Utilities!$B$11)</f>
        <v>7.9999999987812487</v>
      </c>
      <c r="K1361" s="11">
        <f>IF(B1361&lt;C1361,1,EXP(-1*(B1361-C1361)/(Utilities!$B$11*IterData!H1361)))</f>
        <v>8.8476937191282991E-8</v>
      </c>
    </row>
    <row r="1362" spans="1:11" x14ac:dyDescent="0.3">
      <c r="A1362">
        <v>1361</v>
      </c>
      <c r="B1362">
        <v>0.72580334273616132</v>
      </c>
      <c r="C1362">
        <v>1.2703917484997851E-2</v>
      </c>
      <c r="D1362">
        <v>4.2465794814778961E-4</v>
      </c>
      <c r="E1362" s="10">
        <v>2.2581042579109055E-4</v>
      </c>
      <c r="F1362" s="10">
        <v>2.1822334578378522</v>
      </c>
      <c r="H1362">
        <v>0.50000000007466372</v>
      </c>
      <c r="I1362" s="11">
        <f t="shared" si="21"/>
        <v>0.71309942525116343</v>
      </c>
      <c r="J1362" s="11">
        <f>1/(H1362*Utilities!$B$11)</f>
        <v>7.9999999988053805</v>
      </c>
      <c r="K1362" s="11">
        <f>IF(B1362&lt;C1362,1,EXP(-1*(B1362-C1362)/(Utilities!$B$11*IterData!H1362)))</f>
        <v>3.3299586211188474E-3</v>
      </c>
    </row>
    <row r="1363" spans="1:11" x14ac:dyDescent="0.3">
      <c r="A1363">
        <v>1362</v>
      </c>
      <c r="B1363">
        <v>5.1180524544449831E-2</v>
      </c>
      <c r="C1363">
        <v>1.2703917484997851E-2</v>
      </c>
      <c r="D1363">
        <v>0.65754563502382302</v>
      </c>
      <c r="E1363" s="10">
        <v>2.2581042579109055E-4</v>
      </c>
      <c r="F1363" s="10">
        <v>2.1822334578378522</v>
      </c>
      <c r="H1363">
        <v>0.50000000007318524</v>
      </c>
      <c r="I1363" s="11">
        <f t="shared" si="21"/>
        <v>3.8476607059451981E-2</v>
      </c>
      <c r="J1363" s="11">
        <f>1/(H1363*Utilities!$B$11)</f>
        <v>7.9999999988290362</v>
      </c>
      <c r="K1363" s="11">
        <f>IF(B1363&lt;C1363,1,EXP(-1*(B1363-C1363)/(Utilities!$B$11*IterData!H1363)))</f>
        <v>0.7350528655550842</v>
      </c>
    </row>
    <row r="1364" spans="1:11" x14ac:dyDescent="0.3">
      <c r="A1364">
        <v>1363</v>
      </c>
      <c r="B1364">
        <v>0.32126013903537676</v>
      </c>
      <c r="C1364">
        <v>5.1180524544449831E-2</v>
      </c>
      <c r="D1364">
        <v>5.2604789093055174E-2</v>
      </c>
      <c r="E1364" s="10">
        <v>2.7106530209193358E-4</v>
      </c>
      <c r="F1364" s="10">
        <v>2.1951706386458367</v>
      </c>
      <c r="H1364">
        <v>0.50000000007173606</v>
      </c>
      <c r="I1364" s="11">
        <f t="shared" si="21"/>
        <v>0.27007961449092693</v>
      </c>
      <c r="J1364" s="11">
        <f>1/(H1364*Utilities!$B$11)</f>
        <v>7.999999998852223</v>
      </c>
      <c r="K1364" s="11">
        <f>IF(B1364&lt;C1364,1,EXP(-1*(B1364-C1364)/(Utilities!$B$11*IterData!H1364)))</f>
        <v>0.1152516920539077</v>
      </c>
    </row>
    <row r="1365" spans="1:11" x14ac:dyDescent="0.3">
      <c r="A1365">
        <v>1364</v>
      </c>
      <c r="B1365">
        <v>0.15858543829478006</v>
      </c>
      <c r="C1365">
        <v>5.1180524544449831E-2</v>
      </c>
      <c r="D1365">
        <v>0.30974607852604641</v>
      </c>
      <c r="E1365" s="10">
        <v>2.7106530209193358E-4</v>
      </c>
      <c r="F1365" s="10">
        <v>2.1951706386458367</v>
      </c>
      <c r="H1365">
        <v>0.50000000007031564</v>
      </c>
      <c r="I1365" s="11">
        <f t="shared" si="21"/>
        <v>0.10740491375033023</v>
      </c>
      <c r="J1365" s="11">
        <f>1/(H1365*Utilities!$B$11)</f>
        <v>7.9999999988749497</v>
      </c>
      <c r="K1365" s="11">
        <f>IF(B1365&lt;C1365,1,EXP(-1*(B1365-C1365)/(Utilities!$B$11*IterData!H1365)))</f>
        <v>0.42348409999446668</v>
      </c>
    </row>
    <row r="1366" spans="1:11" x14ac:dyDescent="0.3">
      <c r="A1366">
        <v>1365</v>
      </c>
      <c r="B1366">
        <v>0.6045526060875136</v>
      </c>
      <c r="C1366">
        <v>0.15858543829478006</v>
      </c>
      <c r="D1366">
        <v>7.6736609358835682E-3</v>
      </c>
      <c r="E1366" s="10">
        <v>2.5292640775421564E-4</v>
      </c>
      <c r="F1366" s="10">
        <v>2.2962994810833668</v>
      </c>
      <c r="H1366">
        <v>0.50000000006892331</v>
      </c>
      <c r="I1366" s="11">
        <f t="shared" si="21"/>
        <v>0.44596716779273354</v>
      </c>
      <c r="J1366" s="11">
        <f>1/(H1366*Utilities!$B$11)</f>
        <v>7.999999998897227</v>
      </c>
      <c r="K1366" s="11">
        <f>IF(B1366&lt;C1366,1,EXP(-1*(B1366-C1366)/(Utilities!$B$11*IterData!H1366)))</f>
        <v>2.8219632880150849E-2</v>
      </c>
    </row>
    <row r="1367" spans="1:11" x14ac:dyDescent="0.3">
      <c r="A1367">
        <v>1366</v>
      </c>
      <c r="B1367">
        <v>2.0422813857665943E-2</v>
      </c>
      <c r="C1367">
        <v>0.15858543829478006</v>
      </c>
      <c r="D1367">
        <v>1</v>
      </c>
      <c r="E1367" s="10">
        <v>2.5292640775421564E-4</v>
      </c>
      <c r="F1367" s="10">
        <v>2.2962994810833668</v>
      </c>
      <c r="H1367">
        <v>0.50000000006755851</v>
      </c>
      <c r="I1367" s="11">
        <f t="shared" si="21"/>
        <v>-0.13816262443711411</v>
      </c>
      <c r="J1367" s="11">
        <f>1/(H1367*Utilities!$B$11)</f>
        <v>7.9999999989190638</v>
      </c>
      <c r="K1367" s="11">
        <f>IF(B1367&lt;C1367,1,EXP(-1*(B1367-C1367)/(Utilities!$B$11*IterData!H1367)))</f>
        <v>1</v>
      </c>
    </row>
    <row r="1368" spans="1:11" x14ac:dyDescent="0.3">
      <c r="A1368">
        <v>1367</v>
      </c>
      <c r="B1368">
        <v>2.5956138753207854E-2</v>
      </c>
      <c r="C1368">
        <v>2.0422813857665943E-2</v>
      </c>
      <c r="D1368">
        <v>0.94128205840875334</v>
      </c>
      <c r="E1368" s="10">
        <v>2.6286259766457792E-4</v>
      </c>
      <c r="F1368" s="10">
        <v>2.1615436160494417</v>
      </c>
      <c r="H1368">
        <v>0.5000000000662207</v>
      </c>
      <c r="I1368" s="11">
        <f t="shared" si="21"/>
        <v>5.5333248955419106E-3</v>
      </c>
      <c r="J1368" s="11">
        <f>1/(H1368*Utilities!$B$11)</f>
        <v>7.9999999989404689</v>
      </c>
      <c r="K1368" s="11">
        <f>IF(B1368&lt;C1368,1,EXP(-1*(B1368-C1368)/(Utilities!$B$11*IterData!H1368)))</f>
        <v>0.95669886835806994</v>
      </c>
    </row>
    <row r="1369" spans="1:11" x14ac:dyDescent="0.3">
      <c r="A1369">
        <v>1368</v>
      </c>
      <c r="B1369">
        <v>0.3523352539318706</v>
      </c>
      <c r="C1369">
        <v>2.5956138753207854E-2</v>
      </c>
      <c r="D1369">
        <v>2.8102604051855367E-2</v>
      </c>
      <c r="E1369" s="10">
        <v>2.7589384801749329E-4</v>
      </c>
      <c r="F1369" s="10">
        <v>2.0710808894945414</v>
      </c>
      <c r="H1369">
        <v>0.50000000006490952</v>
      </c>
      <c r="I1369" s="11">
        <f t="shared" si="21"/>
        <v>0.32637911517866275</v>
      </c>
      <c r="J1369" s="11">
        <f>1/(H1369*Utilities!$B$11)</f>
        <v>7.9999999989614476</v>
      </c>
      <c r="K1369" s="11">
        <f>IF(B1369&lt;C1369,1,EXP(-1*(B1369-C1369)/(Utilities!$B$11*IterData!H1369)))</f>
        <v>7.3458627596390241E-2</v>
      </c>
    </row>
    <row r="1370" spans="1:11" x14ac:dyDescent="0.3">
      <c r="A1370">
        <v>1369</v>
      </c>
      <c r="B1370">
        <v>0.87965520472288361</v>
      </c>
      <c r="C1370">
        <v>2.5956138753207854E-2</v>
      </c>
      <c r="D1370">
        <v>8.6990454013709961E-5</v>
      </c>
      <c r="E1370" s="10">
        <v>2.7589384801749329E-4</v>
      </c>
      <c r="F1370" s="10">
        <v>2.0710808894945414</v>
      </c>
      <c r="H1370">
        <v>0.50000000006362422</v>
      </c>
      <c r="I1370" s="11">
        <f t="shared" si="21"/>
        <v>0.85369906596967571</v>
      </c>
      <c r="J1370" s="11">
        <f>1/(H1370*Utilities!$B$11)</f>
        <v>7.9999999989820125</v>
      </c>
      <c r="K1370" s="11">
        <f>IF(B1370&lt;C1370,1,EXP(-1*(B1370-C1370)/(Utilities!$B$11*IterData!H1370)))</f>
        <v>1.0812986279657188E-3</v>
      </c>
    </row>
    <row r="1371" spans="1:11" x14ac:dyDescent="0.3">
      <c r="A1371">
        <v>1370</v>
      </c>
      <c r="B1371">
        <v>1.9739489621867083</v>
      </c>
      <c r="C1371">
        <v>2.5956138753207854E-2</v>
      </c>
      <c r="D1371">
        <v>5.3433328514656556E-10</v>
      </c>
      <c r="E1371" s="10">
        <v>2.7589384801749329E-4</v>
      </c>
      <c r="F1371" s="10">
        <v>2.0710808894945414</v>
      </c>
      <c r="H1371">
        <v>0.50000000006236434</v>
      </c>
      <c r="I1371" s="11">
        <f t="shared" si="21"/>
        <v>1.9479928234335004</v>
      </c>
      <c r="J1371" s="11">
        <f>1/(H1371*Utilities!$B$11)</f>
        <v>7.9999999990021706</v>
      </c>
      <c r="K1371" s="11">
        <f>IF(B1371&lt;C1371,1,EXP(-1*(B1371-C1371)/(Utilities!$B$11*IterData!H1371)))</f>
        <v>1.7060027575202245E-7</v>
      </c>
    </row>
    <row r="1372" spans="1:11" x14ac:dyDescent="0.3">
      <c r="A1372">
        <v>1371</v>
      </c>
      <c r="B1372">
        <v>1.4737776207995788E-2</v>
      </c>
      <c r="C1372">
        <v>2.5956138753207854E-2</v>
      </c>
      <c r="D1372">
        <v>1</v>
      </c>
      <c r="E1372" s="10">
        <v>2.7589384801749329E-4</v>
      </c>
      <c r="F1372" s="10">
        <v>2.0710808894945414</v>
      </c>
      <c r="H1372">
        <v>0.50000000006112943</v>
      </c>
      <c r="I1372" s="11">
        <f t="shared" si="21"/>
        <v>-1.1218362545212066E-2</v>
      </c>
      <c r="J1372" s="11">
        <f>1/(H1372*Utilities!$B$11)</f>
        <v>7.999999999021929</v>
      </c>
      <c r="K1372" s="11">
        <f>IF(B1372&lt;C1372,1,EXP(-1*(B1372-C1372)/(Utilities!$B$11*IterData!H1372)))</f>
        <v>1</v>
      </c>
    </row>
    <row r="1373" spans="1:11" x14ac:dyDescent="0.3">
      <c r="A1373">
        <v>1372</v>
      </c>
      <c r="B1373">
        <v>0.45118347570104661</v>
      </c>
      <c r="C1373">
        <v>1.4737776207995788E-2</v>
      </c>
      <c r="D1373">
        <v>8.3089004358240914E-3</v>
      </c>
      <c r="E1373" s="10">
        <v>2.7517995995104342E-4</v>
      </c>
      <c r="F1373" s="10">
        <v>2.1346123359521925</v>
      </c>
      <c r="H1373">
        <v>0.50000000005991896</v>
      </c>
      <c r="I1373" s="11">
        <f t="shared" si="21"/>
        <v>0.43644569949305084</v>
      </c>
      <c r="J1373" s="11">
        <f>1/(H1373*Utilities!$B$11)</f>
        <v>7.9999999990412967</v>
      </c>
      <c r="K1373" s="11">
        <f>IF(B1373&lt;C1373,1,EXP(-1*(B1373-C1373)/(Utilities!$B$11*IterData!H1373)))</f>
        <v>3.0453157502889294E-2</v>
      </c>
    </row>
    <row r="1374" spans="1:11" x14ac:dyDescent="0.3">
      <c r="A1374">
        <v>1373</v>
      </c>
      <c r="B1374">
        <v>1.3710194626208627E-2</v>
      </c>
      <c r="C1374">
        <v>1.4737776207995788E-2</v>
      </c>
      <c r="D1374">
        <v>1</v>
      </c>
      <c r="E1374" s="10">
        <v>2.7517995995104342E-4</v>
      </c>
      <c r="F1374" s="10">
        <v>2.1346123359521925</v>
      </c>
      <c r="H1374">
        <v>0.50000000005873257</v>
      </c>
      <c r="I1374" s="11">
        <f t="shared" si="21"/>
        <v>-1.0275815817871615E-3</v>
      </c>
      <c r="J1374" s="11">
        <f>1/(H1374*Utilities!$B$11)</f>
        <v>7.9999999990602788</v>
      </c>
      <c r="K1374" s="11">
        <f>IF(B1374&lt;C1374,1,EXP(-1*(B1374-C1374)/(Utilities!$B$11*IterData!H1374)))</f>
        <v>1</v>
      </c>
    </row>
    <row r="1375" spans="1:11" x14ac:dyDescent="0.3">
      <c r="A1375">
        <v>1374</v>
      </c>
      <c r="B1375">
        <v>0.36550996244215739</v>
      </c>
      <c r="C1375">
        <v>1.3710194626208627E-2</v>
      </c>
      <c r="D1375">
        <v>2.0921393159347254E-2</v>
      </c>
      <c r="E1375" s="10">
        <v>2.4806800428555449E-4</v>
      </c>
      <c r="F1375" s="10">
        <v>2.159917879941029</v>
      </c>
      <c r="H1375">
        <v>0.5000000000575695</v>
      </c>
      <c r="I1375" s="11">
        <f t="shared" si="21"/>
        <v>0.35179976781594874</v>
      </c>
      <c r="J1375" s="11">
        <f>1/(H1375*Utilities!$B$11)</f>
        <v>7.9999999990788879</v>
      </c>
      <c r="K1375" s="11">
        <f>IF(B1375&lt;C1375,1,EXP(-1*(B1375-C1375)/(Utilities!$B$11*IterData!H1375)))</f>
        <v>5.994078371403469E-2</v>
      </c>
    </row>
    <row r="1376" spans="1:11" x14ac:dyDescent="0.3">
      <c r="A1376">
        <v>1375</v>
      </c>
      <c r="B1376">
        <v>0.68729902354765715</v>
      </c>
      <c r="C1376">
        <v>1.3710194626208627E-2</v>
      </c>
      <c r="D1376">
        <v>6.0548721056511746E-4</v>
      </c>
      <c r="E1376" s="10">
        <v>2.4806800428555449E-4</v>
      </c>
      <c r="F1376" s="10">
        <v>2.159917879941029</v>
      </c>
      <c r="H1376">
        <v>0.50000000005642964</v>
      </c>
      <c r="I1376" s="11">
        <f t="shared" si="21"/>
        <v>0.67358882892144856</v>
      </c>
      <c r="J1376" s="11">
        <f>1/(H1376*Utilities!$B$11)</f>
        <v>7.9999999990971258</v>
      </c>
      <c r="K1376" s="11">
        <f>IF(B1376&lt;C1376,1,EXP(-1*(B1376-C1376)/(Utilities!$B$11*IterData!H1376)))</f>
        <v>4.5678591975214138E-3</v>
      </c>
    </row>
    <row r="1377" spans="1:11" x14ac:dyDescent="0.3">
      <c r="A1377">
        <v>1376</v>
      </c>
      <c r="B1377">
        <v>0.16391268777442358</v>
      </c>
      <c r="C1377">
        <v>1.3710194626208627E-2</v>
      </c>
      <c r="D1377">
        <v>0.19139248876360906</v>
      </c>
      <c r="E1377" s="10">
        <v>2.4806800428555449E-4</v>
      </c>
      <c r="F1377" s="10">
        <v>2.159917879941029</v>
      </c>
      <c r="H1377">
        <v>0.5000000000553122</v>
      </c>
      <c r="I1377" s="11">
        <f t="shared" si="21"/>
        <v>0.15020249314821496</v>
      </c>
      <c r="J1377" s="11">
        <f>1/(H1377*Utilities!$B$11)</f>
        <v>7.9999999991150048</v>
      </c>
      <c r="K1377" s="11">
        <f>IF(B1377&lt;C1377,1,EXP(-1*(B1377-C1377)/(Utilities!$B$11*IterData!H1377)))</f>
        <v>0.30070668882560581</v>
      </c>
    </row>
    <row r="1378" spans="1:11" x14ac:dyDescent="0.3">
      <c r="A1378">
        <v>1377</v>
      </c>
      <c r="B1378">
        <v>0.80730082128144931</v>
      </c>
      <c r="C1378">
        <v>1.3710194626208627E-2</v>
      </c>
      <c r="D1378">
        <v>1.5970305995431801E-4</v>
      </c>
      <c r="E1378" s="10">
        <v>2.4806800428555449E-4</v>
      </c>
      <c r="F1378" s="10">
        <v>2.159917879941029</v>
      </c>
      <c r="H1378">
        <v>0.50000000005421696</v>
      </c>
      <c r="I1378" s="11">
        <f t="shared" si="21"/>
        <v>0.79359062665524072</v>
      </c>
      <c r="J1378" s="11">
        <f>1/(H1378*Utilities!$B$11)</f>
        <v>7.9999999991325286</v>
      </c>
      <c r="K1378" s="11">
        <f>IF(B1378&lt;C1378,1,EXP(-1*(B1378-C1378)/(Utilities!$B$11*IterData!H1378)))</f>
        <v>1.7489756372855761E-3</v>
      </c>
    </row>
    <row r="1379" spans="1:11" x14ac:dyDescent="0.3">
      <c r="A1379">
        <v>1378</v>
      </c>
      <c r="B1379">
        <v>1.3648922632453094E-2</v>
      </c>
      <c r="C1379">
        <v>1.3710194626208627E-2</v>
      </c>
      <c r="D1379">
        <v>1</v>
      </c>
      <c r="E1379" s="10">
        <v>2.4806800428555449E-4</v>
      </c>
      <c r="F1379" s="10">
        <v>2.159917879941029</v>
      </c>
      <c r="H1379">
        <v>0.50000000005314338</v>
      </c>
      <c r="I1379" s="11">
        <f t="shared" si="21"/>
        <v>-6.1271993755532619E-5</v>
      </c>
      <c r="J1379" s="11">
        <f>1/(H1379*Utilities!$B$11)</f>
        <v>7.9999999991497059</v>
      </c>
      <c r="K1379" s="11">
        <f>IF(B1379&lt;C1379,1,EXP(-1*(B1379-C1379)/(Utilities!$B$11*IterData!H1379)))</f>
        <v>1</v>
      </c>
    </row>
    <row r="1380" spans="1:11" x14ac:dyDescent="0.3">
      <c r="A1380">
        <v>1379</v>
      </c>
      <c r="B1380">
        <v>2.461527886110856E-2</v>
      </c>
      <c r="C1380">
        <v>1.3648922632453094E-2</v>
      </c>
      <c r="D1380">
        <v>0.88605093448097572</v>
      </c>
      <c r="E1380" s="10">
        <v>2.1424405012490964E-4</v>
      </c>
      <c r="F1380" s="10">
        <v>2.1559960987637985</v>
      </c>
      <c r="H1380">
        <v>0.50000000005209111</v>
      </c>
      <c r="I1380" s="11">
        <f t="shared" si="21"/>
        <v>1.0966356228655466E-2</v>
      </c>
      <c r="J1380" s="11">
        <f>1/(H1380*Utilities!$B$11)</f>
        <v>7.9999999991665423</v>
      </c>
      <c r="K1380" s="11">
        <f>IF(B1380&lt;C1380,1,EXP(-1*(B1380-C1380)/(Utilities!$B$11*IterData!H1380)))</f>
        <v>0.91600738710070573</v>
      </c>
    </row>
    <row r="1381" spans="1:11" x14ac:dyDescent="0.3">
      <c r="A1381">
        <v>1380</v>
      </c>
      <c r="B1381">
        <v>0.15244686647179731</v>
      </c>
      <c r="C1381">
        <v>2.461527886110856E-2</v>
      </c>
      <c r="D1381">
        <v>0.24383567904863643</v>
      </c>
      <c r="E1381" s="10">
        <v>2.4418424839297713E-4</v>
      </c>
      <c r="F1381" s="10">
        <v>2.1891097870136038</v>
      </c>
      <c r="H1381">
        <v>0.5000000000510596</v>
      </c>
      <c r="I1381" s="11">
        <f t="shared" si="21"/>
        <v>0.12783158761068875</v>
      </c>
      <c r="J1381" s="11">
        <f>1/(H1381*Utilities!$B$11)</f>
        <v>7.9999999991830464</v>
      </c>
      <c r="K1381" s="11">
        <f>IF(B1381&lt;C1381,1,EXP(-1*(B1381-C1381)/(Utilities!$B$11*IterData!H1381)))</f>
        <v>0.35963965729362835</v>
      </c>
    </row>
    <row r="1382" spans="1:11" x14ac:dyDescent="0.3">
      <c r="A1382">
        <v>1381</v>
      </c>
      <c r="B1382">
        <v>0.19649178389896871</v>
      </c>
      <c r="C1382">
        <v>2.461527886110856E-2</v>
      </c>
      <c r="D1382">
        <v>0.14973448887750374</v>
      </c>
      <c r="E1382" s="10">
        <v>2.4418424839297713E-4</v>
      </c>
      <c r="F1382" s="10">
        <v>2.1891097870136038</v>
      </c>
      <c r="H1382">
        <v>0.50000000005004852</v>
      </c>
      <c r="I1382" s="11">
        <f t="shared" si="21"/>
        <v>0.17187650503786014</v>
      </c>
      <c r="J1382" s="11">
        <f>1/(H1382*Utilities!$B$11)</f>
        <v>7.9999999991992237</v>
      </c>
      <c r="K1382" s="11">
        <f>IF(B1382&lt;C1382,1,EXP(-1*(B1382-C1382)/(Utilities!$B$11*IterData!H1382)))</f>
        <v>0.25283655159255858</v>
      </c>
    </row>
    <row r="1383" spans="1:11" x14ac:dyDescent="0.3">
      <c r="A1383">
        <v>1382</v>
      </c>
      <c r="B1383">
        <v>4.9815366974089254E-2</v>
      </c>
      <c r="C1383">
        <v>2.461527886110856E-2</v>
      </c>
      <c r="D1383">
        <v>0.75683336584875771</v>
      </c>
      <c r="E1383" s="10">
        <v>2.4418424839297713E-4</v>
      </c>
      <c r="F1383" s="10">
        <v>2.1891097870136038</v>
      </c>
      <c r="H1383">
        <v>0.50000000004905754</v>
      </c>
      <c r="I1383" s="11">
        <f t="shared" si="21"/>
        <v>2.5200088112980693E-2</v>
      </c>
      <c r="J1383" s="11">
        <f>1/(H1383*Utilities!$B$11)</f>
        <v>7.9999999992150794</v>
      </c>
      <c r="K1383" s="11">
        <f>IF(B1383&lt;C1383,1,EXP(-1*(B1383-C1383)/(Utilities!$B$11*IterData!H1383)))</f>
        <v>0.81742125510230379</v>
      </c>
    </row>
    <row r="1384" spans="1:11" x14ac:dyDescent="0.3">
      <c r="A1384">
        <v>1383</v>
      </c>
      <c r="B1384">
        <v>2.5492405297366971E-2</v>
      </c>
      <c r="C1384">
        <v>2.461527886110856E-2</v>
      </c>
      <c r="D1384">
        <v>0.99034241007485935</v>
      </c>
      <c r="E1384" s="10">
        <v>2.4418424839297713E-4</v>
      </c>
      <c r="F1384" s="10">
        <v>2.1891097870136038</v>
      </c>
      <c r="H1384">
        <v>0.50000000004808609</v>
      </c>
      <c r="I1384" s="11">
        <f t="shared" si="21"/>
        <v>8.7712643625841025E-4</v>
      </c>
      <c r="J1384" s="11">
        <f>1/(H1384*Utilities!$B$11)</f>
        <v>7.9999999992306225</v>
      </c>
      <c r="K1384" s="11">
        <f>IF(B1384&lt;C1384,1,EXP(-1*(B1384-C1384)/(Utilities!$B$11*IterData!H1384)))</f>
        <v>0.99300755025214293</v>
      </c>
    </row>
    <row r="1385" spans="1:11" x14ac:dyDescent="0.3">
      <c r="A1385">
        <v>1384</v>
      </c>
      <c r="B1385">
        <v>0.66546621341871248</v>
      </c>
      <c r="C1385">
        <v>2.5492405297366971E-2</v>
      </c>
      <c r="D1385">
        <v>8.3691336211389291E-4</v>
      </c>
      <c r="E1385" s="10">
        <v>2.1131270908492639E-4</v>
      </c>
      <c r="F1385" s="10">
        <v>2.1363880035914935</v>
      </c>
      <c r="H1385">
        <v>0.50000000004713396</v>
      </c>
      <c r="I1385" s="11">
        <f t="shared" si="21"/>
        <v>0.63997380812134552</v>
      </c>
      <c r="J1385" s="11">
        <f>1/(H1385*Utilities!$B$11)</f>
        <v>7.9999999992458566</v>
      </c>
      <c r="K1385" s="11">
        <f>IF(B1385&lt;C1385,1,EXP(-1*(B1385-C1385)/(Utilities!$B$11*IterData!H1385)))</f>
        <v>5.9772752152203769E-3</v>
      </c>
    </row>
    <row r="1386" spans="1:11" x14ac:dyDescent="0.3">
      <c r="A1386">
        <v>1385</v>
      </c>
      <c r="B1386">
        <v>0.44508319571462829</v>
      </c>
      <c r="C1386">
        <v>2.5492405297366971E-2</v>
      </c>
      <c r="D1386">
        <v>9.5705370463711678E-3</v>
      </c>
      <c r="E1386" s="10">
        <v>2.1131270908492639E-4</v>
      </c>
      <c r="F1386" s="10">
        <v>2.1363880035914935</v>
      </c>
      <c r="H1386">
        <v>0.5000000000462006</v>
      </c>
      <c r="I1386" s="11">
        <f t="shared" si="21"/>
        <v>0.41959079041726133</v>
      </c>
      <c r="J1386" s="11">
        <f>1/(H1386*Utilities!$B$11)</f>
        <v>7.9999999992607904</v>
      </c>
      <c r="K1386" s="11">
        <f>IF(B1386&lt;C1386,1,EXP(-1*(B1386-C1386)/(Utilities!$B$11*IterData!H1386)))</f>
        <v>3.4849157293545513E-2</v>
      </c>
    </row>
    <row r="1387" spans="1:11" x14ac:dyDescent="0.3">
      <c r="A1387">
        <v>1386</v>
      </c>
      <c r="B1387">
        <v>0.77770961263961391</v>
      </c>
      <c r="C1387">
        <v>2.5492405297366971E-2</v>
      </c>
      <c r="D1387">
        <v>2.3863284651582363E-4</v>
      </c>
      <c r="E1387" s="10">
        <v>2.1131270908492639E-4</v>
      </c>
      <c r="F1387" s="10">
        <v>2.1363880035914935</v>
      </c>
      <c r="H1387">
        <v>0.50000000004528578</v>
      </c>
      <c r="I1387" s="11">
        <f t="shared" si="21"/>
        <v>0.75221720734224695</v>
      </c>
      <c r="J1387" s="11">
        <f>1/(H1387*Utilities!$B$11)</f>
        <v>7.9999999992754276</v>
      </c>
      <c r="K1387" s="11">
        <f>IF(B1387&lt;C1387,1,EXP(-1*(B1387-C1387)/(Utilities!$B$11*IterData!H1387)))</f>
        <v>2.435172560574175E-3</v>
      </c>
    </row>
    <row r="1388" spans="1:11" x14ac:dyDescent="0.3">
      <c r="A1388">
        <v>1387</v>
      </c>
      <c r="B1388">
        <v>0.9810248622239679</v>
      </c>
      <c r="C1388">
        <v>2.5492405297366971E-2</v>
      </c>
      <c r="D1388">
        <v>2.485160695994388E-5</v>
      </c>
      <c r="E1388" s="10">
        <v>2.1131270908492639E-4</v>
      </c>
      <c r="F1388" s="10">
        <v>2.1363880035914935</v>
      </c>
      <c r="H1388">
        <v>0.50000000004438905</v>
      </c>
      <c r="I1388" s="11">
        <f t="shared" si="21"/>
        <v>0.95553245692660094</v>
      </c>
      <c r="J1388" s="11">
        <f>1/(H1388*Utilities!$B$11)</f>
        <v>7.9999999992897752</v>
      </c>
      <c r="K1388" s="11">
        <f>IF(B1388&lt;C1388,1,EXP(-1*(B1388-C1388)/(Utilities!$B$11*IterData!H1388)))</f>
        <v>4.7878464491298798E-4</v>
      </c>
    </row>
    <row r="1389" spans="1:11" x14ac:dyDescent="0.3">
      <c r="A1389">
        <v>1388</v>
      </c>
      <c r="B1389">
        <v>0.35362022296850454</v>
      </c>
      <c r="C1389">
        <v>2.5492405297366971E-2</v>
      </c>
      <c r="D1389">
        <v>2.6159802892726052E-2</v>
      </c>
      <c r="E1389" s="10">
        <v>2.1131270908492639E-4</v>
      </c>
      <c r="F1389" s="10">
        <v>2.1363880035914935</v>
      </c>
      <c r="H1389">
        <v>0.50000000004351008</v>
      </c>
      <c r="I1389" s="11">
        <f t="shared" si="21"/>
        <v>0.32812781767113758</v>
      </c>
      <c r="J1389" s="11">
        <f>1/(H1389*Utilities!$B$11)</f>
        <v>7.9999999993038386</v>
      </c>
      <c r="K1389" s="11">
        <f>IF(B1389&lt;C1389,1,EXP(-1*(B1389-C1389)/(Utilities!$B$11*IterData!H1389)))</f>
        <v>7.2438124177901284E-2</v>
      </c>
    </row>
    <row r="1390" spans="1:11" x14ac:dyDescent="0.3">
      <c r="A1390">
        <v>1389</v>
      </c>
      <c r="B1390">
        <v>1.0481144554569939</v>
      </c>
      <c r="C1390">
        <v>2.5492405297366971E-2</v>
      </c>
      <c r="D1390">
        <v>1.161310657642914E-5</v>
      </c>
      <c r="E1390" s="10">
        <v>2.1131270908492639E-4</v>
      </c>
      <c r="F1390" s="10">
        <v>2.1363880035914935</v>
      </c>
      <c r="H1390">
        <v>0.50000000004264855</v>
      </c>
      <c r="I1390" s="11">
        <f t="shared" si="21"/>
        <v>1.0226220501596268</v>
      </c>
      <c r="J1390" s="11">
        <f>1/(H1390*Utilities!$B$11)</f>
        <v>7.9999999993176232</v>
      </c>
      <c r="K1390" s="11">
        <f>IF(B1390&lt;C1390,1,EXP(-1*(B1390-C1390)/(Utilities!$B$11*IterData!H1390)))</f>
        <v>2.7992848431500952E-4</v>
      </c>
    </row>
    <row r="1391" spans="1:11" x14ac:dyDescent="0.3">
      <c r="A1391">
        <v>1390</v>
      </c>
      <c r="B1391">
        <v>3.3304594186473656E-2</v>
      </c>
      <c r="C1391">
        <v>2.5492405297366971E-2</v>
      </c>
      <c r="D1391">
        <v>0.916794859133645</v>
      </c>
      <c r="E1391" s="10">
        <v>2.1131270908492639E-4</v>
      </c>
      <c r="F1391" s="10">
        <v>2.1363880035914935</v>
      </c>
      <c r="H1391">
        <v>0.50000000004180412</v>
      </c>
      <c r="I1391" s="11">
        <f t="shared" si="21"/>
        <v>7.8121888891066853E-3</v>
      </c>
      <c r="J1391" s="11">
        <f>1/(H1391*Utilities!$B$11)</f>
        <v>7.9999999993311341</v>
      </c>
      <c r="K1391" s="11">
        <f>IF(B1391&lt;C1391,1,EXP(-1*(B1391-C1391)/(Utilities!$B$11*IterData!H1391)))</f>
        <v>0.93941540091439146</v>
      </c>
    </row>
    <row r="1392" spans="1:11" x14ac:dyDescent="0.3">
      <c r="A1392">
        <v>1391</v>
      </c>
      <c r="B1392">
        <v>0.56848962470711939</v>
      </c>
      <c r="C1392">
        <v>3.3304594186473656E-2</v>
      </c>
      <c r="D1392">
        <v>2.5914466187306746E-3</v>
      </c>
      <c r="E1392" s="10">
        <v>2.59527261487657E-4</v>
      </c>
      <c r="F1392" s="10">
        <v>2.0765146533900278</v>
      </c>
      <c r="H1392">
        <v>0.50000000004097633</v>
      </c>
      <c r="I1392" s="11">
        <f t="shared" si="21"/>
        <v>0.5351850305206457</v>
      </c>
      <c r="J1392" s="11">
        <f>1/(H1392*Utilities!$B$11)</f>
        <v>7.9999999993443787</v>
      </c>
      <c r="K1392" s="11">
        <f>IF(B1392&lt;C1392,1,EXP(-1*(B1392-C1392)/(Utilities!$B$11*IterData!H1392)))</f>
        <v>1.3822186729551612E-2</v>
      </c>
    </row>
    <row r="1393" spans="1:11" x14ac:dyDescent="0.3">
      <c r="A1393">
        <v>1392</v>
      </c>
      <c r="B1393">
        <v>0.79840279908993483</v>
      </c>
      <c r="C1393">
        <v>3.3304594186473656E-2</v>
      </c>
      <c r="D1393">
        <v>1.9941278021795924E-4</v>
      </c>
      <c r="E1393" s="10">
        <v>2.59527261487657E-4</v>
      </c>
      <c r="F1393" s="10">
        <v>2.0765146533900278</v>
      </c>
      <c r="H1393">
        <v>0.50000000004016487</v>
      </c>
      <c r="I1393" s="11">
        <f t="shared" si="21"/>
        <v>0.76509820490346114</v>
      </c>
      <c r="J1393" s="11">
        <f>1/(H1393*Utilities!$B$11)</f>
        <v>7.9999999993573621</v>
      </c>
      <c r="K1393" s="11">
        <f>IF(B1393&lt;C1393,1,EXP(-1*(B1393-C1393)/(Utilities!$B$11*IterData!H1393)))</f>
        <v>2.1967294491754483E-3</v>
      </c>
    </row>
    <row r="1394" spans="1:11" x14ac:dyDescent="0.3">
      <c r="A1394">
        <v>1393</v>
      </c>
      <c r="B1394">
        <v>0.50935623963338972</v>
      </c>
      <c r="C1394">
        <v>3.3304594186473656E-2</v>
      </c>
      <c r="D1394">
        <v>4.966104562482635E-3</v>
      </c>
      <c r="E1394" s="10">
        <v>2.59527261487657E-4</v>
      </c>
      <c r="F1394" s="10">
        <v>2.0765146533900278</v>
      </c>
      <c r="H1394">
        <v>0.50000000003936962</v>
      </c>
      <c r="I1394" s="11">
        <f t="shared" si="21"/>
        <v>0.47605164544691608</v>
      </c>
      <c r="J1394" s="11">
        <f>1/(H1394*Utilities!$B$11)</f>
        <v>7.9999999993700861</v>
      </c>
      <c r="K1394" s="11">
        <f>IF(B1394&lt;C1394,1,EXP(-1*(B1394-C1394)/(Utilities!$B$11*IterData!H1394)))</f>
        <v>2.2183352400663423E-2</v>
      </c>
    </row>
    <row r="1395" spans="1:11" x14ac:dyDescent="0.3">
      <c r="A1395">
        <v>1394</v>
      </c>
      <c r="B1395">
        <v>0.53861776074701728</v>
      </c>
      <c r="C1395">
        <v>3.3304594186473656E-2</v>
      </c>
      <c r="D1395">
        <v>3.5697759900365118E-3</v>
      </c>
      <c r="E1395" s="10">
        <v>2.59527261487657E-4</v>
      </c>
      <c r="F1395" s="10">
        <v>2.0765146533900278</v>
      </c>
      <c r="H1395">
        <v>0.50000000003859002</v>
      </c>
      <c r="I1395" s="11">
        <f t="shared" si="21"/>
        <v>0.50531316656054359</v>
      </c>
      <c r="J1395" s="11">
        <f>1/(H1395*Utilities!$B$11)</f>
        <v>7.9999999993825597</v>
      </c>
      <c r="K1395" s="11">
        <f>IF(B1395&lt;C1395,1,EXP(-1*(B1395-C1395)/(Utilities!$B$11*IterData!H1395)))</f>
        <v>1.7553440082670155E-2</v>
      </c>
    </row>
    <row r="1396" spans="1:11" x14ac:dyDescent="0.3">
      <c r="A1396">
        <v>1395</v>
      </c>
      <c r="B1396">
        <v>0.7073423880325731</v>
      </c>
      <c r="C1396">
        <v>3.3304594186473656E-2</v>
      </c>
      <c r="D1396">
        <v>5.409077675601595E-4</v>
      </c>
      <c r="E1396" s="10">
        <v>2.59527261487657E-4</v>
      </c>
      <c r="F1396" s="10">
        <v>2.0765146533900278</v>
      </c>
      <c r="H1396">
        <v>0.50000000003782585</v>
      </c>
      <c r="I1396" s="11">
        <f t="shared" si="21"/>
        <v>0.67403779384609941</v>
      </c>
      <c r="J1396" s="11">
        <f>1/(H1396*Utilities!$B$11)</f>
        <v>7.9999999993947863</v>
      </c>
      <c r="K1396" s="11">
        <f>IF(B1396&lt;C1396,1,EXP(-1*(B1396-C1396)/(Utilities!$B$11*IterData!H1396)))</f>
        <v>4.5514821565986914E-3</v>
      </c>
    </row>
    <row r="1397" spans="1:11" x14ac:dyDescent="0.3">
      <c r="A1397">
        <v>1396</v>
      </c>
      <c r="B1397">
        <v>0.11363463753305551</v>
      </c>
      <c r="C1397">
        <v>3.3304594186473656E-2</v>
      </c>
      <c r="D1397">
        <v>0.40773985263669221</v>
      </c>
      <c r="E1397" s="10">
        <v>2.59527261487657E-4</v>
      </c>
      <c r="F1397" s="10">
        <v>2.0765146533900278</v>
      </c>
      <c r="H1397">
        <v>0.5000000000370769</v>
      </c>
      <c r="I1397" s="11">
        <f t="shared" si="21"/>
        <v>8.0330043346581864E-2</v>
      </c>
      <c r="J1397" s="11">
        <f>1/(H1397*Utilities!$B$11)</f>
        <v>7.9999999994067696</v>
      </c>
      <c r="K1397" s="11">
        <f>IF(B1397&lt;C1397,1,EXP(-1*(B1397-C1397)/(Utilities!$B$11*IterData!H1397)))</f>
        <v>0.52590202559286148</v>
      </c>
    </row>
    <row r="1398" spans="1:11" x14ac:dyDescent="0.3">
      <c r="A1398">
        <v>1397</v>
      </c>
      <c r="B1398">
        <v>0.29229680973474548</v>
      </c>
      <c r="C1398">
        <v>0.11363463753305551</v>
      </c>
      <c r="D1398">
        <v>0.13577876627154967</v>
      </c>
      <c r="E1398" s="10">
        <v>3.1486438168485959E-4</v>
      </c>
      <c r="F1398" s="10">
        <v>1.9735815656244544</v>
      </c>
      <c r="H1398">
        <v>0.50000000003634271</v>
      </c>
      <c r="I1398" s="11">
        <f t="shared" si="21"/>
        <v>0.17866217220168995</v>
      </c>
      <c r="J1398" s="11">
        <f>1/(H1398*Utilities!$B$11)</f>
        <v>7.9999999994185167</v>
      </c>
      <c r="K1398" s="11">
        <f>IF(B1398&lt;C1398,1,EXP(-1*(B1398-C1398)/(Utilities!$B$11*IterData!H1398)))</f>
        <v>0.23947712515932496</v>
      </c>
    </row>
    <row r="1399" spans="1:11" x14ac:dyDescent="0.3">
      <c r="A1399">
        <v>1398</v>
      </c>
      <c r="B1399">
        <v>0.22361156610696092</v>
      </c>
      <c r="C1399">
        <v>0.11363463753305551</v>
      </c>
      <c r="D1399">
        <v>0.29229784803160325</v>
      </c>
      <c r="E1399" s="10">
        <v>3.1486438168485959E-4</v>
      </c>
      <c r="F1399" s="10">
        <v>1.9735815656244544</v>
      </c>
      <c r="H1399">
        <v>0.50000000003562306</v>
      </c>
      <c r="I1399" s="11">
        <f t="shared" si="21"/>
        <v>0.10997692857390541</v>
      </c>
      <c r="J1399" s="11">
        <f>1/(H1399*Utilities!$B$11)</f>
        <v>7.999999999430031</v>
      </c>
      <c r="K1399" s="11">
        <f>IF(B1399&lt;C1399,1,EXP(-1*(B1399-C1399)/(Utilities!$B$11*IterData!H1399)))</f>
        <v>0.41485947583948096</v>
      </c>
    </row>
    <row r="1400" spans="1:11" x14ac:dyDescent="0.3">
      <c r="A1400">
        <v>1399</v>
      </c>
      <c r="B1400">
        <v>1.1215199151601461E-2</v>
      </c>
      <c r="C1400">
        <v>0.11363463753305551</v>
      </c>
      <c r="D1400">
        <v>1</v>
      </c>
      <c r="E1400" s="10">
        <v>3.1486438168485959E-4</v>
      </c>
      <c r="F1400" s="10">
        <v>1.9735815656244544</v>
      </c>
      <c r="H1400">
        <v>0.50000000003491774</v>
      </c>
      <c r="I1400" s="11">
        <f t="shared" si="21"/>
        <v>-0.10241943838145405</v>
      </c>
      <c r="J1400" s="11">
        <f>1/(H1400*Utilities!$B$11)</f>
        <v>7.9999999994413162</v>
      </c>
      <c r="K1400" s="11">
        <f>IF(B1400&lt;C1400,1,EXP(-1*(B1400-C1400)/(Utilities!$B$11*IterData!H1400)))</f>
        <v>1</v>
      </c>
    </row>
    <row r="1401" spans="1:11" x14ac:dyDescent="0.3">
      <c r="A1401">
        <v>1400</v>
      </c>
      <c r="B1401">
        <v>0.20259642472940703</v>
      </c>
      <c r="C1401">
        <v>1.1215199151601461E-2</v>
      </c>
      <c r="D1401">
        <v>0.11724732032068759</v>
      </c>
      <c r="E1401" s="10">
        <v>2.5743870041554503E-4</v>
      </c>
      <c r="F1401" s="10">
        <v>2.1301446905057588</v>
      </c>
      <c r="H1401">
        <v>0.50000000003422629</v>
      </c>
      <c r="I1401" s="11">
        <f t="shared" si="21"/>
        <v>0.19138122557780557</v>
      </c>
      <c r="J1401" s="11">
        <f>1/(H1401*Utilities!$B$11)</f>
        <v>7.9999999994523794</v>
      </c>
      <c r="K1401" s="11">
        <f>IF(B1401&lt;C1401,1,EXP(-1*(B1401-C1401)/(Utilities!$B$11*IterData!H1401)))</f>
        <v>0.21630846647333032</v>
      </c>
    </row>
    <row r="1402" spans="1:11" x14ac:dyDescent="0.3">
      <c r="A1402">
        <v>1401</v>
      </c>
      <c r="B1402">
        <v>0.26819039835099323</v>
      </c>
      <c r="C1402">
        <v>1.1215199151601461E-2</v>
      </c>
      <c r="D1402">
        <v>5.6124769915258908E-2</v>
      </c>
      <c r="E1402" s="10">
        <v>2.5743870041554503E-4</v>
      </c>
      <c r="F1402" s="10">
        <v>2.1301446905057588</v>
      </c>
      <c r="H1402">
        <v>0.50000000003354861</v>
      </c>
      <c r="I1402" s="11">
        <f t="shared" si="21"/>
        <v>0.25697519919939177</v>
      </c>
      <c r="J1402" s="11">
        <f>1/(H1402*Utilities!$B$11)</f>
        <v>7.9999999994632223</v>
      </c>
      <c r="K1402" s="11">
        <f>IF(B1402&lt;C1402,1,EXP(-1*(B1402-C1402)/(Utilities!$B$11*IterData!H1402)))</f>
        <v>0.12799019834078396</v>
      </c>
    </row>
    <row r="1403" spans="1:11" x14ac:dyDescent="0.3">
      <c r="A1403">
        <v>1402</v>
      </c>
      <c r="B1403">
        <v>0.43493583521209306</v>
      </c>
      <c r="C1403">
        <v>1.1215199151601461E-2</v>
      </c>
      <c r="D1403">
        <v>8.6305188524469761E-3</v>
      </c>
      <c r="E1403" s="10">
        <v>2.5743870041554503E-4</v>
      </c>
      <c r="F1403" s="10">
        <v>2.1301446905057588</v>
      </c>
      <c r="H1403">
        <v>0.50000000003288425</v>
      </c>
      <c r="I1403" s="11">
        <f t="shared" si="21"/>
        <v>0.4237206360604916</v>
      </c>
      <c r="J1403" s="11">
        <f>1/(H1403*Utilities!$B$11)</f>
        <v>7.999999999473852</v>
      </c>
      <c r="K1403" s="11">
        <f>IF(B1403&lt;C1403,1,EXP(-1*(B1403-C1403)/(Utilities!$B$11*IterData!H1403)))</f>
        <v>3.3716596393637152E-2</v>
      </c>
    </row>
    <row r="1404" spans="1:11" x14ac:dyDescent="0.3">
      <c r="A1404">
        <v>1403</v>
      </c>
      <c r="B1404">
        <v>5.2682534020922475E-2</v>
      </c>
      <c r="C1404">
        <v>1.1215199151601461E-2</v>
      </c>
      <c r="D1404">
        <v>0.62786546288266376</v>
      </c>
      <c r="E1404" s="10">
        <v>2.5743870041554503E-4</v>
      </c>
      <c r="F1404" s="10">
        <v>2.1301446905057588</v>
      </c>
      <c r="H1404">
        <v>0.50000000003223311</v>
      </c>
      <c r="I1404" s="11">
        <f t="shared" si="21"/>
        <v>4.1467334869321013E-2</v>
      </c>
      <c r="J1404" s="11">
        <f>1/(H1404*Utilities!$B$11)</f>
        <v>7.9999999994842703</v>
      </c>
      <c r="K1404" s="11">
        <f>IF(B1404&lt;C1404,1,EXP(-1*(B1404-C1404)/(Utilities!$B$11*IterData!H1404)))</f>
        <v>0.71767484190735231</v>
      </c>
    </row>
    <row r="1405" spans="1:11" x14ac:dyDescent="0.3">
      <c r="A1405">
        <v>1404</v>
      </c>
      <c r="B1405">
        <v>0.20333551992802262</v>
      </c>
      <c r="C1405">
        <v>5.2682534020922475E-2</v>
      </c>
      <c r="D1405">
        <v>0.18412611701569331</v>
      </c>
      <c r="E1405" s="10">
        <v>2.6603508744790371E-4</v>
      </c>
      <c r="F1405" s="10">
        <v>2.0520056357928835</v>
      </c>
      <c r="H1405">
        <v>0.50000000003159484</v>
      </c>
      <c r="I1405" s="11">
        <f t="shared" si="21"/>
        <v>0.15065298590710013</v>
      </c>
      <c r="J1405" s="11">
        <f>1/(H1405*Utilities!$B$11)</f>
        <v>7.9999999994944826</v>
      </c>
      <c r="K1405" s="11">
        <f>IF(B1405&lt;C1405,1,EXP(-1*(B1405-C1405)/(Utilities!$B$11*IterData!H1405)))</f>
        <v>0.29962490982695456</v>
      </c>
    </row>
    <row r="1406" spans="1:11" x14ac:dyDescent="0.3">
      <c r="A1406">
        <v>1405</v>
      </c>
      <c r="B1406">
        <v>0.21250785989983964</v>
      </c>
      <c r="C1406">
        <v>5.2682534020922475E-2</v>
      </c>
      <c r="D1406">
        <v>0.16588895458279398</v>
      </c>
      <c r="E1406" s="10">
        <v>2.6603508744790371E-4</v>
      </c>
      <c r="F1406" s="10">
        <v>2.0520056357928835</v>
      </c>
      <c r="H1406">
        <v>0.50000000003096923</v>
      </c>
      <c r="I1406" s="11">
        <f t="shared" si="21"/>
        <v>0.15982532587891718</v>
      </c>
      <c r="J1406" s="11">
        <f>1/(H1406*Utilities!$B$11)</f>
        <v>7.9999999995044924</v>
      </c>
      <c r="K1406" s="11">
        <f>IF(B1406&lt;C1406,1,EXP(-1*(B1406-C1406)/(Utilities!$B$11*IterData!H1406)))</f>
        <v>0.27842609943312063</v>
      </c>
    </row>
    <row r="1407" spans="1:11" x14ac:dyDescent="0.3">
      <c r="A1407">
        <v>1406</v>
      </c>
      <c r="B1407">
        <v>1.2197689001773581E-2</v>
      </c>
      <c r="C1407">
        <v>5.2682534020922475E-2</v>
      </c>
      <c r="D1407">
        <v>1</v>
      </c>
      <c r="E1407" s="10">
        <v>2.6603508744790371E-4</v>
      </c>
      <c r="F1407" s="10">
        <v>2.0520056357928835</v>
      </c>
      <c r="H1407">
        <v>0.50000000003035594</v>
      </c>
      <c r="I1407" s="11">
        <f t="shared" si="21"/>
        <v>-4.0484845019148896E-2</v>
      </c>
      <c r="J1407" s="11">
        <f>1/(H1407*Utilities!$B$11)</f>
        <v>7.999999999514305</v>
      </c>
      <c r="K1407" s="11">
        <f>IF(B1407&lt;C1407,1,EXP(-1*(B1407-C1407)/(Utilities!$B$11*IterData!H1407)))</f>
        <v>1</v>
      </c>
    </row>
    <row r="1408" spans="1:11" x14ac:dyDescent="0.3">
      <c r="A1408">
        <v>1407</v>
      </c>
      <c r="B1408">
        <v>0.12115718502226505</v>
      </c>
      <c r="C1408">
        <v>1.2197689001773581E-2</v>
      </c>
      <c r="D1408">
        <v>0.29333262142720012</v>
      </c>
      <c r="E1408" s="10">
        <v>2.205995724014931E-4</v>
      </c>
      <c r="F1408" s="10">
        <v>2.1542571050081869</v>
      </c>
      <c r="H1408">
        <v>0.50000000002975487</v>
      </c>
      <c r="I1408" s="11">
        <f t="shared" si="21"/>
        <v>0.10895949602049147</v>
      </c>
      <c r="J1408" s="11">
        <f>1/(H1408*Utilities!$B$11)</f>
        <v>7.9999999995239222</v>
      </c>
      <c r="K1408" s="11">
        <f>IF(B1408&lt;C1408,1,EXP(-1*(B1408-C1408)/(Utilities!$B$11*IterData!H1408)))</f>
        <v>0.41824998787206563</v>
      </c>
    </row>
    <row r="1409" spans="1:11" x14ac:dyDescent="0.3">
      <c r="A1409">
        <v>1408</v>
      </c>
      <c r="B1409">
        <v>0.1360474592628951</v>
      </c>
      <c r="C1409">
        <v>1.2197689001773581E-2</v>
      </c>
      <c r="D1409">
        <v>0.24782217850942281</v>
      </c>
      <c r="E1409" s="10">
        <v>2.205995724014931E-4</v>
      </c>
      <c r="F1409" s="10">
        <v>2.1542571050081869</v>
      </c>
      <c r="H1409">
        <v>0.50000000002916567</v>
      </c>
      <c r="I1409" s="11">
        <f t="shared" si="21"/>
        <v>0.12384977026112153</v>
      </c>
      <c r="J1409" s="11">
        <f>1/(H1409*Utilities!$B$11)</f>
        <v>7.9999999995333493</v>
      </c>
      <c r="K1409" s="11">
        <f>IF(B1409&lt;C1409,1,EXP(-1*(B1409-C1409)/(Utilities!$B$11*IterData!H1409)))</f>
        <v>0.37128023094292933</v>
      </c>
    </row>
    <row r="1410" spans="1:11" x14ac:dyDescent="0.3">
      <c r="A1410">
        <v>1409</v>
      </c>
      <c r="B1410">
        <v>1.4897308861458547E-2</v>
      </c>
      <c r="C1410">
        <v>1.2197689001773581E-2</v>
      </c>
      <c r="D1410">
        <v>0.9700282200657302</v>
      </c>
      <c r="E1410" s="10">
        <v>2.205995724014931E-4</v>
      </c>
      <c r="F1410" s="10">
        <v>2.1542571050081869</v>
      </c>
      <c r="H1410">
        <v>0.50000000002858824</v>
      </c>
      <c r="I1410" s="11">
        <f t="shared" si="21"/>
        <v>2.6996198596849659E-3</v>
      </c>
      <c r="J1410" s="11">
        <f>1/(H1410*Utilities!$B$11)</f>
        <v>7.9999999995425881</v>
      </c>
      <c r="K1410" s="11">
        <f>IF(B1410&lt;C1410,1,EXP(-1*(B1410-C1410)/(Utilities!$B$11*IterData!H1410)))</f>
        <v>0.97863458555924521</v>
      </c>
    </row>
    <row r="1411" spans="1:11" x14ac:dyDescent="0.3">
      <c r="A1411">
        <v>1410</v>
      </c>
      <c r="B1411">
        <v>9.7376350536062486E-2</v>
      </c>
      <c r="C1411">
        <v>1.4897308861458547E-2</v>
      </c>
      <c r="D1411">
        <v>0.39441028064968348</v>
      </c>
      <c r="E1411" s="10">
        <v>2.8725731370194118E-4</v>
      </c>
      <c r="F1411" s="10">
        <v>2.0836384802801744</v>
      </c>
      <c r="H1411">
        <v>0.50000000002802214</v>
      </c>
      <c r="I1411" s="11">
        <f t="shared" ref="I1411:I1474" si="22">B1411-C1411</f>
        <v>8.2479041674603945E-2</v>
      </c>
      <c r="J1411" s="11">
        <f>1/(H1411*Utilities!$B$11)</f>
        <v>7.9999999995516458</v>
      </c>
      <c r="K1411" s="11">
        <f>IF(B1411&lt;C1411,1,EXP(-1*(B1411-C1411)/(Utilities!$B$11*IterData!H1411)))</f>
        <v>0.51693800048370442</v>
      </c>
    </row>
    <row r="1412" spans="1:11" x14ac:dyDescent="0.3">
      <c r="A1412">
        <v>1411</v>
      </c>
      <c r="B1412">
        <v>0.90093992696568936</v>
      </c>
      <c r="C1412">
        <v>1.4897308861458547E-2</v>
      </c>
      <c r="D1412">
        <v>4.5325123679050858E-5</v>
      </c>
      <c r="E1412" s="10">
        <v>2.8725731370194118E-4</v>
      </c>
      <c r="F1412" s="10">
        <v>2.0836384802801744</v>
      </c>
      <c r="H1412">
        <v>0.50000000002746725</v>
      </c>
      <c r="I1412" s="11">
        <f t="shared" si="22"/>
        <v>0.88604261810423079</v>
      </c>
      <c r="J1412" s="11">
        <f>1/(H1412*Utilities!$B$11)</f>
        <v>7.999999999560524</v>
      </c>
      <c r="K1412" s="11">
        <f>IF(B1412&lt;C1412,1,EXP(-1*(B1412-C1412)/(Utilities!$B$11*IterData!H1412)))</f>
        <v>8.3478116571931223E-4</v>
      </c>
    </row>
    <row r="1413" spans="1:11" x14ac:dyDescent="0.3">
      <c r="A1413">
        <v>1412</v>
      </c>
      <c r="B1413">
        <v>1.4289756838798151</v>
      </c>
      <c r="C1413">
        <v>1.4897308861458547E-2</v>
      </c>
      <c r="D1413">
        <v>1.1556538961309097E-7</v>
      </c>
      <c r="E1413" s="10">
        <v>2.8725731370194118E-4</v>
      </c>
      <c r="F1413" s="10">
        <v>2.0836384802801744</v>
      </c>
      <c r="H1413">
        <v>0.50000000002692335</v>
      </c>
      <c r="I1413" s="11">
        <f t="shared" si="22"/>
        <v>1.4140783750183565</v>
      </c>
      <c r="J1413" s="11">
        <f>1/(H1413*Utilities!$B$11)</f>
        <v>7.9999999995692264</v>
      </c>
      <c r="K1413" s="11">
        <f>IF(B1413&lt;C1413,1,EXP(-1*(B1413-C1413)/(Utilities!$B$11*IterData!H1413)))</f>
        <v>1.2217673590703482E-5</v>
      </c>
    </row>
    <row r="1414" spans="1:11" x14ac:dyDescent="0.3">
      <c r="A1414">
        <v>1413</v>
      </c>
      <c r="B1414">
        <v>0.30388368686245321</v>
      </c>
      <c r="C1414">
        <v>1.4897308861458547E-2</v>
      </c>
      <c r="D1414">
        <v>3.8131978554568458E-2</v>
      </c>
      <c r="E1414" s="10">
        <v>2.8725731370194118E-4</v>
      </c>
      <c r="F1414" s="10">
        <v>2.0836384802801744</v>
      </c>
      <c r="H1414">
        <v>0.50000000002639022</v>
      </c>
      <c r="I1414" s="11">
        <f t="shared" si="22"/>
        <v>0.28898637800099464</v>
      </c>
      <c r="J1414" s="11">
        <f>1/(H1414*Utilities!$B$11)</f>
        <v>7.9999999995777564</v>
      </c>
      <c r="K1414" s="11">
        <f>IF(B1414&lt;C1414,1,EXP(-1*(B1414-C1414)/(Utilities!$B$11*IterData!H1414)))</f>
        <v>9.9073723527875218E-2</v>
      </c>
    </row>
    <row r="1415" spans="1:11" x14ac:dyDescent="0.3">
      <c r="A1415">
        <v>1414</v>
      </c>
      <c r="B1415">
        <v>1.7085337460483891</v>
      </c>
      <c r="C1415">
        <v>1.4897308861458547E-2</v>
      </c>
      <c r="D1415">
        <v>4.7819597904489332E-9</v>
      </c>
      <c r="E1415" s="10">
        <v>2.8725731370194118E-4</v>
      </c>
      <c r="F1415" s="10">
        <v>2.0836384802801744</v>
      </c>
      <c r="H1415">
        <v>0.50000000002586764</v>
      </c>
      <c r="I1415" s="11">
        <f t="shared" si="22"/>
        <v>1.6936364371869306</v>
      </c>
      <c r="J1415" s="11">
        <f>1/(H1415*Utilities!$B$11)</f>
        <v>7.9999999995861177</v>
      </c>
      <c r="K1415" s="11">
        <f>IF(B1415&lt;C1415,1,EXP(-1*(B1415-C1415)/(Utilities!$B$11*IterData!H1415)))</f>
        <v>1.3052819370666384E-6</v>
      </c>
    </row>
    <row r="1416" spans="1:11" x14ac:dyDescent="0.3">
      <c r="A1416">
        <v>1415</v>
      </c>
      <c r="B1416">
        <v>0.3355224232644855</v>
      </c>
      <c r="C1416">
        <v>1.4897308861458547E-2</v>
      </c>
      <c r="D1416">
        <v>2.6530074707902775E-2</v>
      </c>
      <c r="E1416" s="10">
        <v>2.8725731370194118E-4</v>
      </c>
      <c r="F1416" s="10">
        <v>2.0836384802801744</v>
      </c>
      <c r="H1416">
        <v>0.5000000000253555</v>
      </c>
      <c r="I1416" s="11">
        <f t="shared" si="22"/>
        <v>0.32062511440302693</v>
      </c>
      <c r="J1416" s="11">
        <f>1/(H1416*Utilities!$B$11)</f>
        <v>7.9999999995943121</v>
      </c>
      <c r="K1416" s="11">
        <f>IF(B1416&lt;C1416,1,EXP(-1*(B1416-C1416)/(Utilities!$B$11*IterData!H1416)))</f>
        <v>7.6919111053574379E-2</v>
      </c>
    </row>
    <row r="1417" spans="1:11" x14ac:dyDescent="0.3">
      <c r="A1417">
        <v>1416</v>
      </c>
      <c r="B1417">
        <v>1.1269462348667573E-2</v>
      </c>
      <c r="C1417">
        <v>1.4897308861458547E-2</v>
      </c>
      <c r="D1417">
        <v>1</v>
      </c>
      <c r="E1417" s="10">
        <v>2.8725731370194118E-4</v>
      </c>
      <c r="F1417" s="10">
        <v>2.0836384802801744</v>
      </c>
      <c r="H1417">
        <v>0.50000000002485334</v>
      </c>
      <c r="I1417" s="11">
        <f t="shared" si="22"/>
        <v>-3.6278465127909734E-3</v>
      </c>
      <c r="J1417" s="11">
        <f>1/(H1417*Utilities!$B$11)</f>
        <v>7.9999999996023465</v>
      </c>
      <c r="K1417" s="11">
        <f>IF(B1417&lt;C1417,1,EXP(-1*(B1417-C1417)/(Utilities!$B$11*IterData!H1417)))</f>
        <v>1</v>
      </c>
    </row>
    <row r="1418" spans="1:11" x14ac:dyDescent="0.3">
      <c r="A1418">
        <v>1417</v>
      </c>
      <c r="B1418">
        <v>1.4446366371731578</v>
      </c>
      <c r="C1418">
        <v>1.1269462348667573E-2</v>
      </c>
      <c r="D1418">
        <v>8.7760853729982798E-8</v>
      </c>
      <c r="E1418" s="10">
        <v>2.5708976554746749E-4</v>
      </c>
      <c r="F1418" s="10">
        <v>2.1282851388882058</v>
      </c>
      <c r="H1418">
        <v>0.50000000002436129</v>
      </c>
      <c r="I1418" s="11">
        <f t="shared" si="22"/>
        <v>1.4333671748244903</v>
      </c>
      <c r="J1418" s="11">
        <f>1/(H1418*Utilities!$B$11)</f>
        <v>7.9999999996102193</v>
      </c>
      <c r="K1418" s="11">
        <f>IF(B1418&lt;C1418,1,EXP(-1*(B1418-C1418)/(Utilities!$B$11*IterData!H1418)))</f>
        <v>1.0470619162223921E-5</v>
      </c>
    </row>
    <row r="1419" spans="1:11" x14ac:dyDescent="0.3">
      <c r="A1419">
        <v>1418</v>
      </c>
      <c r="B1419">
        <v>1.1535821606931225</v>
      </c>
      <c r="C1419">
        <v>1.1269462348667573E-2</v>
      </c>
      <c r="D1419">
        <v>2.3563535272977021E-6</v>
      </c>
      <c r="E1419" s="10">
        <v>2.5708976554746749E-4</v>
      </c>
      <c r="F1419" s="10">
        <v>2.1282851388882058</v>
      </c>
      <c r="H1419">
        <v>0.5000000000238789</v>
      </c>
      <c r="I1419" s="11">
        <f t="shared" si="22"/>
        <v>1.1423126983444549</v>
      </c>
      <c r="J1419" s="11">
        <f>1/(H1419*Utilities!$B$11)</f>
        <v>7.9999999996179376</v>
      </c>
      <c r="K1419" s="11">
        <f>IF(B1419&lt;C1419,1,EXP(-1*(B1419-C1419)/(Utilities!$B$11*IterData!H1419)))</f>
        <v>1.0744821081729758E-4</v>
      </c>
    </row>
    <row r="1420" spans="1:11" x14ac:dyDescent="0.3">
      <c r="A1420">
        <v>1419</v>
      </c>
      <c r="B1420">
        <v>1.0738685170298601E-2</v>
      </c>
      <c r="C1420">
        <v>1.1269462348667573E-2</v>
      </c>
      <c r="D1420">
        <v>1</v>
      </c>
      <c r="E1420" s="10">
        <v>2.5708976554746749E-4</v>
      </c>
      <c r="F1420" s="10">
        <v>2.1282851388882058</v>
      </c>
      <c r="H1420">
        <v>0.50000000002340605</v>
      </c>
      <c r="I1420" s="11">
        <f t="shared" si="22"/>
        <v>-5.3077717836897201E-4</v>
      </c>
      <c r="J1420" s="11">
        <f>1/(H1420*Utilities!$B$11)</f>
        <v>7.9999999996255031</v>
      </c>
      <c r="K1420" s="11">
        <f>IF(B1420&lt;C1420,1,EXP(-1*(B1420-C1420)/(Utilities!$B$11*IterData!H1420)))</f>
        <v>1</v>
      </c>
    </row>
    <row r="1421" spans="1:11" x14ac:dyDescent="0.3">
      <c r="A1421">
        <v>1420</v>
      </c>
      <c r="B1421">
        <v>1.0782837634842475</v>
      </c>
      <c r="C1421">
        <v>1.0738685170298601E-2</v>
      </c>
      <c r="D1421">
        <v>5.4097261311781794E-6</v>
      </c>
      <c r="E1421" s="10">
        <v>2.0906269234470073E-4</v>
      </c>
      <c r="F1421" s="10">
        <v>2.1939765485746014</v>
      </c>
      <c r="H1421">
        <v>0.50000000002294254</v>
      </c>
      <c r="I1421" s="11">
        <f t="shared" si="22"/>
        <v>1.0675450783139488</v>
      </c>
      <c r="J1421" s="11">
        <f>1/(H1421*Utilities!$B$11)</f>
        <v>7.9999999996329194</v>
      </c>
      <c r="K1421" s="11">
        <f>IF(B1421&lt;C1421,1,EXP(-1*(B1421-C1421)/(Utilities!$B$11*IterData!H1421)))</f>
        <v>1.9541977396335907E-4</v>
      </c>
    </row>
    <row r="1422" spans="1:11" x14ac:dyDescent="0.3">
      <c r="A1422">
        <v>1421</v>
      </c>
      <c r="B1422">
        <v>0.13262315157697019</v>
      </c>
      <c r="C1422">
        <v>1.0738685170298601E-2</v>
      </c>
      <c r="D1422">
        <v>0.25017800010580432</v>
      </c>
      <c r="E1422" s="10">
        <v>2.0906269234470073E-4</v>
      </c>
      <c r="F1422" s="10">
        <v>2.1939765485746014</v>
      </c>
      <c r="H1422">
        <v>0.50000000002248823</v>
      </c>
      <c r="I1422" s="11">
        <f t="shared" si="22"/>
        <v>0.12188446640667158</v>
      </c>
      <c r="J1422" s="11">
        <f>1/(H1422*Utilities!$B$11)</f>
        <v>7.9999999996401883</v>
      </c>
      <c r="K1422" s="11">
        <f>IF(B1422&lt;C1422,1,EXP(-1*(B1422-C1422)/(Utilities!$B$11*IterData!H1422)))</f>
        <v>0.37716378941161349</v>
      </c>
    </row>
    <row r="1423" spans="1:11" x14ac:dyDescent="0.3">
      <c r="A1423">
        <v>1422</v>
      </c>
      <c r="B1423">
        <v>4.292176921521066E-2</v>
      </c>
      <c r="C1423">
        <v>0.13262315157697019</v>
      </c>
      <c r="D1423">
        <v>1</v>
      </c>
      <c r="E1423" s="10">
        <v>1.8570339429495937E-4</v>
      </c>
      <c r="F1423" s="10">
        <v>2.3628365774867097</v>
      </c>
      <c r="H1423">
        <v>0.50000000002204292</v>
      </c>
      <c r="I1423" s="11">
        <f t="shared" si="22"/>
        <v>-8.9701382361759535E-2</v>
      </c>
      <c r="J1423" s="11">
        <f>1/(H1423*Utilities!$B$11)</f>
        <v>7.9999999996473132</v>
      </c>
      <c r="K1423" s="11">
        <f>IF(B1423&lt;C1423,1,EXP(-1*(B1423-C1423)/(Utilities!$B$11*IterData!H1423)))</f>
        <v>1</v>
      </c>
    </row>
    <row r="1424" spans="1:11" x14ac:dyDescent="0.3">
      <c r="A1424">
        <v>1423</v>
      </c>
      <c r="B1424">
        <v>0.19694280606754883</v>
      </c>
      <c r="C1424">
        <v>4.292176921521066E-2</v>
      </c>
      <c r="D1424">
        <v>0.17318836124759213</v>
      </c>
      <c r="E1424" s="10">
        <v>1.7968418590368806E-4</v>
      </c>
      <c r="F1424" s="10">
        <v>2.1564489301354288</v>
      </c>
      <c r="H1424">
        <v>0.50000000002160649</v>
      </c>
      <c r="I1424" s="11">
        <f t="shared" si="22"/>
        <v>0.15402103685233817</v>
      </c>
      <c r="J1424" s="11">
        <f>1/(H1424*Utilities!$B$11)</f>
        <v>7.9999999996542961</v>
      </c>
      <c r="K1424" s="11">
        <f>IF(B1424&lt;C1424,1,EXP(-1*(B1424-C1424)/(Utilities!$B$11*IterData!H1424)))</f>
        <v>0.29165948782544049</v>
      </c>
    </row>
    <row r="1425" spans="1:11" x14ac:dyDescent="0.3">
      <c r="A1425">
        <v>1424</v>
      </c>
      <c r="B1425">
        <v>0.71933393124812606</v>
      </c>
      <c r="C1425">
        <v>4.292176921521066E-2</v>
      </c>
      <c r="D1425">
        <v>4.5025910610820409E-4</v>
      </c>
      <c r="E1425" s="10">
        <v>1.7968418590368806E-4</v>
      </c>
      <c r="F1425" s="10">
        <v>2.1564489301354288</v>
      </c>
      <c r="H1425">
        <v>0.50000000002117861</v>
      </c>
      <c r="I1425" s="11">
        <f t="shared" si="22"/>
        <v>0.67641216203291543</v>
      </c>
      <c r="J1425" s="11">
        <f>1/(H1425*Utilities!$B$11)</f>
        <v>7.9999999996611422</v>
      </c>
      <c r="K1425" s="11">
        <f>IF(B1425&lt;C1425,1,EXP(-1*(B1425-C1425)/(Utilities!$B$11*IterData!H1425)))</f>
        <v>4.4658429314433307E-3</v>
      </c>
    </row>
    <row r="1426" spans="1:11" x14ac:dyDescent="0.3">
      <c r="A1426">
        <v>1425</v>
      </c>
      <c r="B1426">
        <v>0.5708034061881313</v>
      </c>
      <c r="C1426">
        <v>4.292176921521066E-2</v>
      </c>
      <c r="D1426">
        <v>2.4348973941988104E-3</v>
      </c>
      <c r="E1426" s="10">
        <v>1.7968418590368806E-4</v>
      </c>
      <c r="F1426" s="10">
        <v>2.1564489301354288</v>
      </c>
      <c r="H1426">
        <v>0.50000000002075928</v>
      </c>
      <c r="I1426" s="11">
        <f t="shared" si="22"/>
        <v>0.52788163697292068</v>
      </c>
      <c r="J1426" s="11">
        <f>1/(H1426*Utilities!$B$11)</f>
        <v>7.9999999996678515</v>
      </c>
      <c r="K1426" s="11">
        <f>IF(B1426&lt;C1426,1,EXP(-1*(B1426-C1426)/(Utilities!$B$11*IterData!H1426)))</f>
        <v>1.4653836574174144E-2</v>
      </c>
    </row>
    <row r="1427" spans="1:11" x14ac:dyDescent="0.3">
      <c r="A1427">
        <v>1426</v>
      </c>
      <c r="B1427">
        <v>0.60352477106062064</v>
      </c>
      <c r="C1427">
        <v>4.292176921521066E-2</v>
      </c>
      <c r="D1427">
        <v>1.669286407464199E-3</v>
      </c>
      <c r="E1427" s="10">
        <v>1.7968418590368806E-4</v>
      </c>
      <c r="F1427" s="10">
        <v>2.1564489301354288</v>
      </c>
      <c r="H1427">
        <v>0.50000000002034828</v>
      </c>
      <c r="I1427" s="11">
        <f t="shared" si="22"/>
        <v>0.56060300184541001</v>
      </c>
      <c r="J1427" s="11">
        <f>1/(H1427*Utilities!$B$11)</f>
        <v>7.9999999996744275</v>
      </c>
      <c r="K1427" s="11">
        <f>IF(B1427&lt;C1427,1,EXP(-1*(B1427-C1427)/(Utilities!$B$11*IterData!H1427)))</f>
        <v>1.1278872263156327E-2</v>
      </c>
    </row>
    <row r="1428" spans="1:11" x14ac:dyDescent="0.3">
      <c r="A1428">
        <v>1427</v>
      </c>
      <c r="B1428">
        <v>4.4460421169244972E-2</v>
      </c>
      <c r="C1428">
        <v>4.292176921521066E-2</v>
      </c>
      <c r="D1428">
        <v>0.98258811900424958</v>
      </c>
      <c r="E1428" s="10">
        <v>1.7968418590368806E-4</v>
      </c>
      <c r="F1428" s="10">
        <v>2.1564489301354288</v>
      </c>
      <c r="H1428">
        <v>0.50000000001994527</v>
      </c>
      <c r="I1428" s="11">
        <f t="shared" si="22"/>
        <v>1.5386519540343119E-3</v>
      </c>
      <c r="J1428" s="11">
        <f>1/(H1428*Utilities!$B$11)</f>
        <v>7.9999999996808757</v>
      </c>
      <c r="K1428" s="11">
        <f>IF(B1428&lt;C1428,1,EXP(-1*(B1428-C1428)/(Utilities!$B$11*IterData!H1428)))</f>
        <v>0.98776623287501819</v>
      </c>
    </row>
    <row r="1429" spans="1:11" x14ac:dyDescent="0.3">
      <c r="A1429">
        <v>1428</v>
      </c>
      <c r="B1429">
        <v>0.71880357153092678</v>
      </c>
      <c r="C1429">
        <v>4.292176921521066E-2</v>
      </c>
      <c r="D1429">
        <v>4.4329561439292365E-4</v>
      </c>
      <c r="E1429" s="10">
        <v>1.7968418590368806E-4</v>
      </c>
      <c r="F1429" s="10">
        <v>2.1564489301354288</v>
      </c>
      <c r="H1429">
        <v>0.50000000001955036</v>
      </c>
      <c r="I1429" s="11">
        <f t="shared" si="22"/>
        <v>0.67588180231571615</v>
      </c>
      <c r="J1429" s="11">
        <f>1/(H1429*Utilities!$B$11)</f>
        <v>7.9999999996871942</v>
      </c>
      <c r="K1429" s="11">
        <f>IF(B1429&lt;C1429,1,EXP(-1*(B1429-C1429)/(Utilities!$B$11*IterData!H1429)))</f>
        <v>4.4848312109056444E-3</v>
      </c>
    </row>
    <row r="1430" spans="1:11" x14ac:dyDescent="0.3">
      <c r="A1430">
        <v>1429</v>
      </c>
      <c r="B1430">
        <v>1.7028752745783793</v>
      </c>
      <c r="C1430">
        <v>4.292176921521066E-2</v>
      </c>
      <c r="D1430">
        <v>5.7355139580604803E-9</v>
      </c>
      <c r="E1430" s="10">
        <v>1.7968418590368806E-4</v>
      </c>
      <c r="F1430" s="10">
        <v>2.1564489301354288</v>
      </c>
      <c r="H1430">
        <v>0.50000000001916323</v>
      </c>
      <c r="I1430" s="11">
        <f t="shared" si="22"/>
        <v>1.6599535053631687</v>
      </c>
      <c r="J1430" s="11">
        <f>1/(H1430*Utilities!$B$11)</f>
        <v>7.9999999996933884</v>
      </c>
      <c r="K1430" s="11">
        <f>IF(B1430&lt;C1430,1,EXP(-1*(B1430-C1430)/(Utilities!$B$11*IterData!H1430)))</f>
        <v>1.7089557570141418E-6</v>
      </c>
    </row>
    <row r="1431" spans="1:11" x14ac:dyDescent="0.3">
      <c r="A1431">
        <v>1430</v>
      </c>
      <c r="B1431">
        <v>2.4586046980859838E-2</v>
      </c>
      <c r="C1431">
        <v>4.292176921521066E-2</v>
      </c>
      <c r="D1431">
        <v>1</v>
      </c>
      <c r="E1431" s="10">
        <v>1.7968418590368806E-4</v>
      </c>
      <c r="F1431" s="10">
        <v>2.1564489301354288</v>
      </c>
      <c r="H1431">
        <v>0.50000000001878375</v>
      </c>
      <c r="I1431" s="11">
        <f t="shared" si="22"/>
        <v>-1.8335722234350822E-2</v>
      </c>
      <c r="J1431" s="11">
        <f>1/(H1431*Utilities!$B$11)</f>
        <v>7.99999999969946</v>
      </c>
      <c r="K1431" s="11">
        <f>IF(B1431&lt;C1431,1,EXP(-1*(B1431-C1431)/(Utilities!$B$11*IterData!H1431)))</f>
        <v>1</v>
      </c>
    </row>
    <row r="1432" spans="1:11" x14ac:dyDescent="0.3">
      <c r="A1432">
        <v>1431</v>
      </c>
      <c r="B1432">
        <v>0.5507581439404261</v>
      </c>
      <c r="C1432">
        <v>2.4586046980859838E-2</v>
      </c>
      <c r="D1432">
        <v>2.4208945320495015E-3</v>
      </c>
      <c r="E1432" s="10">
        <v>1.9496365699780892E-4</v>
      </c>
      <c r="F1432" s="10">
        <v>2.2491809799226048</v>
      </c>
      <c r="H1432">
        <v>0.50000000001841183</v>
      </c>
      <c r="I1432" s="11">
        <f t="shared" si="22"/>
        <v>0.52617209695956624</v>
      </c>
      <c r="J1432" s="11">
        <f>1/(H1432*Utilities!$B$11)</f>
        <v>7.9999999997054108</v>
      </c>
      <c r="K1432" s="11">
        <f>IF(B1432&lt;C1432,1,EXP(-1*(B1432-C1432)/(Utilities!$B$11*IterData!H1432)))</f>
        <v>1.4855623842080331E-2</v>
      </c>
    </row>
    <row r="1433" spans="1:11" x14ac:dyDescent="0.3">
      <c r="A1433">
        <v>1432</v>
      </c>
      <c r="B1433">
        <v>1.7646660551903864E-2</v>
      </c>
      <c r="C1433">
        <v>2.4586046980859838E-2</v>
      </c>
      <c r="D1433">
        <v>1</v>
      </c>
      <c r="E1433" s="10">
        <v>1.9496365699780892E-4</v>
      </c>
      <c r="F1433" s="10">
        <v>2.2491809799226048</v>
      </c>
      <c r="H1433">
        <v>0.50000000001804723</v>
      </c>
      <c r="I1433" s="11">
        <f t="shared" si="22"/>
        <v>-6.9393864289559737E-3</v>
      </c>
      <c r="J1433" s="11">
        <f>1/(H1433*Utilities!$B$11)</f>
        <v>7.9999999997112443</v>
      </c>
      <c r="K1433" s="11">
        <f>IF(B1433&lt;C1433,1,EXP(-1*(B1433-C1433)/(Utilities!$B$11*IterData!H1433)))</f>
        <v>1</v>
      </c>
    </row>
    <row r="1434" spans="1:11" x14ac:dyDescent="0.3">
      <c r="A1434">
        <v>1433</v>
      </c>
      <c r="B1434">
        <v>0.28645365320776955</v>
      </c>
      <c r="C1434">
        <v>1.7646660551903864E-2</v>
      </c>
      <c r="D1434">
        <v>4.5885626289251309E-2</v>
      </c>
      <c r="E1434" s="10">
        <v>2.4919869350142253E-4</v>
      </c>
      <c r="F1434" s="10">
        <v>2.1699318585834679</v>
      </c>
      <c r="H1434">
        <v>0.50000000001768985</v>
      </c>
      <c r="I1434" s="11">
        <f t="shared" si="22"/>
        <v>0.26880699265586572</v>
      </c>
      <c r="J1434" s="11">
        <f>1/(H1434*Utilities!$B$11)</f>
        <v>7.9999999997169624</v>
      </c>
      <c r="K1434" s="11">
        <f>IF(B1434&lt;C1434,1,EXP(-1*(B1434-C1434)/(Utilities!$B$11*IterData!H1434)))</f>
        <v>0.11643105995587745</v>
      </c>
    </row>
    <row r="1435" spans="1:11" x14ac:dyDescent="0.3">
      <c r="A1435">
        <v>1434</v>
      </c>
      <c r="B1435">
        <v>0.41736316685908487</v>
      </c>
      <c r="C1435">
        <v>1.7646660551903864E-2</v>
      </c>
      <c r="D1435">
        <v>1.019816211024876E-2</v>
      </c>
      <c r="E1435" s="10">
        <v>2.4919869350142253E-4</v>
      </c>
      <c r="F1435" s="10">
        <v>2.1699318585834679</v>
      </c>
      <c r="H1435">
        <v>0.50000000001733957</v>
      </c>
      <c r="I1435" s="11">
        <f t="shared" si="22"/>
        <v>0.39971650630718103</v>
      </c>
      <c r="J1435" s="11">
        <f>1/(H1435*Utilities!$B$11)</f>
        <v>7.9999999997225668</v>
      </c>
      <c r="K1435" s="11">
        <f>IF(B1435&lt;C1435,1,EXP(-1*(B1435-C1435)/(Utilities!$B$11*IterData!H1435)))</f>
        <v>4.0854755516196092E-2</v>
      </c>
    </row>
    <row r="1436" spans="1:11" x14ac:dyDescent="0.3">
      <c r="A1436">
        <v>1435</v>
      </c>
      <c r="B1436">
        <v>1.6164272009550198</v>
      </c>
      <c r="C1436">
        <v>1.7646660551903864E-2</v>
      </c>
      <c r="D1436">
        <v>1.068953508817259E-8</v>
      </c>
      <c r="E1436" s="10">
        <v>2.4919869350142253E-4</v>
      </c>
      <c r="F1436" s="10">
        <v>2.1699318585834679</v>
      </c>
      <c r="H1436">
        <v>0.50000000001699629</v>
      </c>
      <c r="I1436" s="11">
        <f t="shared" si="22"/>
        <v>1.5987805404031159</v>
      </c>
      <c r="J1436" s="11">
        <f>1/(H1436*Utilities!$B$11)</f>
        <v>7.9999999997280593</v>
      </c>
      <c r="K1436" s="11">
        <f>IF(B1436&lt;C1436,1,EXP(-1*(B1436-C1436)/(Utilities!$B$11*IterData!H1436)))</f>
        <v>2.7878375821961432E-6</v>
      </c>
    </row>
    <row r="1437" spans="1:11" x14ac:dyDescent="0.3">
      <c r="A1437">
        <v>1436</v>
      </c>
      <c r="B1437">
        <v>0.39314045223728994</v>
      </c>
      <c r="C1437">
        <v>1.7646660551903864E-2</v>
      </c>
      <c r="D1437">
        <v>1.338430297114316E-2</v>
      </c>
      <c r="E1437" s="10">
        <v>2.4919869350142253E-4</v>
      </c>
      <c r="F1437" s="10">
        <v>2.1699318585834679</v>
      </c>
      <c r="H1437">
        <v>0.50000000001665967</v>
      </c>
      <c r="I1437" s="11">
        <f t="shared" si="22"/>
        <v>0.3754937916853861</v>
      </c>
      <c r="J1437" s="11">
        <f>1/(H1437*Utilities!$B$11)</f>
        <v>7.9999999997334452</v>
      </c>
      <c r="K1437" s="11">
        <f>IF(B1437&lt;C1437,1,EXP(-1*(B1437-C1437)/(Utilities!$B$11*IterData!H1437)))</f>
        <v>4.9590780805561466E-2</v>
      </c>
    </row>
    <row r="1438" spans="1:11" x14ac:dyDescent="0.3">
      <c r="A1438">
        <v>1437</v>
      </c>
      <c r="B1438">
        <v>0.50539799869654412</v>
      </c>
      <c r="C1438">
        <v>1.7646660551903864E-2</v>
      </c>
      <c r="D1438">
        <v>3.6713736950274834E-3</v>
      </c>
      <c r="E1438" s="10">
        <v>2.4919869350142253E-4</v>
      </c>
      <c r="F1438" s="10">
        <v>2.1699318585834679</v>
      </c>
      <c r="H1438">
        <v>0.50000000001632983</v>
      </c>
      <c r="I1438" s="11">
        <f t="shared" si="22"/>
        <v>0.48775133814464022</v>
      </c>
      <c r="J1438" s="11">
        <f>1/(H1438*Utilities!$B$11)</f>
        <v>7.9999999997387228</v>
      </c>
      <c r="K1438" s="11">
        <f>IF(B1438&lt;C1438,1,EXP(-1*(B1438-C1438)/(Utilities!$B$11*IterData!H1438)))</f>
        <v>2.0201251823602023E-2</v>
      </c>
    </row>
    <row r="1439" spans="1:11" x14ac:dyDescent="0.3">
      <c r="A1439">
        <v>1438</v>
      </c>
      <c r="B1439">
        <v>8.5840954092436916E-2</v>
      </c>
      <c r="C1439">
        <v>1.7646660551903864E-2</v>
      </c>
      <c r="D1439">
        <v>0.45634455447825156</v>
      </c>
      <c r="E1439" s="10">
        <v>2.4919869350142253E-4</v>
      </c>
      <c r="F1439" s="10">
        <v>2.1699318585834679</v>
      </c>
      <c r="H1439">
        <v>0.50000000001600653</v>
      </c>
      <c r="I1439" s="11">
        <f t="shared" si="22"/>
        <v>6.8194293540533052E-2</v>
      </c>
      <c r="J1439" s="11">
        <f>1/(H1439*Utilities!$B$11)</f>
        <v>7.9999999997438955</v>
      </c>
      <c r="K1439" s="11">
        <f>IF(B1439&lt;C1439,1,EXP(-1*(B1439-C1439)/(Utilities!$B$11*IterData!H1439)))</f>
        <v>0.57952043810586262</v>
      </c>
    </row>
    <row r="1440" spans="1:11" x14ac:dyDescent="0.3">
      <c r="A1440">
        <v>1439</v>
      </c>
      <c r="B1440">
        <v>0.55281595959417562</v>
      </c>
      <c r="C1440">
        <v>8.5840954092436916E-2</v>
      </c>
      <c r="D1440">
        <v>4.627140227477634E-3</v>
      </c>
      <c r="E1440" s="10">
        <v>2.3173764135699877E-4</v>
      </c>
      <c r="F1440" s="10">
        <v>2.0628586028558327</v>
      </c>
      <c r="H1440">
        <v>0.50000000001568956</v>
      </c>
      <c r="I1440" s="11">
        <f t="shared" si="22"/>
        <v>0.4669750055017387</v>
      </c>
      <c r="J1440" s="11">
        <f>1/(H1440*Utilities!$B$11)</f>
        <v>7.999999999748967</v>
      </c>
      <c r="K1440" s="11">
        <f>IF(B1440&lt;C1440,1,EXP(-1*(B1440-C1440)/(Utilities!$B$11*IterData!H1440)))</f>
        <v>2.3854079122155022E-2</v>
      </c>
    </row>
    <row r="1441" spans="1:11" x14ac:dyDescent="0.3">
      <c r="A1441">
        <v>1440</v>
      </c>
      <c r="B1441">
        <v>0.47700389676177102</v>
      </c>
      <c r="C1441">
        <v>8.5840954092436916E-2</v>
      </c>
      <c r="D1441">
        <v>1.1040365857542487E-2</v>
      </c>
      <c r="E1441" s="10">
        <v>2.3173764135699877E-4</v>
      </c>
      <c r="F1441" s="10">
        <v>2.0628586028558327</v>
      </c>
      <c r="H1441">
        <v>0.50000000001537881</v>
      </c>
      <c r="I1441" s="11">
        <f t="shared" si="22"/>
        <v>0.3911629426693341</v>
      </c>
      <c r="J1441" s="11">
        <f>1/(H1441*Utilities!$B$11)</f>
        <v>7.9999999997539391</v>
      </c>
      <c r="K1441" s="11">
        <f>IF(B1441&lt;C1441,1,EXP(-1*(B1441-C1441)/(Utilities!$B$11*IterData!H1441)))</f>
        <v>4.3748255500035249E-2</v>
      </c>
    </row>
    <row r="1442" spans="1:11" x14ac:dyDescent="0.3">
      <c r="A1442">
        <v>1441</v>
      </c>
      <c r="B1442">
        <v>0.20570841914445931</v>
      </c>
      <c r="C1442">
        <v>8.5840954092436916E-2</v>
      </c>
      <c r="D1442">
        <v>0.25111804864707277</v>
      </c>
      <c r="E1442" s="10">
        <v>2.3173764135699877E-4</v>
      </c>
      <c r="F1442" s="10">
        <v>2.0628586028558327</v>
      </c>
      <c r="H1442">
        <v>0.50000000001507439</v>
      </c>
      <c r="I1442" s="11">
        <f t="shared" si="22"/>
        <v>0.11986746505202239</v>
      </c>
      <c r="J1442" s="11">
        <f>1/(H1442*Utilities!$B$11)</f>
        <v>7.9999999997588098</v>
      </c>
      <c r="K1442" s="11">
        <f>IF(B1442&lt;C1442,1,EXP(-1*(B1442-C1442)/(Utilities!$B$11*IterData!H1442)))</f>
        <v>0.38329907479478076</v>
      </c>
    </row>
    <row r="1443" spans="1:11" x14ac:dyDescent="0.3">
      <c r="A1443">
        <v>1442</v>
      </c>
      <c r="B1443">
        <v>0.11397453696322495</v>
      </c>
      <c r="C1443">
        <v>0.20570841914445931</v>
      </c>
      <c r="D1443">
        <v>1</v>
      </c>
      <c r="E1443" s="10">
        <v>1.7008691503597571E-4</v>
      </c>
      <c r="F1443" s="10">
        <v>2.4334787573823062</v>
      </c>
      <c r="H1443">
        <v>0.50000000001477585</v>
      </c>
      <c r="I1443" s="11">
        <f t="shared" si="22"/>
        <v>-9.1733882181234364E-2</v>
      </c>
      <c r="J1443" s="11">
        <f>1/(H1443*Utilities!$B$11)</f>
        <v>7.9999999997635864</v>
      </c>
      <c r="K1443" s="11">
        <f>IF(B1443&lt;C1443,1,EXP(-1*(B1443-C1443)/(Utilities!$B$11*IterData!H1443)))</f>
        <v>1</v>
      </c>
    </row>
    <row r="1444" spans="1:11" x14ac:dyDescent="0.3">
      <c r="A1444">
        <v>1443</v>
      </c>
      <c r="B1444">
        <v>0.41170525976908473</v>
      </c>
      <c r="C1444">
        <v>0.11397453696322495</v>
      </c>
      <c r="D1444">
        <v>3.2160912414657579E-2</v>
      </c>
      <c r="E1444" s="10">
        <v>2.0805035198419268E-4</v>
      </c>
      <c r="F1444" s="10">
        <v>2.3190326741117091</v>
      </c>
      <c r="H1444">
        <v>0.5000000000144833</v>
      </c>
      <c r="I1444" s="11">
        <f t="shared" si="22"/>
        <v>0.29773072280585977</v>
      </c>
      <c r="J1444" s="11">
        <f>1/(H1444*Utilities!$B$11)</f>
        <v>7.9999999997682671</v>
      </c>
      <c r="K1444" s="11">
        <f>IF(B1444&lt;C1444,1,EXP(-1*(B1444-C1444)/(Utilities!$B$11*IterData!H1444)))</f>
        <v>9.2379906844220677E-2</v>
      </c>
    </row>
    <row r="1445" spans="1:11" x14ac:dyDescent="0.3">
      <c r="A1445">
        <v>1444</v>
      </c>
      <c r="B1445">
        <v>0.1136072788803154</v>
      </c>
      <c r="C1445">
        <v>0.11397453696322495</v>
      </c>
      <c r="D1445">
        <v>1</v>
      </c>
      <c r="E1445" s="10">
        <v>2.0805035198419268E-4</v>
      </c>
      <c r="F1445" s="10">
        <v>2.3190326741117091</v>
      </c>
      <c r="H1445">
        <v>0.50000000001419642</v>
      </c>
      <c r="I1445" s="11">
        <f t="shared" si="22"/>
        <v>-3.6725808290954953E-4</v>
      </c>
      <c r="J1445" s="11">
        <f>1/(H1445*Utilities!$B$11)</f>
        <v>7.9999999997728573</v>
      </c>
      <c r="K1445" s="11">
        <f>IF(B1445&lt;C1445,1,EXP(-1*(B1445-C1445)/(Utilities!$B$11*IterData!H1445)))</f>
        <v>1</v>
      </c>
    </row>
    <row r="1446" spans="1:11" x14ac:dyDescent="0.3">
      <c r="A1446">
        <v>1445</v>
      </c>
      <c r="B1446">
        <v>0.1161510553208553</v>
      </c>
      <c r="C1446">
        <v>0.1136072788803154</v>
      </c>
      <c r="D1446">
        <v>0.97102209539424833</v>
      </c>
      <c r="E1446" s="10">
        <v>1.8946100138650675E-4</v>
      </c>
      <c r="F1446" s="10">
        <v>2.09686005454255</v>
      </c>
      <c r="H1446">
        <v>0.50000000001391531</v>
      </c>
      <c r="I1446" s="11">
        <f t="shared" si="22"/>
        <v>2.5437764405399077E-3</v>
      </c>
      <c r="J1446" s="11">
        <f>1/(H1446*Utilities!$B$11)</f>
        <v>7.999999999777355</v>
      </c>
      <c r="K1446" s="11">
        <f>IF(B1446&lt;C1446,1,EXP(-1*(B1446-C1446)/(Utilities!$B$11*IterData!H1446)))</f>
        <v>0.97985545653853756</v>
      </c>
    </row>
    <row r="1447" spans="1:11" x14ac:dyDescent="0.3">
      <c r="A1447">
        <v>1446</v>
      </c>
      <c r="B1447">
        <v>1.3510671958540114E-2</v>
      </c>
      <c r="C1447">
        <v>0.1161510553208553</v>
      </c>
      <c r="D1447">
        <v>1</v>
      </c>
      <c r="E1447" s="10">
        <v>1.8435771430528325E-4</v>
      </c>
      <c r="F1447" s="10">
        <v>2.1022453691884557</v>
      </c>
      <c r="H1447">
        <v>0.50000000001363987</v>
      </c>
      <c r="I1447" s="11">
        <f t="shared" si="22"/>
        <v>-0.10264038336231519</v>
      </c>
      <c r="J1447" s="11">
        <f>1/(H1447*Utilities!$B$11)</f>
        <v>7.9999999997817621</v>
      </c>
      <c r="K1447" s="11">
        <f>IF(B1447&lt;C1447,1,EXP(-1*(B1447-C1447)/(Utilities!$B$11*IterData!H1447)))</f>
        <v>1</v>
      </c>
    </row>
    <row r="1448" spans="1:11" x14ac:dyDescent="0.3">
      <c r="A1448">
        <v>1447</v>
      </c>
      <c r="B1448">
        <v>0.31101366857855378</v>
      </c>
      <c r="C1448">
        <v>1.3510671958540114E-2</v>
      </c>
      <c r="D1448">
        <v>3.1940046230439174E-2</v>
      </c>
      <c r="E1448" s="10">
        <v>2.3100309395679265E-4</v>
      </c>
      <c r="F1448" s="10">
        <v>2.1386912483198501</v>
      </c>
      <c r="H1448">
        <v>0.50000000001336975</v>
      </c>
      <c r="I1448" s="11">
        <f t="shared" si="22"/>
        <v>0.29750299662001367</v>
      </c>
      <c r="J1448" s="11">
        <f>1/(H1448*Utilities!$B$11)</f>
        <v>7.999999999786084</v>
      </c>
      <c r="K1448" s="11">
        <f>IF(B1448&lt;C1448,1,EXP(-1*(B1448-C1448)/(Utilities!$B$11*IterData!H1448)))</f>
        <v>9.254835883152468E-2</v>
      </c>
    </row>
    <row r="1449" spans="1:11" x14ac:dyDescent="0.3">
      <c r="A1449">
        <v>1448</v>
      </c>
      <c r="B1449">
        <v>1.0351333663602869</v>
      </c>
      <c r="C1449">
        <v>1.3510671958540114E-2</v>
      </c>
      <c r="D1449">
        <v>7.250230535235974E-6</v>
      </c>
      <c r="E1449" s="10">
        <v>2.3100309395679265E-4</v>
      </c>
      <c r="F1449" s="10">
        <v>2.1386912483198501</v>
      </c>
      <c r="H1449">
        <v>0.50000000001310496</v>
      </c>
      <c r="I1449" s="11">
        <f t="shared" si="22"/>
        <v>1.0216226944017468</v>
      </c>
      <c r="J1449" s="11">
        <f>1/(H1449*Utilities!$B$11)</f>
        <v>7.9999999997903206</v>
      </c>
      <c r="K1449" s="11">
        <f>IF(B1449&lt;C1449,1,EXP(-1*(B1449-C1449)/(Utilities!$B$11*IterData!H1449)))</f>
        <v>2.8217543938147447E-4</v>
      </c>
    </row>
    <row r="1450" spans="1:11" x14ac:dyDescent="0.3">
      <c r="A1450">
        <v>1449</v>
      </c>
      <c r="B1450">
        <v>0.44764680638623122</v>
      </c>
      <c r="C1450">
        <v>1.3510671958540114E-2</v>
      </c>
      <c r="D1450">
        <v>6.5224443685099314E-3</v>
      </c>
      <c r="E1450" s="10">
        <v>2.3100309395679265E-4</v>
      </c>
      <c r="F1450" s="10">
        <v>2.1386912483198501</v>
      </c>
      <c r="H1450">
        <v>0.5000000000128455</v>
      </c>
      <c r="I1450" s="11">
        <f t="shared" si="22"/>
        <v>0.43413613442769111</v>
      </c>
      <c r="J1450" s="11">
        <f>1/(H1450*Utilities!$B$11)</f>
        <v>7.999999999794472</v>
      </c>
      <c r="K1450" s="11">
        <f>IF(B1450&lt;C1450,1,EXP(-1*(B1450-C1450)/(Utilities!$B$11*IterData!H1450)))</f>
        <v>3.1021056121840959E-2</v>
      </c>
    </row>
    <row r="1451" spans="1:11" x14ac:dyDescent="0.3">
      <c r="A1451">
        <v>1450</v>
      </c>
      <c r="B1451">
        <v>7.5713030488940208E-2</v>
      </c>
      <c r="C1451">
        <v>1.3510671958540114E-2</v>
      </c>
      <c r="D1451">
        <v>0.48599965792764621</v>
      </c>
      <c r="E1451" s="10">
        <v>2.3100309395679265E-4</v>
      </c>
      <c r="F1451" s="10">
        <v>2.1386912483198501</v>
      </c>
      <c r="H1451">
        <v>0.50000000001259115</v>
      </c>
      <c r="I1451" s="11">
        <f t="shared" si="22"/>
        <v>6.2202358530400098E-2</v>
      </c>
      <c r="J1451" s="11">
        <f>1/(H1451*Utilities!$B$11)</f>
        <v>7.9999999997985416</v>
      </c>
      <c r="K1451" s="11">
        <f>IF(B1451&lt;C1451,1,EXP(-1*(B1451-C1451)/(Utilities!$B$11*IterData!H1451)))</f>
        <v>0.60797660995138736</v>
      </c>
    </row>
    <row r="1452" spans="1:11" x14ac:dyDescent="0.3">
      <c r="A1452">
        <v>1451</v>
      </c>
      <c r="B1452">
        <v>2.9396823141612401E-2</v>
      </c>
      <c r="C1452">
        <v>1.3510671958540114E-2</v>
      </c>
      <c r="D1452">
        <v>0.83159773810906179</v>
      </c>
      <c r="E1452" s="10">
        <v>2.3100309395679265E-4</v>
      </c>
      <c r="F1452" s="10">
        <v>2.1386912483198501</v>
      </c>
      <c r="H1452">
        <v>0.50000000001234179</v>
      </c>
      <c r="I1452" s="11">
        <f t="shared" si="22"/>
        <v>1.5886151183072288E-2</v>
      </c>
      <c r="J1452" s="11">
        <f>1/(H1452*Utilities!$B$11)</f>
        <v>7.9999999998025313</v>
      </c>
      <c r="K1452" s="11">
        <f>IF(B1452&lt;C1452,1,EXP(-1*(B1452-C1452)/(Utilities!$B$11*IterData!H1452)))</f>
        <v>0.88065510632503086</v>
      </c>
    </row>
    <row r="1453" spans="1:11" x14ac:dyDescent="0.3">
      <c r="A1453">
        <v>1452</v>
      </c>
      <c r="B1453">
        <v>0.15962112638988254</v>
      </c>
      <c r="C1453">
        <v>2.9396823141612401E-2</v>
      </c>
      <c r="D1453">
        <v>0.22031751866140198</v>
      </c>
      <c r="E1453" s="10">
        <v>2.0718854677056328E-4</v>
      </c>
      <c r="F1453" s="10">
        <v>2.1360338207562934</v>
      </c>
      <c r="H1453">
        <v>0.50000000001209743</v>
      </c>
      <c r="I1453" s="11">
        <f t="shared" si="22"/>
        <v>0.13022430324827014</v>
      </c>
      <c r="J1453" s="11">
        <f>1/(H1453*Utilities!$B$11)</f>
        <v>7.9999999998064411</v>
      </c>
      <c r="K1453" s="11">
        <f>IF(B1453&lt;C1453,1,EXP(-1*(B1453-C1453)/(Utilities!$B$11*IterData!H1453)))</f>
        <v>0.35282100241699799</v>
      </c>
    </row>
    <row r="1454" spans="1:11" x14ac:dyDescent="0.3">
      <c r="A1454">
        <v>1453</v>
      </c>
      <c r="B1454">
        <v>0.36502345455000468</v>
      </c>
      <c r="C1454">
        <v>2.9396823141612401E-2</v>
      </c>
      <c r="D1454">
        <v>2.0215129628916608E-2</v>
      </c>
      <c r="E1454" s="10">
        <v>2.0718854677056328E-4</v>
      </c>
      <c r="F1454" s="10">
        <v>2.1360338207562934</v>
      </c>
      <c r="H1454">
        <v>0.50000000001185785</v>
      </c>
      <c r="I1454" s="11">
        <f t="shared" si="22"/>
        <v>0.33562663140839227</v>
      </c>
      <c r="J1454" s="11">
        <f>1/(H1454*Utilities!$B$11)</f>
        <v>7.9999999998102744</v>
      </c>
      <c r="K1454" s="11">
        <f>IF(B1454&lt;C1454,1,EXP(-1*(B1454-C1454)/(Utilities!$B$11*IterData!H1454)))</f>
        <v>6.8220303633445084E-2</v>
      </c>
    </row>
    <row r="1455" spans="1:11" x14ac:dyDescent="0.3">
      <c r="A1455">
        <v>1454</v>
      </c>
      <c r="B1455">
        <v>5.5820685717577978E-2</v>
      </c>
      <c r="C1455">
        <v>2.9396823141612401E-2</v>
      </c>
      <c r="D1455">
        <v>0.73538407187803445</v>
      </c>
      <c r="E1455" s="10">
        <v>2.0718854677056328E-4</v>
      </c>
      <c r="F1455" s="10">
        <v>2.1360338207562934</v>
      </c>
      <c r="H1455">
        <v>0.50000000001162315</v>
      </c>
      <c r="I1455" s="11">
        <f t="shared" si="22"/>
        <v>2.6423862575965577E-2</v>
      </c>
      <c r="J1455" s="11">
        <f>1/(H1455*Utilities!$B$11)</f>
        <v>7.9999999998140296</v>
      </c>
      <c r="K1455" s="11">
        <f>IF(B1455&lt;C1455,1,EXP(-1*(B1455-C1455)/(Utilities!$B$11*IterData!H1455)))</f>
        <v>0.80945758757039865</v>
      </c>
    </row>
    <row r="1456" spans="1:11" x14ac:dyDescent="0.3">
      <c r="A1456">
        <v>1455</v>
      </c>
      <c r="B1456">
        <v>0.1085797653043212</v>
      </c>
      <c r="C1456">
        <v>2.9396823141612401E-2</v>
      </c>
      <c r="D1456">
        <v>0.39784633279699488</v>
      </c>
      <c r="E1456" s="10">
        <v>2.0718854677056328E-4</v>
      </c>
      <c r="F1456" s="10">
        <v>2.1360338207562934</v>
      </c>
      <c r="H1456">
        <v>0.50000000001139289</v>
      </c>
      <c r="I1456" s="11">
        <f t="shared" si="22"/>
        <v>7.9182942162708797E-2</v>
      </c>
      <c r="J1456" s="11">
        <f>1/(H1456*Utilities!$B$11)</f>
        <v>7.9999999998177138</v>
      </c>
      <c r="K1456" s="11">
        <f>IF(B1456&lt;C1456,1,EXP(-1*(B1456-C1456)/(Utilities!$B$11*IterData!H1456)))</f>
        <v>0.53075034027005641</v>
      </c>
    </row>
    <row r="1457" spans="1:11" x14ac:dyDescent="0.3">
      <c r="A1457">
        <v>1456</v>
      </c>
      <c r="B1457">
        <v>1.4192570702424501</v>
      </c>
      <c r="C1457">
        <v>0.1085797653043212</v>
      </c>
      <c r="D1457">
        <v>2.3427522264526762E-7</v>
      </c>
      <c r="E1457" s="10">
        <v>2.0582829227328849E-4</v>
      </c>
      <c r="F1457" s="10">
        <v>2.0792299531024989</v>
      </c>
      <c r="H1457">
        <v>0.50000000001116729</v>
      </c>
      <c r="I1457" s="11">
        <f t="shared" si="22"/>
        <v>1.3106773049381288</v>
      </c>
      <c r="J1457" s="11">
        <f>1/(H1457*Utilities!$B$11)</f>
        <v>7.9999999998213234</v>
      </c>
      <c r="K1457" s="11">
        <f>IF(B1457&lt;C1457,1,EXP(-1*(B1457-C1457)/(Utilities!$B$11*IterData!H1457)))</f>
        <v>2.7940915465314822E-5</v>
      </c>
    </row>
    <row r="1458" spans="1:11" x14ac:dyDescent="0.3">
      <c r="A1458">
        <v>1457</v>
      </c>
      <c r="B1458">
        <v>0.57312246636196351</v>
      </c>
      <c r="C1458">
        <v>0.1085797653043212</v>
      </c>
      <c r="D1458">
        <v>4.4506295388322351E-3</v>
      </c>
      <c r="E1458" s="10">
        <v>2.0582829227328849E-4</v>
      </c>
      <c r="F1458" s="10">
        <v>2.0792299531024989</v>
      </c>
      <c r="H1458">
        <v>0.50000000001094624</v>
      </c>
      <c r="I1458" s="11">
        <f t="shared" si="22"/>
        <v>0.46454270105764228</v>
      </c>
      <c r="J1458" s="11">
        <f>1/(H1458*Utilities!$B$11)</f>
        <v>7.9999999998248601</v>
      </c>
      <c r="K1458" s="11">
        <f>IF(B1458&lt;C1458,1,EXP(-1*(B1458-C1458)/(Utilities!$B$11*IterData!H1458)))</f>
        <v>2.4322787560169791E-2</v>
      </c>
    </row>
    <row r="1459" spans="1:11" x14ac:dyDescent="0.3">
      <c r="A1459">
        <v>1458</v>
      </c>
      <c r="B1459">
        <v>2.0495589873122837</v>
      </c>
      <c r="C1459">
        <v>0.1085797653043212</v>
      </c>
      <c r="D1459">
        <v>1.4714808650827594E-10</v>
      </c>
      <c r="E1459" s="10">
        <v>2.0582829227328849E-4</v>
      </c>
      <c r="F1459" s="10">
        <v>2.0792299531024989</v>
      </c>
      <c r="H1459">
        <v>0.50000000001072942</v>
      </c>
      <c r="I1459" s="11">
        <f t="shared" si="22"/>
        <v>1.9409792220079625</v>
      </c>
      <c r="J1459" s="11">
        <f>1/(H1459*Utilities!$B$11)</f>
        <v>7.9999999998283293</v>
      </c>
      <c r="K1459" s="11">
        <f>IF(B1459&lt;C1459,1,EXP(-1*(B1459-C1459)/(Utilities!$B$11*IterData!H1459)))</f>
        <v>1.8044608971380716E-7</v>
      </c>
    </row>
    <row r="1460" spans="1:11" x14ac:dyDescent="0.3">
      <c r="A1460">
        <v>1459</v>
      </c>
      <c r="B1460">
        <v>0.20337584796269942</v>
      </c>
      <c r="C1460">
        <v>0.1085797653043212</v>
      </c>
      <c r="D1460">
        <v>0.33072770794385475</v>
      </c>
      <c r="E1460" s="10">
        <v>2.0582829227328849E-4</v>
      </c>
      <c r="F1460" s="10">
        <v>2.0792299531024989</v>
      </c>
      <c r="H1460">
        <v>0.50000000001051703</v>
      </c>
      <c r="I1460" s="11">
        <f t="shared" si="22"/>
        <v>9.4796082658378217E-2</v>
      </c>
      <c r="J1460" s="11">
        <f>1/(H1460*Utilities!$B$11)</f>
        <v>7.9999999998317275</v>
      </c>
      <c r="K1460" s="11">
        <f>IF(B1460&lt;C1460,1,EXP(-1*(B1460-C1460)/(Utilities!$B$11*IterData!H1460)))</f>
        <v>0.46842997200479752</v>
      </c>
    </row>
    <row r="1461" spans="1:11" x14ac:dyDescent="0.3">
      <c r="A1461">
        <v>1460</v>
      </c>
      <c r="B1461">
        <v>0.45707339504716654</v>
      </c>
      <c r="C1461">
        <v>0.20337584796269942</v>
      </c>
      <c r="D1461">
        <v>5.165401509292817E-2</v>
      </c>
      <c r="E1461" s="10">
        <v>2.2355757722769746E-4</v>
      </c>
      <c r="F1461" s="10">
        <v>2.3572974236099795</v>
      </c>
      <c r="H1461">
        <v>0.50000000001030875</v>
      </c>
      <c r="I1461" s="11">
        <f t="shared" si="22"/>
        <v>0.25369754708446712</v>
      </c>
      <c r="J1461" s="11">
        <f>1/(H1461*Utilities!$B$11)</f>
        <v>7.9999999998350599</v>
      </c>
      <c r="K1461" s="11">
        <f>IF(B1461&lt;C1461,1,EXP(-1*(B1461-C1461)/(Utilities!$B$11*IterData!H1461)))</f>
        <v>0.13139064416661128</v>
      </c>
    </row>
    <row r="1462" spans="1:11" x14ac:dyDescent="0.3">
      <c r="A1462">
        <v>1461</v>
      </c>
      <c r="B1462">
        <v>1.2301636040788391E-2</v>
      </c>
      <c r="C1462">
        <v>0.45707339504716654</v>
      </c>
      <c r="D1462">
        <v>1</v>
      </c>
      <c r="E1462" s="10">
        <v>1.9210387269265385E-4</v>
      </c>
      <c r="F1462" s="10">
        <v>2.5372949211647571</v>
      </c>
      <c r="H1462">
        <v>0.50000000001010458</v>
      </c>
      <c r="I1462" s="11">
        <f t="shared" si="22"/>
        <v>-0.44477175900637816</v>
      </c>
      <c r="J1462" s="11">
        <f>1/(H1462*Utilities!$B$11)</f>
        <v>7.9999999998383267</v>
      </c>
      <c r="K1462" s="11">
        <f>IF(B1462&lt;C1462,1,EXP(-1*(B1462-C1462)/(Utilities!$B$11*IterData!H1462)))</f>
        <v>1</v>
      </c>
    </row>
    <row r="1463" spans="1:11" x14ac:dyDescent="0.3">
      <c r="A1463">
        <v>1462</v>
      </c>
      <c r="B1463">
        <v>0.59948935579888396</v>
      </c>
      <c r="C1463">
        <v>1.2301636040788391E-2</v>
      </c>
      <c r="D1463">
        <v>1.040818797654027E-3</v>
      </c>
      <c r="E1463" s="10">
        <v>2.0585342383377196E-4</v>
      </c>
      <c r="F1463" s="10">
        <v>2.2062421541424051</v>
      </c>
      <c r="H1463">
        <v>0.50000000000990452</v>
      </c>
      <c r="I1463" s="11">
        <f t="shared" si="22"/>
        <v>0.58718771975809558</v>
      </c>
      <c r="J1463" s="11">
        <f>1/(H1463*Utilities!$B$11)</f>
        <v>7.9999999998415277</v>
      </c>
      <c r="K1463" s="11">
        <f>IF(B1463&lt;C1463,1,EXP(-1*(B1463-C1463)/(Utilities!$B$11*IterData!H1463)))</f>
        <v>9.1180277116425529E-3</v>
      </c>
    </row>
    <row r="1464" spans="1:11" x14ac:dyDescent="0.3">
      <c r="A1464">
        <v>1463</v>
      </c>
      <c r="B1464">
        <v>1.5427651702181522E-2</v>
      </c>
      <c r="C1464">
        <v>1.2301636040788391E-2</v>
      </c>
      <c r="D1464">
        <v>0.96407432444184937</v>
      </c>
      <c r="E1464" s="10">
        <v>2.0585342383377196E-4</v>
      </c>
      <c r="F1464" s="10">
        <v>2.2062421541424051</v>
      </c>
      <c r="H1464">
        <v>0.50000000000970846</v>
      </c>
      <c r="I1464" s="11">
        <f t="shared" si="22"/>
        <v>3.1260156613931306E-3</v>
      </c>
      <c r="J1464" s="11">
        <f>1/(H1464*Utilities!$B$11)</f>
        <v>7.9999999998446647</v>
      </c>
      <c r="K1464" s="11">
        <f>IF(B1464&lt;C1464,1,EXP(-1*(B1464-C1464)/(Utilities!$B$11*IterData!H1464)))</f>
        <v>0.97530198738400942</v>
      </c>
    </row>
    <row r="1465" spans="1:11" x14ac:dyDescent="0.3">
      <c r="A1465">
        <v>1464</v>
      </c>
      <c r="B1465">
        <v>1.8346827808059167</v>
      </c>
      <c r="C1465">
        <v>1.5427651702181522E-2</v>
      </c>
      <c r="D1465">
        <v>5.5774677117144062E-10</v>
      </c>
      <c r="E1465" s="10">
        <v>2.2770525187869927E-4</v>
      </c>
      <c r="F1465" s="10">
        <v>2.1887927784907535</v>
      </c>
      <c r="H1465">
        <v>0.50000000000951617</v>
      </c>
      <c r="I1465" s="11">
        <f t="shared" si="22"/>
        <v>1.8192551291037353</v>
      </c>
      <c r="J1465" s="11">
        <f>1/(H1465*Utilities!$B$11)</f>
        <v>7.9999999998477413</v>
      </c>
      <c r="K1465" s="11">
        <f>IF(B1465&lt;C1465,1,EXP(-1*(B1465-C1465)/(Utilities!$B$11*IterData!H1465)))</f>
        <v>4.7781556196138961E-7</v>
      </c>
    </row>
    <row r="1466" spans="1:11" x14ac:dyDescent="0.3">
      <c r="A1466">
        <v>1465</v>
      </c>
      <c r="B1466">
        <v>0.21592652382267166</v>
      </c>
      <c r="C1466">
        <v>1.5427651702181522E-2</v>
      </c>
      <c r="D1466">
        <v>9.5383775682849392E-2</v>
      </c>
      <c r="E1466" s="10">
        <v>2.2770525187869927E-4</v>
      </c>
      <c r="F1466" s="10">
        <v>2.1887927784907535</v>
      </c>
      <c r="H1466">
        <v>0.50000000000932776</v>
      </c>
      <c r="I1466" s="11">
        <f t="shared" si="22"/>
        <v>0.20049887212049014</v>
      </c>
      <c r="J1466" s="11">
        <f>1/(H1466*Utilities!$B$11)</f>
        <v>7.9999999998507558</v>
      </c>
      <c r="K1466" s="11">
        <f>IF(B1466&lt;C1466,1,EXP(-1*(B1466-C1466)/(Utilities!$B$11*IterData!H1466)))</f>
        <v>0.20109235940485518</v>
      </c>
    </row>
    <row r="1467" spans="1:11" x14ac:dyDescent="0.3">
      <c r="A1467">
        <v>1466</v>
      </c>
      <c r="B1467">
        <v>0.25511296148734108</v>
      </c>
      <c r="C1467">
        <v>1.5427651702181522E-2</v>
      </c>
      <c r="D1467">
        <v>6.0143054486697579E-2</v>
      </c>
      <c r="E1467" s="10">
        <v>2.2770525187869927E-4</v>
      </c>
      <c r="F1467" s="10">
        <v>2.1887927784907535</v>
      </c>
      <c r="H1467">
        <v>0.50000000000914302</v>
      </c>
      <c r="I1467" s="11">
        <f t="shared" si="22"/>
        <v>0.23968530978515956</v>
      </c>
      <c r="J1467" s="11">
        <f>1/(H1467*Utilities!$B$11)</f>
        <v>7.9999999998537117</v>
      </c>
      <c r="K1467" s="11">
        <f>IF(B1467&lt;C1467,1,EXP(-1*(B1467-C1467)/(Utilities!$B$11*IterData!H1467)))</f>
        <v>0.14697651332817768</v>
      </c>
    </row>
    <row r="1468" spans="1:11" x14ac:dyDescent="0.3">
      <c r="A1468">
        <v>1467</v>
      </c>
      <c r="B1468">
        <v>0.1705570424225327</v>
      </c>
      <c r="C1468">
        <v>1.5427651702181522E-2</v>
      </c>
      <c r="D1468">
        <v>0.16192880276450194</v>
      </c>
      <c r="E1468" s="10">
        <v>2.2770525187869927E-4</v>
      </c>
      <c r="F1468" s="10">
        <v>2.1887927784907535</v>
      </c>
      <c r="H1468">
        <v>0.50000000000896205</v>
      </c>
      <c r="I1468" s="11">
        <f t="shared" si="22"/>
        <v>0.15512939072035117</v>
      </c>
      <c r="J1468" s="11">
        <f>1/(H1468*Utilities!$B$11)</f>
        <v>7.9999999998566071</v>
      </c>
      <c r="K1468" s="11">
        <f>IF(B1468&lt;C1468,1,EXP(-1*(B1468-C1468)/(Utilities!$B$11*IterData!H1468)))</f>
        <v>0.28908482386813639</v>
      </c>
    </row>
    <row r="1469" spans="1:11" x14ac:dyDescent="0.3">
      <c r="A1469">
        <v>1468</v>
      </c>
      <c r="B1469">
        <v>0.54937288716117616</v>
      </c>
      <c r="C1469">
        <v>1.5427651702181522E-2</v>
      </c>
      <c r="D1469">
        <v>1.8909936541655283E-3</v>
      </c>
      <c r="E1469" s="10">
        <v>2.2770525187869927E-4</v>
      </c>
      <c r="F1469" s="10">
        <v>2.1887927784907535</v>
      </c>
      <c r="H1469">
        <v>0.50000000000878453</v>
      </c>
      <c r="I1469" s="11">
        <f t="shared" si="22"/>
        <v>0.53394523545899464</v>
      </c>
      <c r="J1469" s="11">
        <f>1/(H1469*Utilities!$B$11)</f>
        <v>7.9999999998594475</v>
      </c>
      <c r="K1469" s="11">
        <f>IF(B1469&lt;C1469,1,EXP(-1*(B1469-C1469)/(Utilities!$B$11*IterData!H1469)))</f>
        <v>1.3959962280842932E-2</v>
      </c>
    </row>
    <row r="1470" spans="1:11" x14ac:dyDescent="0.3">
      <c r="A1470">
        <v>1469</v>
      </c>
      <c r="B1470">
        <v>0.46767868239219218</v>
      </c>
      <c r="C1470">
        <v>1.5427651702181522E-2</v>
      </c>
      <c r="D1470">
        <v>4.9179961768007052E-3</v>
      </c>
      <c r="E1470" s="10">
        <v>2.2770525187869927E-4</v>
      </c>
      <c r="F1470" s="10">
        <v>2.1887927784907535</v>
      </c>
      <c r="H1470">
        <v>0.50000000000861056</v>
      </c>
      <c r="I1470" s="11">
        <f t="shared" si="22"/>
        <v>0.45225103069001066</v>
      </c>
      <c r="J1470" s="11">
        <f>1/(H1470*Utilities!$B$11)</f>
        <v>7.9999999998622311</v>
      </c>
      <c r="K1470" s="11">
        <f>IF(B1470&lt;C1470,1,EXP(-1*(B1470-C1470)/(Utilities!$B$11*IterData!H1470)))</f>
        <v>2.6836074170075747E-2</v>
      </c>
    </row>
    <row r="1471" spans="1:11" x14ac:dyDescent="0.3">
      <c r="A1471">
        <v>1470</v>
      </c>
      <c r="B1471">
        <v>0.248610215344157</v>
      </c>
      <c r="C1471">
        <v>1.5427651702181522E-2</v>
      </c>
      <c r="D1471">
        <v>6.4426712056587135E-2</v>
      </c>
      <c r="E1471" s="10">
        <v>2.2770525187869927E-4</v>
      </c>
      <c r="F1471" s="10">
        <v>2.1887927784907535</v>
      </c>
      <c r="H1471">
        <v>0.50000000000844014</v>
      </c>
      <c r="I1471" s="11">
        <f t="shared" si="22"/>
        <v>0.23318256364197548</v>
      </c>
      <c r="J1471" s="11">
        <f>1/(H1471*Utilities!$B$11)</f>
        <v>7.9999999998649578</v>
      </c>
      <c r="K1471" s="11">
        <f>IF(B1471&lt;C1471,1,EXP(-1*(B1471-C1471)/(Utilities!$B$11*IterData!H1471)))</f>
        <v>0.15482489519182427</v>
      </c>
    </row>
    <row r="1472" spans="1:11" x14ac:dyDescent="0.3">
      <c r="A1472">
        <v>1471</v>
      </c>
      <c r="B1472">
        <v>1.4879979786037276</v>
      </c>
      <c r="C1472">
        <v>1.5427651702181522E-2</v>
      </c>
      <c r="D1472">
        <v>2.9786588153969237E-8</v>
      </c>
      <c r="E1472" s="10">
        <v>2.2770525187869927E-4</v>
      </c>
      <c r="F1472" s="10">
        <v>2.1887927784907535</v>
      </c>
      <c r="H1472">
        <v>0.50000000000827294</v>
      </c>
      <c r="I1472" s="11">
        <f t="shared" si="22"/>
        <v>1.472570326901546</v>
      </c>
      <c r="J1472" s="11">
        <f>1/(H1472*Utilities!$B$11)</f>
        <v>7.999999999867633</v>
      </c>
      <c r="K1472" s="11">
        <f>IF(B1472&lt;C1472,1,EXP(-1*(B1472-C1472)/(Utilities!$B$11*IterData!H1472)))</f>
        <v>7.6518537821512214E-6</v>
      </c>
    </row>
    <row r="1473" spans="1:11" x14ac:dyDescent="0.3">
      <c r="A1473">
        <v>1472</v>
      </c>
      <c r="B1473">
        <v>2.7910613507433703E-2</v>
      </c>
      <c r="C1473">
        <v>1.5427651702181522E-2</v>
      </c>
      <c r="D1473">
        <v>0.86329453146452995</v>
      </c>
      <c r="E1473" s="10">
        <v>2.2770525187869927E-4</v>
      </c>
      <c r="F1473" s="10">
        <v>2.1887927784907535</v>
      </c>
      <c r="H1473">
        <v>0.50000000000810918</v>
      </c>
      <c r="I1473" s="11">
        <f t="shared" si="22"/>
        <v>1.2482961805252182E-2</v>
      </c>
      <c r="J1473" s="11">
        <f>1/(H1473*Utilities!$B$11)</f>
        <v>7.9999999998702531</v>
      </c>
      <c r="K1473" s="11">
        <f>IF(B1473&lt;C1473,1,EXP(-1*(B1473-C1473)/(Utilities!$B$11*IterData!H1473)))</f>
        <v>0.90496076081253607</v>
      </c>
    </row>
    <row r="1474" spans="1:11" x14ac:dyDescent="0.3">
      <c r="A1474">
        <v>1473</v>
      </c>
      <c r="B1474">
        <v>0.53739480080286595</v>
      </c>
      <c r="C1474">
        <v>2.7910613507433703E-2</v>
      </c>
      <c r="D1474">
        <v>2.4694454616692148E-3</v>
      </c>
      <c r="E1474" s="10">
        <v>1.9215301929926688E-4</v>
      </c>
      <c r="F1474" s="10">
        <v>2.2582867350046874</v>
      </c>
      <c r="H1474">
        <v>0.50000000000794853</v>
      </c>
      <c r="I1474" s="11">
        <f t="shared" si="22"/>
        <v>0.50948418729543221</v>
      </c>
      <c r="J1474" s="11">
        <f>1/(H1474*Utilities!$B$11)</f>
        <v>7.9999999998728235</v>
      </c>
      <c r="K1474" s="11">
        <f>IF(B1474&lt;C1474,1,EXP(-1*(B1474-C1474)/(Utilities!$B$11*IterData!H1474)))</f>
        <v>1.6977378486994901E-2</v>
      </c>
    </row>
    <row r="1475" spans="1:11" x14ac:dyDescent="0.3">
      <c r="A1475">
        <v>1474</v>
      </c>
      <c r="B1475">
        <v>0.38803404160781074</v>
      </c>
      <c r="C1475">
        <v>2.7910613507433703E-2</v>
      </c>
      <c r="D1475">
        <v>1.4313166027277001E-2</v>
      </c>
      <c r="E1475" s="10">
        <v>1.9215301929926688E-4</v>
      </c>
      <c r="F1475" s="10">
        <v>2.2582867350046874</v>
      </c>
      <c r="H1475">
        <v>0.50000000000779121</v>
      </c>
      <c r="I1475" s="11">
        <f t="shared" ref="I1475:I1538" si="23">B1475-C1475</f>
        <v>0.36012342810037706</v>
      </c>
      <c r="J1475" s="11">
        <f>1/(H1475*Utilities!$B$11)</f>
        <v>7.9999999998753406</v>
      </c>
      <c r="K1475" s="11">
        <f>IF(B1475&lt;C1475,1,EXP(-1*(B1475-C1475)/(Utilities!$B$11*IterData!H1475)))</f>
        <v>5.6079361336426548E-2</v>
      </c>
    </row>
    <row r="1476" spans="1:11" x14ac:dyDescent="0.3">
      <c r="A1476">
        <v>1475</v>
      </c>
      <c r="B1476">
        <v>5.2781055486179465E-2</v>
      </c>
      <c r="C1476">
        <v>2.7910613507433703E-2</v>
      </c>
      <c r="D1476">
        <v>0.74567068642885115</v>
      </c>
      <c r="E1476" s="10">
        <v>1.9215301929926688E-4</v>
      </c>
      <c r="F1476" s="10">
        <v>2.2582867350046874</v>
      </c>
      <c r="H1476">
        <v>0.50000000000763689</v>
      </c>
      <c r="I1476" s="11">
        <f t="shared" si="23"/>
        <v>2.4870441978745762E-2</v>
      </c>
      <c r="J1476" s="11">
        <f>1/(H1476*Utilities!$B$11)</f>
        <v>7.9999999998778097</v>
      </c>
      <c r="K1476" s="11">
        <f>IF(B1476&lt;C1476,1,EXP(-1*(B1476-C1476)/(Utilities!$B$11*IterData!H1476)))</f>
        <v>0.81957977808693605</v>
      </c>
    </row>
    <row r="1477" spans="1:11" x14ac:dyDescent="0.3">
      <c r="A1477">
        <v>1476</v>
      </c>
      <c r="B1477">
        <v>0.74756234867941029</v>
      </c>
      <c r="C1477">
        <v>2.7910613507433703E-2</v>
      </c>
      <c r="D1477">
        <v>2.0394755331161959E-4</v>
      </c>
      <c r="E1477" s="10">
        <v>1.9215301929926688E-4</v>
      </c>
      <c r="F1477" s="10">
        <v>2.2582867350046874</v>
      </c>
      <c r="H1477">
        <v>0.50000000000748568</v>
      </c>
      <c r="I1477" s="11">
        <f t="shared" si="23"/>
        <v>0.71965173517197656</v>
      </c>
      <c r="J1477" s="11">
        <f>1/(H1477*Utilities!$B$11)</f>
        <v>7.9999999998802291</v>
      </c>
      <c r="K1477" s="11">
        <f>IF(B1477&lt;C1477,1,EXP(-1*(B1477-C1477)/(Utilities!$B$11*IterData!H1477)))</f>
        <v>3.1599032109784096E-3</v>
      </c>
    </row>
    <row r="1478" spans="1:11" x14ac:dyDescent="0.3">
      <c r="A1478">
        <v>1477</v>
      </c>
      <c r="B1478">
        <v>0.62760859145397541</v>
      </c>
      <c r="C1478">
        <v>2.7910613507433703E-2</v>
      </c>
      <c r="D1478">
        <v>8.3671143555020221E-4</v>
      </c>
      <c r="E1478" s="10">
        <v>1.9215301929926688E-4</v>
      </c>
      <c r="F1478" s="10">
        <v>2.2582867350046874</v>
      </c>
      <c r="H1478">
        <v>0.50000000000733746</v>
      </c>
      <c r="I1478" s="11">
        <f t="shared" si="23"/>
        <v>0.59969797794654167</v>
      </c>
      <c r="J1478" s="11">
        <f>1/(H1478*Utilities!$B$11)</f>
        <v>7.9999999998826006</v>
      </c>
      <c r="K1478" s="11">
        <f>IF(B1478&lt;C1478,1,EXP(-1*(B1478-C1478)/(Utilities!$B$11*IterData!H1478)))</f>
        <v>8.2496556120406142E-3</v>
      </c>
    </row>
    <row r="1479" spans="1:11" x14ac:dyDescent="0.3">
      <c r="A1479">
        <v>1478</v>
      </c>
      <c r="B1479">
        <v>5.0966452294278146E-2</v>
      </c>
      <c r="C1479">
        <v>2.7910613507433703E-2</v>
      </c>
      <c r="D1479">
        <v>0.76138796785991136</v>
      </c>
      <c r="E1479" s="10">
        <v>1.9215301929926688E-4</v>
      </c>
      <c r="F1479" s="10">
        <v>2.2582867350046874</v>
      </c>
      <c r="H1479">
        <v>0.50000000000719214</v>
      </c>
      <c r="I1479" s="11">
        <f t="shared" si="23"/>
        <v>2.3055838786844442E-2</v>
      </c>
      <c r="J1479" s="11">
        <f>1/(H1479*Utilities!$B$11)</f>
        <v>7.9999999998849258</v>
      </c>
      <c r="K1479" s="11">
        <f>IF(B1479&lt;C1479,1,EXP(-1*(B1479-C1479)/(Utilities!$B$11*IterData!H1479)))</f>
        <v>0.83156425253480548</v>
      </c>
    </row>
    <row r="1480" spans="1:11" x14ac:dyDescent="0.3">
      <c r="A1480">
        <v>1479</v>
      </c>
      <c r="B1480">
        <v>0.42666902447752775</v>
      </c>
      <c r="C1480">
        <v>2.7910613507433703E-2</v>
      </c>
      <c r="D1480">
        <v>8.9320484693847391E-3</v>
      </c>
      <c r="E1480" s="10">
        <v>1.9215301929926688E-4</v>
      </c>
      <c r="F1480" s="10">
        <v>2.2582867350046874</v>
      </c>
      <c r="H1480">
        <v>0.50000000000704981</v>
      </c>
      <c r="I1480" s="11">
        <f t="shared" si="23"/>
        <v>0.39875841097009407</v>
      </c>
      <c r="J1480" s="11">
        <f>1/(H1480*Utilities!$B$11)</f>
        <v>7.9999999998872031</v>
      </c>
      <c r="K1480" s="11">
        <f>IF(B1480&lt;C1480,1,EXP(-1*(B1480-C1480)/(Utilities!$B$11*IterData!H1480)))</f>
        <v>4.1169100671121658E-2</v>
      </c>
    </row>
    <row r="1481" spans="1:11" x14ac:dyDescent="0.3">
      <c r="A1481">
        <v>1480</v>
      </c>
      <c r="B1481">
        <v>0.29821345026119711</v>
      </c>
      <c r="C1481">
        <v>2.7910613507433703E-2</v>
      </c>
      <c r="D1481">
        <v>4.0746489627336326E-2</v>
      </c>
      <c r="E1481" s="10">
        <v>1.9215301929926688E-4</v>
      </c>
      <c r="F1481" s="10">
        <v>2.2582867350046874</v>
      </c>
      <c r="H1481">
        <v>0.50000000000691014</v>
      </c>
      <c r="I1481" s="11">
        <f t="shared" si="23"/>
        <v>0.27030283675376343</v>
      </c>
      <c r="J1481" s="11">
        <f>1/(H1481*Utilities!$B$11)</f>
        <v>7.9999999998894378</v>
      </c>
      <c r="K1481" s="11">
        <f>IF(B1481&lt;C1481,1,EXP(-1*(B1481-C1481)/(Utilities!$B$11*IterData!H1481)))</f>
        <v>0.11504606173339392</v>
      </c>
    </row>
    <row r="1482" spans="1:11" x14ac:dyDescent="0.3">
      <c r="A1482">
        <v>1481</v>
      </c>
      <c r="B1482">
        <v>0.55581966911041869</v>
      </c>
      <c r="C1482">
        <v>2.7910613507433703E-2</v>
      </c>
      <c r="D1482">
        <v>1.9214666762139374E-3</v>
      </c>
      <c r="E1482" s="10">
        <v>1.9215301929926688E-4</v>
      </c>
      <c r="F1482" s="10">
        <v>2.2582867350046874</v>
      </c>
      <c r="H1482">
        <v>0.50000000000677336</v>
      </c>
      <c r="I1482" s="11">
        <f t="shared" si="23"/>
        <v>0.52790905560298496</v>
      </c>
      <c r="J1482" s="11">
        <f>1/(H1482*Utilities!$B$11)</f>
        <v>7.9999999998916262</v>
      </c>
      <c r="K1482" s="11">
        <f>IF(B1482&lt;C1482,1,EXP(-1*(B1482-C1482)/(Utilities!$B$11*IterData!H1482)))</f>
        <v>1.4650622619952739E-2</v>
      </c>
    </row>
    <row r="1483" spans="1:11" x14ac:dyDescent="0.3">
      <c r="A1483">
        <v>1482</v>
      </c>
      <c r="B1483">
        <v>0.1581562943012175</v>
      </c>
      <c r="C1483">
        <v>2.7910613507433703E-2</v>
      </c>
      <c r="D1483">
        <v>0.2134841278989652</v>
      </c>
      <c r="E1483" s="10">
        <v>1.9215301929926688E-4</v>
      </c>
      <c r="F1483" s="10">
        <v>2.2582867350046874</v>
      </c>
      <c r="H1483">
        <v>0.50000000000663924</v>
      </c>
      <c r="I1483" s="11">
        <f t="shared" si="23"/>
        <v>0.13024568079378379</v>
      </c>
      <c r="J1483" s="11">
        <f>1/(H1483*Utilities!$B$11)</f>
        <v>7.9999999998937721</v>
      </c>
      <c r="K1483" s="11">
        <f>IF(B1483&lt;C1483,1,EXP(-1*(B1483-C1483)/(Utilities!$B$11*IterData!H1483)))</f>
        <v>0.35276066799604233</v>
      </c>
    </row>
    <row r="1484" spans="1:11" x14ac:dyDescent="0.3">
      <c r="A1484">
        <v>1483</v>
      </c>
      <c r="B1484">
        <v>1.8350655708011752</v>
      </c>
      <c r="C1484">
        <v>0.1581562943012175</v>
      </c>
      <c r="D1484">
        <v>2.289684833517833E-9</v>
      </c>
      <c r="E1484" s="10">
        <v>1.885837095062901E-4</v>
      </c>
      <c r="F1484" s="10">
        <v>2.0778792959147059</v>
      </c>
      <c r="H1484">
        <v>0.50000000000650779</v>
      </c>
      <c r="I1484" s="11">
        <f t="shared" si="23"/>
        <v>1.6769092764999576</v>
      </c>
      <c r="J1484" s="11">
        <f>1/(H1484*Utilities!$B$11)</f>
        <v>7.9999999998958753</v>
      </c>
      <c r="K1484" s="11">
        <f>IF(B1484&lt;C1484,1,EXP(-1*(B1484-C1484)/(Utilities!$B$11*IterData!H1484)))</f>
        <v>1.4921773263185234E-6</v>
      </c>
    </row>
    <row r="1485" spans="1:11" x14ac:dyDescent="0.3">
      <c r="A1485">
        <v>1484</v>
      </c>
      <c r="B1485">
        <v>1.451629769983442</v>
      </c>
      <c r="C1485">
        <v>0.1581562943012175</v>
      </c>
      <c r="D1485">
        <v>2.1425110903908544E-7</v>
      </c>
      <c r="E1485" s="10">
        <v>1.885837095062901E-4</v>
      </c>
      <c r="F1485" s="10">
        <v>2.0778792959147059</v>
      </c>
      <c r="H1485">
        <v>0.5000000000063789</v>
      </c>
      <c r="I1485" s="11">
        <f t="shared" si="23"/>
        <v>1.2934734756822244</v>
      </c>
      <c r="J1485" s="11">
        <f>1/(H1485*Utilities!$B$11)</f>
        <v>7.9999999998979376</v>
      </c>
      <c r="K1485" s="11">
        <f>IF(B1485&lt;C1485,1,EXP(-1*(B1485-C1485)/(Utilities!$B$11*IterData!H1485)))</f>
        <v>3.2063642397848445E-5</v>
      </c>
    </row>
    <row r="1486" spans="1:11" x14ac:dyDescent="0.3">
      <c r="A1486">
        <v>1485</v>
      </c>
      <c r="B1486">
        <v>0.36408610145150433</v>
      </c>
      <c r="C1486">
        <v>0.1581562943012175</v>
      </c>
      <c r="D1486">
        <v>8.6600810103396625E-2</v>
      </c>
      <c r="E1486" s="10">
        <v>1.885837095062901E-4</v>
      </c>
      <c r="F1486" s="10">
        <v>2.0778792959147059</v>
      </c>
      <c r="H1486">
        <v>0.50000000000625255</v>
      </c>
      <c r="I1486" s="11">
        <f t="shared" si="23"/>
        <v>0.20592980715028683</v>
      </c>
      <c r="J1486" s="11">
        <f>1/(H1486*Utilities!$B$11)</f>
        <v>7.9999999998999591</v>
      </c>
      <c r="K1486" s="11">
        <f>IF(B1486&lt;C1486,1,EXP(-1*(B1486-C1486)/(Utilities!$B$11*IterData!H1486)))</f>
        <v>0.19254248329115703</v>
      </c>
    </row>
    <row r="1487" spans="1:11" x14ac:dyDescent="0.3">
      <c r="A1487">
        <v>1486</v>
      </c>
      <c r="B1487">
        <v>0.20888739741303394</v>
      </c>
      <c r="C1487">
        <v>0.1581562943012175</v>
      </c>
      <c r="D1487">
        <v>0.54711768481541623</v>
      </c>
      <c r="E1487" s="10">
        <v>1.885837095062901E-4</v>
      </c>
      <c r="F1487" s="10">
        <v>2.0778792959147059</v>
      </c>
      <c r="H1487">
        <v>0.50000000000612876</v>
      </c>
      <c r="I1487" s="11">
        <f t="shared" si="23"/>
        <v>5.0731103111816445E-2</v>
      </c>
      <c r="J1487" s="11">
        <f>1/(H1487*Utilities!$B$11)</f>
        <v>7.9999999999019398</v>
      </c>
      <c r="K1487" s="11">
        <f>IF(B1487&lt;C1487,1,EXP(-1*(B1487-C1487)/(Utilities!$B$11*IterData!H1487)))</f>
        <v>0.66641090455231755</v>
      </c>
    </row>
    <row r="1488" spans="1:11" x14ac:dyDescent="0.3">
      <c r="A1488">
        <v>1487</v>
      </c>
      <c r="B1488">
        <v>0.24501119742774694</v>
      </c>
      <c r="C1488">
        <v>0.1581562943012175</v>
      </c>
      <c r="D1488">
        <v>0.3558571375884963</v>
      </c>
      <c r="E1488" s="10">
        <v>1.885837095062901E-4</v>
      </c>
      <c r="F1488" s="10">
        <v>2.0778792959147059</v>
      </c>
      <c r="H1488">
        <v>0.50000000000600742</v>
      </c>
      <c r="I1488" s="11">
        <f t="shared" si="23"/>
        <v>8.6854903126529437E-2</v>
      </c>
      <c r="J1488" s="11">
        <f>1/(H1488*Utilities!$B$11)</f>
        <v>7.9999999999038813</v>
      </c>
      <c r="K1488" s="11">
        <f>IF(B1488&lt;C1488,1,EXP(-1*(B1488-C1488)/(Utilities!$B$11*IterData!H1488)))</f>
        <v>0.49915469312810429</v>
      </c>
    </row>
    <row r="1489" spans="1:11" x14ac:dyDescent="0.3">
      <c r="A1489">
        <v>1488</v>
      </c>
      <c r="B1489">
        <v>0.41450464610996857</v>
      </c>
      <c r="C1489">
        <v>0.1581562943012175</v>
      </c>
      <c r="D1489">
        <v>4.7284592339767437E-2</v>
      </c>
      <c r="E1489" s="10">
        <v>1.885837095062901E-4</v>
      </c>
      <c r="F1489" s="10">
        <v>2.0778792959147059</v>
      </c>
      <c r="H1489">
        <v>0.5000000000058884</v>
      </c>
      <c r="I1489" s="11">
        <f t="shared" si="23"/>
        <v>0.25634835180875104</v>
      </c>
      <c r="J1489" s="11">
        <f>1/(H1489*Utilities!$B$11)</f>
        <v>7.9999999999057856</v>
      </c>
      <c r="K1489" s="11">
        <f>IF(B1489&lt;C1489,1,EXP(-1*(B1489-C1489)/(Utilities!$B$11*IterData!H1489)))</f>
        <v>0.1286336529439335</v>
      </c>
    </row>
    <row r="1490" spans="1:11" x14ac:dyDescent="0.3">
      <c r="A1490">
        <v>1489</v>
      </c>
      <c r="B1490">
        <v>1.9189533231448876</v>
      </c>
      <c r="C1490">
        <v>0.1581562943012175</v>
      </c>
      <c r="D1490">
        <v>7.7775137880196337E-10</v>
      </c>
      <c r="E1490" s="10">
        <v>1.885837095062901E-4</v>
      </c>
      <c r="F1490" s="10">
        <v>2.0778792959147059</v>
      </c>
      <c r="H1490">
        <v>0.50000000000577183</v>
      </c>
      <c r="I1490" s="11">
        <f t="shared" si="23"/>
        <v>1.7607970288436701</v>
      </c>
      <c r="J1490" s="11">
        <f>1/(H1490*Utilities!$B$11)</f>
        <v>7.9999999999076508</v>
      </c>
      <c r="K1490" s="11">
        <f>IF(B1490&lt;C1490,1,EXP(-1*(B1490-C1490)/(Utilities!$B$11*IterData!H1490)))</f>
        <v>7.6271894355965671E-7</v>
      </c>
    </row>
    <row r="1491" spans="1:11" x14ac:dyDescent="0.3">
      <c r="A1491">
        <v>1490</v>
      </c>
      <c r="B1491">
        <v>0.2620507889350257</v>
      </c>
      <c r="C1491">
        <v>0.1581562943012175</v>
      </c>
      <c r="D1491">
        <v>0.28984111773369226</v>
      </c>
      <c r="E1491" s="10">
        <v>1.885837095062901E-4</v>
      </c>
      <c r="F1491" s="10">
        <v>2.0778792959147059</v>
      </c>
      <c r="H1491">
        <v>0.50000000000565759</v>
      </c>
      <c r="I1491" s="11">
        <f t="shared" si="23"/>
        <v>0.1038944946338082</v>
      </c>
      <c r="J1491" s="11">
        <f>1/(H1491*Utilities!$B$11)</f>
        <v>7.9999999999094786</v>
      </c>
      <c r="K1491" s="11">
        <f>IF(B1491&lt;C1491,1,EXP(-1*(B1491-C1491)/(Utilities!$B$11*IterData!H1491)))</f>
        <v>0.43554552329035368</v>
      </c>
    </row>
    <row r="1492" spans="1:11" x14ac:dyDescent="0.3">
      <c r="A1492">
        <v>1491</v>
      </c>
      <c r="B1492">
        <v>2.5283438469370926E-2</v>
      </c>
      <c r="C1492">
        <v>0.1581562943012175</v>
      </c>
      <c r="D1492">
        <v>1</v>
      </c>
      <c r="E1492" s="10">
        <v>1.885837095062901E-4</v>
      </c>
      <c r="F1492" s="10">
        <v>2.0778792959147059</v>
      </c>
      <c r="H1492">
        <v>0.50000000000554556</v>
      </c>
      <c r="I1492" s="11">
        <f t="shared" si="23"/>
        <v>-0.13287285583184658</v>
      </c>
      <c r="J1492" s="11">
        <f>1/(H1492*Utilities!$B$11)</f>
        <v>7.999999999911271</v>
      </c>
      <c r="K1492" s="11">
        <f>IF(B1492&lt;C1492,1,EXP(-1*(B1492-C1492)/(Utilities!$B$11*IterData!H1492)))</f>
        <v>1</v>
      </c>
    </row>
    <row r="1493" spans="1:11" x14ac:dyDescent="0.3">
      <c r="A1493">
        <v>1492</v>
      </c>
      <c r="B1493">
        <v>0.44718357768926448</v>
      </c>
      <c r="C1493">
        <v>2.5283438469370926E-2</v>
      </c>
      <c r="D1493">
        <v>6.5009948387665037E-3</v>
      </c>
      <c r="E1493" s="10">
        <v>2.1722199128150352E-4</v>
      </c>
      <c r="F1493" s="10">
        <v>2.1299639450704388</v>
      </c>
      <c r="H1493">
        <v>0.50000000000543576</v>
      </c>
      <c r="I1493" s="11">
        <f t="shared" si="23"/>
        <v>0.42190013921989356</v>
      </c>
      <c r="J1493" s="11">
        <f>1/(H1493*Utilities!$B$11)</f>
        <v>7.9999999999130278</v>
      </c>
      <c r="K1493" s="11">
        <f>IF(B1493&lt;C1493,1,EXP(-1*(B1493-C1493)/(Utilities!$B$11*IterData!H1493)))</f>
        <v>3.4211237270476078E-2</v>
      </c>
    </row>
    <row r="1494" spans="1:11" x14ac:dyDescent="0.3">
      <c r="A1494">
        <v>1493</v>
      </c>
      <c r="B1494">
        <v>1.9006127375277116E-2</v>
      </c>
      <c r="C1494">
        <v>2.5283438469370926E-2</v>
      </c>
      <c r="D1494">
        <v>1</v>
      </c>
      <c r="E1494" s="10">
        <v>2.1722199128150352E-4</v>
      </c>
      <c r="F1494" s="10">
        <v>2.1299639450704388</v>
      </c>
      <c r="H1494">
        <v>0.50000000000532807</v>
      </c>
      <c r="I1494" s="11">
        <f t="shared" si="23"/>
        <v>-6.2773110940938098E-3</v>
      </c>
      <c r="J1494" s="11">
        <f>1/(H1494*Utilities!$B$11)</f>
        <v>7.9999999999147509</v>
      </c>
      <c r="K1494" s="11">
        <f>IF(B1494&lt;C1494,1,EXP(-1*(B1494-C1494)/(Utilities!$B$11*IterData!H1494)))</f>
        <v>1</v>
      </c>
    </row>
    <row r="1495" spans="1:11" x14ac:dyDescent="0.3">
      <c r="A1495">
        <v>1494</v>
      </c>
      <c r="B1495">
        <v>1.7120938905356233E-2</v>
      </c>
      <c r="C1495">
        <v>1.9006127375277116E-2</v>
      </c>
      <c r="D1495">
        <v>1</v>
      </c>
      <c r="E1495" s="10">
        <v>1.9214373328014164E-4</v>
      </c>
      <c r="F1495" s="10">
        <v>2.1699308647228372</v>
      </c>
      <c r="H1495">
        <v>0.5000000000052226</v>
      </c>
      <c r="I1495" s="11">
        <f t="shared" si="23"/>
        <v>-1.8851884699208829E-3</v>
      </c>
      <c r="J1495" s="11">
        <f>1/(H1495*Utilities!$B$11)</f>
        <v>7.9999999999164384</v>
      </c>
      <c r="K1495" s="11">
        <f>IF(B1495&lt;C1495,1,EXP(-1*(B1495-C1495)/(Utilities!$B$11*IterData!H1495)))</f>
        <v>1</v>
      </c>
    </row>
    <row r="1496" spans="1:11" x14ac:dyDescent="0.3">
      <c r="A1496">
        <v>1495</v>
      </c>
      <c r="B1496">
        <v>1.1667243888608037</v>
      </c>
      <c r="C1496">
        <v>1.7120938905356233E-2</v>
      </c>
      <c r="D1496">
        <v>1.0684973296731275E-6</v>
      </c>
      <c r="E1496" s="10">
        <v>2.4021474337532098E-4</v>
      </c>
      <c r="F1496" s="10">
        <v>2.1786340014560963</v>
      </c>
      <c r="H1496">
        <v>0.50000000000511913</v>
      </c>
      <c r="I1496" s="11">
        <f t="shared" si="23"/>
        <v>1.1496034499554475</v>
      </c>
      <c r="J1496" s="11">
        <f>1/(H1496*Utilities!$B$11)</f>
        <v>7.999999999918094</v>
      </c>
      <c r="K1496" s="11">
        <f>IF(B1496&lt;C1496,1,EXP(-1*(B1496-C1496)/(Utilities!$B$11*IterData!H1496)))</f>
        <v>1.0136044825565485E-4</v>
      </c>
    </row>
    <row r="1497" spans="1:11" x14ac:dyDescent="0.3">
      <c r="A1497">
        <v>1496</v>
      </c>
      <c r="B1497">
        <v>0.43980225288485653</v>
      </c>
      <c r="C1497">
        <v>1.7120938905356233E-2</v>
      </c>
      <c r="D1497">
        <v>6.3541320214725878E-3</v>
      </c>
      <c r="E1497" s="10">
        <v>2.4021474337532098E-4</v>
      </c>
      <c r="F1497" s="10">
        <v>2.1786340014560963</v>
      </c>
      <c r="H1497">
        <v>0.50000000000501776</v>
      </c>
      <c r="I1497" s="11">
        <f t="shared" si="23"/>
        <v>0.42268131397950032</v>
      </c>
      <c r="J1497" s="11">
        <f>1/(H1497*Utilities!$B$11)</f>
        <v>7.9999999999197158</v>
      </c>
      <c r="K1497" s="11">
        <f>IF(B1497&lt;C1497,1,EXP(-1*(B1497-C1497)/(Utilities!$B$11*IterData!H1497)))</f>
        <v>3.3998104300023042E-2</v>
      </c>
    </row>
    <row r="1498" spans="1:11" x14ac:dyDescent="0.3">
      <c r="A1498">
        <v>1497</v>
      </c>
      <c r="B1498">
        <v>0.40531724715967743</v>
      </c>
      <c r="C1498">
        <v>1.7120938905356233E-2</v>
      </c>
      <c r="D1498">
        <v>9.5707951651846229E-3</v>
      </c>
      <c r="E1498" s="10">
        <v>2.4021474337532098E-4</v>
      </c>
      <c r="F1498" s="10">
        <v>2.1786340014560963</v>
      </c>
      <c r="H1498">
        <v>0.5000000000049184</v>
      </c>
      <c r="I1498" s="11">
        <f t="shared" si="23"/>
        <v>0.38819630825432122</v>
      </c>
      <c r="J1498" s="11">
        <f>1/(H1498*Utilities!$B$11)</f>
        <v>7.9999999999213056</v>
      </c>
      <c r="K1498" s="11">
        <f>IF(B1498&lt;C1498,1,EXP(-1*(B1498-C1498)/(Utilities!$B$11*IterData!H1498)))</f>
        <v>4.4798954987549773E-2</v>
      </c>
    </row>
    <row r="1499" spans="1:11" x14ac:dyDescent="0.3">
      <c r="A1499">
        <v>1498</v>
      </c>
      <c r="B1499">
        <v>2.0040374211145959</v>
      </c>
      <c r="C1499">
        <v>1.7120938905356233E-2</v>
      </c>
      <c r="D1499">
        <v>4.5595726424277083E-11</v>
      </c>
      <c r="E1499" s="10">
        <v>2.4021474337532098E-4</v>
      </c>
      <c r="F1499" s="10">
        <v>2.1786340014560963</v>
      </c>
      <c r="H1499">
        <v>0.50000000000482103</v>
      </c>
      <c r="I1499" s="11">
        <f t="shared" si="23"/>
        <v>1.9869164822092398</v>
      </c>
      <c r="J1499" s="11">
        <f>1/(H1499*Utilities!$B$11)</f>
        <v>7.9999999999228635</v>
      </c>
      <c r="K1499" s="11">
        <f>IF(B1499&lt;C1499,1,EXP(-1*(B1499-C1499)/(Utilities!$B$11*IterData!H1499)))</f>
        <v>1.2495253927779392E-7</v>
      </c>
    </row>
    <row r="1500" spans="1:11" x14ac:dyDescent="0.3">
      <c r="A1500">
        <v>1499</v>
      </c>
      <c r="B1500">
        <v>0.34941325045250177</v>
      </c>
      <c r="C1500">
        <v>1.7120938905356233E-2</v>
      </c>
      <c r="D1500">
        <v>1.8595244555041048E-2</v>
      </c>
      <c r="E1500" s="10">
        <v>2.4021474337532098E-4</v>
      </c>
      <c r="F1500" s="10">
        <v>2.1786340014560963</v>
      </c>
      <c r="H1500">
        <v>0.50000000000472555</v>
      </c>
      <c r="I1500" s="11">
        <f t="shared" si="23"/>
        <v>0.33229231154714556</v>
      </c>
      <c r="J1500" s="11">
        <f>1/(H1500*Utilities!$B$11)</f>
        <v>7.9999999999243911</v>
      </c>
      <c r="K1500" s="11">
        <f>IF(B1500&lt;C1500,1,EXP(-1*(B1500-C1500)/(Utilities!$B$11*IterData!H1500)))</f>
        <v>7.0064537853338785E-2</v>
      </c>
    </row>
    <row r="1501" spans="1:11" x14ac:dyDescent="0.3">
      <c r="A1501">
        <v>1500</v>
      </c>
      <c r="B1501">
        <v>0.23917661738143633</v>
      </c>
      <c r="C1501">
        <v>1.7120938905356233E-2</v>
      </c>
      <c r="D1501">
        <v>6.9622454490139984E-2</v>
      </c>
      <c r="E1501" s="10">
        <v>2.4021474337532098E-4</v>
      </c>
      <c r="F1501" s="10">
        <v>2.1786340014560963</v>
      </c>
      <c r="H1501">
        <v>0.50000000000463207</v>
      </c>
      <c r="I1501" s="11">
        <f t="shared" si="23"/>
        <v>0.2220556784760801</v>
      </c>
      <c r="J1501" s="11">
        <f>1/(H1501*Utilities!$B$11)</f>
        <v>7.9999999999258868</v>
      </c>
      <c r="K1501" s="11">
        <f>IF(B1501&lt;C1501,1,EXP(-1*(B1501-C1501)/(Utilities!$B$11*IterData!H1501)))</f>
        <v>0.16923865037359923</v>
      </c>
    </row>
    <row r="1502" spans="1:11" x14ac:dyDescent="0.3">
      <c r="A1502">
        <v>1501</v>
      </c>
      <c r="B1502">
        <v>0.32830399415266931</v>
      </c>
      <c r="C1502">
        <v>1.7120938905356233E-2</v>
      </c>
      <c r="D1502">
        <v>2.3832951778412697E-2</v>
      </c>
      <c r="E1502" s="10">
        <v>2.4021474337532098E-4</v>
      </c>
      <c r="F1502" s="10">
        <v>2.1786340014560963</v>
      </c>
      <c r="H1502">
        <v>0.50000000000454026</v>
      </c>
      <c r="I1502" s="11">
        <f t="shared" si="23"/>
        <v>0.3111830552473131</v>
      </c>
      <c r="J1502" s="11">
        <f>1/(H1502*Utilities!$B$11)</f>
        <v>7.9999999999273559</v>
      </c>
      <c r="K1502" s="11">
        <f>IF(B1502&lt;C1502,1,EXP(-1*(B1502-C1502)/(Utilities!$B$11*IterData!H1502)))</f>
        <v>8.2954381567049623E-2</v>
      </c>
    </row>
    <row r="1503" spans="1:11" x14ac:dyDescent="0.3">
      <c r="A1503">
        <v>1502</v>
      </c>
      <c r="B1503">
        <v>0.15891524117707376</v>
      </c>
      <c r="C1503">
        <v>1.7120938905356233E-2</v>
      </c>
      <c r="D1503">
        <v>0.18199058280353062</v>
      </c>
      <c r="E1503" s="10">
        <v>2.4021474337532098E-4</v>
      </c>
      <c r="F1503" s="10">
        <v>2.1786340014560963</v>
      </c>
      <c r="H1503">
        <v>0.50000000000445044</v>
      </c>
      <c r="I1503" s="11">
        <f t="shared" si="23"/>
        <v>0.14179430227171752</v>
      </c>
      <c r="J1503" s="11">
        <f>1/(H1503*Utilities!$B$11)</f>
        <v>7.999999999928793</v>
      </c>
      <c r="K1503" s="11">
        <f>IF(B1503&lt;C1503,1,EXP(-1*(B1503-C1503)/(Utilities!$B$11*IterData!H1503)))</f>
        <v>0.32162969261264235</v>
      </c>
    </row>
    <row r="1504" spans="1:11" x14ac:dyDescent="0.3">
      <c r="A1504">
        <v>1503</v>
      </c>
      <c r="B1504">
        <v>0.47557351559440908</v>
      </c>
      <c r="C1504">
        <v>1.7120938905356233E-2</v>
      </c>
      <c r="D1504">
        <v>4.0362720130842364E-3</v>
      </c>
      <c r="E1504" s="10">
        <v>2.4021474337532098E-4</v>
      </c>
      <c r="F1504" s="10">
        <v>2.1786340014560963</v>
      </c>
      <c r="H1504">
        <v>0.50000000000436229</v>
      </c>
      <c r="I1504" s="11">
        <f t="shared" si="23"/>
        <v>0.45845257668905287</v>
      </c>
      <c r="J1504" s="11">
        <f>1/(H1504*Utilities!$B$11)</f>
        <v>7.9999999999302034</v>
      </c>
      <c r="K1504" s="11">
        <f>IF(B1504&lt;C1504,1,EXP(-1*(B1504-C1504)/(Utilities!$B$11*IterData!H1504)))</f>
        <v>2.5537160490336046E-2</v>
      </c>
    </row>
    <row r="1505" spans="1:11" x14ac:dyDescent="0.3">
      <c r="A1505">
        <v>1504</v>
      </c>
      <c r="B1505">
        <v>1.8529403185285238E-2</v>
      </c>
      <c r="C1505">
        <v>1.7120938905356233E-2</v>
      </c>
      <c r="D1505">
        <v>0.98319614440286984</v>
      </c>
      <c r="E1505" s="10">
        <v>2.4021474337532098E-4</v>
      </c>
      <c r="F1505" s="10">
        <v>2.1786340014560963</v>
      </c>
      <c r="H1505">
        <v>0.50000000000427591</v>
      </c>
      <c r="I1505" s="11">
        <f t="shared" si="23"/>
        <v>1.4084642799290052E-3</v>
      </c>
      <c r="J1505" s="11">
        <f>1/(H1505*Utilities!$B$11)</f>
        <v>7.9999999999315854</v>
      </c>
      <c r="K1505" s="11">
        <f>IF(B1505&lt;C1505,1,EXP(-1*(B1505-C1505)/(Utilities!$B$11*IterData!H1505)))</f>
        <v>0.98879552869544363</v>
      </c>
    </row>
    <row r="1506" spans="1:11" x14ac:dyDescent="0.3">
      <c r="A1506">
        <v>1505</v>
      </c>
      <c r="B1506">
        <v>0.44894272878007213</v>
      </c>
      <c r="C1506">
        <v>1.8529403185285238E-2</v>
      </c>
      <c r="D1506">
        <v>5.615770715423545E-3</v>
      </c>
      <c r="E1506" s="10">
        <v>2.0288225218178521E-4</v>
      </c>
      <c r="F1506" s="10">
        <v>2.2273117471879127</v>
      </c>
      <c r="H1506">
        <v>0.5000000000041912</v>
      </c>
      <c r="I1506" s="11">
        <f t="shared" si="23"/>
        <v>0.4304133255947869</v>
      </c>
      <c r="J1506" s="11">
        <f>1/(H1506*Utilities!$B$11)</f>
        <v>7.9999999999329408</v>
      </c>
      <c r="K1506" s="11">
        <f>IF(B1506&lt;C1506,1,EXP(-1*(B1506-C1506)/(Utilities!$B$11*IterData!H1506)))</f>
        <v>3.1958835186440909E-2</v>
      </c>
    </row>
    <row r="1507" spans="1:11" x14ac:dyDescent="0.3">
      <c r="A1507">
        <v>1506</v>
      </c>
      <c r="B1507">
        <v>0.40474827646140699</v>
      </c>
      <c r="C1507">
        <v>1.8529403185285238E-2</v>
      </c>
      <c r="D1507">
        <v>9.531387441444104E-3</v>
      </c>
      <c r="E1507" s="10">
        <v>2.0288225218178521E-4</v>
      </c>
      <c r="F1507" s="10">
        <v>2.2273117471879127</v>
      </c>
      <c r="H1507">
        <v>0.50000000000410827</v>
      </c>
      <c r="I1507" s="11">
        <f t="shared" si="23"/>
        <v>0.38621887327612175</v>
      </c>
      <c r="J1507" s="11">
        <f>1/(H1507*Utilities!$B$11)</f>
        <v>7.9999999999342677</v>
      </c>
      <c r="K1507" s="11">
        <f>IF(B1507&lt;C1507,1,EXP(-1*(B1507-C1507)/(Utilities!$B$11*IterData!H1507)))</f>
        <v>4.5513286430799105E-2</v>
      </c>
    </row>
    <row r="1508" spans="1:11" x14ac:dyDescent="0.3">
      <c r="A1508">
        <v>1507</v>
      </c>
      <c r="B1508">
        <v>1.0114343724164652</v>
      </c>
      <c r="C1508">
        <v>1.8529403185285238E-2</v>
      </c>
      <c r="D1508">
        <v>6.3284051223153792E-6</v>
      </c>
      <c r="E1508" s="10">
        <v>2.0288225218178521E-4</v>
      </c>
      <c r="F1508" s="10">
        <v>2.2273117471879127</v>
      </c>
      <c r="H1508">
        <v>0.50000000000402689</v>
      </c>
      <c r="I1508" s="11">
        <f t="shared" si="23"/>
        <v>0.99290496923117988</v>
      </c>
      <c r="J1508" s="11">
        <f>1/(H1508*Utilities!$B$11)</f>
        <v>7.9999999999355698</v>
      </c>
      <c r="K1508" s="11">
        <f>IF(B1508&lt;C1508,1,EXP(-1*(B1508-C1508)/(Utilities!$B$11*IterData!H1508)))</f>
        <v>3.5505432437581234E-4</v>
      </c>
    </row>
    <row r="1509" spans="1:11" x14ac:dyDescent="0.3">
      <c r="A1509">
        <v>1508</v>
      </c>
      <c r="B1509">
        <v>7.5543740952411009E-2</v>
      </c>
      <c r="C1509">
        <v>1.8529403185285238E-2</v>
      </c>
      <c r="D1509">
        <v>0.50267020960711117</v>
      </c>
      <c r="E1509" s="10">
        <v>2.0288225218178521E-4</v>
      </c>
      <c r="F1509" s="10">
        <v>2.2273117471879127</v>
      </c>
      <c r="H1509">
        <v>0.50000000000394718</v>
      </c>
      <c r="I1509" s="11">
        <f t="shared" si="23"/>
        <v>5.7014337767125771E-2</v>
      </c>
      <c r="J1509" s="11">
        <f>1/(H1509*Utilities!$B$11)</f>
        <v>7.9999999999368452</v>
      </c>
      <c r="K1509" s="11">
        <f>IF(B1509&lt;C1509,1,EXP(-1*(B1509-C1509)/(Utilities!$B$11*IterData!H1509)))</f>
        <v>0.63374114146850358</v>
      </c>
    </row>
    <row r="1510" spans="1:11" x14ac:dyDescent="0.3">
      <c r="A1510">
        <v>1509</v>
      </c>
      <c r="B1510">
        <v>0.25429597350465477</v>
      </c>
      <c r="C1510">
        <v>1.8529403185285238E-2</v>
      </c>
      <c r="D1510">
        <v>5.8066055016434824E-2</v>
      </c>
      <c r="E1510" s="10">
        <v>2.0288225218178521E-4</v>
      </c>
      <c r="F1510" s="10">
        <v>2.2273117471879127</v>
      </c>
      <c r="H1510">
        <v>0.50000000000386902</v>
      </c>
      <c r="I1510" s="11">
        <f t="shared" si="23"/>
        <v>0.23576657031936954</v>
      </c>
      <c r="J1510" s="11">
        <f>1/(H1510*Utilities!$B$11)</f>
        <v>7.9999999999380957</v>
      </c>
      <c r="K1510" s="11">
        <f>IF(B1510&lt;C1510,1,EXP(-1*(B1510-C1510)/(Utilities!$B$11*IterData!H1510)))</f>
        <v>0.15165720086284012</v>
      </c>
    </row>
    <row r="1511" spans="1:11" x14ac:dyDescent="0.3">
      <c r="A1511">
        <v>1510</v>
      </c>
      <c r="B1511">
        <v>0.31151167347547154</v>
      </c>
      <c r="C1511">
        <v>1.8529403185285238E-2</v>
      </c>
      <c r="D1511">
        <v>2.9035797169176925E-2</v>
      </c>
      <c r="E1511" s="10">
        <v>2.0288225218178521E-4</v>
      </c>
      <c r="F1511" s="10">
        <v>2.2273117471879127</v>
      </c>
      <c r="H1511">
        <v>0.50000000000379241</v>
      </c>
      <c r="I1511" s="11">
        <f t="shared" si="23"/>
        <v>0.29298227029018631</v>
      </c>
      <c r="J1511" s="11">
        <f>1/(H1511*Utilities!$B$11)</f>
        <v>7.9999999999393214</v>
      </c>
      <c r="K1511" s="11">
        <f>IF(B1511&lt;C1511,1,EXP(-1*(B1511-C1511)/(Utilities!$B$11*IterData!H1511)))</f>
        <v>9.5956706585234502E-2</v>
      </c>
    </row>
    <row r="1512" spans="1:11" x14ac:dyDescent="0.3">
      <c r="A1512">
        <v>1511</v>
      </c>
      <c r="B1512">
        <v>1.9911702826913034E-2</v>
      </c>
      <c r="C1512">
        <v>1.8529403185285238E-2</v>
      </c>
      <c r="D1512">
        <v>0.98342958695495419</v>
      </c>
      <c r="E1512" s="10">
        <v>2.0288225218178521E-4</v>
      </c>
      <c r="F1512" s="10">
        <v>2.2273117471879127</v>
      </c>
      <c r="H1512">
        <v>0.50000000000371725</v>
      </c>
      <c r="I1512" s="11">
        <f t="shared" si="23"/>
        <v>1.3822996416277961E-3</v>
      </c>
      <c r="J1512" s="11">
        <f>1/(H1512*Utilities!$B$11)</f>
        <v>7.999999999940524</v>
      </c>
      <c r="K1512" s="11">
        <f>IF(B1512&lt;C1512,1,EXP(-1*(B1512-C1512)/(Utilities!$B$11*IterData!H1512)))</f>
        <v>0.98900252217720952</v>
      </c>
    </row>
    <row r="1513" spans="1:11" x14ac:dyDescent="0.3">
      <c r="A1513">
        <v>1512</v>
      </c>
      <c r="B1513">
        <v>1.0272737608350495</v>
      </c>
      <c r="C1513">
        <v>1.9911702826913034E-2</v>
      </c>
      <c r="D1513">
        <v>5.1062184677805355E-6</v>
      </c>
      <c r="E1513" s="10">
        <v>2.01870126137938E-4</v>
      </c>
      <c r="F1513" s="10">
        <v>2.156280339914268</v>
      </c>
      <c r="H1513">
        <v>0.50000000000364364</v>
      </c>
      <c r="I1513" s="11">
        <f t="shared" si="23"/>
        <v>1.0073620580081364</v>
      </c>
      <c r="J1513" s="11">
        <f>1/(H1513*Utilities!$B$11)</f>
        <v>7.9999999999417017</v>
      </c>
      <c r="K1513" s="11">
        <f>IF(B1513&lt;C1513,1,EXP(-1*(B1513-C1513)/(Utilities!$B$11*IterData!H1513)))</f>
        <v>3.1627563433986008E-4</v>
      </c>
    </row>
    <row r="1514" spans="1:11" x14ac:dyDescent="0.3">
      <c r="A1514">
        <v>1513</v>
      </c>
      <c r="B1514">
        <v>0.11320244592174539</v>
      </c>
      <c r="C1514">
        <v>1.9911702826913034E-2</v>
      </c>
      <c r="D1514">
        <v>0.32329464614426778</v>
      </c>
      <c r="E1514" s="10">
        <v>2.01870126137938E-4</v>
      </c>
      <c r="F1514" s="10">
        <v>2.156280339914268</v>
      </c>
      <c r="H1514">
        <v>0.50000000000357148</v>
      </c>
      <c r="I1514" s="11">
        <f t="shared" si="23"/>
        <v>9.3290743094832346E-2</v>
      </c>
      <c r="J1514" s="11">
        <f>1/(H1514*Utilities!$B$11)</f>
        <v>7.9999999999428564</v>
      </c>
      <c r="K1514" s="11">
        <f>IF(B1514&lt;C1514,1,EXP(-1*(B1514-C1514)/(Utilities!$B$11*IterData!H1514)))</f>
        <v>0.47410524562348078</v>
      </c>
    </row>
    <row r="1515" spans="1:11" x14ac:dyDescent="0.3">
      <c r="A1515">
        <v>1514</v>
      </c>
      <c r="B1515">
        <v>9.9676394650782249E-2</v>
      </c>
      <c r="C1515">
        <v>1.9911702826913034E-2</v>
      </c>
      <c r="D1515">
        <v>0.38056056303671831</v>
      </c>
      <c r="E1515" s="10">
        <v>2.01870126137938E-4</v>
      </c>
      <c r="F1515" s="10">
        <v>2.156280339914268</v>
      </c>
      <c r="H1515">
        <v>0.50000000000350076</v>
      </c>
      <c r="I1515" s="11">
        <f t="shared" si="23"/>
        <v>7.9764691823869222E-2</v>
      </c>
      <c r="J1515" s="11">
        <f>1/(H1515*Utilities!$B$11)</f>
        <v>7.9999999999439879</v>
      </c>
      <c r="K1515" s="11">
        <f>IF(B1515&lt;C1515,1,EXP(-1*(B1515-C1515)/(Utilities!$B$11*IterData!H1515)))</f>
        <v>0.52828596865740418</v>
      </c>
    </row>
    <row r="1516" spans="1:11" x14ac:dyDescent="0.3">
      <c r="A1516">
        <v>1515</v>
      </c>
      <c r="B1516">
        <v>0.13188853205438761</v>
      </c>
      <c r="C1516">
        <v>9.9676394650782249E-2</v>
      </c>
      <c r="D1516">
        <v>0.67677859001504692</v>
      </c>
      <c r="E1516" s="10">
        <v>1.9980931316157486E-4</v>
      </c>
      <c r="F1516" s="10">
        <v>2.3192364679389863</v>
      </c>
      <c r="H1516">
        <v>0.50000000000343148</v>
      </c>
      <c r="I1516" s="11">
        <f t="shared" si="23"/>
        <v>3.2212137403605359E-2</v>
      </c>
      <c r="J1516" s="11">
        <f>1/(H1516*Utilities!$B$11)</f>
        <v>7.9999999999450964</v>
      </c>
      <c r="K1516" s="11">
        <f>IF(B1516&lt;C1516,1,EXP(-1*(B1516-C1516)/(Utilities!$B$11*IterData!H1516)))</f>
        <v>0.77282928724584365</v>
      </c>
    </row>
    <row r="1517" spans="1:11" x14ac:dyDescent="0.3">
      <c r="A1517">
        <v>1516</v>
      </c>
      <c r="B1517">
        <v>0.60428148766737788</v>
      </c>
      <c r="C1517">
        <v>9.9676394650782249E-2</v>
      </c>
      <c r="D1517">
        <v>2.1987845071199507E-3</v>
      </c>
      <c r="E1517" s="10">
        <v>1.9980931316157486E-4</v>
      </c>
      <c r="F1517" s="10">
        <v>2.3192364679389863</v>
      </c>
      <c r="H1517">
        <v>0.50000000000336353</v>
      </c>
      <c r="I1517" s="11">
        <f t="shared" si="23"/>
        <v>0.50460509301659562</v>
      </c>
      <c r="J1517" s="11">
        <f>1/(H1517*Utilities!$B$11)</f>
        <v>7.9999999999461835</v>
      </c>
      <c r="K1517" s="11">
        <f>IF(B1517&lt;C1517,1,EXP(-1*(B1517-C1517)/(Utilities!$B$11*IterData!H1517)))</f>
        <v>1.7653155245920042E-2</v>
      </c>
    </row>
    <row r="1518" spans="1:11" x14ac:dyDescent="0.3">
      <c r="A1518">
        <v>1517</v>
      </c>
      <c r="B1518">
        <v>0.20944012212722135</v>
      </c>
      <c r="C1518">
        <v>9.9676394650782249E-2</v>
      </c>
      <c r="D1518">
        <v>0.26392439573413684</v>
      </c>
      <c r="E1518" s="10">
        <v>1.9980931316157486E-4</v>
      </c>
      <c r="F1518" s="10">
        <v>2.3192364679389863</v>
      </c>
      <c r="H1518">
        <v>0.50000000000329692</v>
      </c>
      <c r="I1518" s="11">
        <f t="shared" si="23"/>
        <v>0.1097637274764391</v>
      </c>
      <c r="J1518" s="11">
        <f>1/(H1518*Utilities!$B$11)</f>
        <v>7.9999999999472493</v>
      </c>
      <c r="K1518" s="11">
        <f>IF(B1518&lt;C1518,1,EXP(-1*(B1518-C1518)/(Utilities!$B$11*IterData!H1518)))</f>
        <v>0.41556766755752689</v>
      </c>
    </row>
    <row r="1519" spans="1:11" x14ac:dyDescent="0.3">
      <c r="A1519">
        <v>1518</v>
      </c>
      <c r="B1519">
        <v>1.5581187788812456</v>
      </c>
      <c r="C1519">
        <v>0.20944012212722135</v>
      </c>
      <c r="D1519">
        <v>7.7085271364275117E-8</v>
      </c>
      <c r="E1519" s="10">
        <v>1.87310697714062E-4</v>
      </c>
      <c r="F1519" s="10">
        <v>2.0602692809298917</v>
      </c>
      <c r="H1519">
        <v>0.50000000000323164</v>
      </c>
      <c r="I1519" s="11">
        <f t="shared" si="23"/>
        <v>1.3486786567540243</v>
      </c>
      <c r="J1519" s="11">
        <f>1/(H1519*Utilities!$B$11)</f>
        <v>7.9999999999482938</v>
      </c>
      <c r="K1519" s="11">
        <f>IF(B1519&lt;C1519,1,EXP(-1*(B1519-C1519)/(Utilities!$B$11*IterData!H1519)))</f>
        <v>2.0616285134688274E-5</v>
      </c>
    </row>
    <row r="1520" spans="1:11" x14ac:dyDescent="0.3">
      <c r="A1520">
        <v>1519</v>
      </c>
      <c r="B1520">
        <v>8.9957449199499218E-2</v>
      </c>
      <c r="C1520">
        <v>0.20944012212722135</v>
      </c>
      <c r="D1520">
        <v>1</v>
      </c>
      <c r="E1520" s="10">
        <v>1.87310697714062E-4</v>
      </c>
      <c r="F1520" s="10">
        <v>2.0602692809298917</v>
      </c>
      <c r="H1520">
        <v>0.50000000000316769</v>
      </c>
      <c r="I1520" s="11">
        <f t="shared" si="23"/>
        <v>-0.11948267292772213</v>
      </c>
      <c r="J1520" s="11">
        <f>1/(H1520*Utilities!$B$11)</f>
        <v>7.999999999949317</v>
      </c>
      <c r="K1520" s="11">
        <f>IF(B1520&lt;C1520,1,EXP(-1*(B1520-C1520)/(Utilities!$B$11*IterData!H1520)))</f>
        <v>1</v>
      </c>
    </row>
    <row r="1521" spans="1:11" x14ac:dyDescent="0.3">
      <c r="A1521">
        <v>1520</v>
      </c>
      <c r="B1521">
        <v>0.49944785988496548</v>
      </c>
      <c r="C1521">
        <v>8.9957449199499218E-2</v>
      </c>
      <c r="D1521">
        <v>6.8781648887361784E-3</v>
      </c>
      <c r="E1521" s="10">
        <v>2.4809222189582235E-4</v>
      </c>
      <c r="F1521" s="10">
        <v>2.2535636456794168</v>
      </c>
      <c r="H1521">
        <v>0.50000000000310496</v>
      </c>
      <c r="I1521" s="11">
        <f t="shared" si="23"/>
        <v>0.40949041068546627</v>
      </c>
      <c r="J1521" s="11">
        <f>1/(H1521*Utilities!$B$11)</f>
        <v>7.9999999999503206</v>
      </c>
      <c r="K1521" s="11">
        <f>IF(B1521&lt;C1521,1,EXP(-1*(B1521-C1521)/(Utilities!$B$11*IterData!H1521)))</f>
        <v>3.7781969577344719E-2</v>
      </c>
    </row>
    <row r="1522" spans="1:11" x14ac:dyDescent="0.3">
      <c r="A1522">
        <v>1521</v>
      </c>
      <c r="B1522">
        <v>8.7982222741034843E-2</v>
      </c>
      <c r="C1522">
        <v>8.9957449199499218E-2</v>
      </c>
      <c r="D1522">
        <v>1</v>
      </c>
      <c r="E1522" s="10">
        <v>2.4809222189582235E-4</v>
      </c>
      <c r="F1522" s="10">
        <v>2.2535636456794168</v>
      </c>
      <c r="H1522">
        <v>0.50000000000304345</v>
      </c>
      <c r="I1522" s="11">
        <f t="shared" si="23"/>
        <v>-1.9752264584643742E-3</v>
      </c>
      <c r="J1522" s="11">
        <f>1/(H1522*Utilities!$B$11)</f>
        <v>7.9999999999513047</v>
      </c>
      <c r="K1522" s="11">
        <f>IF(B1522&lt;C1522,1,EXP(-1*(B1522-C1522)/(Utilities!$B$11*IterData!H1522)))</f>
        <v>1</v>
      </c>
    </row>
    <row r="1523" spans="1:11" x14ac:dyDescent="0.3">
      <c r="A1523">
        <v>1522</v>
      </c>
      <c r="B1523">
        <v>2.269987658041648E-2</v>
      </c>
      <c r="C1523">
        <v>8.7982222741034843E-2</v>
      </c>
      <c r="D1523">
        <v>1</v>
      </c>
      <c r="E1523" s="10">
        <v>1.7979573274565838E-4</v>
      </c>
      <c r="F1523" s="10">
        <v>2.1235305254683881</v>
      </c>
      <c r="H1523">
        <v>0.50000000000298317</v>
      </c>
      <c r="I1523" s="11">
        <f t="shared" si="23"/>
        <v>-6.5282346160618371E-2</v>
      </c>
      <c r="J1523" s="11">
        <f>1/(H1523*Utilities!$B$11)</f>
        <v>7.9999999999522693</v>
      </c>
      <c r="K1523" s="11">
        <f>IF(B1523&lt;C1523,1,EXP(-1*(B1523-C1523)/(Utilities!$B$11*IterData!H1523)))</f>
        <v>1</v>
      </c>
    </row>
    <row r="1524" spans="1:11" x14ac:dyDescent="0.3">
      <c r="A1524">
        <v>1523</v>
      </c>
      <c r="B1524">
        <v>0.65488068747302208</v>
      </c>
      <c r="C1524">
        <v>2.269987658041648E-2</v>
      </c>
      <c r="D1524">
        <v>4.5170059418159225E-4</v>
      </c>
      <c r="E1524" s="10">
        <v>1.8576271414077943E-4</v>
      </c>
      <c r="F1524" s="10">
        <v>2.2588226876615285</v>
      </c>
      <c r="H1524">
        <v>0.50000000000292411</v>
      </c>
      <c r="I1524" s="11">
        <f t="shared" si="23"/>
        <v>0.63218081089260558</v>
      </c>
      <c r="J1524" s="11">
        <f>1/(H1524*Utilities!$B$11)</f>
        <v>7.9999999999532143</v>
      </c>
      <c r="K1524" s="11">
        <f>IF(B1524&lt;C1524,1,EXP(-1*(B1524-C1524)/(Utilities!$B$11*IterData!H1524)))</f>
        <v>6.3617836864139111E-3</v>
      </c>
    </row>
    <row r="1525" spans="1:11" x14ac:dyDescent="0.3">
      <c r="A1525">
        <v>1524</v>
      </c>
      <c r="B1525">
        <v>1.6258523302337566</v>
      </c>
      <c r="C1525">
        <v>2.269987658041648E-2</v>
      </c>
      <c r="D1525">
        <v>3.2466741117058783E-9</v>
      </c>
      <c r="E1525" s="10">
        <v>1.8576271414077943E-4</v>
      </c>
      <c r="F1525" s="10">
        <v>2.2588226876615285</v>
      </c>
      <c r="H1525">
        <v>0.50000000000286626</v>
      </c>
      <c r="I1525" s="11">
        <f t="shared" si="23"/>
        <v>1.6031524536533401</v>
      </c>
      <c r="J1525" s="11">
        <f>1/(H1525*Utilities!$B$11)</f>
        <v>7.9999999999541398</v>
      </c>
      <c r="K1525" s="11">
        <f>IF(B1525&lt;C1525,1,EXP(-1*(B1525-C1525)/(Utilities!$B$11*IterData!H1525)))</f>
        <v>2.69201754389814E-6</v>
      </c>
    </row>
    <row r="1526" spans="1:11" x14ac:dyDescent="0.3">
      <c r="A1526">
        <v>1525</v>
      </c>
      <c r="B1526">
        <v>1.3685272323800887E-2</v>
      </c>
      <c r="C1526">
        <v>2.269987658041648E-2</v>
      </c>
      <c r="D1526">
        <v>1</v>
      </c>
      <c r="E1526" s="10">
        <v>1.8576271414077943E-4</v>
      </c>
      <c r="F1526" s="10">
        <v>2.2588226876615285</v>
      </c>
      <c r="H1526">
        <v>0.50000000000280942</v>
      </c>
      <c r="I1526" s="11">
        <f t="shared" si="23"/>
        <v>-9.0146042566155923E-3</v>
      </c>
      <c r="J1526" s="11">
        <f>1/(H1526*Utilities!$B$11)</f>
        <v>7.9999999999550493</v>
      </c>
      <c r="K1526" s="11">
        <f>IF(B1526&lt;C1526,1,EXP(-1*(B1526-C1526)/(Utilities!$B$11*IterData!H1526)))</f>
        <v>1</v>
      </c>
    </row>
    <row r="1527" spans="1:11" x14ac:dyDescent="0.3">
      <c r="A1527">
        <v>1526</v>
      </c>
      <c r="B1527">
        <v>1.0911004415164367E-2</v>
      </c>
      <c r="C1527">
        <v>1.3685272323800887E-2</v>
      </c>
      <c r="D1527">
        <v>1</v>
      </c>
      <c r="E1527" s="10">
        <v>2.4002995511611478E-4</v>
      </c>
      <c r="F1527" s="10">
        <v>2.1689717364862799</v>
      </c>
      <c r="H1527">
        <v>0.5000000000027538</v>
      </c>
      <c r="I1527" s="11">
        <f t="shared" si="23"/>
        <v>-2.7742679086365206E-3</v>
      </c>
      <c r="J1527" s="11">
        <f>1/(H1527*Utilities!$B$11)</f>
        <v>7.9999999999559392</v>
      </c>
      <c r="K1527" s="11">
        <f>IF(B1527&lt;C1527,1,EXP(-1*(B1527-C1527)/(Utilities!$B$11*IterData!H1527)))</f>
        <v>1</v>
      </c>
    </row>
    <row r="1528" spans="1:11" x14ac:dyDescent="0.3">
      <c r="A1528">
        <v>1527</v>
      </c>
      <c r="B1528">
        <v>9.711454021662877E-2</v>
      </c>
      <c r="C1528">
        <v>1.0911004415164367E-2</v>
      </c>
      <c r="D1528">
        <v>0.34886774130573639</v>
      </c>
      <c r="E1528" s="10">
        <v>2.3122567922891996E-4</v>
      </c>
      <c r="F1528" s="10">
        <v>2.1513950943097613</v>
      </c>
      <c r="H1528">
        <v>0.50000000000269929</v>
      </c>
      <c r="I1528" s="11">
        <f t="shared" si="23"/>
        <v>8.6203535801464407E-2</v>
      </c>
      <c r="J1528" s="11">
        <f>1/(H1528*Utilities!$B$11)</f>
        <v>7.9999999999568114</v>
      </c>
      <c r="K1528" s="11">
        <f>IF(B1528&lt;C1528,1,EXP(-1*(B1528-C1528)/(Utilities!$B$11*IterData!H1528)))</f>
        <v>0.50176254636427919</v>
      </c>
    </row>
    <row r="1529" spans="1:11" x14ac:dyDescent="0.3">
      <c r="A1529">
        <v>1528</v>
      </c>
      <c r="B1529">
        <v>0.61402494943711372</v>
      </c>
      <c r="C1529">
        <v>9.711454021662877E-2</v>
      </c>
      <c r="D1529">
        <v>1.8022618091048607E-3</v>
      </c>
      <c r="E1529" s="10">
        <v>2.4890979017457048E-4</v>
      </c>
      <c r="F1529" s="10">
        <v>2.2582483928911357</v>
      </c>
      <c r="H1529">
        <v>0.50000000000264588</v>
      </c>
      <c r="I1529" s="11">
        <f t="shared" si="23"/>
        <v>0.51691040922048492</v>
      </c>
      <c r="J1529" s="11">
        <f>1/(H1529*Utilities!$B$11)</f>
        <v>7.9999999999576659</v>
      </c>
      <c r="K1529" s="11">
        <f>IF(B1529&lt;C1529,1,EXP(-1*(B1529-C1529)/(Utilities!$B$11*IterData!H1529)))</f>
        <v>1.5998132636984373E-2</v>
      </c>
    </row>
    <row r="1530" spans="1:11" x14ac:dyDescent="0.3">
      <c r="A1530">
        <v>1529</v>
      </c>
      <c r="B1530">
        <v>4.0830320008626318E-2</v>
      </c>
      <c r="C1530">
        <v>9.711454021662877E-2</v>
      </c>
      <c r="D1530">
        <v>1</v>
      </c>
      <c r="E1530" s="10">
        <v>2.4890979017457048E-4</v>
      </c>
      <c r="F1530" s="10">
        <v>2.2582483928911357</v>
      </c>
      <c r="H1530">
        <v>0.50000000000259348</v>
      </c>
      <c r="I1530" s="11">
        <f t="shared" si="23"/>
        <v>-5.6284220208002451E-2</v>
      </c>
      <c r="J1530" s="11">
        <f>1/(H1530*Utilities!$B$11)</f>
        <v>7.9999999999585043</v>
      </c>
      <c r="K1530" s="11">
        <f>IF(B1530&lt;C1530,1,EXP(-1*(B1530-C1530)/(Utilities!$B$11*IterData!H1530)))</f>
        <v>1</v>
      </c>
    </row>
    <row r="1531" spans="1:11" x14ac:dyDescent="0.3">
      <c r="A1531">
        <v>1530</v>
      </c>
      <c r="B1531">
        <v>0.22556554356461989</v>
      </c>
      <c r="C1531">
        <v>4.0830320008626318E-2</v>
      </c>
      <c r="D1531">
        <v>0.10422959839393689</v>
      </c>
      <c r="E1531" s="10">
        <v>1.8658920955751674E-4</v>
      </c>
      <c r="F1531" s="10">
        <v>2.1491888796698828</v>
      </c>
      <c r="H1531">
        <v>0.50000000000254208</v>
      </c>
      <c r="I1531" s="11">
        <f t="shared" si="23"/>
        <v>0.18473522355599356</v>
      </c>
      <c r="J1531" s="11">
        <f>1/(H1531*Utilities!$B$11)</f>
        <v>7.9999999999593268</v>
      </c>
      <c r="K1531" s="11">
        <f>IF(B1531&lt;C1531,1,EXP(-1*(B1531-C1531)/(Utilities!$B$11*IterData!H1531)))</f>
        <v>0.22812038421220102</v>
      </c>
    </row>
    <row r="1532" spans="1:11" x14ac:dyDescent="0.3">
      <c r="A1532">
        <v>1531</v>
      </c>
      <c r="B1532">
        <v>0.12032127918922725</v>
      </c>
      <c r="C1532">
        <v>4.0830320008626318E-2</v>
      </c>
      <c r="D1532">
        <v>0.37771880283653325</v>
      </c>
      <c r="E1532" s="10">
        <v>1.8658920955751674E-4</v>
      </c>
      <c r="F1532" s="10">
        <v>2.1491888796698828</v>
      </c>
      <c r="H1532">
        <v>0.50000000000249178</v>
      </c>
      <c r="I1532" s="11">
        <f t="shared" si="23"/>
        <v>7.9490959180600923E-2</v>
      </c>
      <c r="J1532" s="11">
        <f>1/(H1532*Utilities!$B$11)</f>
        <v>7.9999999999601314</v>
      </c>
      <c r="K1532" s="11">
        <f>IF(B1532&lt;C1532,1,EXP(-1*(B1532-C1532)/(Utilities!$B$11*IterData!H1532)))</f>
        <v>0.52944410919419516</v>
      </c>
    </row>
    <row r="1533" spans="1:11" x14ac:dyDescent="0.3">
      <c r="A1533">
        <v>1532</v>
      </c>
      <c r="B1533">
        <v>0.45324685041047452</v>
      </c>
      <c r="C1533">
        <v>0.12032127918922725</v>
      </c>
      <c r="D1533">
        <v>1.6901789064223925E-2</v>
      </c>
      <c r="E1533" s="10">
        <v>2.037473670616286E-4</v>
      </c>
      <c r="F1533" s="10">
        <v>2.3292178146194082</v>
      </c>
      <c r="H1533">
        <v>0.50000000000244238</v>
      </c>
      <c r="I1533" s="11">
        <f t="shared" si="23"/>
        <v>0.33292557122124727</v>
      </c>
      <c r="J1533" s="11">
        <f>1/(H1533*Utilities!$B$11)</f>
        <v>7.9999999999609219</v>
      </c>
      <c r="K1533" s="11">
        <f>IF(B1533&lt;C1533,1,EXP(-1*(B1533-C1533)/(Utilities!$B$11*IterData!H1533)))</f>
        <v>6.9710483072933302E-2</v>
      </c>
    </row>
    <row r="1534" spans="1:11" x14ac:dyDescent="0.3">
      <c r="A1534">
        <v>1533</v>
      </c>
      <c r="B1534">
        <v>0.77072630921221119</v>
      </c>
      <c r="C1534">
        <v>0.12032127918922725</v>
      </c>
      <c r="D1534">
        <v>3.4341625053169585E-4</v>
      </c>
      <c r="E1534" s="10">
        <v>2.037473670616286E-4</v>
      </c>
      <c r="F1534" s="10">
        <v>2.3292178146194082</v>
      </c>
      <c r="H1534">
        <v>0.50000000000239408</v>
      </c>
      <c r="I1534" s="11">
        <f t="shared" si="23"/>
        <v>0.650405030022984</v>
      </c>
      <c r="J1534" s="11">
        <f>1/(H1534*Utilities!$B$11)</f>
        <v>7.9999999999616946</v>
      </c>
      <c r="K1534" s="11">
        <f>IF(B1534&lt;C1534,1,EXP(-1*(B1534-C1534)/(Utilities!$B$11*IterData!H1534)))</f>
        <v>5.4987183555677546E-3</v>
      </c>
    </row>
    <row r="1535" spans="1:11" x14ac:dyDescent="0.3">
      <c r="A1535">
        <v>1534</v>
      </c>
      <c r="B1535">
        <v>0.51846607753739893</v>
      </c>
      <c r="C1535">
        <v>0.12032127918922725</v>
      </c>
      <c r="D1535">
        <v>7.5513194809226263E-3</v>
      </c>
      <c r="E1535" s="10">
        <v>2.037473670616286E-4</v>
      </c>
      <c r="F1535" s="10">
        <v>2.3292178146194082</v>
      </c>
      <c r="H1535">
        <v>0.50000000000234668</v>
      </c>
      <c r="I1535" s="11">
        <f t="shared" si="23"/>
        <v>0.39814479834817168</v>
      </c>
      <c r="J1535" s="11">
        <f>1/(H1535*Utilities!$B$11)</f>
        <v>7.9999999999624531</v>
      </c>
      <c r="K1535" s="11">
        <f>IF(B1535&lt;C1535,1,EXP(-1*(B1535-C1535)/(Utilities!$B$11*IterData!H1535)))</f>
        <v>4.1371692553239706E-2</v>
      </c>
    </row>
    <row r="1536" spans="1:11" x14ac:dyDescent="0.3">
      <c r="A1536">
        <v>1535</v>
      </c>
      <c r="B1536">
        <v>1.6418467378008565</v>
      </c>
      <c r="C1536">
        <v>0.12032127918922725</v>
      </c>
      <c r="D1536">
        <v>7.6824092722009431E-9</v>
      </c>
      <c r="E1536" s="10">
        <v>2.037473670616286E-4</v>
      </c>
      <c r="F1536" s="10">
        <v>2.3292178146194082</v>
      </c>
      <c r="H1536">
        <v>0.50000000000230016</v>
      </c>
      <c r="I1536" s="11">
        <f t="shared" si="23"/>
        <v>1.5215254586116294</v>
      </c>
      <c r="J1536" s="11">
        <f>1/(H1536*Utilities!$B$11)</f>
        <v>7.9999999999631974</v>
      </c>
      <c r="K1536" s="11">
        <f>IF(B1536&lt;C1536,1,EXP(-1*(B1536-C1536)/(Utilities!$B$11*IterData!H1536)))</f>
        <v>5.1722453045586862E-6</v>
      </c>
    </row>
    <row r="1537" spans="1:11" x14ac:dyDescent="0.3">
      <c r="A1537">
        <v>1536</v>
      </c>
      <c r="B1537">
        <v>2.0531469620430802</v>
      </c>
      <c r="C1537">
        <v>0.12032127918922725</v>
      </c>
      <c r="D1537">
        <v>4.8446452949857603E-11</v>
      </c>
      <c r="E1537" s="10">
        <v>2.037473670616286E-4</v>
      </c>
      <c r="F1537" s="10">
        <v>2.3292178146194082</v>
      </c>
      <c r="H1537">
        <v>0.50000000000225464</v>
      </c>
      <c r="I1537" s="11">
        <f t="shared" si="23"/>
        <v>1.932825682853853</v>
      </c>
      <c r="J1537" s="11">
        <f>1/(H1537*Utilities!$B$11)</f>
        <v>7.9999999999639257</v>
      </c>
      <c r="K1537" s="11">
        <f>IF(B1537&lt;C1537,1,EXP(-1*(B1537-C1537)/(Utilities!$B$11*IterData!H1537)))</f>
        <v>1.9260864308450692E-7</v>
      </c>
    </row>
    <row r="1538" spans="1:11" x14ac:dyDescent="0.3">
      <c r="A1538">
        <v>1537</v>
      </c>
      <c r="B1538">
        <v>0.38628199037784489</v>
      </c>
      <c r="C1538">
        <v>0.12032127918922725</v>
      </c>
      <c r="D1538">
        <v>3.7996816284185095E-2</v>
      </c>
      <c r="E1538" s="10">
        <v>2.037473670616286E-4</v>
      </c>
      <c r="F1538" s="10">
        <v>2.3292178146194082</v>
      </c>
      <c r="H1538">
        <v>0.50000000000221001</v>
      </c>
      <c r="I1538" s="11">
        <f t="shared" si="23"/>
        <v>0.26596071118861764</v>
      </c>
      <c r="J1538" s="11">
        <f>1/(H1538*Utilities!$B$11)</f>
        <v>7.9999999999646398</v>
      </c>
      <c r="K1538" s="11">
        <f>IF(B1538&lt;C1538,1,EXP(-1*(B1538-C1538)/(Utilities!$B$11*IterData!H1538)))</f>
        <v>0.1191126387433087</v>
      </c>
    </row>
    <row r="1539" spans="1:11" x14ac:dyDescent="0.3">
      <c r="A1539">
        <v>1538</v>
      </c>
      <c r="B1539">
        <v>1.5956470316516497E-2</v>
      </c>
      <c r="C1539">
        <v>0.12032127918922725</v>
      </c>
      <c r="D1539">
        <v>1</v>
      </c>
      <c r="E1539" s="10">
        <v>2.037473670616286E-4</v>
      </c>
      <c r="F1539" s="10">
        <v>2.3292178146194082</v>
      </c>
      <c r="H1539">
        <v>0.50000000000216627</v>
      </c>
      <c r="I1539" s="11">
        <f t="shared" ref="I1539:I1602" si="24">B1539-C1539</f>
        <v>-0.10436480887271075</v>
      </c>
      <c r="J1539" s="11">
        <f>1/(H1539*Utilities!$B$11)</f>
        <v>7.9999999999653397</v>
      </c>
      <c r="K1539" s="11">
        <f>IF(B1539&lt;C1539,1,EXP(-1*(B1539-C1539)/(Utilities!$B$11*IterData!H1539)))</f>
        <v>1</v>
      </c>
    </row>
    <row r="1540" spans="1:11" x14ac:dyDescent="0.3">
      <c r="A1540">
        <v>1539</v>
      </c>
      <c r="B1540">
        <v>1.314746448461991E-2</v>
      </c>
      <c r="C1540">
        <v>1.5956470316516497E-2</v>
      </c>
      <c r="D1540">
        <v>1</v>
      </c>
      <c r="E1540" s="10">
        <v>2.2878834641180146E-4</v>
      </c>
      <c r="F1540" s="10">
        <v>2.1889209865684549</v>
      </c>
      <c r="H1540">
        <v>0.5000000000021233</v>
      </c>
      <c r="I1540" s="11">
        <f t="shared" si="24"/>
        <v>-2.8090058318965879E-3</v>
      </c>
      <c r="J1540" s="11">
        <f>1/(H1540*Utilities!$B$11)</f>
        <v>7.9999999999660272</v>
      </c>
      <c r="K1540" s="11">
        <f>IF(B1540&lt;C1540,1,EXP(-1*(B1540-C1540)/(Utilities!$B$11*IterData!H1540)))</f>
        <v>1</v>
      </c>
    </row>
    <row r="1541" spans="1:11" x14ac:dyDescent="0.3">
      <c r="A1541">
        <v>1540</v>
      </c>
      <c r="B1541">
        <v>0.54320065318170951</v>
      </c>
      <c r="C1541">
        <v>1.314746448461991E-2</v>
      </c>
      <c r="D1541">
        <v>1.4586334354234865E-3</v>
      </c>
      <c r="E1541" s="10">
        <v>1.9293467466303921E-4</v>
      </c>
      <c r="F1541" s="10">
        <v>2.2269823607075026</v>
      </c>
      <c r="H1541">
        <v>0.50000000000208134</v>
      </c>
      <c r="I1541" s="11">
        <f t="shared" si="24"/>
        <v>0.53005318869708962</v>
      </c>
      <c r="J1541" s="11">
        <f>1/(H1541*Utilities!$B$11)</f>
        <v>7.9999999999666986</v>
      </c>
      <c r="K1541" s="11">
        <f>IF(B1541&lt;C1541,1,EXP(-1*(B1541-C1541)/(Utilities!$B$11*IterData!H1541)))</f>
        <v>1.4401462579182674E-2</v>
      </c>
    </row>
    <row r="1542" spans="1:11" x14ac:dyDescent="0.3">
      <c r="A1542">
        <v>1541</v>
      </c>
      <c r="B1542">
        <v>7.4239275606724817E-2</v>
      </c>
      <c r="C1542">
        <v>1.314746448461991E-2</v>
      </c>
      <c r="D1542">
        <v>0.47088571980785432</v>
      </c>
      <c r="E1542" s="10">
        <v>1.9293467466303921E-4</v>
      </c>
      <c r="F1542" s="10">
        <v>2.2269823607075026</v>
      </c>
      <c r="H1542">
        <v>0.50000000000204003</v>
      </c>
      <c r="I1542" s="11">
        <f t="shared" si="24"/>
        <v>6.1091811122104905E-2</v>
      </c>
      <c r="J1542" s="11">
        <f>1/(H1542*Utilities!$B$11)</f>
        <v>7.9999999999673594</v>
      </c>
      <c r="K1542" s="11">
        <f>IF(B1542&lt;C1542,1,EXP(-1*(B1542-C1542)/(Utilities!$B$11*IterData!H1542)))</f>
        <v>0.61340217041370793</v>
      </c>
    </row>
    <row r="1543" spans="1:11" x14ac:dyDescent="0.3">
      <c r="A1543">
        <v>1542</v>
      </c>
      <c r="B1543">
        <v>0.17599447935397017</v>
      </c>
      <c r="C1543">
        <v>1.314746448461991E-2</v>
      </c>
      <c r="D1543">
        <v>0.13413872203958921</v>
      </c>
      <c r="E1543" s="10">
        <v>1.9293467466303921E-4</v>
      </c>
      <c r="F1543" s="10">
        <v>2.2269823607075026</v>
      </c>
      <c r="H1543">
        <v>0.50000000000199973</v>
      </c>
      <c r="I1543" s="11">
        <f t="shared" si="24"/>
        <v>0.16284701486935027</v>
      </c>
      <c r="J1543" s="11">
        <f>1/(H1543*Utilities!$B$11)</f>
        <v>7.9999999999680043</v>
      </c>
      <c r="K1543" s="11">
        <f>IF(B1543&lt;C1543,1,EXP(-1*(B1543-C1543)/(Utilities!$B$11*IterData!H1543)))</f>
        <v>0.27177626156684592</v>
      </c>
    </row>
    <row r="1544" spans="1:11" x14ac:dyDescent="0.3">
      <c r="A1544">
        <v>1543</v>
      </c>
      <c r="B1544">
        <v>0.43844277392339204</v>
      </c>
      <c r="C1544">
        <v>1.314746448461991E-2</v>
      </c>
      <c r="D1544">
        <v>5.2483302546914848E-3</v>
      </c>
      <c r="E1544" s="10">
        <v>1.9293467466303921E-4</v>
      </c>
      <c r="F1544" s="10">
        <v>2.2269823607075026</v>
      </c>
      <c r="H1544">
        <v>0.5000000000019601</v>
      </c>
      <c r="I1544" s="11">
        <f t="shared" si="24"/>
        <v>0.42529530943877214</v>
      </c>
      <c r="J1544" s="11">
        <f>1/(H1544*Utilities!$B$11)</f>
        <v>7.9999999999686384</v>
      </c>
      <c r="K1544" s="11">
        <f>IF(B1544&lt;C1544,1,EXP(-1*(B1544-C1544)/(Utilities!$B$11*IterData!H1544)))</f>
        <v>3.32945194874541E-2</v>
      </c>
    </row>
    <row r="1545" spans="1:11" x14ac:dyDescent="0.3">
      <c r="A1545">
        <v>1544</v>
      </c>
      <c r="B1545">
        <v>2.410878302397863</v>
      </c>
      <c r="C1545">
        <v>1.314746448461991E-2</v>
      </c>
      <c r="D1545">
        <v>1.3727759067209141E-13</v>
      </c>
      <c r="E1545" s="10">
        <v>1.9293467466303921E-4</v>
      </c>
      <c r="F1545" s="10">
        <v>2.2269823607075026</v>
      </c>
      <c r="H1545">
        <v>0.50000000000192124</v>
      </c>
      <c r="I1545" s="11">
        <f t="shared" si="24"/>
        <v>2.3977308379132429</v>
      </c>
      <c r="J1545" s="11">
        <f>1/(H1545*Utilities!$B$11)</f>
        <v>7.9999999999692601</v>
      </c>
      <c r="K1545" s="11">
        <f>IF(B1545&lt;C1545,1,EXP(-1*(B1545-C1545)/(Utilities!$B$11*IterData!H1545)))</f>
        <v>4.6712146476308413E-9</v>
      </c>
    </row>
    <row r="1546" spans="1:11" x14ac:dyDescent="0.3">
      <c r="A1546">
        <v>1545</v>
      </c>
      <c r="B1546">
        <v>0.30984976430929562</v>
      </c>
      <c r="C1546">
        <v>1.314746448461991E-2</v>
      </c>
      <c r="D1546">
        <v>2.5546871249496166E-2</v>
      </c>
      <c r="E1546" s="10">
        <v>1.9293467466303921E-4</v>
      </c>
      <c r="F1546" s="10">
        <v>2.2269823607075026</v>
      </c>
      <c r="H1546">
        <v>0.50000000000188327</v>
      </c>
      <c r="I1546" s="11">
        <f t="shared" si="24"/>
        <v>0.29670229982467572</v>
      </c>
      <c r="J1546" s="11">
        <f>1/(H1546*Utilities!$B$11)</f>
        <v>7.9999999999698677</v>
      </c>
      <c r="K1546" s="11">
        <f>IF(B1546&lt;C1546,1,EXP(-1*(B1546-C1546)/(Utilities!$B$11*IterData!H1546)))</f>
        <v>9.3143086975220779E-2</v>
      </c>
    </row>
    <row r="1547" spans="1:11" x14ac:dyDescent="0.3">
      <c r="A1547">
        <v>1546</v>
      </c>
      <c r="B1547">
        <v>0.57285356220499473</v>
      </c>
      <c r="C1547">
        <v>1.314746448461991E-2</v>
      </c>
      <c r="D1547">
        <v>9.8541763021948027E-4</v>
      </c>
      <c r="E1547" s="10">
        <v>1.9293467466303921E-4</v>
      </c>
      <c r="F1547" s="10">
        <v>2.2269823607075026</v>
      </c>
      <c r="H1547">
        <v>0.50000000000184597</v>
      </c>
      <c r="I1547" s="11">
        <f t="shared" si="24"/>
        <v>0.55970609772037483</v>
      </c>
      <c r="J1547" s="11">
        <f>1/(H1547*Utilities!$B$11)</f>
        <v>7.9999999999704645</v>
      </c>
      <c r="K1547" s="11">
        <f>IF(B1547&lt;C1547,1,EXP(-1*(B1547-C1547)/(Utilities!$B$11*IterData!H1547)))</f>
        <v>1.1360091833959852E-2</v>
      </c>
    </row>
    <row r="1548" spans="1:11" x14ac:dyDescent="0.3">
      <c r="A1548">
        <v>1547</v>
      </c>
      <c r="B1548">
        <v>0.41514908861021288</v>
      </c>
      <c r="C1548">
        <v>1.314746448461991E-2</v>
      </c>
      <c r="D1548">
        <v>6.9073300845413736E-3</v>
      </c>
      <c r="E1548" s="10">
        <v>1.9293467466303921E-4</v>
      </c>
      <c r="F1548" s="10">
        <v>2.2269823607075026</v>
      </c>
      <c r="H1548">
        <v>0.50000000000180944</v>
      </c>
      <c r="I1548" s="11">
        <f t="shared" si="24"/>
        <v>0.40200162412559298</v>
      </c>
      <c r="J1548" s="11">
        <f>1/(H1548*Utilities!$B$11)</f>
        <v>7.9999999999710489</v>
      </c>
      <c r="K1548" s="11">
        <f>IF(B1548&lt;C1548,1,EXP(-1*(B1548-C1548)/(Utilities!$B$11*IterData!H1548)))</f>
        <v>4.0114677347664163E-2</v>
      </c>
    </row>
    <row r="1549" spans="1:11" x14ac:dyDescent="0.3">
      <c r="A1549">
        <v>1548</v>
      </c>
      <c r="B1549">
        <v>1.0637297365689764</v>
      </c>
      <c r="C1549">
        <v>1.314746448461991E-2</v>
      </c>
      <c r="D1549">
        <v>2.2369195097359425E-6</v>
      </c>
      <c r="E1549" s="10">
        <v>1.9293467466303921E-4</v>
      </c>
      <c r="F1549" s="10">
        <v>2.2269823607075026</v>
      </c>
      <c r="H1549">
        <v>0.50000000000177358</v>
      </c>
      <c r="I1549" s="11">
        <f t="shared" si="24"/>
        <v>1.0505822720843565</v>
      </c>
      <c r="J1549" s="11">
        <f>1/(H1549*Utilities!$B$11)</f>
        <v>7.9999999999716227</v>
      </c>
      <c r="K1549" s="11">
        <f>IF(B1549&lt;C1549,1,EXP(-1*(B1549-C1549)/(Utilities!$B$11*IterData!H1549)))</f>
        <v>2.2382228833156575E-4</v>
      </c>
    </row>
    <row r="1550" spans="1:11" x14ac:dyDescent="0.3">
      <c r="A1550">
        <v>1549</v>
      </c>
      <c r="B1550">
        <v>0.40893695381079792</v>
      </c>
      <c r="C1550">
        <v>1.314746448461991E-2</v>
      </c>
      <c r="D1550">
        <v>7.4122343625922602E-3</v>
      </c>
      <c r="E1550" s="10">
        <v>1.9293467466303921E-4</v>
      </c>
      <c r="F1550" s="10">
        <v>2.2269823607075026</v>
      </c>
      <c r="H1550">
        <v>0.5000000000017385</v>
      </c>
      <c r="I1550" s="11">
        <f t="shared" si="24"/>
        <v>0.39578948932617802</v>
      </c>
      <c r="J1550" s="11">
        <f>1/(H1550*Utilities!$B$11)</f>
        <v>7.999999999972184</v>
      </c>
      <c r="K1550" s="11">
        <f>IF(B1550&lt;C1550,1,EXP(-1*(B1550-C1550)/(Utilities!$B$11*IterData!H1550)))</f>
        <v>4.2158628142270088E-2</v>
      </c>
    </row>
    <row r="1551" spans="1:11" x14ac:dyDescent="0.3">
      <c r="A1551">
        <v>1550</v>
      </c>
      <c r="B1551">
        <v>0.32489487478266366</v>
      </c>
      <c r="C1551">
        <v>1.314746448461991E-2</v>
      </c>
      <c r="D1551">
        <v>2.094892623383152E-2</v>
      </c>
      <c r="E1551" s="10">
        <v>1.9293467466303921E-4</v>
      </c>
      <c r="F1551" s="10">
        <v>2.2269823607075026</v>
      </c>
      <c r="H1551">
        <v>0.50000000000170408</v>
      </c>
      <c r="I1551" s="11">
        <f t="shared" si="24"/>
        <v>0.31174741029804376</v>
      </c>
      <c r="J1551" s="11">
        <f>1/(H1551*Utilities!$B$11)</f>
        <v>7.9999999999727347</v>
      </c>
      <c r="K1551" s="11">
        <f>IF(B1551&lt;C1551,1,EXP(-1*(B1551-C1551)/(Utilities!$B$11*IterData!H1551)))</f>
        <v>8.258069996329663E-2</v>
      </c>
    </row>
    <row r="1552" spans="1:11" x14ac:dyDescent="0.3">
      <c r="A1552">
        <v>1551</v>
      </c>
      <c r="B1552">
        <v>0.42277930505100597</v>
      </c>
      <c r="C1552">
        <v>1.314746448461991E-2</v>
      </c>
      <c r="D1552">
        <v>6.2030642340129526E-3</v>
      </c>
      <c r="E1552" s="10">
        <v>1.9293467466303921E-4</v>
      </c>
      <c r="F1552" s="10">
        <v>2.2269823607075026</v>
      </c>
      <c r="H1552">
        <v>0.50000000000167033</v>
      </c>
      <c r="I1552" s="11">
        <f t="shared" si="24"/>
        <v>0.40963184056638607</v>
      </c>
      <c r="J1552" s="11">
        <f>1/(H1552*Utilities!$B$11)</f>
        <v>7.9999999999732747</v>
      </c>
      <c r="K1552" s="11">
        <f>IF(B1552&lt;C1552,1,EXP(-1*(B1552-C1552)/(Utilities!$B$11*IterData!H1552)))</f>
        <v>3.7739245755581872E-2</v>
      </c>
    </row>
    <row r="1553" spans="1:11" x14ac:dyDescent="0.3">
      <c r="A1553">
        <v>1552</v>
      </c>
      <c r="B1553">
        <v>1.742483742932194</v>
      </c>
      <c r="C1553">
        <v>1.314746448461991E-2</v>
      </c>
      <c r="D1553">
        <v>4.7323016778788998E-10</v>
      </c>
      <c r="E1553" s="10">
        <v>1.9293467466303921E-4</v>
      </c>
      <c r="F1553" s="10">
        <v>2.2269823607075026</v>
      </c>
      <c r="H1553">
        <v>0.50000000000163725</v>
      </c>
      <c r="I1553" s="11">
        <f t="shared" si="24"/>
        <v>1.7293362784475741</v>
      </c>
      <c r="J1553" s="11">
        <f>1/(H1553*Utilities!$B$11)</f>
        <v>7.9999999999738041</v>
      </c>
      <c r="K1553" s="11">
        <f>IF(B1553&lt;C1553,1,EXP(-1*(B1553-C1553)/(Utilities!$B$11*IterData!H1553)))</f>
        <v>9.8100309000355478E-7</v>
      </c>
    </row>
    <row r="1554" spans="1:11" x14ac:dyDescent="0.3">
      <c r="A1554">
        <v>1553</v>
      </c>
      <c r="B1554">
        <v>1.0899954629486968</v>
      </c>
      <c r="C1554">
        <v>1.314746448461991E-2</v>
      </c>
      <c r="D1554">
        <v>1.5476706979100045E-6</v>
      </c>
      <c r="E1554" s="10">
        <v>1.9293467466303921E-4</v>
      </c>
      <c r="F1554" s="10">
        <v>2.2269823607075026</v>
      </c>
      <c r="H1554">
        <v>0.50000000000160483</v>
      </c>
      <c r="I1554" s="11">
        <f t="shared" si="24"/>
        <v>1.0768479984640769</v>
      </c>
      <c r="J1554" s="11">
        <f>1/(H1554*Utilities!$B$11)</f>
        <v>7.9999999999743228</v>
      </c>
      <c r="K1554" s="11">
        <f>IF(B1554&lt;C1554,1,EXP(-1*(B1554-C1554)/(Utilities!$B$11*IterData!H1554)))</f>
        <v>1.8140399675735616E-4</v>
      </c>
    </row>
    <row r="1555" spans="1:11" x14ac:dyDescent="0.3">
      <c r="A1555">
        <v>1554</v>
      </c>
      <c r="B1555">
        <v>0.59286642833827896</v>
      </c>
      <c r="C1555">
        <v>1.314746448461991E-2</v>
      </c>
      <c r="D1555">
        <v>7.4132890955543539E-4</v>
      </c>
      <c r="E1555" s="10">
        <v>1.9293467466303921E-4</v>
      </c>
      <c r="F1555" s="10">
        <v>2.2269823607075026</v>
      </c>
      <c r="H1555">
        <v>0.50000000000157296</v>
      </c>
      <c r="I1555" s="11">
        <f t="shared" si="24"/>
        <v>0.57971896385365906</v>
      </c>
      <c r="J1555" s="11">
        <f>1/(H1555*Utilities!$B$11)</f>
        <v>7.9999999999748326</v>
      </c>
      <c r="K1555" s="11">
        <f>IF(B1555&lt;C1555,1,EXP(-1*(B1555-C1555)/(Utilities!$B$11*IterData!H1555)))</f>
        <v>9.6794353518574235E-3</v>
      </c>
    </row>
    <row r="1556" spans="1:11" x14ac:dyDescent="0.3">
      <c r="A1556">
        <v>1555</v>
      </c>
      <c r="B1556">
        <v>5.0731703403105462E-2</v>
      </c>
      <c r="C1556">
        <v>1.314746448461991E-2</v>
      </c>
      <c r="D1556">
        <v>0.62653669674688661</v>
      </c>
      <c r="E1556" s="10">
        <v>1.9293467466303921E-4</v>
      </c>
      <c r="F1556" s="10">
        <v>2.2269823607075026</v>
      </c>
      <c r="H1556">
        <v>0.50000000000154188</v>
      </c>
      <c r="I1556" s="11">
        <f t="shared" si="24"/>
        <v>3.758423891848555E-2</v>
      </c>
      <c r="J1556" s="11">
        <f>1/(H1556*Utilities!$B$11)</f>
        <v>7.99999999997533</v>
      </c>
      <c r="K1556" s="11">
        <f>IF(B1556&lt;C1556,1,EXP(-1*(B1556-C1556)/(Utilities!$B$11*IterData!H1556)))</f>
        <v>0.74031914306269131</v>
      </c>
    </row>
    <row r="1557" spans="1:11" x14ac:dyDescent="0.3">
      <c r="A1557">
        <v>1556</v>
      </c>
      <c r="B1557">
        <v>0.32091941755789527</v>
      </c>
      <c r="C1557">
        <v>5.0731703403105462E-2</v>
      </c>
      <c r="D1557">
        <v>3.4620936949158791E-2</v>
      </c>
      <c r="E1557" s="10">
        <v>1.7749925031917109E-4</v>
      </c>
      <c r="F1557" s="10">
        <v>2.3075650343626162</v>
      </c>
      <c r="H1557">
        <v>0.50000000000151135</v>
      </c>
      <c r="I1557" s="11">
        <f t="shared" si="24"/>
        <v>0.27018771415478982</v>
      </c>
      <c r="J1557" s="11">
        <f>1/(H1557*Utilities!$B$11)</f>
        <v>7.9999999999758185</v>
      </c>
      <c r="K1557" s="11">
        <f>IF(B1557&lt;C1557,1,EXP(-1*(B1557-C1557)/(Utilities!$B$11*IterData!H1557)))</f>
        <v>0.11515206575007238</v>
      </c>
    </row>
    <row r="1558" spans="1:11" x14ac:dyDescent="0.3">
      <c r="A1558">
        <v>1557</v>
      </c>
      <c r="B1558">
        <v>1.1201421303488148</v>
      </c>
      <c r="C1558">
        <v>5.0731703403105462E-2</v>
      </c>
      <c r="D1558">
        <v>1.6403904290029302E-6</v>
      </c>
      <c r="E1558" s="10">
        <v>1.7749925031917109E-4</v>
      </c>
      <c r="F1558" s="10">
        <v>2.3075650343626162</v>
      </c>
      <c r="H1558">
        <v>0.50000000000148137</v>
      </c>
      <c r="I1558" s="11">
        <f t="shared" si="24"/>
        <v>1.0694104269457094</v>
      </c>
      <c r="J1558" s="11">
        <f>1/(H1558*Utilities!$B$11)</f>
        <v>7.9999999999762981</v>
      </c>
      <c r="K1558" s="11">
        <f>IF(B1558&lt;C1558,1,EXP(-1*(B1558-C1558)/(Utilities!$B$11*IterData!H1558)))</f>
        <v>1.9252521697553384E-4</v>
      </c>
    </row>
    <row r="1559" spans="1:11" x14ac:dyDescent="0.3">
      <c r="A1559">
        <v>1558</v>
      </c>
      <c r="B1559">
        <v>1.3461528416010109</v>
      </c>
      <c r="C1559">
        <v>5.0731703403105462E-2</v>
      </c>
      <c r="D1559">
        <v>9.7235587450698947E-8</v>
      </c>
      <c r="E1559" s="10">
        <v>1.7749925031917109E-4</v>
      </c>
      <c r="F1559" s="10">
        <v>2.3075650343626162</v>
      </c>
      <c r="H1559">
        <v>0.50000000000145206</v>
      </c>
      <c r="I1559" s="11">
        <f t="shared" si="24"/>
        <v>1.2954211381979055</v>
      </c>
      <c r="J1559" s="11">
        <f>1/(H1559*Utilities!$B$11)</f>
        <v>7.999999999976767</v>
      </c>
      <c r="K1559" s="11">
        <f>IF(B1559&lt;C1559,1,EXP(-1*(B1559-C1559)/(Utilities!$B$11*IterData!H1559)))</f>
        <v>3.1567921178933627E-5</v>
      </c>
    </row>
    <row r="1560" spans="1:11" x14ac:dyDescent="0.3">
      <c r="A1560">
        <v>1559</v>
      </c>
      <c r="B1560">
        <v>0.28202098096425698</v>
      </c>
      <c r="C1560">
        <v>5.0731703403105462E-2</v>
      </c>
      <c r="D1560">
        <v>5.587490815911654E-2</v>
      </c>
      <c r="E1560" s="10">
        <v>1.7749925031917109E-4</v>
      </c>
      <c r="F1560" s="10">
        <v>2.3075650343626162</v>
      </c>
      <c r="H1560">
        <v>0.50000000000142331</v>
      </c>
      <c r="I1560" s="11">
        <f t="shared" si="24"/>
        <v>0.23128927756115153</v>
      </c>
      <c r="J1560" s="11">
        <f>1/(H1560*Utilities!$B$11)</f>
        <v>7.9999999999772271</v>
      </c>
      <c r="K1560" s="11">
        <f>IF(B1560&lt;C1560,1,EXP(-1*(B1560-C1560)/(Utilities!$B$11*IterData!H1560)))</f>
        <v>0.1571877669366889</v>
      </c>
    </row>
    <row r="1561" spans="1:11" x14ac:dyDescent="0.3">
      <c r="A1561">
        <v>1560</v>
      </c>
      <c r="B1561">
        <v>8.8790948554375151E-2</v>
      </c>
      <c r="C1561">
        <v>5.0731703403105462E-2</v>
      </c>
      <c r="D1561">
        <v>0.621897880186425</v>
      </c>
      <c r="E1561" s="10">
        <v>1.7749925031917109E-4</v>
      </c>
      <c r="F1561" s="10">
        <v>2.3075650343626162</v>
      </c>
      <c r="H1561">
        <v>0.50000000000139511</v>
      </c>
      <c r="I1561" s="11">
        <f t="shared" si="24"/>
        <v>3.805924515126969E-2</v>
      </c>
      <c r="J1561" s="11">
        <f>1/(H1561*Utilities!$B$11)</f>
        <v>7.9999999999776783</v>
      </c>
      <c r="K1561" s="11">
        <f>IF(B1561&lt;C1561,1,EXP(-1*(B1561-C1561)/(Utilities!$B$11*IterData!H1561)))</f>
        <v>0.73751123188518308</v>
      </c>
    </row>
    <row r="1562" spans="1:11" x14ac:dyDescent="0.3">
      <c r="A1562">
        <v>1561</v>
      </c>
      <c r="B1562">
        <v>0.51800840692748773</v>
      </c>
      <c r="C1562">
        <v>5.0731703403105462E-2</v>
      </c>
      <c r="D1562">
        <v>2.9223959346132461E-3</v>
      </c>
      <c r="E1562" s="10">
        <v>1.7749925031917109E-4</v>
      </c>
      <c r="F1562" s="10">
        <v>2.3075650343626162</v>
      </c>
      <c r="H1562">
        <v>0.50000000000136746</v>
      </c>
      <c r="I1562" s="11">
        <f t="shared" si="24"/>
        <v>0.46727670352438228</v>
      </c>
      <c r="J1562" s="11">
        <f>1/(H1562*Utilities!$B$11)</f>
        <v>7.9999999999781206</v>
      </c>
      <c r="K1562" s="11">
        <f>IF(B1562&lt;C1562,1,EXP(-1*(B1562-C1562)/(Utilities!$B$11*IterData!H1562)))</f>
        <v>2.3796574715359311E-2</v>
      </c>
    </row>
    <row r="1563" spans="1:11" x14ac:dyDescent="0.3">
      <c r="A1563">
        <v>1562</v>
      </c>
      <c r="B1563">
        <v>4.1920313769105905E-2</v>
      </c>
      <c r="C1563">
        <v>5.0731703403105462E-2</v>
      </c>
      <c r="D1563">
        <v>1</v>
      </c>
      <c r="E1563" s="10">
        <v>1.7749925031917109E-4</v>
      </c>
      <c r="F1563" s="10">
        <v>2.3075650343626162</v>
      </c>
      <c r="H1563">
        <v>0.50000000000134048</v>
      </c>
      <c r="I1563" s="11">
        <f t="shared" si="24"/>
        <v>-8.811389633999557E-3</v>
      </c>
      <c r="J1563" s="11">
        <f>1/(H1563*Utilities!$B$11)</f>
        <v>7.9999999999785523</v>
      </c>
      <c r="K1563" s="11">
        <f>IF(B1563&lt;C1563,1,EXP(-1*(B1563-C1563)/(Utilities!$B$11*IterData!H1563)))</f>
        <v>1</v>
      </c>
    </row>
    <row r="1564" spans="1:11" x14ac:dyDescent="0.3">
      <c r="A1564">
        <v>1563</v>
      </c>
      <c r="B1564">
        <v>6.5231616673183085E-2</v>
      </c>
      <c r="C1564">
        <v>4.1920313769105905E-2</v>
      </c>
      <c r="D1564">
        <v>0.74715357084976664</v>
      </c>
      <c r="E1564" s="10">
        <v>2.0477310063337715E-4</v>
      </c>
      <c r="F1564" s="10">
        <v>2.2598048316281645</v>
      </c>
      <c r="H1564">
        <v>0.50000000000131384</v>
      </c>
      <c r="I1564" s="11">
        <f t="shared" si="24"/>
        <v>2.331130290407718E-2</v>
      </c>
      <c r="J1564" s="11">
        <f>1/(H1564*Utilities!$B$11)</f>
        <v>7.9999999999789786</v>
      </c>
      <c r="K1564" s="11">
        <f>IF(B1564&lt;C1564,1,EXP(-1*(B1564-C1564)/(Utilities!$B$11*IterData!H1564)))</f>
        <v>0.82986650935221595</v>
      </c>
    </row>
    <row r="1565" spans="1:11" x14ac:dyDescent="0.3">
      <c r="A1565">
        <v>1564</v>
      </c>
      <c r="B1565">
        <v>0.72408876614452689</v>
      </c>
      <c r="C1565">
        <v>6.5231616673183085E-2</v>
      </c>
      <c r="D1565">
        <v>2.6293054340979381E-4</v>
      </c>
      <c r="E1565" s="10">
        <v>2.0742086167999167E-4</v>
      </c>
      <c r="F1565" s="10">
        <v>2.2804127500543308</v>
      </c>
      <c r="H1565">
        <v>0.50000000000128786</v>
      </c>
      <c r="I1565" s="11">
        <f t="shared" si="24"/>
        <v>0.65885714947134377</v>
      </c>
      <c r="J1565" s="11">
        <f>1/(H1565*Utilities!$B$11)</f>
        <v>7.9999999999793943</v>
      </c>
      <c r="K1565" s="11">
        <f>IF(B1565&lt;C1565,1,EXP(-1*(B1565-C1565)/(Utilities!$B$11*IterData!H1565)))</f>
        <v>5.1392033810536159E-3</v>
      </c>
    </row>
    <row r="1566" spans="1:11" x14ac:dyDescent="0.3">
      <c r="A1566">
        <v>1565</v>
      </c>
      <c r="B1566">
        <v>0.34404576965629063</v>
      </c>
      <c r="C1566">
        <v>6.5231616673183085E-2</v>
      </c>
      <c r="D1566">
        <v>3.0477907705891323E-2</v>
      </c>
      <c r="E1566" s="10">
        <v>2.0742086167999167E-4</v>
      </c>
      <c r="F1566" s="10">
        <v>2.2804127500543308</v>
      </c>
      <c r="H1566">
        <v>0.50000000000126232</v>
      </c>
      <c r="I1566" s="11">
        <f t="shared" si="24"/>
        <v>0.27881415298310752</v>
      </c>
      <c r="J1566" s="11">
        <f>1/(H1566*Utilities!$B$11)</f>
        <v>7.9999999999798028</v>
      </c>
      <c r="K1566" s="11">
        <f>IF(B1566&lt;C1566,1,EXP(-1*(B1566-C1566)/(Utilities!$B$11*IterData!H1566)))</f>
        <v>0.10747325813890742</v>
      </c>
    </row>
    <row r="1567" spans="1:11" x14ac:dyDescent="0.3">
      <c r="A1567">
        <v>1566</v>
      </c>
      <c r="B1567">
        <v>0.40131922480539184</v>
      </c>
      <c r="C1567">
        <v>6.5231616673183085E-2</v>
      </c>
      <c r="D1567">
        <v>1.4838864584181313E-2</v>
      </c>
      <c r="E1567" s="10">
        <v>2.0742086167999167E-4</v>
      </c>
      <c r="F1567" s="10">
        <v>2.2804127500543308</v>
      </c>
      <c r="H1567">
        <v>0.50000000000123734</v>
      </c>
      <c r="I1567" s="11">
        <f t="shared" si="24"/>
        <v>0.33608760813220873</v>
      </c>
      <c r="J1567" s="11">
        <f>1/(H1567*Utilities!$B$11)</f>
        <v>7.9999999999802025</v>
      </c>
      <c r="K1567" s="11">
        <f>IF(B1567&lt;C1567,1,EXP(-1*(B1567-C1567)/(Utilities!$B$11*IterData!H1567)))</f>
        <v>6.7969183180365919E-2</v>
      </c>
    </row>
    <row r="1568" spans="1:11" x14ac:dyDescent="0.3">
      <c r="A1568">
        <v>1567</v>
      </c>
      <c r="B1568">
        <v>1.2420454477111853E-2</v>
      </c>
      <c r="C1568">
        <v>6.5231616673183085E-2</v>
      </c>
      <c r="D1568">
        <v>1</v>
      </c>
      <c r="E1568" s="10">
        <v>2.0742086167999167E-4</v>
      </c>
      <c r="F1568" s="10">
        <v>2.2804127500543308</v>
      </c>
      <c r="H1568">
        <v>0.50000000000121292</v>
      </c>
      <c r="I1568" s="11">
        <f t="shared" si="24"/>
        <v>-5.281116219607123E-2</v>
      </c>
      <c r="J1568" s="11">
        <f>1/(H1568*Utilities!$B$11)</f>
        <v>7.9999999999805933</v>
      </c>
      <c r="K1568" s="11">
        <f>IF(B1568&lt;C1568,1,EXP(-1*(B1568-C1568)/(Utilities!$B$11*IterData!H1568)))</f>
        <v>1</v>
      </c>
    </row>
    <row r="1569" spans="1:11" x14ac:dyDescent="0.3">
      <c r="A1569">
        <v>1568</v>
      </c>
      <c r="B1569">
        <v>0.15270691219213101</v>
      </c>
      <c r="C1569">
        <v>1.2420454477111853E-2</v>
      </c>
      <c r="D1569">
        <v>0.1720873081259964</v>
      </c>
      <c r="E1569" s="10">
        <v>1.8429557823232407E-4</v>
      </c>
      <c r="F1569" s="10">
        <v>2.2369328976948921</v>
      </c>
      <c r="H1569">
        <v>0.50000000000118883</v>
      </c>
      <c r="I1569" s="11">
        <f t="shared" si="24"/>
        <v>0.14028645771501916</v>
      </c>
      <c r="J1569" s="11">
        <f>1/(H1569*Utilities!$B$11)</f>
        <v>7.9999999999809788</v>
      </c>
      <c r="K1569" s="11">
        <f>IF(B1569&lt;C1569,1,EXP(-1*(B1569-C1569)/(Utilities!$B$11*IterData!H1569)))</f>
        <v>0.32553292781840598</v>
      </c>
    </row>
    <row r="1570" spans="1:11" x14ac:dyDescent="0.3">
      <c r="A1570">
        <v>1569</v>
      </c>
      <c r="B1570">
        <v>1.3371031164659712</v>
      </c>
      <c r="C1570">
        <v>1.2420454477111853E-2</v>
      </c>
      <c r="D1570">
        <v>6.0090338028542548E-8</v>
      </c>
      <c r="E1570" s="10">
        <v>1.8429557823232407E-4</v>
      </c>
      <c r="F1570" s="10">
        <v>2.2369328976948921</v>
      </c>
      <c r="H1570">
        <v>0.50000000000116529</v>
      </c>
      <c r="I1570" s="11">
        <f t="shared" si="24"/>
        <v>1.3246826619888594</v>
      </c>
      <c r="J1570" s="11">
        <f>1/(H1570*Utilities!$B$11)</f>
        <v>7.9999999999813554</v>
      </c>
      <c r="K1570" s="11">
        <f>IF(B1570&lt;C1570,1,EXP(-1*(B1570-C1570)/(Utilities!$B$11*IterData!H1570)))</f>
        <v>2.4979344467970501E-5</v>
      </c>
    </row>
    <row r="1571" spans="1:11" x14ac:dyDescent="0.3">
      <c r="A1571">
        <v>1570</v>
      </c>
      <c r="B1571">
        <v>1.5811804290732925</v>
      </c>
      <c r="C1571">
        <v>1.2420454477111853E-2</v>
      </c>
      <c r="D1571">
        <v>2.7721981350482048E-9</v>
      </c>
      <c r="E1571" s="10">
        <v>1.8429557823232407E-4</v>
      </c>
      <c r="F1571" s="10">
        <v>2.2369328976948921</v>
      </c>
      <c r="H1571">
        <v>0.5000000000011422</v>
      </c>
      <c r="I1571" s="11">
        <f t="shared" si="24"/>
        <v>1.5687599745961807</v>
      </c>
      <c r="J1571" s="11">
        <f>1/(H1571*Utilities!$B$11)</f>
        <v>7.9999999999817248</v>
      </c>
      <c r="K1571" s="11">
        <f>IF(B1571&lt;C1571,1,EXP(-1*(B1571-C1571)/(Utilities!$B$11*IterData!H1571)))</f>
        <v>3.5446192918378546E-6</v>
      </c>
    </row>
    <row r="1572" spans="1:11" x14ac:dyDescent="0.3">
      <c r="A1572">
        <v>1571</v>
      </c>
      <c r="B1572">
        <v>0.2370144741580105</v>
      </c>
      <c r="C1572">
        <v>1.2420454477111853E-2</v>
      </c>
      <c r="D1572">
        <v>5.9445364061817489E-2</v>
      </c>
      <c r="E1572" s="10">
        <v>1.8429557823232407E-4</v>
      </c>
      <c r="F1572" s="10">
        <v>2.2369328976948921</v>
      </c>
      <c r="H1572">
        <v>0.50000000000111966</v>
      </c>
      <c r="I1572" s="11">
        <f t="shared" si="24"/>
        <v>0.22459401968089865</v>
      </c>
      <c r="J1572" s="11">
        <f>1/(H1572*Utilities!$B$11)</f>
        <v>7.9999999999820854</v>
      </c>
      <c r="K1572" s="11">
        <f>IF(B1572&lt;C1572,1,EXP(-1*(B1572-C1572)/(Utilities!$B$11*IterData!H1572)))</f>
        <v>0.16583662575608168</v>
      </c>
    </row>
    <row r="1573" spans="1:11" x14ac:dyDescent="0.3">
      <c r="A1573">
        <v>1572</v>
      </c>
      <c r="B1573">
        <v>0.18321332359495709</v>
      </c>
      <c r="C1573">
        <v>1.2420454477111853E-2</v>
      </c>
      <c r="D1573">
        <v>0.1167300678547319</v>
      </c>
      <c r="E1573" s="10">
        <v>1.8429557823232407E-4</v>
      </c>
      <c r="F1573" s="10">
        <v>2.2369328976948921</v>
      </c>
      <c r="H1573">
        <v>0.50000000000109746</v>
      </c>
      <c r="I1573" s="11">
        <f t="shared" si="24"/>
        <v>0.17079286911784525</v>
      </c>
      <c r="J1573" s="11">
        <f>1/(H1573*Utilities!$B$11)</f>
        <v>7.9999999999824407</v>
      </c>
      <c r="K1573" s="11">
        <f>IF(B1573&lt;C1573,1,EXP(-1*(B1573-C1573)/(Utilities!$B$11*IterData!H1573)))</f>
        <v>0.25503794194785501</v>
      </c>
    </row>
    <row r="1574" spans="1:11" x14ac:dyDescent="0.3">
      <c r="A1574">
        <v>1573</v>
      </c>
      <c r="B1574">
        <v>0.16519564126993527</v>
      </c>
      <c r="C1574">
        <v>1.2420454477111853E-2</v>
      </c>
      <c r="D1574">
        <v>0.14623754621276291</v>
      </c>
      <c r="E1574" s="10">
        <v>1.8429557823232407E-4</v>
      </c>
      <c r="F1574" s="10">
        <v>2.2369328976948921</v>
      </c>
      <c r="H1574">
        <v>0.5000000000010757</v>
      </c>
      <c r="I1574" s="11">
        <f t="shared" si="24"/>
        <v>0.15277518679282343</v>
      </c>
      <c r="J1574" s="11">
        <f>1/(H1574*Utilities!$B$11)</f>
        <v>7.9999999999827889</v>
      </c>
      <c r="K1574" s="11">
        <f>IF(B1574&lt;C1574,1,EXP(-1*(B1574-C1574)/(Utilities!$B$11*IterData!H1574)))</f>
        <v>0.29458093428574839</v>
      </c>
    </row>
    <row r="1575" spans="1:11" x14ac:dyDescent="0.3">
      <c r="A1575">
        <v>1574</v>
      </c>
      <c r="B1575">
        <v>0.1842327680431721</v>
      </c>
      <c r="C1575">
        <v>0.16519564126993527</v>
      </c>
      <c r="D1575">
        <v>0.78685168827281371</v>
      </c>
      <c r="E1575" s="10">
        <v>1.8121296939340221E-4</v>
      </c>
      <c r="F1575" s="10">
        <v>2.0846965028137316</v>
      </c>
      <c r="H1575">
        <v>0.50000000000105438</v>
      </c>
      <c r="I1575" s="11">
        <f t="shared" si="24"/>
        <v>1.9037126773236823E-2</v>
      </c>
      <c r="J1575" s="11">
        <f>1/(H1575*Utilities!$B$11)</f>
        <v>7.9999999999831299</v>
      </c>
      <c r="K1575" s="11">
        <f>IF(B1575&lt;C1575,1,EXP(-1*(B1575-C1575)/(Utilities!$B$11*IterData!H1575)))</f>
        <v>0.85873318692161882</v>
      </c>
    </row>
    <row r="1576" spans="1:11" x14ac:dyDescent="0.3">
      <c r="A1576">
        <v>1575</v>
      </c>
      <c r="B1576">
        <v>0.25175334609440858</v>
      </c>
      <c r="C1576">
        <v>0.16519564126993527</v>
      </c>
      <c r="D1576">
        <v>0.33600572489499958</v>
      </c>
      <c r="E1576" s="10">
        <v>1.8121296939340221E-4</v>
      </c>
      <c r="F1576" s="10">
        <v>2.0846965028137316</v>
      </c>
      <c r="H1576">
        <v>0.50000000000103351</v>
      </c>
      <c r="I1576" s="11">
        <f t="shared" si="24"/>
        <v>8.6557704824473308E-2</v>
      </c>
      <c r="J1576" s="11">
        <f>1/(H1576*Utilities!$B$11)</f>
        <v>7.9999999999834639</v>
      </c>
      <c r="K1576" s="11">
        <f>IF(B1576&lt;C1576,1,EXP(-1*(B1576-C1576)/(Utilities!$B$11*IterData!H1576)))</f>
        <v>0.50034288850159492</v>
      </c>
    </row>
    <row r="1577" spans="1:11" x14ac:dyDescent="0.3">
      <c r="A1577">
        <v>1576</v>
      </c>
      <c r="B1577">
        <v>1.7355705652580751</v>
      </c>
      <c r="C1577">
        <v>0.16519564126993527</v>
      </c>
      <c r="D1577">
        <v>2.5192942312779385E-9</v>
      </c>
      <c r="E1577" s="10">
        <v>1.8121296939340221E-4</v>
      </c>
      <c r="F1577" s="10">
        <v>2.0846965028137316</v>
      </c>
      <c r="H1577">
        <v>0.50000000000101308</v>
      </c>
      <c r="I1577" s="11">
        <f t="shared" si="24"/>
        <v>1.5703749239881397</v>
      </c>
      <c r="J1577" s="11">
        <f>1/(H1577*Utilities!$B$11)</f>
        <v>7.9999999999837907</v>
      </c>
      <c r="K1577" s="11">
        <f>IF(B1577&lt;C1577,1,EXP(-1*(B1577-C1577)/(Utilities!$B$11*IterData!H1577)))</f>
        <v>3.4991188025108345E-6</v>
      </c>
    </row>
    <row r="1578" spans="1:11" x14ac:dyDescent="0.3">
      <c r="A1578">
        <v>1577</v>
      </c>
      <c r="B1578">
        <v>1.1166944708138187</v>
      </c>
      <c r="C1578">
        <v>0.16519564126993527</v>
      </c>
      <c r="D1578">
        <v>6.1190161540716524E-6</v>
      </c>
      <c r="E1578" s="10">
        <v>1.8121296939340221E-4</v>
      </c>
      <c r="F1578" s="10">
        <v>2.0846965028137316</v>
      </c>
      <c r="H1578">
        <v>0.50000000000099298</v>
      </c>
      <c r="I1578" s="11">
        <f t="shared" si="24"/>
        <v>0.95149882954388343</v>
      </c>
      <c r="J1578" s="11">
        <f>1/(H1578*Utilities!$B$11)</f>
        <v>7.9999999999841123</v>
      </c>
      <c r="K1578" s="11">
        <f>IF(B1578&lt;C1578,1,EXP(-1*(B1578-C1578)/(Utilities!$B$11*IterData!H1578)))</f>
        <v>4.9448653522798762E-4</v>
      </c>
    </row>
    <row r="1579" spans="1:11" x14ac:dyDescent="0.3">
      <c r="A1579">
        <v>1578</v>
      </c>
      <c r="B1579">
        <v>0.40711716600964315</v>
      </c>
      <c r="C1579">
        <v>0.16519564126993527</v>
      </c>
      <c r="D1579">
        <v>4.7169049693405449E-2</v>
      </c>
      <c r="E1579" s="10">
        <v>1.8121296939340221E-4</v>
      </c>
      <c r="F1579" s="10">
        <v>2.0846965028137316</v>
      </c>
      <c r="H1579">
        <v>0.50000000000097333</v>
      </c>
      <c r="I1579" s="11">
        <f t="shared" si="24"/>
        <v>0.24192152473970788</v>
      </c>
      <c r="J1579" s="11">
        <f>1/(H1579*Utilities!$B$11)</f>
        <v>7.9999999999844267</v>
      </c>
      <c r="K1579" s="11">
        <f>IF(B1579&lt;C1579,1,EXP(-1*(B1579-C1579)/(Utilities!$B$11*IterData!H1579)))</f>
        <v>0.1443705244143689</v>
      </c>
    </row>
    <row r="1580" spans="1:11" x14ac:dyDescent="0.3">
      <c r="A1580">
        <v>1579</v>
      </c>
      <c r="B1580">
        <v>0.16848236307034475</v>
      </c>
      <c r="C1580">
        <v>0.16519564126993527</v>
      </c>
      <c r="D1580">
        <v>0.95933219213049592</v>
      </c>
      <c r="E1580" s="10">
        <v>1.8121296939340221E-4</v>
      </c>
      <c r="F1580" s="10">
        <v>2.0846965028137316</v>
      </c>
      <c r="H1580">
        <v>0.50000000000095413</v>
      </c>
      <c r="I1580" s="11">
        <f t="shared" si="24"/>
        <v>3.2867218004094811E-3</v>
      </c>
      <c r="J1580" s="11">
        <f>1/(H1580*Utilities!$B$11)</f>
        <v>7.999999999984734</v>
      </c>
      <c r="K1580" s="11">
        <f>IF(B1580&lt;C1580,1,EXP(-1*(B1580-C1580)/(Utilities!$B$11*IterData!H1580)))</f>
        <v>0.97404889693935626</v>
      </c>
    </row>
    <row r="1581" spans="1:11" x14ac:dyDescent="0.3">
      <c r="A1581">
        <v>1580</v>
      </c>
      <c r="B1581">
        <v>0.48161389798553761</v>
      </c>
      <c r="C1581">
        <v>0.16848236307034475</v>
      </c>
      <c r="D1581">
        <v>1.9101611011767838E-2</v>
      </c>
      <c r="E1581" s="10">
        <v>2.087344418515014E-4</v>
      </c>
      <c r="F1581" s="10">
        <v>2.3547552316218163</v>
      </c>
      <c r="H1581">
        <v>0.50000000000093514</v>
      </c>
      <c r="I1581" s="11">
        <f t="shared" si="24"/>
        <v>0.31313153491519286</v>
      </c>
      <c r="J1581" s="11">
        <f>1/(H1581*Utilities!$B$11)</f>
        <v>7.9999999999850377</v>
      </c>
      <c r="K1581" s="11">
        <f>IF(B1581&lt;C1581,1,EXP(-1*(B1581-C1581)/(Utilities!$B$11*IterData!H1581)))</f>
        <v>8.1671328152439784E-2</v>
      </c>
    </row>
    <row r="1582" spans="1:11" x14ac:dyDescent="0.3">
      <c r="A1582">
        <v>1581</v>
      </c>
      <c r="B1582">
        <v>0.46493092551211213</v>
      </c>
      <c r="C1582">
        <v>0.16848236307034475</v>
      </c>
      <c r="D1582">
        <v>2.3529944904246355E-2</v>
      </c>
      <c r="E1582" s="10">
        <v>2.087344418515014E-4</v>
      </c>
      <c r="F1582" s="10">
        <v>2.3547552316218163</v>
      </c>
      <c r="H1582">
        <v>0.50000000000091671</v>
      </c>
      <c r="I1582" s="11">
        <f t="shared" si="24"/>
        <v>0.29644856244176737</v>
      </c>
      <c r="J1582" s="11">
        <f>1/(H1582*Utilities!$B$11)</f>
        <v>7.9999999999853326</v>
      </c>
      <c r="K1582" s="11">
        <f>IF(B1582&lt;C1582,1,EXP(-1*(B1582-C1582)/(Utilities!$B$11*IterData!H1582)))</f>
        <v>9.3332350067291972E-2</v>
      </c>
    </row>
    <row r="1583" spans="1:11" x14ac:dyDescent="0.3">
      <c r="A1583">
        <v>1582</v>
      </c>
      <c r="B1583">
        <v>9.7213435449544829E-3</v>
      </c>
      <c r="C1583">
        <v>0.16848236307034475</v>
      </c>
      <c r="D1583">
        <v>1</v>
      </c>
      <c r="E1583" s="10">
        <v>2.087344418515014E-4</v>
      </c>
      <c r="F1583" s="10">
        <v>2.3547552316218163</v>
      </c>
      <c r="H1583">
        <v>0.5000000000008985</v>
      </c>
      <c r="I1583" s="11">
        <f t="shared" si="24"/>
        <v>-0.15876101952539026</v>
      </c>
      <c r="J1583" s="11">
        <f>1/(H1583*Utilities!$B$11)</f>
        <v>7.9999999999856239</v>
      </c>
      <c r="K1583" s="11">
        <f>IF(B1583&lt;C1583,1,EXP(-1*(B1583-C1583)/(Utilities!$B$11*IterData!H1583)))</f>
        <v>1</v>
      </c>
    </row>
    <row r="1584" spans="1:11" x14ac:dyDescent="0.3">
      <c r="H1584">
        <v>0.50000000000088074</v>
      </c>
      <c r="I1584" s="11">
        <f t="shared" si="24"/>
        <v>0</v>
      </c>
      <c r="J1584" s="11">
        <f>1/(H1584*Utilities!$B$11)</f>
        <v>7.9999999999859082</v>
      </c>
      <c r="K1584" s="11">
        <f>IF(B1584&lt;C1584,1,EXP(-1*(B1584-C1584)/(Utilities!$B$11*IterData!H1584)))</f>
        <v>1</v>
      </c>
    </row>
    <row r="1585" spans="8:11" x14ac:dyDescent="0.3">
      <c r="H1585">
        <v>0.50000000000086331</v>
      </c>
      <c r="I1585" s="11">
        <f t="shared" si="24"/>
        <v>0</v>
      </c>
      <c r="J1585" s="11">
        <f>1/(H1585*Utilities!$B$11)</f>
        <v>7.999999999986187</v>
      </c>
      <c r="K1585" s="11">
        <f>IF(B1585&lt;C1585,1,EXP(-1*(B1585-C1585)/(Utilities!$B$11*IterData!H1585)))</f>
        <v>1</v>
      </c>
    </row>
    <row r="1586" spans="8:11" x14ac:dyDescent="0.3">
      <c r="H1586">
        <v>0.50000000000084621</v>
      </c>
      <c r="I1586" s="11">
        <f t="shared" si="24"/>
        <v>0</v>
      </c>
      <c r="J1586" s="11">
        <f>1/(H1586*Utilities!$B$11)</f>
        <v>7.9999999999864606</v>
      </c>
      <c r="K1586" s="11">
        <f>IF(B1586&lt;C1586,1,EXP(-1*(B1586-C1586)/(Utilities!$B$11*IterData!H1586)))</f>
        <v>1</v>
      </c>
    </row>
    <row r="1587" spans="8:11" x14ac:dyDescent="0.3">
      <c r="H1587">
        <v>0.50000000000082945</v>
      </c>
      <c r="I1587" s="11">
        <f t="shared" si="24"/>
        <v>0</v>
      </c>
      <c r="J1587" s="11">
        <f>1/(H1587*Utilities!$B$11)</f>
        <v>7.9999999999867288</v>
      </c>
      <c r="K1587" s="11">
        <f>IF(B1587&lt;C1587,1,EXP(-1*(B1587-C1587)/(Utilities!$B$11*IterData!H1587)))</f>
        <v>1</v>
      </c>
    </row>
    <row r="1588" spans="8:11" x14ac:dyDescent="0.3">
      <c r="H1588">
        <v>0.50000000000081302</v>
      </c>
      <c r="I1588" s="11">
        <f t="shared" si="24"/>
        <v>0</v>
      </c>
      <c r="J1588" s="11">
        <f>1/(H1588*Utilities!$B$11)</f>
        <v>7.9999999999869917</v>
      </c>
      <c r="K1588" s="11">
        <f>IF(B1588&lt;C1588,1,EXP(-1*(B1588-C1588)/(Utilities!$B$11*IterData!H1588)))</f>
        <v>1</v>
      </c>
    </row>
    <row r="1589" spans="8:11" x14ac:dyDescent="0.3">
      <c r="H1589">
        <v>0.50000000000079692</v>
      </c>
      <c r="I1589" s="11">
        <f t="shared" si="24"/>
        <v>0</v>
      </c>
      <c r="J1589" s="11">
        <f>1/(H1589*Utilities!$B$11)</f>
        <v>7.9999999999872493</v>
      </c>
      <c r="K1589" s="11">
        <f>IF(B1589&lt;C1589,1,EXP(-1*(B1589-C1589)/(Utilities!$B$11*IterData!H1589)))</f>
        <v>1</v>
      </c>
    </row>
    <row r="1590" spans="8:11" x14ac:dyDescent="0.3">
      <c r="H1590">
        <v>0.50000000000078115</v>
      </c>
      <c r="I1590" s="11">
        <f t="shared" si="24"/>
        <v>0</v>
      </c>
      <c r="J1590" s="11">
        <f>1/(H1590*Utilities!$B$11)</f>
        <v>7.9999999999875016</v>
      </c>
      <c r="K1590" s="11">
        <f>IF(B1590&lt;C1590,1,EXP(-1*(B1590-C1590)/(Utilities!$B$11*IterData!H1590)))</f>
        <v>1</v>
      </c>
    </row>
    <row r="1591" spans="8:11" x14ac:dyDescent="0.3">
      <c r="H1591">
        <v>0.50000000000076572</v>
      </c>
      <c r="I1591" s="11">
        <f t="shared" si="24"/>
        <v>0</v>
      </c>
      <c r="J1591" s="11">
        <f>1/(H1591*Utilities!$B$11)</f>
        <v>7.9999999999877485</v>
      </c>
      <c r="K1591" s="11">
        <f>IF(B1591&lt;C1591,1,EXP(-1*(B1591-C1591)/(Utilities!$B$11*IterData!H1591)))</f>
        <v>1</v>
      </c>
    </row>
    <row r="1592" spans="8:11" x14ac:dyDescent="0.3">
      <c r="H1592">
        <v>0.50000000000075051</v>
      </c>
      <c r="I1592" s="11">
        <f t="shared" si="24"/>
        <v>0</v>
      </c>
      <c r="J1592" s="11">
        <f>1/(H1592*Utilities!$B$11)</f>
        <v>7.9999999999879918</v>
      </c>
      <c r="K1592" s="11">
        <f>IF(B1592&lt;C1592,1,EXP(-1*(B1592-C1592)/(Utilities!$B$11*IterData!H1592)))</f>
        <v>1</v>
      </c>
    </row>
    <row r="1593" spans="8:11" x14ac:dyDescent="0.3">
      <c r="H1593">
        <v>0.50000000000073563</v>
      </c>
      <c r="I1593" s="11">
        <f t="shared" si="24"/>
        <v>0</v>
      </c>
      <c r="J1593" s="11">
        <f>1/(H1593*Utilities!$B$11)</f>
        <v>7.9999999999882299</v>
      </c>
      <c r="K1593" s="11">
        <f>IF(B1593&lt;C1593,1,EXP(-1*(B1593-C1593)/(Utilities!$B$11*IterData!H1593)))</f>
        <v>1</v>
      </c>
    </row>
    <row r="1594" spans="8:11" x14ac:dyDescent="0.3">
      <c r="H1594">
        <v>0.50000000000072109</v>
      </c>
      <c r="I1594" s="11">
        <f t="shared" si="24"/>
        <v>0</v>
      </c>
      <c r="J1594" s="11">
        <f>1/(H1594*Utilities!$B$11)</f>
        <v>7.9999999999884626</v>
      </c>
      <c r="K1594" s="11">
        <f>IF(B1594&lt;C1594,1,EXP(-1*(B1594-C1594)/(Utilities!$B$11*IterData!H1594)))</f>
        <v>1</v>
      </c>
    </row>
    <row r="1595" spans="8:11" x14ac:dyDescent="0.3">
      <c r="H1595">
        <v>0.50000000000070677</v>
      </c>
      <c r="I1595" s="11">
        <f t="shared" si="24"/>
        <v>0</v>
      </c>
      <c r="J1595" s="11">
        <f>1/(H1595*Utilities!$B$11)</f>
        <v>7.9999999999886917</v>
      </c>
      <c r="K1595" s="11">
        <f>IF(B1595&lt;C1595,1,EXP(-1*(B1595-C1595)/(Utilities!$B$11*IterData!H1595)))</f>
        <v>1</v>
      </c>
    </row>
    <row r="1596" spans="8:11" x14ac:dyDescent="0.3">
      <c r="H1596">
        <v>0.50000000000069278</v>
      </c>
      <c r="I1596" s="11">
        <f t="shared" si="24"/>
        <v>0</v>
      </c>
      <c r="J1596" s="11">
        <f>1/(H1596*Utilities!$B$11)</f>
        <v>7.9999999999889155</v>
      </c>
      <c r="K1596" s="11">
        <f>IF(B1596&lt;C1596,1,EXP(-1*(B1596-C1596)/(Utilities!$B$11*IterData!H1596)))</f>
        <v>1</v>
      </c>
    </row>
    <row r="1597" spans="8:11" x14ac:dyDescent="0.3">
      <c r="H1597">
        <v>0.50000000000067912</v>
      </c>
      <c r="I1597" s="11">
        <f t="shared" si="24"/>
        <v>0</v>
      </c>
      <c r="J1597" s="11">
        <f>1/(H1597*Utilities!$B$11)</f>
        <v>7.999999999989134</v>
      </c>
      <c r="K1597" s="11">
        <f>IF(B1597&lt;C1597,1,EXP(-1*(B1597-C1597)/(Utilities!$B$11*IterData!H1597)))</f>
        <v>1</v>
      </c>
    </row>
    <row r="1598" spans="8:11" x14ac:dyDescent="0.3">
      <c r="H1598">
        <v>0.50000000000066569</v>
      </c>
      <c r="I1598" s="11">
        <f t="shared" si="24"/>
        <v>0</v>
      </c>
      <c r="J1598" s="11">
        <f>1/(H1598*Utilities!$B$11)</f>
        <v>7.999999999989349</v>
      </c>
      <c r="K1598" s="11">
        <f>IF(B1598&lt;C1598,1,EXP(-1*(B1598-C1598)/(Utilities!$B$11*IterData!H1598)))</f>
        <v>1</v>
      </c>
    </row>
    <row r="1599" spans="8:11" x14ac:dyDescent="0.3">
      <c r="H1599">
        <v>0.50000000000065248</v>
      </c>
      <c r="I1599" s="11">
        <f t="shared" si="24"/>
        <v>0</v>
      </c>
      <c r="J1599" s="11">
        <f>1/(H1599*Utilities!$B$11)</f>
        <v>7.9999999999895604</v>
      </c>
      <c r="K1599" s="11">
        <f>IF(B1599&lt;C1599,1,EXP(-1*(B1599-C1599)/(Utilities!$B$11*IterData!H1599)))</f>
        <v>1</v>
      </c>
    </row>
    <row r="1600" spans="8:11" x14ac:dyDescent="0.3">
      <c r="H1600">
        <v>0.50000000000063949</v>
      </c>
      <c r="I1600" s="11">
        <f t="shared" si="24"/>
        <v>0</v>
      </c>
      <c r="J1600" s="11">
        <f>1/(H1600*Utilities!$B$11)</f>
        <v>7.9999999999897682</v>
      </c>
      <c r="K1600" s="11">
        <f>IF(B1600&lt;C1600,1,EXP(-1*(B1600-C1600)/(Utilities!$B$11*IterData!H1600)))</f>
        <v>1</v>
      </c>
    </row>
    <row r="1601" spans="8:11" x14ac:dyDescent="0.3">
      <c r="H1601">
        <v>0.50000000000062683</v>
      </c>
      <c r="I1601" s="11">
        <f t="shared" si="24"/>
        <v>0</v>
      </c>
      <c r="J1601" s="11">
        <f>1/(H1601*Utilities!$B$11)</f>
        <v>7.9999999999899707</v>
      </c>
      <c r="K1601" s="11">
        <f>IF(B1601&lt;C1601,1,EXP(-1*(B1601-C1601)/(Utilities!$B$11*IterData!H1601)))</f>
        <v>1</v>
      </c>
    </row>
    <row r="1602" spans="8:11" x14ac:dyDescent="0.3">
      <c r="H1602">
        <v>0.50000000000061451</v>
      </c>
      <c r="I1602" s="11">
        <f t="shared" si="24"/>
        <v>0</v>
      </c>
      <c r="J1602" s="11">
        <f>1/(H1602*Utilities!$B$11)</f>
        <v>7.9999999999901679</v>
      </c>
      <c r="K1602" s="11">
        <f>IF(B1602&lt;C1602,1,EXP(-1*(B1602-C1602)/(Utilities!$B$11*IterData!H1602)))</f>
        <v>1</v>
      </c>
    </row>
    <row r="1603" spans="8:11" x14ac:dyDescent="0.3">
      <c r="H1603">
        <v>0.5000000000006023</v>
      </c>
      <c r="I1603" s="11">
        <f t="shared" ref="I1603:I1666" si="25">B1603-C1603</f>
        <v>0</v>
      </c>
      <c r="J1603" s="11">
        <f>1/(H1603*Utilities!$B$11)</f>
        <v>7.9999999999903633</v>
      </c>
      <c r="K1603" s="11">
        <f>IF(B1603&lt;C1603,1,EXP(-1*(B1603-C1603)/(Utilities!$B$11*IterData!H1603)))</f>
        <v>1</v>
      </c>
    </row>
    <row r="1604" spans="8:11" x14ac:dyDescent="0.3">
      <c r="H1604">
        <v>0.50000000000059042</v>
      </c>
      <c r="I1604" s="11">
        <f t="shared" si="25"/>
        <v>0</v>
      </c>
      <c r="J1604" s="11">
        <f>1/(H1604*Utilities!$B$11)</f>
        <v>7.9999999999905533</v>
      </c>
      <c r="K1604" s="11">
        <f>IF(B1604&lt;C1604,1,EXP(-1*(B1604-C1604)/(Utilities!$B$11*IterData!H1604)))</f>
        <v>1</v>
      </c>
    </row>
    <row r="1605" spans="8:11" x14ac:dyDescent="0.3">
      <c r="H1605">
        <v>0.50000000000057865</v>
      </c>
      <c r="I1605" s="11">
        <f t="shared" si="25"/>
        <v>0</v>
      </c>
      <c r="J1605" s="11">
        <f>1/(H1605*Utilities!$B$11)</f>
        <v>7.9999999999907416</v>
      </c>
      <c r="K1605" s="11">
        <f>IF(B1605&lt;C1605,1,EXP(-1*(B1605-C1605)/(Utilities!$B$11*IterData!H1605)))</f>
        <v>1</v>
      </c>
    </row>
    <row r="1606" spans="8:11" x14ac:dyDescent="0.3">
      <c r="H1606">
        <v>0.50000000000056721</v>
      </c>
      <c r="I1606" s="11">
        <f t="shared" si="25"/>
        <v>0</v>
      </c>
      <c r="J1606" s="11">
        <f>1/(H1606*Utilities!$B$11)</f>
        <v>7.9999999999909246</v>
      </c>
      <c r="K1606" s="11">
        <f>IF(B1606&lt;C1606,1,EXP(-1*(B1606-C1606)/(Utilities!$B$11*IterData!H1606)))</f>
        <v>1</v>
      </c>
    </row>
    <row r="1607" spans="8:11" x14ac:dyDescent="0.3">
      <c r="H1607">
        <v>0.500000000000556</v>
      </c>
      <c r="I1607" s="11">
        <f t="shared" si="25"/>
        <v>0</v>
      </c>
      <c r="J1607" s="11">
        <f>1/(H1607*Utilities!$B$11)</f>
        <v>7.999999999991104</v>
      </c>
      <c r="K1607" s="11">
        <f>IF(B1607&lt;C1607,1,EXP(-1*(B1607-C1607)/(Utilities!$B$11*IterData!H1607)))</f>
        <v>1</v>
      </c>
    </row>
    <row r="1608" spans="8:11" x14ac:dyDescent="0.3">
      <c r="H1608">
        <v>0.50000000000054501</v>
      </c>
      <c r="I1608" s="11">
        <f t="shared" si="25"/>
        <v>0</v>
      </c>
      <c r="J1608" s="11">
        <f>1/(H1608*Utilities!$B$11)</f>
        <v>7.9999999999912799</v>
      </c>
      <c r="K1608" s="11">
        <f>IF(B1608&lt;C1608,1,EXP(-1*(B1608-C1608)/(Utilities!$B$11*IterData!H1608)))</f>
        <v>1</v>
      </c>
    </row>
    <row r="1609" spans="8:11" x14ac:dyDescent="0.3">
      <c r="H1609">
        <v>0.50000000000053424</v>
      </c>
      <c r="I1609" s="11">
        <f t="shared" si="25"/>
        <v>0</v>
      </c>
      <c r="J1609" s="11">
        <f>1/(H1609*Utilities!$B$11)</f>
        <v>7.9999999999914522</v>
      </c>
      <c r="K1609" s="11">
        <f>IF(B1609&lt;C1609,1,EXP(-1*(B1609-C1609)/(Utilities!$B$11*IterData!H1609)))</f>
        <v>1</v>
      </c>
    </row>
    <row r="1610" spans="8:11" x14ac:dyDescent="0.3">
      <c r="H1610">
        <v>0.50000000000052358</v>
      </c>
      <c r="I1610" s="11">
        <f t="shared" si="25"/>
        <v>0</v>
      </c>
      <c r="J1610" s="11">
        <f>1/(H1610*Utilities!$B$11)</f>
        <v>7.9999999999916227</v>
      </c>
      <c r="K1610" s="11">
        <f>IF(B1610&lt;C1610,1,EXP(-1*(B1610-C1610)/(Utilities!$B$11*IterData!H1610)))</f>
        <v>1</v>
      </c>
    </row>
    <row r="1611" spans="8:11" x14ac:dyDescent="0.3">
      <c r="H1611">
        <v>0.50000000000051326</v>
      </c>
      <c r="I1611" s="11">
        <f t="shared" si="25"/>
        <v>0</v>
      </c>
      <c r="J1611" s="11">
        <f>1/(H1611*Utilities!$B$11)</f>
        <v>7.9999999999917879</v>
      </c>
      <c r="K1611" s="11">
        <f>IF(B1611&lt;C1611,1,EXP(-1*(B1611-C1611)/(Utilities!$B$11*IterData!H1611)))</f>
        <v>1</v>
      </c>
    </row>
    <row r="1612" spans="8:11" x14ac:dyDescent="0.3">
      <c r="H1612">
        <v>0.50000000000050304</v>
      </c>
      <c r="I1612" s="11">
        <f t="shared" si="25"/>
        <v>0</v>
      </c>
      <c r="J1612" s="11">
        <f>1/(H1612*Utilities!$B$11)</f>
        <v>7.9999999999919513</v>
      </c>
      <c r="K1612" s="11">
        <f>IF(B1612&lt;C1612,1,EXP(-1*(B1612-C1612)/(Utilities!$B$11*IterData!H1612)))</f>
        <v>1</v>
      </c>
    </row>
    <row r="1613" spans="8:11" x14ac:dyDescent="0.3">
      <c r="H1613">
        <v>0.50000000000049316</v>
      </c>
      <c r="I1613" s="11">
        <f t="shared" si="25"/>
        <v>0</v>
      </c>
      <c r="J1613" s="11">
        <f>1/(H1613*Utilities!$B$11)</f>
        <v>7.9999999999921094</v>
      </c>
      <c r="K1613" s="11">
        <f>IF(B1613&lt;C1613,1,EXP(-1*(B1613-C1613)/(Utilities!$B$11*IterData!H1613)))</f>
        <v>1</v>
      </c>
    </row>
    <row r="1614" spans="8:11" x14ac:dyDescent="0.3">
      <c r="H1614">
        <v>0.50000000000048339</v>
      </c>
      <c r="I1614" s="11">
        <f t="shared" si="25"/>
        <v>0</v>
      </c>
      <c r="J1614" s="11">
        <f>1/(H1614*Utilities!$B$11)</f>
        <v>7.9999999999922657</v>
      </c>
      <c r="K1614" s="11">
        <f>IF(B1614&lt;C1614,1,EXP(-1*(B1614-C1614)/(Utilities!$B$11*IterData!H1614)))</f>
        <v>1</v>
      </c>
    </row>
    <row r="1615" spans="8:11" x14ac:dyDescent="0.3">
      <c r="H1615">
        <v>0.50000000000047373</v>
      </c>
      <c r="I1615" s="11">
        <f t="shared" si="25"/>
        <v>0</v>
      </c>
      <c r="J1615" s="11">
        <f>1/(H1615*Utilities!$B$11)</f>
        <v>7.9999999999924203</v>
      </c>
      <c r="K1615" s="11">
        <f>IF(B1615&lt;C1615,1,EXP(-1*(B1615-C1615)/(Utilities!$B$11*IterData!H1615)))</f>
        <v>1</v>
      </c>
    </row>
    <row r="1616" spans="8:11" x14ac:dyDescent="0.3">
      <c r="H1616">
        <v>0.50000000000046441</v>
      </c>
      <c r="I1616" s="11">
        <f t="shared" si="25"/>
        <v>0</v>
      </c>
      <c r="J1616" s="11">
        <f>1/(H1616*Utilities!$B$11)</f>
        <v>7.9999999999925695</v>
      </c>
      <c r="K1616" s="11">
        <f>IF(B1616&lt;C1616,1,EXP(-1*(B1616-C1616)/(Utilities!$B$11*IterData!H1616)))</f>
        <v>1</v>
      </c>
    </row>
    <row r="1617" spans="8:11" x14ac:dyDescent="0.3">
      <c r="H1617">
        <v>0.50000000000045519</v>
      </c>
      <c r="I1617" s="11">
        <f t="shared" si="25"/>
        <v>0</v>
      </c>
      <c r="J1617" s="11">
        <f>1/(H1617*Utilities!$B$11)</f>
        <v>7.9999999999927169</v>
      </c>
      <c r="K1617" s="11">
        <f>IF(B1617&lt;C1617,1,EXP(-1*(B1617-C1617)/(Utilities!$B$11*IterData!H1617)))</f>
        <v>1</v>
      </c>
    </row>
    <row r="1618" spans="8:11" x14ac:dyDescent="0.3">
      <c r="H1618">
        <v>0.5000000000004462</v>
      </c>
      <c r="I1618" s="11">
        <f t="shared" si="25"/>
        <v>0</v>
      </c>
      <c r="J1618" s="11">
        <f>1/(H1618*Utilities!$B$11)</f>
        <v>7.9999999999928608</v>
      </c>
      <c r="K1618" s="11">
        <f>IF(B1618&lt;C1618,1,EXP(-1*(B1618-C1618)/(Utilities!$B$11*IterData!H1618)))</f>
        <v>1</v>
      </c>
    </row>
    <row r="1619" spans="8:11" x14ac:dyDescent="0.3">
      <c r="H1619">
        <v>0.50000000000043732</v>
      </c>
      <c r="I1619" s="11">
        <f t="shared" si="25"/>
        <v>0</v>
      </c>
      <c r="J1619" s="11">
        <f>1/(H1619*Utilities!$B$11)</f>
        <v>7.9999999999930029</v>
      </c>
      <c r="K1619" s="11">
        <f>IF(B1619&lt;C1619,1,EXP(-1*(B1619-C1619)/(Utilities!$B$11*IterData!H1619)))</f>
        <v>1</v>
      </c>
    </row>
    <row r="1620" spans="8:11" x14ac:dyDescent="0.3">
      <c r="H1620">
        <v>0.50000000000042866</v>
      </c>
      <c r="I1620" s="11">
        <f t="shared" si="25"/>
        <v>0</v>
      </c>
      <c r="J1620" s="11">
        <f>1/(H1620*Utilities!$B$11)</f>
        <v>7.9999999999931415</v>
      </c>
      <c r="K1620" s="11">
        <f>IF(B1620&lt;C1620,1,EXP(-1*(B1620-C1620)/(Utilities!$B$11*IterData!H1620)))</f>
        <v>1</v>
      </c>
    </row>
    <row r="1621" spans="8:11" x14ac:dyDescent="0.3">
      <c r="H1621">
        <v>0.50000000000042022</v>
      </c>
      <c r="I1621" s="11">
        <f t="shared" si="25"/>
        <v>0</v>
      </c>
      <c r="J1621" s="11">
        <f>1/(H1621*Utilities!$B$11)</f>
        <v>7.9999999999932765</v>
      </c>
      <c r="K1621" s="11">
        <f>IF(B1621&lt;C1621,1,EXP(-1*(B1621-C1621)/(Utilities!$B$11*IterData!H1621)))</f>
        <v>1</v>
      </c>
    </row>
    <row r="1622" spans="8:11" x14ac:dyDescent="0.3">
      <c r="H1622">
        <v>0.50000000000041189</v>
      </c>
      <c r="I1622" s="11">
        <f t="shared" si="25"/>
        <v>0</v>
      </c>
      <c r="J1622" s="11">
        <f>1/(H1622*Utilities!$B$11)</f>
        <v>7.9999999999934097</v>
      </c>
      <c r="K1622" s="11">
        <f>IF(B1622&lt;C1622,1,EXP(-1*(B1622-C1622)/(Utilities!$B$11*IterData!H1622)))</f>
        <v>1</v>
      </c>
    </row>
    <row r="1623" spans="8:11" x14ac:dyDescent="0.3">
      <c r="H1623">
        <v>0.50000000000040368</v>
      </c>
      <c r="I1623" s="11">
        <f t="shared" si="25"/>
        <v>0</v>
      </c>
      <c r="J1623" s="11">
        <f>1/(H1623*Utilities!$B$11)</f>
        <v>7.9999999999935412</v>
      </c>
      <c r="K1623" s="11">
        <f>IF(B1623&lt;C1623,1,EXP(-1*(B1623-C1623)/(Utilities!$B$11*IterData!H1623)))</f>
        <v>1</v>
      </c>
    </row>
    <row r="1624" spans="8:11" x14ac:dyDescent="0.3">
      <c r="H1624">
        <v>0.50000000000039568</v>
      </c>
      <c r="I1624" s="11">
        <f t="shared" si="25"/>
        <v>0</v>
      </c>
      <c r="J1624" s="11">
        <f>1/(H1624*Utilities!$B$11)</f>
        <v>7.9999999999936691</v>
      </c>
      <c r="K1624" s="11">
        <f>IF(B1624&lt;C1624,1,EXP(-1*(B1624-C1624)/(Utilities!$B$11*IterData!H1624)))</f>
        <v>1</v>
      </c>
    </row>
    <row r="1625" spans="8:11" x14ac:dyDescent="0.3">
      <c r="H1625">
        <v>0.50000000000038791</v>
      </c>
      <c r="I1625" s="11">
        <f t="shared" si="25"/>
        <v>0</v>
      </c>
      <c r="J1625" s="11">
        <f>1/(H1625*Utilities!$B$11)</f>
        <v>7.9999999999937934</v>
      </c>
      <c r="K1625" s="11">
        <f>IF(B1625&lt;C1625,1,EXP(-1*(B1625-C1625)/(Utilities!$B$11*IterData!H1625)))</f>
        <v>1</v>
      </c>
    </row>
    <row r="1626" spans="8:11" x14ac:dyDescent="0.3">
      <c r="H1626">
        <v>0.50000000000038025</v>
      </c>
      <c r="I1626" s="11">
        <f t="shared" si="25"/>
        <v>0</v>
      </c>
      <c r="J1626" s="11">
        <f>1/(H1626*Utilities!$B$11)</f>
        <v>7.999999999993916</v>
      </c>
      <c r="K1626" s="11">
        <f>IF(B1626&lt;C1626,1,EXP(-1*(B1626-C1626)/(Utilities!$B$11*IterData!H1626)))</f>
        <v>1</v>
      </c>
    </row>
    <row r="1627" spans="8:11" x14ac:dyDescent="0.3">
      <c r="H1627">
        <v>0.5000000000003727</v>
      </c>
      <c r="I1627" s="11">
        <f t="shared" si="25"/>
        <v>0</v>
      </c>
      <c r="J1627" s="11">
        <f>1/(H1627*Utilities!$B$11)</f>
        <v>7.9999999999940368</v>
      </c>
      <c r="K1627" s="11">
        <f>IF(B1627&lt;C1627,1,EXP(-1*(B1627-C1627)/(Utilities!$B$11*IterData!H1627)))</f>
        <v>1</v>
      </c>
    </row>
    <row r="1628" spans="8:11" x14ac:dyDescent="0.3">
      <c r="H1628">
        <v>0.50000000000036526</v>
      </c>
      <c r="I1628" s="11">
        <f t="shared" si="25"/>
        <v>0</v>
      </c>
      <c r="J1628" s="11">
        <f>1/(H1628*Utilities!$B$11)</f>
        <v>7.9999999999941558</v>
      </c>
      <c r="K1628" s="11">
        <f>IF(B1628&lt;C1628,1,EXP(-1*(B1628-C1628)/(Utilities!$B$11*IterData!H1628)))</f>
        <v>1</v>
      </c>
    </row>
    <row r="1629" spans="8:11" x14ac:dyDescent="0.3">
      <c r="H1629">
        <v>0.50000000000035805</v>
      </c>
      <c r="I1629" s="11">
        <f t="shared" si="25"/>
        <v>0</v>
      </c>
      <c r="J1629" s="11">
        <f>1/(H1629*Utilities!$B$11)</f>
        <v>7.9999999999942712</v>
      </c>
      <c r="K1629" s="11">
        <f>IF(B1629&lt;C1629,1,EXP(-1*(B1629-C1629)/(Utilities!$B$11*IterData!H1629)))</f>
        <v>1</v>
      </c>
    </row>
    <row r="1630" spans="8:11" x14ac:dyDescent="0.3">
      <c r="H1630">
        <v>0.50000000000035094</v>
      </c>
      <c r="I1630" s="11">
        <f t="shared" si="25"/>
        <v>0</v>
      </c>
      <c r="J1630" s="11">
        <f>1/(H1630*Utilities!$B$11)</f>
        <v>7.9999999999943849</v>
      </c>
      <c r="K1630" s="11">
        <f>IF(B1630&lt;C1630,1,EXP(-1*(B1630-C1630)/(Utilities!$B$11*IterData!H1630)))</f>
        <v>1</v>
      </c>
    </row>
    <row r="1631" spans="8:11" x14ac:dyDescent="0.3">
      <c r="H1631">
        <v>0.50000000000034406</v>
      </c>
      <c r="I1631" s="11">
        <f t="shared" si="25"/>
        <v>0</v>
      </c>
      <c r="J1631" s="11">
        <f>1/(H1631*Utilities!$B$11)</f>
        <v>7.9999999999944951</v>
      </c>
      <c r="K1631" s="11">
        <f>IF(B1631&lt;C1631,1,EXP(-1*(B1631-C1631)/(Utilities!$B$11*IterData!H1631)))</f>
        <v>1</v>
      </c>
    </row>
    <row r="1632" spans="8:11" x14ac:dyDescent="0.3">
      <c r="H1632">
        <v>0.50000000000033717</v>
      </c>
      <c r="I1632" s="11">
        <f t="shared" si="25"/>
        <v>0</v>
      </c>
      <c r="J1632" s="11">
        <f>1/(H1632*Utilities!$B$11)</f>
        <v>7.9999999999946052</v>
      </c>
      <c r="K1632" s="11">
        <f>IF(B1632&lt;C1632,1,EXP(-1*(B1632-C1632)/(Utilities!$B$11*IterData!H1632)))</f>
        <v>1</v>
      </c>
    </row>
    <row r="1633" spans="8:11" x14ac:dyDescent="0.3">
      <c r="H1633">
        <v>0.50000000000033051</v>
      </c>
      <c r="I1633" s="11">
        <f t="shared" si="25"/>
        <v>0</v>
      </c>
      <c r="J1633" s="11">
        <f>1/(H1633*Utilities!$B$11)</f>
        <v>7.9999999999947118</v>
      </c>
      <c r="K1633" s="11">
        <f>IF(B1633&lt;C1633,1,EXP(-1*(B1633-C1633)/(Utilities!$B$11*IterData!H1633)))</f>
        <v>1</v>
      </c>
    </row>
    <row r="1634" spans="8:11" x14ac:dyDescent="0.3">
      <c r="H1634">
        <v>0.50000000000032396</v>
      </c>
      <c r="I1634" s="11">
        <f t="shared" si="25"/>
        <v>0</v>
      </c>
      <c r="J1634" s="11">
        <f>1/(H1634*Utilities!$B$11)</f>
        <v>7.9999999999948166</v>
      </c>
      <c r="K1634" s="11">
        <f>IF(B1634&lt;C1634,1,EXP(-1*(B1634-C1634)/(Utilities!$B$11*IterData!H1634)))</f>
        <v>1</v>
      </c>
    </row>
    <row r="1635" spans="8:11" x14ac:dyDescent="0.3">
      <c r="H1635">
        <v>0.50000000000031763</v>
      </c>
      <c r="I1635" s="11">
        <f t="shared" si="25"/>
        <v>0</v>
      </c>
      <c r="J1635" s="11">
        <f>1/(H1635*Utilities!$B$11)</f>
        <v>7.9999999999949178</v>
      </c>
      <c r="K1635" s="11">
        <f>IF(B1635&lt;C1635,1,EXP(-1*(B1635-C1635)/(Utilities!$B$11*IterData!H1635)))</f>
        <v>1</v>
      </c>
    </row>
    <row r="1636" spans="8:11" x14ac:dyDescent="0.3">
      <c r="H1636">
        <v>0.50000000000031131</v>
      </c>
      <c r="I1636" s="11">
        <f t="shared" si="25"/>
        <v>0</v>
      </c>
      <c r="J1636" s="11">
        <f>1/(H1636*Utilities!$B$11)</f>
        <v>7.9999999999950191</v>
      </c>
      <c r="K1636" s="11">
        <f>IF(B1636&lt;C1636,1,EXP(-1*(B1636-C1636)/(Utilities!$B$11*IterData!H1636)))</f>
        <v>1</v>
      </c>
    </row>
    <row r="1637" spans="8:11" x14ac:dyDescent="0.3">
      <c r="H1637">
        <v>0.50000000000030509</v>
      </c>
      <c r="I1637" s="11">
        <f t="shared" si="25"/>
        <v>0</v>
      </c>
      <c r="J1637" s="11">
        <f>1/(H1637*Utilities!$B$11)</f>
        <v>7.9999999999951186</v>
      </c>
      <c r="K1637" s="11">
        <f>IF(B1637&lt;C1637,1,EXP(-1*(B1637-C1637)/(Utilities!$B$11*IterData!H1637)))</f>
        <v>1</v>
      </c>
    </row>
    <row r="1638" spans="8:11" x14ac:dyDescent="0.3">
      <c r="H1638">
        <v>0.50000000000029909</v>
      </c>
      <c r="I1638" s="11">
        <f t="shared" si="25"/>
        <v>0</v>
      </c>
      <c r="J1638" s="11">
        <f>1/(H1638*Utilities!$B$11)</f>
        <v>7.9999999999952145</v>
      </c>
      <c r="K1638" s="11">
        <f>IF(B1638&lt;C1638,1,EXP(-1*(B1638-C1638)/(Utilities!$B$11*IterData!H1638)))</f>
        <v>1</v>
      </c>
    </row>
    <row r="1639" spans="8:11" x14ac:dyDescent="0.3">
      <c r="H1639">
        <v>0.50000000000029321</v>
      </c>
      <c r="I1639" s="11">
        <f t="shared" si="25"/>
        <v>0</v>
      </c>
      <c r="J1639" s="11">
        <f>1/(H1639*Utilities!$B$11)</f>
        <v>7.9999999999953086</v>
      </c>
      <c r="K1639" s="11">
        <f>IF(B1639&lt;C1639,1,EXP(-1*(B1639-C1639)/(Utilities!$B$11*IterData!H1639)))</f>
        <v>1</v>
      </c>
    </row>
    <row r="1640" spans="8:11" x14ac:dyDescent="0.3">
      <c r="H1640">
        <v>0.50000000000028733</v>
      </c>
      <c r="I1640" s="11">
        <f t="shared" si="25"/>
        <v>0</v>
      </c>
      <c r="J1640" s="11">
        <f>1/(H1640*Utilities!$B$11)</f>
        <v>7.9999999999954028</v>
      </c>
      <c r="K1640" s="11">
        <f>IF(B1640&lt;C1640,1,EXP(-1*(B1640-C1640)/(Utilities!$B$11*IterData!H1640)))</f>
        <v>1</v>
      </c>
    </row>
    <row r="1641" spans="8:11" x14ac:dyDescent="0.3">
      <c r="H1641">
        <v>0.50000000000028166</v>
      </c>
      <c r="I1641" s="11">
        <f t="shared" si="25"/>
        <v>0</v>
      </c>
      <c r="J1641" s="11">
        <f>1/(H1641*Utilities!$B$11)</f>
        <v>7.9999999999954934</v>
      </c>
      <c r="K1641" s="11">
        <f>IF(B1641&lt;C1641,1,EXP(-1*(B1641-C1641)/(Utilities!$B$11*IterData!H1641)))</f>
        <v>1</v>
      </c>
    </row>
    <row r="1642" spans="8:11" x14ac:dyDescent="0.3">
      <c r="H1642">
        <v>0.50000000000027611</v>
      </c>
      <c r="I1642" s="11">
        <f t="shared" si="25"/>
        <v>0</v>
      </c>
      <c r="J1642" s="11">
        <f>1/(H1642*Utilities!$B$11)</f>
        <v>7.9999999999955822</v>
      </c>
      <c r="K1642" s="11">
        <f>IF(B1642&lt;C1642,1,EXP(-1*(B1642-C1642)/(Utilities!$B$11*IterData!H1642)))</f>
        <v>1</v>
      </c>
    </row>
    <row r="1643" spans="8:11" x14ac:dyDescent="0.3">
      <c r="H1643">
        <v>0.50000000000027067</v>
      </c>
      <c r="I1643" s="11">
        <f t="shared" si="25"/>
        <v>0</v>
      </c>
      <c r="J1643" s="11">
        <f>1/(H1643*Utilities!$B$11)</f>
        <v>7.9999999999956692</v>
      </c>
      <c r="K1643" s="11">
        <f>IF(B1643&lt;C1643,1,EXP(-1*(B1643-C1643)/(Utilities!$B$11*IterData!H1643)))</f>
        <v>1</v>
      </c>
    </row>
    <row r="1644" spans="8:11" x14ac:dyDescent="0.3">
      <c r="H1644">
        <v>0.50000000000026523</v>
      </c>
      <c r="I1644" s="11">
        <f t="shared" si="25"/>
        <v>0</v>
      </c>
      <c r="J1644" s="11">
        <f>1/(H1644*Utilities!$B$11)</f>
        <v>7.9999999999957563</v>
      </c>
      <c r="K1644" s="11">
        <f>IF(B1644&lt;C1644,1,EXP(-1*(B1644-C1644)/(Utilities!$B$11*IterData!H1644)))</f>
        <v>1</v>
      </c>
    </row>
    <row r="1645" spans="8:11" x14ac:dyDescent="0.3">
      <c r="H1645">
        <v>0.50000000000026001</v>
      </c>
      <c r="I1645" s="11">
        <f t="shared" si="25"/>
        <v>0</v>
      </c>
      <c r="J1645" s="11">
        <f>1/(H1645*Utilities!$B$11)</f>
        <v>7.9999999999958398</v>
      </c>
      <c r="K1645" s="11">
        <f>IF(B1645&lt;C1645,1,EXP(-1*(B1645-C1645)/(Utilities!$B$11*IterData!H1645)))</f>
        <v>1</v>
      </c>
    </row>
    <row r="1646" spans="8:11" x14ac:dyDescent="0.3">
      <c r="H1646">
        <v>0.50000000000025491</v>
      </c>
      <c r="I1646" s="11">
        <f t="shared" si="25"/>
        <v>0</v>
      </c>
      <c r="J1646" s="11">
        <f>1/(H1646*Utilities!$B$11)</f>
        <v>7.9999999999959215</v>
      </c>
      <c r="K1646" s="11">
        <f>IF(B1646&lt;C1646,1,EXP(-1*(B1646-C1646)/(Utilities!$B$11*IterData!H1646)))</f>
        <v>1</v>
      </c>
    </row>
    <row r="1647" spans="8:11" x14ac:dyDescent="0.3">
      <c r="H1647">
        <v>0.5000000000002498</v>
      </c>
      <c r="I1647" s="11">
        <f t="shared" si="25"/>
        <v>0</v>
      </c>
      <c r="J1647" s="11">
        <f>1/(H1647*Utilities!$B$11)</f>
        <v>7.9999999999960032</v>
      </c>
      <c r="K1647" s="11">
        <f>IF(B1647&lt;C1647,1,EXP(-1*(B1647-C1647)/(Utilities!$B$11*IterData!H1647)))</f>
        <v>1</v>
      </c>
    </row>
    <row r="1648" spans="8:11" x14ac:dyDescent="0.3">
      <c r="H1648">
        <v>0.50000000000024492</v>
      </c>
      <c r="I1648" s="11">
        <f t="shared" si="25"/>
        <v>0</v>
      </c>
      <c r="J1648" s="11">
        <f>1/(H1648*Utilities!$B$11)</f>
        <v>7.9999999999960814</v>
      </c>
      <c r="K1648" s="11">
        <f>IF(B1648&lt;C1648,1,EXP(-1*(B1648-C1648)/(Utilities!$B$11*IterData!H1648)))</f>
        <v>1</v>
      </c>
    </row>
    <row r="1649" spans="8:11" x14ac:dyDescent="0.3">
      <c r="H1649">
        <v>0.50000000000024003</v>
      </c>
      <c r="I1649" s="11">
        <f t="shared" si="25"/>
        <v>0</v>
      </c>
      <c r="J1649" s="11">
        <f>1/(H1649*Utilities!$B$11)</f>
        <v>7.9999999999961595</v>
      </c>
      <c r="K1649" s="11">
        <f>IF(B1649&lt;C1649,1,EXP(-1*(B1649-C1649)/(Utilities!$B$11*IterData!H1649)))</f>
        <v>1</v>
      </c>
    </row>
    <row r="1650" spans="8:11" x14ac:dyDescent="0.3">
      <c r="H1650">
        <v>0.50000000000023526</v>
      </c>
      <c r="I1650" s="11">
        <f t="shared" si="25"/>
        <v>0</v>
      </c>
      <c r="J1650" s="11">
        <f>1/(H1650*Utilities!$B$11)</f>
        <v>7.9999999999962359</v>
      </c>
      <c r="K1650" s="11">
        <f>IF(B1650&lt;C1650,1,EXP(-1*(B1650-C1650)/(Utilities!$B$11*IterData!H1650)))</f>
        <v>1</v>
      </c>
    </row>
    <row r="1651" spans="8:11" x14ac:dyDescent="0.3">
      <c r="H1651">
        <v>0.50000000000023059</v>
      </c>
      <c r="I1651" s="11">
        <f t="shared" si="25"/>
        <v>0</v>
      </c>
      <c r="J1651" s="11">
        <f>1/(H1651*Utilities!$B$11)</f>
        <v>7.9999999999963105</v>
      </c>
      <c r="K1651" s="11">
        <f>IF(B1651&lt;C1651,1,EXP(-1*(B1651-C1651)/(Utilities!$B$11*IterData!H1651)))</f>
        <v>1</v>
      </c>
    </row>
    <row r="1652" spans="8:11" x14ac:dyDescent="0.3">
      <c r="H1652">
        <v>0.50000000000022604</v>
      </c>
      <c r="I1652" s="11">
        <f t="shared" si="25"/>
        <v>0</v>
      </c>
      <c r="J1652" s="11">
        <f>1/(H1652*Utilities!$B$11)</f>
        <v>7.9999999999963833</v>
      </c>
      <c r="K1652" s="11">
        <f>IF(B1652&lt;C1652,1,EXP(-1*(B1652-C1652)/(Utilities!$B$11*IterData!H1652)))</f>
        <v>1</v>
      </c>
    </row>
    <row r="1653" spans="8:11" x14ac:dyDescent="0.3">
      <c r="H1653">
        <v>0.5000000000002216</v>
      </c>
      <c r="I1653" s="11">
        <f t="shared" si="25"/>
        <v>0</v>
      </c>
      <c r="J1653" s="11">
        <f>1/(H1653*Utilities!$B$11)</f>
        <v>7.9999999999964544</v>
      </c>
      <c r="K1653" s="11">
        <f>IF(B1653&lt;C1653,1,EXP(-1*(B1653-C1653)/(Utilities!$B$11*IterData!H1653)))</f>
        <v>1</v>
      </c>
    </row>
    <row r="1654" spans="8:11" x14ac:dyDescent="0.3">
      <c r="H1654">
        <v>0.50000000000021716</v>
      </c>
      <c r="I1654" s="11">
        <f t="shared" si="25"/>
        <v>0</v>
      </c>
      <c r="J1654" s="11">
        <f>1/(H1654*Utilities!$B$11)</f>
        <v>7.9999999999965254</v>
      </c>
      <c r="K1654" s="11">
        <f>IF(B1654&lt;C1654,1,EXP(-1*(B1654-C1654)/(Utilities!$B$11*IterData!H1654)))</f>
        <v>1</v>
      </c>
    </row>
    <row r="1655" spans="8:11" x14ac:dyDescent="0.3">
      <c r="H1655">
        <v>0.50000000000021283</v>
      </c>
      <c r="I1655" s="11">
        <f t="shared" si="25"/>
        <v>0</v>
      </c>
      <c r="J1655" s="11">
        <f>1/(H1655*Utilities!$B$11)</f>
        <v>7.9999999999965947</v>
      </c>
      <c r="K1655" s="11">
        <f>IF(B1655&lt;C1655,1,EXP(-1*(B1655-C1655)/(Utilities!$B$11*IterData!H1655)))</f>
        <v>1</v>
      </c>
    </row>
    <row r="1656" spans="8:11" x14ac:dyDescent="0.3">
      <c r="H1656">
        <v>0.50000000000020872</v>
      </c>
      <c r="I1656" s="11">
        <f t="shared" si="25"/>
        <v>0</v>
      </c>
      <c r="J1656" s="11">
        <f>1/(H1656*Utilities!$B$11)</f>
        <v>7.9999999999966604</v>
      </c>
      <c r="K1656" s="11">
        <f>IF(B1656&lt;C1656,1,EXP(-1*(B1656-C1656)/(Utilities!$B$11*IterData!H1656)))</f>
        <v>1</v>
      </c>
    </row>
    <row r="1657" spans="8:11" x14ac:dyDescent="0.3">
      <c r="H1657">
        <v>0.5000000000002045</v>
      </c>
      <c r="I1657" s="11">
        <f t="shared" si="25"/>
        <v>0</v>
      </c>
      <c r="J1657" s="11">
        <f>1/(H1657*Utilities!$B$11)</f>
        <v>7.999999999996728</v>
      </c>
      <c r="K1657" s="11">
        <f>IF(B1657&lt;C1657,1,EXP(-1*(B1657-C1657)/(Utilities!$B$11*IterData!H1657)))</f>
        <v>1</v>
      </c>
    </row>
    <row r="1658" spans="8:11" x14ac:dyDescent="0.3">
      <c r="H1658">
        <v>0.50000000000020051</v>
      </c>
      <c r="I1658" s="11">
        <f t="shared" si="25"/>
        <v>0</v>
      </c>
      <c r="J1658" s="11">
        <f>1/(H1658*Utilities!$B$11)</f>
        <v>7.9999999999967919</v>
      </c>
      <c r="K1658" s="11">
        <f>IF(B1658&lt;C1658,1,EXP(-1*(B1658-C1658)/(Utilities!$B$11*IterData!H1658)))</f>
        <v>1</v>
      </c>
    </row>
    <row r="1659" spans="8:11" x14ac:dyDescent="0.3">
      <c r="H1659">
        <v>0.50000000000019651</v>
      </c>
      <c r="I1659" s="11">
        <f t="shared" si="25"/>
        <v>0</v>
      </c>
      <c r="J1659" s="11">
        <f>1/(H1659*Utilities!$B$11)</f>
        <v>7.9999999999968558</v>
      </c>
      <c r="K1659" s="11">
        <f>IF(B1659&lt;C1659,1,EXP(-1*(B1659-C1659)/(Utilities!$B$11*IterData!H1659)))</f>
        <v>1</v>
      </c>
    </row>
    <row r="1660" spans="8:11" x14ac:dyDescent="0.3">
      <c r="H1660">
        <v>0.50000000000019262</v>
      </c>
      <c r="I1660" s="11">
        <f t="shared" si="25"/>
        <v>0</v>
      </c>
      <c r="J1660" s="11">
        <f>1/(H1660*Utilities!$B$11)</f>
        <v>7.999999999996918</v>
      </c>
      <c r="K1660" s="11">
        <f>IF(B1660&lt;C1660,1,EXP(-1*(B1660-C1660)/(Utilities!$B$11*IterData!H1660)))</f>
        <v>1</v>
      </c>
    </row>
    <row r="1661" spans="8:11" x14ac:dyDescent="0.3">
      <c r="H1661">
        <v>0.50000000000018885</v>
      </c>
      <c r="I1661" s="11">
        <f t="shared" si="25"/>
        <v>0</v>
      </c>
      <c r="J1661" s="11">
        <f>1/(H1661*Utilities!$B$11)</f>
        <v>7.9999999999969784</v>
      </c>
      <c r="K1661" s="11">
        <f>IF(B1661&lt;C1661,1,EXP(-1*(B1661-C1661)/(Utilities!$B$11*IterData!H1661)))</f>
        <v>1</v>
      </c>
    </row>
    <row r="1662" spans="8:11" x14ac:dyDescent="0.3">
      <c r="H1662">
        <v>0.50000000000018507</v>
      </c>
      <c r="I1662" s="11">
        <f t="shared" si="25"/>
        <v>0</v>
      </c>
      <c r="J1662" s="11">
        <f>1/(H1662*Utilities!$B$11)</f>
        <v>7.9999999999970388</v>
      </c>
      <c r="K1662" s="11">
        <f>IF(B1662&lt;C1662,1,EXP(-1*(B1662-C1662)/(Utilities!$B$11*IterData!H1662)))</f>
        <v>1</v>
      </c>
    </row>
    <row r="1663" spans="8:11" x14ac:dyDescent="0.3">
      <c r="H1663">
        <v>0.50000000000018141</v>
      </c>
      <c r="I1663" s="11">
        <f t="shared" si="25"/>
        <v>0</v>
      </c>
      <c r="J1663" s="11">
        <f>1/(H1663*Utilities!$B$11)</f>
        <v>7.9999999999970974</v>
      </c>
      <c r="K1663" s="11">
        <f>IF(B1663&lt;C1663,1,EXP(-1*(B1663-C1663)/(Utilities!$B$11*IterData!H1663)))</f>
        <v>1</v>
      </c>
    </row>
    <row r="1664" spans="8:11" x14ac:dyDescent="0.3">
      <c r="H1664">
        <v>0.50000000000017786</v>
      </c>
      <c r="I1664" s="11">
        <f t="shared" si="25"/>
        <v>0</v>
      </c>
      <c r="J1664" s="11">
        <f>1/(H1664*Utilities!$B$11)</f>
        <v>7.9999999999971543</v>
      </c>
      <c r="K1664" s="11">
        <f>IF(B1664&lt;C1664,1,EXP(-1*(B1664-C1664)/(Utilities!$B$11*IterData!H1664)))</f>
        <v>1</v>
      </c>
    </row>
    <row r="1665" spans="8:11" x14ac:dyDescent="0.3">
      <c r="H1665">
        <v>0.50000000000017431</v>
      </c>
      <c r="I1665" s="11">
        <f t="shared" si="25"/>
        <v>0</v>
      </c>
      <c r="J1665" s="11">
        <f>1/(H1665*Utilities!$B$11)</f>
        <v>7.9999999999972111</v>
      </c>
      <c r="K1665" s="11">
        <f>IF(B1665&lt;C1665,1,EXP(-1*(B1665-C1665)/(Utilities!$B$11*IterData!H1665)))</f>
        <v>1</v>
      </c>
    </row>
    <row r="1666" spans="8:11" x14ac:dyDescent="0.3">
      <c r="H1666">
        <v>0.50000000000017086</v>
      </c>
      <c r="I1666" s="11">
        <f t="shared" si="25"/>
        <v>0</v>
      </c>
      <c r="J1666" s="11">
        <f>1/(H1666*Utilities!$B$11)</f>
        <v>7.9999999999972662</v>
      </c>
      <c r="K1666" s="11">
        <f>IF(B1666&lt;C1666,1,EXP(-1*(B1666-C1666)/(Utilities!$B$11*IterData!H1666)))</f>
        <v>1</v>
      </c>
    </row>
    <row r="1667" spans="8:11" x14ac:dyDescent="0.3">
      <c r="H1667">
        <v>0.50000000000016742</v>
      </c>
      <c r="I1667" s="11">
        <f t="shared" ref="I1667:I1730" si="26">B1667-C1667</f>
        <v>0</v>
      </c>
      <c r="J1667" s="11">
        <f>1/(H1667*Utilities!$B$11)</f>
        <v>7.9999999999973213</v>
      </c>
      <c r="K1667" s="11">
        <f>IF(B1667&lt;C1667,1,EXP(-1*(B1667-C1667)/(Utilities!$B$11*IterData!H1667)))</f>
        <v>1</v>
      </c>
    </row>
    <row r="1668" spans="8:11" x14ac:dyDescent="0.3">
      <c r="H1668">
        <v>0.50000000000016409</v>
      </c>
      <c r="I1668" s="11">
        <f t="shared" si="26"/>
        <v>0</v>
      </c>
      <c r="J1668" s="11">
        <f>1/(H1668*Utilities!$B$11)</f>
        <v>7.9999999999973745</v>
      </c>
      <c r="K1668" s="11">
        <f>IF(B1668&lt;C1668,1,EXP(-1*(B1668-C1668)/(Utilities!$B$11*IterData!H1668)))</f>
        <v>1</v>
      </c>
    </row>
    <row r="1669" spans="8:11" x14ac:dyDescent="0.3">
      <c r="H1669">
        <v>0.50000000000016087</v>
      </c>
      <c r="I1669" s="11">
        <f t="shared" si="26"/>
        <v>0</v>
      </c>
      <c r="J1669" s="11">
        <f>1/(H1669*Utilities!$B$11)</f>
        <v>7.9999999999974261</v>
      </c>
      <c r="K1669" s="11">
        <f>IF(B1669&lt;C1669,1,EXP(-1*(B1669-C1669)/(Utilities!$B$11*IterData!H1669)))</f>
        <v>1</v>
      </c>
    </row>
    <row r="1670" spans="8:11" x14ac:dyDescent="0.3">
      <c r="H1670">
        <v>0.50000000000015776</v>
      </c>
      <c r="I1670" s="11">
        <f t="shared" si="26"/>
        <v>0</v>
      </c>
      <c r="J1670" s="11">
        <f>1/(H1670*Utilities!$B$11)</f>
        <v>7.9999999999974758</v>
      </c>
      <c r="K1670" s="11">
        <f>IF(B1670&lt;C1670,1,EXP(-1*(B1670-C1670)/(Utilities!$B$11*IterData!H1670)))</f>
        <v>1</v>
      </c>
    </row>
    <row r="1671" spans="8:11" x14ac:dyDescent="0.3">
      <c r="H1671">
        <v>0.50000000000015454</v>
      </c>
      <c r="I1671" s="11">
        <f t="shared" si="26"/>
        <v>0</v>
      </c>
      <c r="J1671" s="11">
        <f>1/(H1671*Utilities!$B$11)</f>
        <v>7.9999999999975273</v>
      </c>
      <c r="K1671" s="11">
        <f>IF(B1671&lt;C1671,1,EXP(-1*(B1671-C1671)/(Utilities!$B$11*IterData!H1671)))</f>
        <v>1</v>
      </c>
    </row>
    <row r="1672" spans="8:11" x14ac:dyDescent="0.3">
      <c r="H1672">
        <v>0.50000000000015155</v>
      </c>
      <c r="I1672" s="11">
        <f t="shared" si="26"/>
        <v>0</v>
      </c>
      <c r="J1672" s="11">
        <f>1/(H1672*Utilities!$B$11)</f>
        <v>7.9999999999975753</v>
      </c>
      <c r="K1672" s="11">
        <f>IF(B1672&lt;C1672,1,EXP(-1*(B1672-C1672)/(Utilities!$B$11*IterData!H1672)))</f>
        <v>1</v>
      </c>
    </row>
    <row r="1673" spans="8:11" x14ac:dyDescent="0.3">
      <c r="H1673">
        <v>0.50000000000014855</v>
      </c>
      <c r="I1673" s="11">
        <f t="shared" si="26"/>
        <v>0</v>
      </c>
      <c r="J1673" s="11">
        <f>1/(H1673*Utilities!$B$11)</f>
        <v>7.9999999999976232</v>
      </c>
      <c r="K1673" s="11">
        <f>IF(B1673&lt;C1673,1,EXP(-1*(B1673-C1673)/(Utilities!$B$11*IterData!H1673)))</f>
        <v>1</v>
      </c>
    </row>
    <row r="1674" spans="8:11" x14ac:dyDescent="0.3">
      <c r="H1674">
        <v>0.50000000000014555</v>
      </c>
      <c r="I1674" s="11">
        <f t="shared" si="26"/>
        <v>0</v>
      </c>
      <c r="J1674" s="11">
        <f>1/(H1674*Utilities!$B$11)</f>
        <v>7.9999999999976712</v>
      </c>
      <c r="K1674" s="11">
        <f>IF(B1674&lt;C1674,1,EXP(-1*(B1674-C1674)/(Utilities!$B$11*IterData!H1674)))</f>
        <v>1</v>
      </c>
    </row>
    <row r="1675" spans="8:11" x14ac:dyDescent="0.3">
      <c r="H1675">
        <v>0.50000000000014266</v>
      </c>
      <c r="I1675" s="11">
        <f t="shared" si="26"/>
        <v>0</v>
      </c>
      <c r="J1675" s="11">
        <f>1/(H1675*Utilities!$B$11)</f>
        <v>7.9999999999977174</v>
      </c>
      <c r="K1675" s="11">
        <f>IF(B1675&lt;C1675,1,EXP(-1*(B1675-C1675)/(Utilities!$B$11*IterData!H1675)))</f>
        <v>1</v>
      </c>
    </row>
    <row r="1676" spans="8:11" x14ac:dyDescent="0.3">
      <c r="H1676">
        <v>0.50000000000013989</v>
      </c>
      <c r="I1676" s="11">
        <f t="shared" si="26"/>
        <v>0</v>
      </c>
      <c r="J1676" s="11">
        <f>1/(H1676*Utilities!$B$11)</f>
        <v>7.9999999999977618</v>
      </c>
      <c r="K1676" s="11">
        <f>IF(B1676&lt;C1676,1,EXP(-1*(B1676-C1676)/(Utilities!$B$11*IterData!H1676)))</f>
        <v>1</v>
      </c>
    </row>
    <row r="1677" spans="8:11" x14ac:dyDescent="0.3">
      <c r="H1677">
        <v>0.50000000000013711</v>
      </c>
      <c r="I1677" s="11">
        <f t="shared" si="26"/>
        <v>0</v>
      </c>
      <c r="J1677" s="11">
        <f>1/(H1677*Utilities!$B$11)</f>
        <v>7.9999999999978062</v>
      </c>
      <c r="K1677" s="11">
        <f>IF(B1677&lt;C1677,1,EXP(-1*(B1677-C1677)/(Utilities!$B$11*IterData!H1677)))</f>
        <v>1</v>
      </c>
    </row>
    <row r="1678" spans="8:11" x14ac:dyDescent="0.3">
      <c r="H1678">
        <v>0.50000000000013434</v>
      </c>
      <c r="I1678" s="11">
        <f t="shared" si="26"/>
        <v>0</v>
      </c>
      <c r="J1678" s="11">
        <f>1/(H1678*Utilities!$B$11)</f>
        <v>7.9999999999978506</v>
      </c>
      <c r="K1678" s="11">
        <f>IF(B1678&lt;C1678,1,EXP(-1*(B1678-C1678)/(Utilities!$B$11*IterData!H1678)))</f>
        <v>1</v>
      </c>
    </row>
    <row r="1679" spans="8:11" x14ac:dyDescent="0.3">
      <c r="H1679">
        <v>0.50000000000013178</v>
      </c>
      <c r="I1679" s="11">
        <f t="shared" si="26"/>
        <v>0</v>
      </c>
      <c r="J1679" s="11">
        <f>1/(H1679*Utilities!$B$11)</f>
        <v>7.9999999999978915</v>
      </c>
      <c r="K1679" s="11">
        <f>IF(B1679&lt;C1679,1,EXP(-1*(B1679-C1679)/(Utilities!$B$11*IterData!H1679)))</f>
        <v>1</v>
      </c>
    </row>
    <row r="1680" spans="8:11" x14ac:dyDescent="0.3">
      <c r="H1680">
        <v>0.50000000000012912</v>
      </c>
      <c r="I1680" s="11">
        <f t="shared" si="26"/>
        <v>0</v>
      </c>
      <c r="J1680" s="11">
        <f>1/(H1680*Utilities!$B$11)</f>
        <v>7.9999999999979341</v>
      </c>
      <c r="K1680" s="11">
        <f>IF(B1680&lt;C1680,1,EXP(-1*(B1680-C1680)/(Utilities!$B$11*IterData!H1680)))</f>
        <v>1</v>
      </c>
    </row>
    <row r="1681" spans="8:11" x14ac:dyDescent="0.3">
      <c r="H1681">
        <v>0.50000000000012657</v>
      </c>
      <c r="I1681" s="11">
        <f t="shared" si="26"/>
        <v>0</v>
      </c>
      <c r="J1681" s="11">
        <f>1/(H1681*Utilities!$B$11)</f>
        <v>7.999999999997975</v>
      </c>
      <c r="K1681" s="11">
        <f>IF(B1681&lt;C1681,1,EXP(-1*(B1681-C1681)/(Utilities!$B$11*IterData!H1681)))</f>
        <v>1</v>
      </c>
    </row>
    <row r="1682" spans="8:11" x14ac:dyDescent="0.3">
      <c r="H1682">
        <v>0.50000000000012401</v>
      </c>
      <c r="I1682" s="11">
        <f t="shared" si="26"/>
        <v>0</v>
      </c>
      <c r="J1682" s="11">
        <f>1/(H1682*Utilities!$B$11)</f>
        <v>7.9999999999980158</v>
      </c>
      <c r="K1682" s="11">
        <f>IF(B1682&lt;C1682,1,EXP(-1*(B1682-C1682)/(Utilities!$B$11*IterData!H1682)))</f>
        <v>1</v>
      </c>
    </row>
    <row r="1683" spans="8:11" x14ac:dyDescent="0.3">
      <c r="H1683">
        <v>0.50000000000012157</v>
      </c>
      <c r="I1683" s="11">
        <f t="shared" si="26"/>
        <v>0</v>
      </c>
      <c r="J1683" s="11">
        <f>1/(H1683*Utilities!$B$11)</f>
        <v>7.9999999999980549</v>
      </c>
      <c r="K1683" s="11">
        <f>IF(B1683&lt;C1683,1,EXP(-1*(B1683-C1683)/(Utilities!$B$11*IterData!H1683)))</f>
        <v>1</v>
      </c>
    </row>
    <row r="1684" spans="8:11" x14ac:dyDescent="0.3">
      <c r="H1684">
        <v>0.50000000000011924</v>
      </c>
      <c r="I1684" s="11">
        <f t="shared" si="26"/>
        <v>0</v>
      </c>
      <c r="J1684" s="11">
        <f>1/(H1684*Utilities!$B$11)</f>
        <v>7.9999999999980922</v>
      </c>
      <c r="K1684" s="11">
        <f>IF(B1684&lt;C1684,1,EXP(-1*(B1684-C1684)/(Utilities!$B$11*IterData!H1684)))</f>
        <v>1</v>
      </c>
    </row>
    <row r="1685" spans="8:11" x14ac:dyDescent="0.3">
      <c r="H1685">
        <v>0.5000000000001168</v>
      </c>
      <c r="I1685" s="11">
        <f t="shared" si="26"/>
        <v>0</v>
      </c>
      <c r="J1685" s="11">
        <f>1/(H1685*Utilities!$B$11)</f>
        <v>7.9999999999981313</v>
      </c>
      <c r="K1685" s="11">
        <f>IF(B1685&lt;C1685,1,EXP(-1*(B1685-C1685)/(Utilities!$B$11*IterData!H1685)))</f>
        <v>1</v>
      </c>
    </row>
    <row r="1686" spans="8:11" x14ac:dyDescent="0.3">
      <c r="H1686">
        <v>0.50000000000011458</v>
      </c>
      <c r="I1686" s="11">
        <f t="shared" si="26"/>
        <v>0</v>
      </c>
      <c r="J1686" s="11">
        <f>1/(H1686*Utilities!$B$11)</f>
        <v>7.9999999999981668</v>
      </c>
      <c r="K1686" s="11">
        <f>IF(B1686&lt;C1686,1,EXP(-1*(B1686-C1686)/(Utilities!$B$11*IterData!H1686)))</f>
        <v>1</v>
      </c>
    </row>
    <row r="1687" spans="8:11" x14ac:dyDescent="0.3">
      <c r="H1687">
        <v>0.50000000000011224</v>
      </c>
      <c r="I1687" s="11">
        <f t="shared" si="26"/>
        <v>0</v>
      </c>
      <c r="J1687" s="11">
        <f>1/(H1687*Utilities!$B$11)</f>
        <v>7.9999999999982041</v>
      </c>
      <c r="K1687" s="11">
        <f>IF(B1687&lt;C1687,1,EXP(-1*(B1687-C1687)/(Utilities!$B$11*IterData!H1687)))</f>
        <v>1</v>
      </c>
    </row>
    <row r="1688" spans="8:11" x14ac:dyDescent="0.3">
      <c r="H1688">
        <v>0.50000000000011002</v>
      </c>
      <c r="I1688" s="11">
        <f t="shared" si="26"/>
        <v>0</v>
      </c>
      <c r="J1688" s="11">
        <f>1/(H1688*Utilities!$B$11)</f>
        <v>7.9999999999982396</v>
      </c>
      <c r="K1688" s="11">
        <f>IF(B1688&lt;C1688,1,EXP(-1*(B1688-C1688)/(Utilities!$B$11*IterData!H1688)))</f>
        <v>1</v>
      </c>
    </row>
    <row r="1689" spans="8:11" x14ac:dyDescent="0.3">
      <c r="H1689">
        <v>0.5000000000001078</v>
      </c>
      <c r="I1689" s="11">
        <f t="shared" si="26"/>
        <v>0</v>
      </c>
      <c r="J1689" s="11">
        <f>1/(H1689*Utilities!$B$11)</f>
        <v>7.9999999999982752</v>
      </c>
      <c r="K1689" s="11">
        <f>IF(B1689&lt;C1689,1,EXP(-1*(B1689-C1689)/(Utilities!$B$11*IterData!H1689)))</f>
        <v>1</v>
      </c>
    </row>
    <row r="1690" spans="8:11" x14ac:dyDescent="0.3">
      <c r="H1690">
        <v>0.50000000000010569</v>
      </c>
      <c r="I1690" s="11">
        <f t="shared" si="26"/>
        <v>0</v>
      </c>
      <c r="J1690" s="11">
        <f>1/(H1690*Utilities!$B$11)</f>
        <v>7.9999999999983089</v>
      </c>
      <c r="K1690" s="11">
        <f>IF(B1690&lt;C1690,1,EXP(-1*(B1690-C1690)/(Utilities!$B$11*IterData!H1690)))</f>
        <v>1</v>
      </c>
    </row>
    <row r="1691" spans="8:11" x14ac:dyDescent="0.3">
      <c r="H1691">
        <v>0.50000000000010358</v>
      </c>
      <c r="I1691" s="11">
        <f t="shared" si="26"/>
        <v>0</v>
      </c>
      <c r="J1691" s="11">
        <f>1/(H1691*Utilities!$B$11)</f>
        <v>7.9999999999983427</v>
      </c>
      <c r="K1691" s="11">
        <f>IF(B1691&lt;C1691,1,EXP(-1*(B1691-C1691)/(Utilities!$B$11*IterData!H1691)))</f>
        <v>1</v>
      </c>
    </row>
    <row r="1692" spans="8:11" x14ac:dyDescent="0.3">
      <c r="H1692">
        <v>0.50000000000010159</v>
      </c>
      <c r="I1692" s="11">
        <f t="shared" si="26"/>
        <v>0</v>
      </c>
      <c r="J1692" s="11">
        <f>1/(H1692*Utilities!$B$11)</f>
        <v>7.9999999999983746</v>
      </c>
      <c r="K1692" s="11">
        <f>IF(B1692&lt;C1692,1,EXP(-1*(B1692-C1692)/(Utilities!$B$11*IterData!H1692)))</f>
        <v>1</v>
      </c>
    </row>
    <row r="1693" spans="8:11" x14ac:dyDescent="0.3">
      <c r="H1693">
        <v>0.50000000000009959</v>
      </c>
      <c r="I1693" s="11">
        <f t="shared" si="26"/>
        <v>0</v>
      </c>
      <c r="J1693" s="11">
        <f>1/(H1693*Utilities!$B$11)</f>
        <v>7.9999999999984066</v>
      </c>
      <c r="K1693" s="11">
        <f>IF(B1693&lt;C1693,1,EXP(-1*(B1693-C1693)/(Utilities!$B$11*IterData!H1693)))</f>
        <v>1</v>
      </c>
    </row>
    <row r="1694" spans="8:11" x14ac:dyDescent="0.3">
      <c r="H1694">
        <v>0.50000000000009759</v>
      </c>
      <c r="I1694" s="11">
        <f t="shared" si="26"/>
        <v>0</v>
      </c>
      <c r="J1694" s="11">
        <f>1/(H1694*Utilities!$B$11)</f>
        <v>7.9999999999984386</v>
      </c>
      <c r="K1694" s="11">
        <f>IF(B1694&lt;C1694,1,EXP(-1*(B1694-C1694)/(Utilities!$B$11*IterData!H1694)))</f>
        <v>1</v>
      </c>
    </row>
    <row r="1695" spans="8:11" x14ac:dyDescent="0.3">
      <c r="H1695">
        <v>0.5000000000000957</v>
      </c>
      <c r="I1695" s="11">
        <f t="shared" si="26"/>
        <v>0</v>
      </c>
      <c r="J1695" s="11">
        <f>1/(H1695*Utilities!$B$11)</f>
        <v>7.9999999999984688</v>
      </c>
      <c r="K1695" s="11">
        <f>IF(B1695&lt;C1695,1,EXP(-1*(B1695-C1695)/(Utilities!$B$11*IterData!H1695)))</f>
        <v>1</v>
      </c>
    </row>
    <row r="1696" spans="8:11" x14ac:dyDescent="0.3">
      <c r="H1696">
        <v>0.50000000000009381</v>
      </c>
      <c r="I1696" s="11">
        <f t="shared" si="26"/>
        <v>0</v>
      </c>
      <c r="J1696" s="11">
        <f>1/(H1696*Utilities!$B$11)</f>
        <v>7.999999999998499</v>
      </c>
      <c r="K1696" s="11">
        <f>IF(B1696&lt;C1696,1,EXP(-1*(B1696-C1696)/(Utilities!$B$11*IterData!H1696)))</f>
        <v>1</v>
      </c>
    </row>
    <row r="1697" spans="8:11" x14ac:dyDescent="0.3">
      <c r="H1697">
        <v>0.50000000000009193</v>
      </c>
      <c r="I1697" s="11">
        <f t="shared" si="26"/>
        <v>0</v>
      </c>
      <c r="J1697" s="11">
        <f>1/(H1697*Utilities!$B$11)</f>
        <v>7.9999999999985292</v>
      </c>
      <c r="K1697" s="11">
        <f>IF(B1697&lt;C1697,1,EXP(-1*(B1697-C1697)/(Utilities!$B$11*IterData!H1697)))</f>
        <v>1</v>
      </c>
    </row>
    <row r="1698" spans="8:11" x14ac:dyDescent="0.3">
      <c r="H1698">
        <v>0.50000000000009004</v>
      </c>
      <c r="I1698" s="11">
        <f t="shared" si="26"/>
        <v>0</v>
      </c>
      <c r="J1698" s="11">
        <f>1/(H1698*Utilities!$B$11)</f>
        <v>7.9999999999985594</v>
      </c>
      <c r="K1698" s="11">
        <f>IF(B1698&lt;C1698,1,EXP(-1*(B1698-C1698)/(Utilities!$B$11*IterData!H1698)))</f>
        <v>1</v>
      </c>
    </row>
    <row r="1699" spans="8:11" x14ac:dyDescent="0.3">
      <c r="H1699">
        <v>0.50000000000008826</v>
      </c>
      <c r="I1699" s="11">
        <f t="shared" si="26"/>
        <v>0</v>
      </c>
      <c r="J1699" s="11">
        <f>1/(H1699*Utilities!$B$11)</f>
        <v>7.9999999999985878</v>
      </c>
      <c r="K1699" s="11">
        <f>IF(B1699&lt;C1699,1,EXP(-1*(B1699-C1699)/(Utilities!$B$11*IterData!H1699)))</f>
        <v>1</v>
      </c>
    </row>
    <row r="1700" spans="8:11" x14ac:dyDescent="0.3">
      <c r="H1700">
        <v>0.5000000000000866</v>
      </c>
      <c r="I1700" s="11">
        <f t="shared" si="26"/>
        <v>0</v>
      </c>
      <c r="J1700" s="11">
        <f>1/(H1700*Utilities!$B$11)</f>
        <v>7.9999999999986144</v>
      </c>
      <c r="K1700" s="11">
        <f>IF(B1700&lt;C1700,1,EXP(-1*(B1700-C1700)/(Utilities!$B$11*IterData!H1700)))</f>
        <v>1</v>
      </c>
    </row>
    <row r="1701" spans="8:11" x14ac:dyDescent="0.3">
      <c r="H1701">
        <v>0.50000000000008482</v>
      </c>
      <c r="I1701" s="11">
        <f t="shared" si="26"/>
        <v>0</v>
      </c>
      <c r="J1701" s="11">
        <f>1/(H1701*Utilities!$B$11)</f>
        <v>7.9999999999986429</v>
      </c>
      <c r="K1701" s="11">
        <f>IF(B1701&lt;C1701,1,EXP(-1*(B1701-C1701)/(Utilities!$B$11*IterData!H1701)))</f>
        <v>1</v>
      </c>
    </row>
    <row r="1702" spans="8:11" x14ac:dyDescent="0.3">
      <c r="H1702">
        <v>0.50000000000008316</v>
      </c>
      <c r="I1702" s="11">
        <f t="shared" si="26"/>
        <v>0</v>
      </c>
      <c r="J1702" s="11">
        <f>1/(H1702*Utilities!$B$11)</f>
        <v>7.9999999999986695</v>
      </c>
      <c r="K1702" s="11">
        <f>IF(B1702&lt;C1702,1,EXP(-1*(B1702-C1702)/(Utilities!$B$11*IterData!H1702)))</f>
        <v>1</v>
      </c>
    </row>
    <row r="1703" spans="8:11" x14ac:dyDescent="0.3">
      <c r="H1703">
        <v>0.50000000000008149</v>
      </c>
      <c r="I1703" s="11">
        <f t="shared" si="26"/>
        <v>0</v>
      </c>
      <c r="J1703" s="11">
        <f>1/(H1703*Utilities!$B$11)</f>
        <v>7.9999999999986962</v>
      </c>
      <c r="K1703" s="11">
        <f>IF(B1703&lt;C1703,1,EXP(-1*(B1703-C1703)/(Utilities!$B$11*IterData!H1703)))</f>
        <v>1</v>
      </c>
    </row>
    <row r="1704" spans="8:11" x14ac:dyDescent="0.3">
      <c r="H1704">
        <v>0.50000000000007994</v>
      </c>
      <c r="I1704" s="11">
        <f t="shared" si="26"/>
        <v>0</v>
      </c>
      <c r="J1704" s="11">
        <f>1/(H1704*Utilities!$B$11)</f>
        <v>7.999999999998721</v>
      </c>
      <c r="K1704" s="11">
        <f>IF(B1704&lt;C1704,1,EXP(-1*(B1704-C1704)/(Utilities!$B$11*IterData!H1704)))</f>
        <v>1</v>
      </c>
    </row>
    <row r="1705" spans="8:11" x14ac:dyDescent="0.3">
      <c r="H1705">
        <v>0.50000000000007827</v>
      </c>
      <c r="I1705" s="11">
        <f t="shared" si="26"/>
        <v>0</v>
      </c>
      <c r="J1705" s="11">
        <f>1/(H1705*Utilities!$B$11)</f>
        <v>7.9999999999987477</v>
      </c>
      <c r="K1705" s="11">
        <f>IF(B1705&lt;C1705,1,EXP(-1*(B1705-C1705)/(Utilities!$B$11*IterData!H1705)))</f>
        <v>1</v>
      </c>
    </row>
    <row r="1706" spans="8:11" x14ac:dyDescent="0.3">
      <c r="H1706">
        <v>0.50000000000007672</v>
      </c>
      <c r="I1706" s="11">
        <f t="shared" si="26"/>
        <v>0</v>
      </c>
      <c r="J1706" s="11">
        <f>1/(H1706*Utilities!$B$11)</f>
        <v>7.9999999999987725</v>
      </c>
      <c r="K1706" s="11">
        <f>IF(B1706&lt;C1706,1,EXP(-1*(B1706-C1706)/(Utilities!$B$11*IterData!H1706)))</f>
        <v>1</v>
      </c>
    </row>
    <row r="1707" spans="8:11" x14ac:dyDescent="0.3">
      <c r="H1707">
        <v>0.50000000000007527</v>
      </c>
      <c r="I1707" s="11">
        <f t="shared" si="26"/>
        <v>0</v>
      </c>
      <c r="J1707" s="11">
        <f>1/(H1707*Utilities!$B$11)</f>
        <v>7.9999999999987956</v>
      </c>
      <c r="K1707" s="11">
        <f>IF(B1707&lt;C1707,1,EXP(-1*(B1707-C1707)/(Utilities!$B$11*IterData!H1707)))</f>
        <v>1</v>
      </c>
    </row>
    <row r="1708" spans="8:11" x14ac:dyDescent="0.3">
      <c r="H1708">
        <v>0.50000000000007372</v>
      </c>
      <c r="I1708" s="11">
        <f t="shared" si="26"/>
        <v>0</v>
      </c>
      <c r="J1708" s="11">
        <f>1/(H1708*Utilities!$B$11)</f>
        <v>7.9999999999988205</v>
      </c>
      <c r="K1708" s="11">
        <f>IF(B1708&lt;C1708,1,EXP(-1*(B1708-C1708)/(Utilities!$B$11*IterData!H1708)))</f>
        <v>1</v>
      </c>
    </row>
    <row r="1709" spans="8:11" x14ac:dyDescent="0.3">
      <c r="H1709">
        <v>0.50000000000007228</v>
      </c>
      <c r="I1709" s="11">
        <f t="shared" si="26"/>
        <v>0</v>
      </c>
      <c r="J1709" s="11">
        <f>1/(H1709*Utilities!$B$11)</f>
        <v>7.9999999999988436</v>
      </c>
      <c r="K1709" s="11">
        <f>IF(B1709&lt;C1709,1,EXP(-1*(B1709-C1709)/(Utilities!$B$11*IterData!H1709)))</f>
        <v>1</v>
      </c>
    </row>
    <row r="1710" spans="8:11" x14ac:dyDescent="0.3">
      <c r="H1710">
        <v>0.50000000000007083</v>
      </c>
      <c r="I1710" s="11">
        <f t="shared" si="26"/>
        <v>0</v>
      </c>
      <c r="J1710" s="11">
        <f>1/(H1710*Utilities!$B$11)</f>
        <v>7.9999999999988667</v>
      </c>
      <c r="K1710" s="11">
        <f>IF(B1710&lt;C1710,1,EXP(-1*(B1710-C1710)/(Utilities!$B$11*IterData!H1710)))</f>
        <v>1</v>
      </c>
    </row>
    <row r="1711" spans="8:11" x14ac:dyDescent="0.3">
      <c r="H1711">
        <v>0.5000000000000695</v>
      </c>
      <c r="I1711" s="11">
        <f t="shared" si="26"/>
        <v>0</v>
      </c>
      <c r="J1711" s="11">
        <f>1/(H1711*Utilities!$B$11)</f>
        <v>7.999999999998888</v>
      </c>
      <c r="K1711" s="11">
        <f>IF(B1711&lt;C1711,1,EXP(-1*(B1711-C1711)/(Utilities!$B$11*IterData!H1711)))</f>
        <v>1</v>
      </c>
    </row>
    <row r="1712" spans="8:11" x14ac:dyDescent="0.3">
      <c r="H1712">
        <v>0.50000000000006806</v>
      </c>
      <c r="I1712" s="11">
        <f t="shared" si="26"/>
        <v>0</v>
      </c>
      <c r="J1712" s="11">
        <f>1/(H1712*Utilities!$B$11)</f>
        <v>7.9999999999989111</v>
      </c>
      <c r="K1712" s="11">
        <f>IF(B1712&lt;C1712,1,EXP(-1*(B1712-C1712)/(Utilities!$B$11*IterData!H1712)))</f>
        <v>1</v>
      </c>
    </row>
    <row r="1713" spans="8:11" x14ac:dyDescent="0.3">
      <c r="H1713">
        <v>0.50000000000006672</v>
      </c>
      <c r="I1713" s="11">
        <f t="shared" si="26"/>
        <v>0</v>
      </c>
      <c r="J1713" s="11">
        <f>1/(H1713*Utilities!$B$11)</f>
        <v>7.9999999999989324</v>
      </c>
      <c r="K1713" s="11">
        <f>IF(B1713&lt;C1713,1,EXP(-1*(B1713-C1713)/(Utilities!$B$11*IterData!H1713)))</f>
        <v>1</v>
      </c>
    </row>
    <row r="1714" spans="8:11" x14ac:dyDescent="0.3">
      <c r="H1714">
        <v>0.50000000000006539</v>
      </c>
      <c r="I1714" s="11">
        <f t="shared" si="26"/>
        <v>0</v>
      </c>
      <c r="J1714" s="11">
        <f>1/(H1714*Utilities!$B$11)</f>
        <v>7.9999999999989537</v>
      </c>
      <c r="K1714" s="11">
        <f>IF(B1714&lt;C1714,1,EXP(-1*(B1714-C1714)/(Utilities!$B$11*IterData!H1714)))</f>
        <v>1</v>
      </c>
    </row>
    <row r="1715" spans="8:11" x14ac:dyDescent="0.3">
      <c r="H1715">
        <v>0.50000000000006417</v>
      </c>
      <c r="I1715" s="11">
        <f t="shared" si="26"/>
        <v>0</v>
      </c>
      <c r="J1715" s="11">
        <f>1/(H1715*Utilities!$B$11)</f>
        <v>7.9999999999989733</v>
      </c>
      <c r="K1715" s="11">
        <f>IF(B1715&lt;C1715,1,EXP(-1*(B1715-C1715)/(Utilities!$B$11*IterData!H1715)))</f>
        <v>1</v>
      </c>
    </row>
    <row r="1716" spans="8:11" x14ac:dyDescent="0.3">
      <c r="H1716">
        <v>0.50000000000006284</v>
      </c>
      <c r="I1716" s="11">
        <f t="shared" si="26"/>
        <v>0</v>
      </c>
      <c r="J1716" s="11">
        <f>1/(H1716*Utilities!$B$11)</f>
        <v>7.9999999999989946</v>
      </c>
      <c r="K1716" s="11">
        <f>IF(B1716&lt;C1716,1,EXP(-1*(B1716-C1716)/(Utilities!$B$11*IterData!H1716)))</f>
        <v>1</v>
      </c>
    </row>
    <row r="1717" spans="8:11" x14ac:dyDescent="0.3">
      <c r="H1717">
        <v>0.50000000000006162</v>
      </c>
      <c r="I1717" s="11">
        <f t="shared" si="26"/>
        <v>0</v>
      </c>
      <c r="J1717" s="11">
        <f>1/(H1717*Utilities!$B$11)</f>
        <v>7.9999999999990141</v>
      </c>
      <c r="K1717" s="11">
        <f>IF(B1717&lt;C1717,1,EXP(-1*(B1717-C1717)/(Utilities!$B$11*IterData!H1717)))</f>
        <v>1</v>
      </c>
    </row>
    <row r="1718" spans="8:11" x14ac:dyDescent="0.3">
      <c r="H1718">
        <v>0.5000000000000604</v>
      </c>
      <c r="I1718" s="11">
        <f t="shared" si="26"/>
        <v>0</v>
      </c>
      <c r="J1718" s="11">
        <f>1/(H1718*Utilities!$B$11)</f>
        <v>7.9999999999990337</v>
      </c>
      <c r="K1718" s="11">
        <f>IF(B1718&lt;C1718,1,EXP(-1*(B1718-C1718)/(Utilities!$B$11*IterData!H1718)))</f>
        <v>1</v>
      </c>
    </row>
    <row r="1719" spans="8:11" x14ac:dyDescent="0.3">
      <c r="H1719">
        <v>0.50000000000005917</v>
      </c>
      <c r="I1719" s="11">
        <f t="shared" si="26"/>
        <v>0</v>
      </c>
      <c r="J1719" s="11">
        <f>1/(H1719*Utilities!$B$11)</f>
        <v>7.9999999999990532</v>
      </c>
      <c r="K1719" s="11">
        <f>IF(B1719&lt;C1719,1,EXP(-1*(B1719-C1719)/(Utilities!$B$11*IterData!H1719)))</f>
        <v>1</v>
      </c>
    </row>
    <row r="1720" spans="8:11" x14ac:dyDescent="0.3">
      <c r="H1720">
        <v>0.50000000000005806</v>
      </c>
      <c r="I1720" s="11">
        <f t="shared" si="26"/>
        <v>0</v>
      </c>
      <c r="J1720" s="11">
        <f>1/(H1720*Utilities!$B$11)</f>
        <v>7.999999999999071</v>
      </c>
      <c r="K1720" s="11">
        <f>IF(B1720&lt;C1720,1,EXP(-1*(B1720-C1720)/(Utilities!$B$11*IterData!H1720)))</f>
        <v>1</v>
      </c>
    </row>
    <row r="1721" spans="8:11" x14ac:dyDescent="0.3">
      <c r="H1721">
        <v>0.50000000000005684</v>
      </c>
      <c r="I1721" s="11">
        <f t="shared" si="26"/>
        <v>0</v>
      </c>
      <c r="J1721" s="11">
        <f>1/(H1721*Utilities!$B$11)</f>
        <v>7.9999999999990905</v>
      </c>
      <c r="K1721" s="11">
        <f>IF(B1721&lt;C1721,1,EXP(-1*(B1721-C1721)/(Utilities!$B$11*IterData!H1721)))</f>
        <v>1</v>
      </c>
    </row>
    <row r="1722" spans="8:11" x14ac:dyDescent="0.3">
      <c r="H1722">
        <v>0.50000000000005573</v>
      </c>
      <c r="I1722" s="11">
        <f t="shared" si="26"/>
        <v>0</v>
      </c>
      <c r="J1722" s="11">
        <f>1/(H1722*Utilities!$B$11)</f>
        <v>7.9999999999991083</v>
      </c>
      <c r="K1722" s="11">
        <f>IF(B1722&lt;C1722,1,EXP(-1*(B1722-C1722)/(Utilities!$B$11*IterData!H1722)))</f>
        <v>1</v>
      </c>
    </row>
    <row r="1723" spans="8:11" x14ac:dyDescent="0.3">
      <c r="H1723">
        <v>0.50000000000005462</v>
      </c>
      <c r="I1723" s="11">
        <f t="shared" si="26"/>
        <v>0</v>
      </c>
      <c r="J1723" s="11">
        <f>1/(H1723*Utilities!$B$11)</f>
        <v>7.999999999999126</v>
      </c>
      <c r="K1723" s="11">
        <f>IF(B1723&lt;C1723,1,EXP(-1*(B1723-C1723)/(Utilities!$B$11*IterData!H1723)))</f>
        <v>1</v>
      </c>
    </row>
    <row r="1724" spans="8:11" x14ac:dyDescent="0.3">
      <c r="H1724">
        <v>0.50000000000005351</v>
      </c>
      <c r="I1724" s="11">
        <f t="shared" si="26"/>
        <v>0</v>
      </c>
      <c r="J1724" s="11">
        <f>1/(H1724*Utilities!$B$11)</f>
        <v>7.9999999999991438</v>
      </c>
      <c r="K1724" s="11">
        <f>IF(B1724&lt;C1724,1,EXP(-1*(B1724-C1724)/(Utilities!$B$11*IterData!H1724)))</f>
        <v>1</v>
      </c>
    </row>
    <row r="1725" spans="8:11" x14ac:dyDescent="0.3">
      <c r="H1725">
        <v>0.50000000000005251</v>
      </c>
      <c r="I1725" s="11">
        <f t="shared" si="26"/>
        <v>0</v>
      </c>
      <c r="J1725" s="11">
        <f>1/(H1725*Utilities!$B$11)</f>
        <v>7.9999999999991598</v>
      </c>
      <c r="K1725" s="11">
        <f>IF(B1725&lt;C1725,1,EXP(-1*(B1725-C1725)/(Utilities!$B$11*IterData!H1725)))</f>
        <v>1</v>
      </c>
    </row>
    <row r="1726" spans="8:11" x14ac:dyDescent="0.3">
      <c r="H1726">
        <v>0.5000000000000514</v>
      </c>
      <c r="I1726" s="11">
        <f t="shared" si="26"/>
        <v>0</v>
      </c>
      <c r="J1726" s="11">
        <f>1/(H1726*Utilities!$B$11)</f>
        <v>7.9999999999991775</v>
      </c>
      <c r="K1726" s="11">
        <f>IF(B1726&lt;C1726,1,EXP(-1*(B1726-C1726)/(Utilities!$B$11*IterData!H1726)))</f>
        <v>1</v>
      </c>
    </row>
    <row r="1727" spans="8:11" x14ac:dyDescent="0.3">
      <c r="H1727">
        <v>0.5000000000000504</v>
      </c>
      <c r="I1727" s="11">
        <f t="shared" si="26"/>
        <v>0</v>
      </c>
      <c r="J1727" s="11">
        <f>1/(H1727*Utilities!$B$11)</f>
        <v>7.9999999999991935</v>
      </c>
      <c r="K1727" s="11">
        <f>IF(B1727&lt;C1727,1,EXP(-1*(B1727-C1727)/(Utilities!$B$11*IterData!H1727)))</f>
        <v>1</v>
      </c>
    </row>
    <row r="1728" spans="8:11" x14ac:dyDescent="0.3">
      <c r="H1728">
        <v>0.5000000000000494</v>
      </c>
      <c r="I1728" s="11">
        <f t="shared" si="26"/>
        <v>0</v>
      </c>
      <c r="J1728" s="11">
        <f>1/(H1728*Utilities!$B$11)</f>
        <v>7.9999999999992095</v>
      </c>
      <c r="K1728" s="11">
        <f>IF(B1728&lt;C1728,1,EXP(-1*(B1728-C1728)/(Utilities!$B$11*IterData!H1728)))</f>
        <v>1</v>
      </c>
    </row>
    <row r="1729" spans="8:11" x14ac:dyDescent="0.3">
      <c r="H1729">
        <v>0.50000000000004841</v>
      </c>
      <c r="I1729" s="11">
        <f t="shared" si="26"/>
        <v>0</v>
      </c>
      <c r="J1729" s="11">
        <f>1/(H1729*Utilities!$B$11)</f>
        <v>7.9999999999992255</v>
      </c>
      <c r="K1729" s="11">
        <f>IF(B1729&lt;C1729,1,EXP(-1*(B1729-C1729)/(Utilities!$B$11*IterData!H1729)))</f>
        <v>1</v>
      </c>
    </row>
    <row r="1730" spans="8:11" x14ac:dyDescent="0.3">
      <c r="H1730">
        <v>0.50000000000004752</v>
      </c>
      <c r="I1730" s="11">
        <f t="shared" si="26"/>
        <v>0</v>
      </c>
      <c r="J1730" s="11">
        <f>1/(H1730*Utilities!$B$11)</f>
        <v>7.9999999999992397</v>
      </c>
      <c r="K1730" s="11">
        <f>IF(B1730&lt;C1730,1,EXP(-1*(B1730-C1730)/(Utilities!$B$11*IterData!H1730)))</f>
        <v>1</v>
      </c>
    </row>
    <row r="1731" spans="8:11" x14ac:dyDescent="0.3">
      <c r="H1731">
        <v>0.50000000000004652</v>
      </c>
      <c r="I1731" s="11">
        <f t="shared" ref="I1731:I1794" si="27">B1731-C1731</f>
        <v>0</v>
      </c>
      <c r="J1731" s="11">
        <f>1/(H1731*Utilities!$B$11)</f>
        <v>7.9999999999992557</v>
      </c>
      <c r="K1731" s="11">
        <f>IF(B1731&lt;C1731,1,EXP(-1*(B1731-C1731)/(Utilities!$B$11*IterData!H1731)))</f>
        <v>1</v>
      </c>
    </row>
    <row r="1732" spans="8:11" x14ac:dyDescent="0.3">
      <c r="H1732">
        <v>0.50000000000004563</v>
      </c>
      <c r="I1732" s="11">
        <f t="shared" si="27"/>
        <v>0</v>
      </c>
      <c r="J1732" s="11">
        <f>1/(H1732*Utilities!$B$11)</f>
        <v>7.9999999999992699</v>
      </c>
      <c r="K1732" s="11">
        <f>IF(B1732&lt;C1732,1,EXP(-1*(B1732-C1732)/(Utilities!$B$11*IterData!H1732)))</f>
        <v>1</v>
      </c>
    </row>
    <row r="1733" spans="8:11" x14ac:dyDescent="0.3">
      <c r="H1733">
        <v>0.50000000000004474</v>
      </c>
      <c r="I1733" s="11">
        <f t="shared" si="27"/>
        <v>0</v>
      </c>
      <c r="J1733" s="11">
        <f>1/(H1733*Utilities!$B$11)</f>
        <v>7.9999999999992841</v>
      </c>
      <c r="K1733" s="11">
        <f>IF(B1733&lt;C1733,1,EXP(-1*(B1733-C1733)/(Utilities!$B$11*IterData!H1733)))</f>
        <v>1</v>
      </c>
    </row>
    <row r="1734" spans="8:11" x14ac:dyDescent="0.3">
      <c r="H1734">
        <v>0.50000000000004385</v>
      </c>
      <c r="I1734" s="11">
        <f t="shared" si="27"/>
        <v>0</v>
      </c>
      <c r="J1734" s="11">
        <f>1/(H1734*Utilities!$B$11)</f>
        <v>7.9999999999992983</v>
      </c>
      <c r="K1734" s="11">
        <f>IF(B1734&lt;C1734,1,EXP(-1*(B1734-C1734)/(Utilities!$B$11*IterData!H1734)))</f>
        <v>1</v>
      </c>
    </row>
    <row r="1735" spans="8:11" x14ac:dyDescent="0.3">
      <c r="H1735">
        <v>0.50000000000004297</v>
      </c>
      <c r="I1735" s="11">
        <f t="shared" si="27"/>
        <v>0</v>
      </c>
      <c r="J1735" s="11">
        <f>1/(H1735*Utilities!$B$11)</f>
        <v>7.9999999999993125</v>
      </c>
      <c r="K1735" s="11">
        <f>IF(B1735&lt;C1735,1,EXP(-1*(B1735-C1735)/(Utilities!$B$11*IterData!H1735)))</f>
        <v>1</v>
      </c>
    </row>
    <row r="1736" spans="8:11" x14ac:dyDescent="0.3">
      <c r="H1736">
        <v>0.50000000000004208</v>
      </c>
      <c r="I1736" s="11">
        <f t="shared" si="27"/>
        <v>0</v>
      </c>
      <c r="J1736" s="11">
        <f>1/(H1736*Utilities!$B$11)</f>
        <v>7.9999999999993268</v>
      </c>
      <c r="K1736" s="11">
        <f>IF(B1736&lt;C1736,1,EXP(-1*(B1736-C1736)/(Utilities!$B$11*IterData!H1736)))</f>
        <v>1</v>
      </c>
    </row>
    <row r="1737" spans="8:11" x14ac:dyDescent="0.3">
      <c r="H1737">
        <v>0.5000000000000413</v>
      </c>
      <c r="I1737" s="11">
        <f t="shared" si="27"/>
        <v>0</v>
      </c>
      <c r="J1737" s="11">
        <f>1/(H1737*Utilities!$B$11)</f>
        <v>7.9999999999993392</v>
      </c>
      <c r="K1737" s="11">
        <f>IF(B1737&lt;C1737,1,EXP(-1*(B1737-C1737)/(Utilities!$B$11*IterData!H1737)))</f>
        <v>1</v>
      </c>
    </row>
    <row r="1738" spans="8:11" x14ac:dyDescent="0.3">
      <c r="H1738">
        <v>0.50000000000004052</v>
      </c>
      <c r="I1738" s="11">
        <f t="shared" si="27"/>
        <v>0</v>
      </c>
      <c r="J1738" s="11">
        <f>1/(H1738*Utilities!$B$11)</f>
        <v>7.9999999999993516</v>
      </c>
      <c r="K1738" s="11">
        <f>IF(B1738&lt;C1738,1,EXP(-1*(B1738-C1738)/(Utilities!$B$11*IterData!H1738)))</f>
        <v>1</v>
      </c>
    </row>
    <row r="1739" spans="8:11" x14ac:dyDescent="0.3">
      <c r="H1739">
        <v>0.50000000000003963</v>
      </c>
      <c r="I1739" s="11">
        <f t="shared" si="27"/>
        <v>0</v>
      </c>
      <c r="J1739" s="11">
        <f>1/(H1739*Utilities!$B$11)</f>
        <v>7.9999999999993658</v>
      </c>
      <c r="K1739" s="11">
        <f>IF(B1739&lt;C1739,1,EXP(-1*(B1739-C1739)/(Utilities!$B$11*IterData!H1739)))</f>
        <v>1</v>
      </c>
    </row>
    <row r="1740" spans="8:11" x14ac:dyDescent="0.3">
      <c r="H1740">
        <v>0.50000000000003886</v>
      </c>
      <c r="I1740" s="11">
        <f t="shared" si="27"/>
        <v>0</v>
      </c>
      <c r="J1740" s="11">
        <f>1/(H1740*Utilities!$B$11)</f>
        <v>7.9999999999993783</v>
      </c>
      <c r="K1740" s="11">
        <f>IF(B1740&lt;C1740,1,EXP(-1*(B1740-C1740)/(Utilities!$B$11*IterData!H1740)))</f>
        <v>1</v>
      </c>
    </row>
    <row r="1741" spans="8:11" x14ac:dyDescent="0.3">
      <c r="H1741">
        <v>0.50000000000003808</v>
      </c>
      <c r="I1741" s="11">
        <f t="shared" si="27"/>
        <v>0</v>
      </c>
      <c r="J1741" s="11">
        <f>1/(H1741*Utilities!$B$11)</f>
        <v>7.9999999999993907</v>
      </c>
      <c r="K1741" s="11">
        <f>IF(B1741&lt;C1741,1,EXP(-1*(B1741-C1741)/(Utilities!$B$11*IterData!H1741)))</f>
        <v>1</v>
      </c>
    </row>
    <row r="1742" spans="8:11" x14ac:dyDescent="0.3">
      <c r="H1742">
        <v>0.50000000000003741</v>
      </c>
      <c r="I1742" s="11">
        <f t="shared" si="27"/>
        <v>0</v>
      </c>
      <c r="J1742" s="11">
        <f>1/(H1742*Utilities!$B$11)</f>
        <v>7.9999999999994014</v>
      </c>
      <c r="K1742" s="11">
        <f>IF(B1742&lt;C1742,1,EXP(-1*(B1742-C1742)/(Utilities!$B$11*IterData!H1742)))</f>
        <v>1</v>
      </c>
    </row>
    <row r="1743" spans="8:11" x14ac:dyDescent="0.3">
      <c r="H1743">
        <v>0.50000000000003664</v>
      </c>
      <c r="I1743" s="11">
        <f t="shared" si="27"/>
        <v>0</v>
      </c>
      <c r="J1743" s="11">
        <f>1/(H1743*Utilities!$B$11)</f>
        <v>7.9999999999994138</v>
      </c>
      <c r="K1743" s="11">
        <f>IF(B1743&lt;C1743,1,EXP(-1*(B1743-C1743)/(Utilities!$B$11*IterData!H1743)))</f>
        <v>1</v>
      </c>
    </row>
    <row r="1744" spans="8:11" x14ac:dyDescent="0.3">
      <c r="H1744">
        <v>0.50000000000003586</v>
      </c>
      <c r="I1744" s="11">
        <f t="shared" si="27"/>
        <v>0</v>
      </c>
      <c r="J1744" s="11">
        <f>1/(H1744*Utilities!$B$11)</f>
        <v>7.9999999999994262</v>
      </c>
      <c r="K1744" s="11">
        <f>IF(B1744&lt;C1744,1,EXP(-1*(B1744-C1744)/(Utilities!$B$11*IterData!H1744)))</f>
        <v>1</v>
      </c>
    </row>
    <row r="1745" spans="8:11" x14ac:dyDescent="0.3">
      <c r="H1745">
        <v>0.50000000000003519</v>
      </c>
      <c r="I1745" s="11">
        <f t="shared" si="27"/>
        <v>0</v>
      </c>
      <c r="J1745" s="11">
        <f>1/(H1745*Utilities!$B$11)</f>
        <v>7.9999999999994369</v>
      </c>
      <c r="K1745" s="11">
        <f>IF(B1745&lt;C1745,1,EXP(-1*(B1745-C1745)/(Utilities!$B$11*IterData!H1745)))</f>
        <v>1</v>
      </c>
    </row>
    <row r="1746" spans="8:11" x14ac:dyDescent="0.3">
      <c r="H1746">
        <v>0.50000000000003453</v>
      </c>
      <c r="I1746" s="11">
        <f t="shared" si="27"/>
        <v>0</v>
      </c>
      <c r="J1746" s="11">
        <f>1/(H1746*Utilities!$B$11)</f>
        <v>7.9999999999994476</v>
      </c>
      <c r="K1746" s="11">
        <f>IF(B1746&lt;C1746,1,EXP(-1*(B1746-C1746)/(Utilities!$B$11*IterData!H1746)))</f>
        <v>1</v>
      </c>
    </row>
    <row r="1747" spans="8:11" x14ac:dyDescent="0.3">
      <c r="H1747">
        <v>0.50000000000003386</v>
      </c>
      <c r="I1747" s="11">
        <f t="shared" si="27"/>
        <v>0</v>
      </c>
      <c r="J1747" s="11">
        <f>1/(H1747*Utilities!$B$11)</f>
        <v>7.9999999999994582</v>
      </c>
      <c r="K1747" s="11">
        <f>IF(B1747&lt;C1747,1,EXP(-1*(B1747-C1747)/(Utilities!$B$11*IterData!H1747)))</f>
        <v>1</v>
      </c>
    </row>
    <row r="1748" spans="8:11" x14ac:dyDescent="0.3">
      <c r="H1748">
        <v>0.5000000000000332</v>
      </c>
      <c r="I1748" s="11">
        <f t="shared" si="27"/>
        <v>0</v>
      </c>
      <c r="J1748" s="11">
        <f>1/(H1748*Utilities!$B$11)</f>
        <v>7.9999999999994689</v>
      </c>
      <c r="K1748" s="11">
        <f>IF(B1748&lt;C1748,1,EXP(-1*(B1748-C1748)/(Utilities!$B$11*IterData!H1748)))</f>
        <v>1</v>
      </c>
    </row>
    <row r="1749" spans="8:11" x14ac:dyDescent="0.3">
      <c r="H1749">
        <v>0.50000000000003253</v>
      </c>
      <c r="I1749" s="11">
        <f t="shared" si="27"/>
        <v>0</v>
      </c>
      <c r="J1749" s="11">
        <f>1/(H1749*Utilities!$B$11)</f>
        <v>7.9999999999994795</v>
      </c>
      <c r="K1749" s="11">
        <f>IF(B1749&lt;C1749,1,EXP(-1*(B1749-C1749)/(Utilities!$B$11*IterData!H1749)))</f>
        <v>1</v>
      </c>
    </row>
    <row r="1750" spans="8:11" x14ac:dyDescent="0.3">
      <c r="H1750">
        <v>0.50000000000003186</v>
      </c>
      <c r="I1750" s="11">
        <f t="shared" si="27"/>
        <v>0</v>
      </c>
      <c r="J1750" s="11">
        <f>1/(H1750*Utilities!$B$11)</f>
        <v>7.9999999999994902</v>
      </c>
      <c r="K1750" s="11">
        <f>IF(B1750&lt;C1750,1,EXP(-1*(B1750-C1750)/(Utilities!$B$11*IterData!H1750)))</f>
        <v>1</v>
      </c>
    </row>
    <row r="1751" spans="8:11" x14ac:dyDescent="0.3">
      <c r="H1751">
        <v>0.5000000000000312</v>
      </c>
      <c r="I1751" s="11">
        <f t="shared" si="27"/>
        <v>0</v>
      </c>
      <c r="J1751" s="11">
        <f>1/(H1751*Utilities!$B$11)</f>
        <v>7.9999999999995008</v>
      </c>
      <c r="K1751" s="11">
        <f>IF(B1751&lt;C1751,1,EXP(-1*(B1751-C1751)/(Utilities!$B$11*IterData!H1751)))</f>
        <v>1</v>
      </c>
    </row>
    <row r="1752" spans="8:11" x14ac:dyDescent="0.3">
      <c r="H1752">
        <v>0.50000000000003064</v>
      </c>
      <c r="I1752" s="11">
        <f t="shared" si="27"/>
        <v>0</v>
      </c>
      <c r="J1752" s="11">
        <f>1/(H1752*Utilities!$B$11)</f>
        <v>7.9999999999995097</v>
      </c>
      <c r="K1752" s="11">
        <f>IF(B1752&lt;C1752,1,EXP(-1*(B1752-C1752)/(Utilities!$B$11*IterData!H1752)))</f>
        <v>1</v>
      </c>
    </row>
    <row r="1753" spans="8:11" x14ac:dyDescent="0.3">
      <c r="H1753">
        <v>0.50000000000002998</v>
      </c>
      <c r="I1753" s="11">
        <f t="shared" si="27"/>
        <v>0</v>
      </c>
      <c r="J1753" s="11">
        <f>1/(H1753*Utilities!$B$11)</f>
        <v>7.9999999999995204</v>
      </c>
      <c r="K1753" s="11">
        <f>IF(B1753&lt;C1753,1,EXP(-1*(B1753-C1753)/(Utilities!$B$11*IterData!H1753)))</f>
        <v>1</v>
      </c>
    </row>
    <row r="1754" spans="8:11" x14ac:dyDescent="0.3">
      <c r="H1754">
        <v>0.50000000000002942</v>
      </c>
      <c r="I1754" s="11">
        <f t="shared" si="27"/>
        <v>0</v>
      </c>
      <c r="J1754" s="11">
        <f>1/(H1754*Utilities!$B$11)</f>
        <v>7.9999999999995293</v>
      </c>
      <c r="K1754" s="11">
        <f>IF(B1754&lt;C1754,1,EXP(-1*(B1754-C1754)/(Utilities!$B$11*IterData!H1754)))</f>
        <v>1</v>
      </c>
    </row>
    <row r="1755" spans="8:11" x14ac:dyDescent="0.3">
      <c r="H1755">
        <v>0.50000000000002887</v>
      </c>
      <c r="I1755" s="11">
        <f t="shared" si="27"/>
        <v>0</v>
      </c>
      <c r="J1755" s="11">
        <f>1/(H1755*Utilities!$B$11)</f>
        <v>7.9999999999995381</v>
      </c>
      <c r="K1755" s="11">
        <f>IF(B1755&lt;C1755,1,EXP(-1*(B1755-C1755)/(Utilities!$B$11*IterData!H1755)))</f>
        <v>1</v>
      </c>
    </row>
    <row r="1756" spans="8:11" x14ac:dyDescent="0.3">
      <c r="H1756">
        <v>0.5000000000000282</v>
      </c>
      <c r="I1756" s="11">
        <f t="shared" si="27"/>
        <v>0</v>
      </c>
      <c r="J1756" s="11">
        <f>1/(H1756*Utilities!$B$11)</f>
        <v>7.9999999999995488</v>
      </c>
      <c r="K1756" s="11">
        <f>IF(B1756&lt;C1756,1,EXP(-1*(B1756-C1756)/(Utilities!$B$11*IterData!H1756)))</f>
        <v>1</v>
      </c>
    </row>
    <row r="1757" spans="8:11" x14ac:dyDescent="0.3">
      <c r="H1757">
        <v>0.50000000000002764</v>
      </c>
      <c r="I1757" s="11">
        <f t="shared" si="27"/>
        <v>0</v>
      </c>
      <c r="J1757" s="11">
        <f>1/(H1757*Utilities!$B$11)</f>
        <v>7.9999999999995577</v>
      </c>
      <c r="K1757" s="11">
        <f>IF(B1757&lt;C1757,1,EXP(-1*(B1757-C1757)/(Utilities!$B$11*IterData!H1757)))</f>
        <v>1</v>
      </c>
    </row>
    <row r="1758" spans="8:11" x14ac:dyDescent="0.3">
      <c r="H1758">
        <v>0.50000000000002709</v>
      </c>
      <c r="I1758" s="11">
        <f t="shared" si="27"/>
        <v>0</v>
      </c>
      <c r="J1758" s="11">
        <f>1/(H1758*Utilities!$B$11)</f>
        <v>7.9999999999995666</v>
      </c>
      <c r="K1758" s="11">
        <f>IF(B1758&lt;C1758,1,EXP(-1*(B1758-C1758)/(Utilities!$B$11*IterData!H1758)))</f>
        <v>1</v>
      </c>
    </row>
    <row r="1759" spans="8:11" x14ac:dyDescent="0.3">
      <c r="H1759">
        <v>0.50000000000002665</v>
      </c>
      <c r="I1759" s="11">
        <f t="shared" si="27"/>
        <v>0</v>
      </c>
      <c r="J1759" s="11">
        <f>1/(H1759*Utilities!$B$11)</f>
        <v>7.9999999999995737</v>
      </c>
      <c r="K1759" s="11">
        <f>IF(B1759&lt;C1759,1,EXP(-1*(B1759-C1759)/(Utilities!$B$11*IterData!H1759)))</f>
        <v>1</v>
      </c>
    </row>
    <row r="1760" spans="8:11" x14ac:dyDescent="0.3">
      <c r="H1760">
        <v>0.50000000000002609</v>
      </c>
      <c r="I1760" s="11">
        <f t="shared" si="27"/>
        <v>0</v>
      </c>
      <c r="J1760" s="11">
        <f>1/(H1760*Utilities!$B$11)</f>
        <v>7.9999999999995826</v>
      </c>
      <c r="K1760" s="11">
        <f>IF(B1760&lt;C1760,1,EXP(-1*(B1760-C1760)/(Utilities!$B$11*IterData!H1760)))</f>
        <v>1</v>
      </c>
    </row>
    <row r="1761" spans="8:11" x14ac:dyDescent="0.3">
      <c r="H1761">
        <v>0.50000000000002554</v>
      </c>
      <c r="I1761" s="11">
        <f t="shared" si="27"/>
        <v>0</v>
      </c>
      <c r="J1761" s="11">
        <f>1/(H1761*Utilities!$B$11)</f>
        <v>7.9999999999995914</v>
      </c>
      <c r="K1761" s="11">
        <f>IF(B1761&lt;C1761,1,EXP(-1*(B1761-C1761)/(Utilities!$B$11*IterData!H1761)))</f>
        <v>1</v>
      </c>
    </row>
    <row r="1762" spans="8:11" x14ac:dyDescent="0.3">
      <c r="H1762">
        <v>0.50000000000002509</v>
      </c>
      <c r="I1762" s="11">
        <f t="shared" si="27"/>
        <v>0</v>
      </c>
      <c r="J1762" s="11">
        <f>1/(H1762*Utilities!$B$11)</f>
        <v>7.9999999999995985</v>
      </c>
      <c r="K1762" s="11">
        <f>IF(B1762&lt;C1762,1,EXP(-1*(B1762-C1762)/(Utilities!$B$11*IterData!H1762)))</f>
        <v>1</v>
      </c>
    </row>
    <row r="1763" spans="8:11" x14ac:dyDescent="0.3">
      <c r="H1763">
        <v>0.50000000000002454</v>
      </c>
      <c r="I1763" s="11">
        <f t="shared" si="27"/>
        <v>0</v>
      </c>
      <c r="J1763" s="11">
        <f>1/(H1763*Utilities!$B$11)</f>
        <v>7.9999999999996074</v>
      </c>
      <c r="K1763" s="11">
        <f>IF(B1763&lt;C1763,1,EXP(-1*(B1763-C1763)/(Utilities!$B$11*IterData!H1763)))</f>
        <v>1</v>
      </c>
    </row>
    <row r="1764" spans="8:11" x14ac:dyDescent="0.3">
      <c r="H1764">
        <v>0.50000000000002409</v>
      </c>
      <c r="I1764" s="11">
        <f t="shared" si="27"/>
        <v>0</v>
      </c>
      <c r="J1764" s="11">
        <f>1/(H1764*Utilities!$B$11)</f>
        <v>7.9999999999996145</v>
      </c>
      <c r="K1764" s="11">
        <f>IF(B1764&lt;C1764,1,EXP(-1*(B1764-C1764)/(Utilities!$B$11*IterData!H1764)))</f>
        <v>1</v>
      </c>
    </row>
    <row r="1765" spans="8:11" x14ac:dyDescent="0.3">
      <c r="H1765">
        <v>0.50000000000002354</v>
      </c>
      <c r="I1765" s="11">
        <f t="shared" si="27"/>
        <v>0</v>
      </c>
      <c r="J1765" s="11">
        <f>1/(H1765*Utilities!$B$11)</f>
        <v>7.9999999999996234</v>
      </c>
      <c r="K1765" s="11">
        <f>IF(B1765&lt;C1765,1,EXP(-1*(B1765-C1765)/(Utilities!$B$11*IterData!H1765)))</f>
        <v>1</v>
      </c>
    </row>
    <row r="1766" spans="8:11" x14ac:dyDescent="0.3">
      <c r="H1766">
        <v>0.50000000000002309</v>
      </c>
      <c r="I1766" s="11">
        <f t="shared" si="27"/>
        <v>0</v>
      </c>
      <c r="J1766" s="11">
        <f>1/(H1766*Utilities!$B$11)</f>
        <v>7.9999999999996305</v>
      </c>
      <c r="K1766" s="11">
        <f>IF(B1766&lt;C1766,1,EXP(-1*(B1766-C1766)/(Utilities!$B$11*IterData!H1766)))</f>
        <v>1</v>
      </c>
    </row>
    <row r="1767" spans="8:11" x14ac:dyDescent="0.3">
      <c r="H1767">
        <v>0.50000000000002265</v>
      </c>
      <c r="I1767" s="11">
        <f t="shared" si="27"/>
        <v>0</v>
      </c>
      <c r="J1767" s="11">
        <f>1/(H1767*Utilities!$B$11)</f>
        <v>7.9999999999996376</v>
      </c>
      <c r="K1767" s="11">
        <f>IF(B1767&lt;C1767,1,EXP(-1*(B1767-C1767)/(Utilities!$B$11*IterData!H1767)))</f>
        <v>1</v>
      </c>
    </row>
    <row r="1768" spans="8:11" x14ac:dyDescent="0.3">
      <c r="H1768">
        <v>0.5000000000000222</v>
      </c>
      <c r="I1768" s="11">
        <f t="shared" si="27"/>
        <v>0</v>
      </c>
      <c r="J1768" s="11">
        <f>1/(H1768*Utilities!$B$11)</f>
        <v>7.9999999999996447</v>
      </c>
      <c r="K1768" s="11">
        <f>IF(B1768&lt;C1768,1,EXP(-1*(B1768-C1768)/(Utilities!$B$11*IterData!H1768)))</f>
        <v>1</v>
      </c>
    </row>
    <row r="1769" spans="8:11" x14ac:dyDescent="0.3">
      <c r="H1769">
        <v>0.50000000000002176</v>
      </c>
      <c r="I1769" s="11">
        <f t="shared" si="27"/>
        <v>0</v>
      </c>
      <c r="J1769" s="11">
        <f>1/(H1769*Utilities!$B$11)</f>
        <v>7.9999999999996518</v>
      </c>
      <c r="K1769" s="11">
        <f>IF(B1769&lt;C1769,1,EXP(-1*(B1769-C1769)/(Utilities!$B$11*IterData!H1769)))</f>
        <v>1</v>
      </c>
    </row>
    <row r="1770" spans="8:11" x14ac:dyDescent="0.3">
      <c r="H1770">
        <v>0.50000000000002132</v>
      </c>
      <c r="I1770" s="11">
        <f t="shared" si="27"/>
        <v>0</v>
      </c>
      <c r="J1770" s="11">
        <f>1/(H1770*Utilities!$B$11)</f>
        <v>7.9999999999996589</v>
      </c>
      <c r="K1770" s="11">
        <f>IF(B1770&lt;C1770,1,EXP(-1*(B1770-C1770)/(Utilities!$B$11*IterData!H1770)))</f>
        <v>1</v>
      </c>
    </row>
    <row r="1771" spans="8:11" x14ac:dyDescent="0.3">
      <c r="H1771">
        <v>0.50000000000002087</v>
      </c>
      <c r="I1771" s="11">
        <f t="shared" si="27"/>
        <v>0</v>
      </c>
      <c r="J1771" s="11">
        <f>1/(H1771*Utilities!$B$11)</f>
        <v>7.999999999999666</v>
      </c>
      <c r="K1771" s="11">
        <f>IF(B1771&lt;C1771,1,EXP(-1*(B1771-C1771)/(Utilities!$B$11*IterData!H1771)))</f>
        <v>1</v>
      </c>
    </row>
    <row r="1772" spans="8:11" x14ac:dyDescent="0.3">
      <c r="H1772">
        <v>0.50000000000002054</v>
      </c>
      <c r="I1772" s="11">
        <f t="shared" si="27"/>
        <v>0</v>
      </c>
      <c r="J1772" s="11">
        <f>1/(H1772*Utilities!$B$11)</f>
        <v>7.9999999999996714</v>
      </c>
      <c r="K1772" s="11">
        <f>IF(B1772&lt;C1772,1,EXP(-1*(B1772-C1772)/(Utilities!$B$11*IterData!H1772)))</f>
        <v>1</v>
      </c>
    </row>
    <row r="1773" spans="8:11" x14ac:dyDescent="0.3">
      <c r="H1773">
        <v>0.5000000000000201</v>
      </c>
      <c r="I1773" s="11">
        <f t="shared" si="27"/>
        <v>0</v>
      </c>
      <c r="J1773" s="11">
        <f>1/(H1773*Utilities!$B$11)</f>
        <v>7.9999999999996785</v>
      </c>
      <c r="K1773" s="11">
        <f>IF(B1773&lt;C1773,1,EXP(-1*(B1773-C1773)/(Utilities!$B$11*IterData!H1773)))</f>
        <v>1</v>
      </c>
    </row>
    <row r="1774" spans="8:11" x14ac:dyDescent="0.3">
      <c r="H1774">
        <v>0.50000000000001965</v>
      </c>
      <c r="I1774" s="11">
        <f t="shared" si="27"/>
        <v>0</v>
      </c>
      <c r="J1774" s="11">
        <f>1/(H1774*Utilities!$B$11)</f>
        <v>7.9999999999996856</v>
      </c>
      <c r="K1774" s="11">
        <f>IF(B1774&lt;C1774,1,EXP(-1*(B1774-C1774)/(Utilities!$B$11*IterData!H1774)))</f>
        <v>1</v>
      </c>
    </row>
    <row r="1775" spans="8:11" x14ac:dyDescent="0.3">
      <c r="H1775">
        <v>0.50000000000001932</v>
      </c>
      <c r="I1775" s="11">
        <f t="shared" si="27"/>
        <v>0</v>
      </c>
      <c r="J1775" s="11">
        <f>1/(H1775*Utilities!$B$11)</f>
        <v>7.9999999999996909</v>
      </c>
      <c r="K1775" s="11">
        <f>IF(B1775&lt;C1775,1,EXP(-1*(B1775-C1775)/(Utilities!$B$11*IterData!H1775)))</f>
        <v>1</v>
      </c>
    </row>
    <row r="1776" spans="8:11" x14ac:dyDescent="0.3">
      <c r="H1776">
        <v>0.50000000000001898</v>
      </c>
      <c r="I1776" s="11">
        <f t="shared" si="27"/>
        <v>0</v>
      </c>
      <c r="J1776" s="11">
        <f>1/(H1776*Utilities!$B$11)</f>
        <v>7.9999999999996962</v>
      </c>
      <c r="K1776" s="11">
        <f>IF(B1776&lt;C1776,1,EXP(-1*(B1776-C1776)/(Utilities!$B$11*IterData!H1776)))</f>
        <v>1</v>
      </c>
    </row>
    <row r="1777" spans="8:11" x14ac:dyDescent="0.3">
      <c r="H1777">
        <v>0.50000000000001854</v>
      </c>
      <c r="I1777" s="11">
        <f t="shared" si="27"/>
        <v>0</v>
      </c>
      <c r="J1777" s="11">
        <f>1/(H1777*Utilities!$B$11)</f>
        <v>7.9999999999997033</v>
      </c>
      <c r="K1777" s="11">
        <f>IF(B1777&lt;C1777,1,EXP(-1*(B1777-C1777)/(Utilities!$B$11*IterData!H1777)))</f>
        <v>1</v>
      </c>
    </row>
    <row r="1778" spans="8:11" x14ac:dyDescent="0.3">
      <c r="H1778">
        <v>0.50000000000001821</v>
      </c>
      <c r="I1778" s="11">
        <f t="shared" si="27"/>
        <v>0</v>
      </c>
      <c r="J1778" s="11">
        <f>1/(H1778*Utilities!$B$11)</f>
        <v>7.9999999999997087</v>
      </c>
      <c r="K1778" s="11">
        <f>IF(B1778&lt;C1778,1,EXP(-1*(B1778-C1778)/(Utilities!$B$11*IterData!H1778)))</f>
        <v>1</v>
      </c>
    </row>
    <row r="1779" spans="8:11" x14ac:dyDescent="0.3">
      <c r="H1779">
        <v>0.50000000000001787</v>
      </c>
      <c r="I1779" s="11">
        <f t="shared" si="27"/>
        <v>0</v>
      </c>
      <c r="J1779" s="11">
        <f>1/(H1779*Utilities!$B$11)</f>
        <v>7.999999999999714</v>
      </c>
      <c r="K1779" s="11">
        <f>IF(B1779&lt;C1779,1,EXP(-1*(B1779-C1779)/(Utilities!$B$11*IterData!H1779)))</f>
        <v>1</v>
      </c>
    </row>
    <row r="1780" spans="8:11" x14ac:dyDescent="0.3">
      <c r="H1780">
        <v>0.50000000000001743</v>
      </c>
      <c r="I1780" s="11">
        <f t="shared" si="27"/>
        <v>0</v>
      </c>
      <c r="J1780" s="11">
        <f>1/(H1780*Utilities!$B$11)</f>
        <v>7.9999999999997211</v>
      </c>
      <c r="K1780" s="11">
        <f>IF(B1780&lt;C1780,1,EXP(-1*(B1780-C1780)/(Utilities!$B$11*IterData!H1780)))</f>
        <v>1</v>
      </c>
    </row>
    <row r="1781" spans="8:11" x14ac:dyDescent="0.3">
      <c r="H1781">
        <v>0.5000000000000171</v>
      </c>
      <c r="I1781" s="11">
        <f t="shared" si="27"/>
        <v>0</v>
      </c>
      <c r="J1781" s="11">
        <f>1/(H1781*Utilities!$B$11)</f>
        <v>7.9999999999997264</v>
      </c>
      <c r="K1781" s="11">
        <f>IF(B1781&lt;C1781,1,EXP(-1*(B1781-C1781)/(Utilities!$B$11*IterData!H1781)))</f>
        <v>1</v>
      </c>
    </row>
    <row r="1782" spans="8:11" x14ac:dyDescent="0.3">
      <c r="H1782">
        <v>0.50000000000001676</v>
      </c>
      <c r="I1782" s="11">
        <f t="shared" si="27"/>
        <v>0</v>
      </c>
      <c r="J1782" s="11">
        <f>1/(H1782*Utilities!$B$11)</f>
        <v>7.9999999999997318</v>
      </c>
      <c r="K1782" s="11">
        <f>IF(B1782&lt;C1782,1,EXP(-1*(B1782-C1782)/(Utilities!$B$11*IterData!H1782)))</f>
        <v>1</v>
      </c>
    </row>
    <row r="1783" spans="8:11" x14ac:dyDescent="0.3">
      <c r="H1783">
        <v>0.50000000000001643</v>
      </c>
      <c r="I1783" s="11">
        <f t="shared" si="27"/>
        <v>0</v>
      </c>
      <c r="J1783" s="11">
        <f>1/(H1783*Utilities!$B$11)</f>
        <v>7.9999999999997371</v>
      </c>
      <c r="K1783" s="11">
        <f>IF(B1783&lt;C1783,1,EXP(-1*(B1783-C1783)/(Utilities!$B$11*IterData!H1783)))</f>
        <v>1</v>
      </c>
    </row>
    <row r="1784" spans="8:11" x14ac:dyDescent="0.3">
      <c r="H1784">
        <v>0.5000000000000161</v>
      </c>
      <c r="I1784" s="11">
        <f t="shared" si="27"/>
        <v>0</v>
      </c>
      <c r="J1784" s="11">
        <f>1/(H1784*Utilities!$B$11)</f>
        <v>7.9999999999997424</v>
      </c>
      <c r="K1784" s="11">
        <f>IF(B1784&lt;C1784,1,EXP(-1*(B1784-C1784)/(Utilities!$B$11*IterData!H1784)))</f>
        <v>1</v>
      </c>
    </row>
    <row r="1785" spans="8:11" x14ac:dyDescent="0.3">
      <c r="H1785">
        <v>0.50000000000001577</v>
      </c>
      <c r="I1785" s="11">
        <f t="shared" si="27"/>
        <v>0</v>
      </c>
      <c r="J1785" s="11">
        <f>1/(H1785*Utilities!$B$11)</f>
        <v>7.9999999999997478</v>
      </c>
      <c r="K1785" s="11">
        <f>IF(B1785&lt;C1785,1,EXP(-1*(B1785-C1785)/(Utilities!$B$11*IterData!H1785)))</f>
        <v>1</v>
      </c>
    </row>
    <row r="1786" spans="8:11" x14ac:dyDescent="0.3">
      <c r="H1786">
        <v>0.50000000000001554</v>
      </c>
      <c r="I1786" s="11">
        <f t="shared" si="27"/>
        <v>0</v>
      </c>
      <c r="J1786" s="11">
        <f>1/(H1786*Utilities!$B$11)</f>
        <v>7.9999999999997513</v>
      </c>
      <c r="K1786" s="11">
        <f>IF(B1786&lt;C1786,1,EXP(-1*(B1786-C1786)/(Utilities!$B$11*IterData!H1786)))</f>
        <v>1</v>
      </c>
    </row>
    <row r="1787" spans="8:11" x14ac:dyDescent="0.3">
      <c r="H1787">
        <v>0.50000000000001521</v>
      </c>
      <c r="I1787" s="11">
        <f t="shared" si="27"/>
        <v>0</v>
      </c>
      <c r="J1787" s="11">
        <f>1/(H1787*Utilities!$B$11)</f>
        <v>7.9999999999997566</v>
      </c>
      <c r="K1787" s="11">
        <f>IF(B1787&lt;C1787,1,EXP(-1*(B1787-C1787)/(Utilities!$B$11*IterData!H1787)))</f>
        <v>1</v>
      </c>
    </row>
    <row r="1788" spans="8:11" x14ac:dyDescent="0.3">
      <c r="H1788">
        <v>0.50000000000001488</v>
      </c>
      <c r="I1788" s="11">
        <f t="shared" si="27"/>
        <v>0</v>
      </c>
      <c r="J1788" s="11">
        <f>1/(H1788*Utilities!$B$11)</f>
        <v>7.999999999999762</v>
      </c>
      <c r="K1788" s="11">
        <f>IF(B1788&lt;C1788,1,EXP(-1*(B1788-C1788)/(Utilities!$B$11*IterData!H1788)))</f>
        <v>1</v>
      </c>
    </row>
    <row r="1789" spans="8:11" x14ac:dyDescent="0.3">
      <c r="H1789">
        <v>0.50000000000001454</v>
      </c>
      <c r="I1789" s="11">
        <f t="shared" si="27"/>
        <v>0</v>
      </c>
      <c r="J1789" s="11">
        <f>1/(H1789*Utilities!$B$11)</f>
        <v>7.9999999999997673</v>
      </c>
      <c r="K1789" s="11">
        <f>IF(B1789&lt;C1789,1,EXP(-1*(B1789-C1789)/(Utilities!$B$11*IterData!H1789)))</f>
        <v>1</v>
      </c>
    </row>
    <row r="1790" spans="8:11" x14ac:dyDescent="0.3">
      <c r="H1790">
        <v>0.50000000000001432</v>
      </c>
      <c r="I1790" s="11">
        <f t="shared" si="27"/>
        <v>0</v>
      </c>
      <c r="J1790" s="11">
        <f>1/(H1790*Utilities!$B$11)</f>
        <v>7.9999999999997708</v>
      </c>
      <c r="K1790" s="11">
        <f>IF(B1790&lt;C1790,1,EXP(-1*(B1790-C1790)/(Utilities!$B$11*IterData!H1790)))</f>
        <v>1</v>
      </c>
    </row>
    <row r="1791" spans="8:11" x14ac:dyDescent="0.3">
      <c r="H1791">
        <v>0.50000000000001399</v>
      </c>
      <c r="I1791" s="11">
        <f t="shared" si="27"/>
        <v>0</v>
      </c>
      <c r="J1791" s="11">
        <f>1/(H1791*Utilities!$B$11)</f>
        <v>7.9999999999997762</v>
      </c>
      <c r="K1791" s="11">
        <f>IF(B1791&lt;C1791,1,EXP(-1*(B1791-C1791)/(Utilities!$B$11*IterData!H1791)))</f>
        <v>1</v>
      </c>
    </row>
    <row r="1792" spans="8:11" x14ac:dyDescent="0.3">
      <c r="H1792">
        <v>0.50000000000001377</v>
      </c>
      <c r="I1792" s="11">
        <f t="shared" si="27"/>
        <v>0</v>
      </c>
      <c r="J1792" s="11">
        <f>1/(H1792*Utilities!$B$11)</f>
        <v>7.9999999999997797</v>
      </c>
      <c r="K1792" s="11">
        <f>IF(B1792&lt;C1792,1,EXP(-1*(B1792-C1792)/(Utilities!$B$11*IterData!H1792)))</f>
        <v>1</v>
      </c>
    </row>
    <row r="1793" spans="8:11" x14ac:dyDescent="0.3">
      <c r="H1793">
        <v>0.50000000000001343</v>
      </c>
      <c r="I1793" s="11">
        <f t="shared" si="27"/>
        <v>0</v>
      </c>
      <c r="J1793" s="11">
        <f>1/(H1793*Utilities!$B$11)</f>
        <v>7.9999999999997851</v>
      </c>
      <c r="K1793" s="11">
        <f>IF(B1793&lt;C1793,1,EXP(-1*(B1793-C1793)/(Utilities!$B$11*IterData!H1793)))</f>
        <v>1</v>
      </c>
    </row>
    <row r="1794" spans="8:11" x14ac:dyDescent="0.3">
      <c r="H1794">
        <v>0.50000000000001321</v>
      </c>
      <c r="I1794" s="11">
        <f t="shared" si="27"/>
        <v>0</v>
      </c>
      <c r="J1794" s="11">
        <f>1/(H1794*Utilities!$B$11)</f>
        <v>7.9999999999997886</v>
      </c>
      <c r="K1794" s="11">
        <f>IF(B1794&lt;C1794,1,EXP(-1*(B1794-C1794)/(Utilities!$B$11*IterData!H1794)))</f>
        <v>1</v>
      </c>
    </row>
    <row r="1795" spans="8:11" x14ac:dyDescent="0.3">
      <c r="H1795">
        <v>0.50000000000001299</v>
      </c>
      <c r="I1795" s="11">
        <f t="shared" ref="I1795:I1858" si="28">B1795-C1795</f>
        <v>0</v>
      </c>
      <c r="J1795" s="11">
        <f>1/(H1795*Utilities!$B$11)</f>
        <v>7.9999999999997922</v>
      </c>
      <c r="K1795" s="11">
        <f>IF(B1795&lt;C1795,1,EXP(-1*(B1795-C1795)/(Utilities!$B$11*IterData!H1795)))</f>
        <v>1</v>
      </c>
    </row>
    <row r="1796" spans="8:11" x14ac:dyDescent="0.3">
      <c r="H1796">
        <v>0.50000000000001266</v>
      </c>
      <c r="I1796" s="11">
        <f t="shared" si="28"/>
        <v>0</v>
      </c>
      <c r="J1796" s="11">
        <f>1/(H1796*Utilities!$B$11)</f>
        <v>7.9999999999997975</v>
      </c>
      <c r="K1796" s="11">
        <f>IF(B1796&lt;C1796,1,EXP(-1*(B1796-C1796)/(Utilities!$B$11*IterData!H1796)))</f>
        <v>1</v>
      </c>
    </row>
    <row r="1797" spans="8:11" x14ac:dyDescent="0.3">
      <c r="H1797">
        <v>0.50000000000001243</v>
      </c>
      <c r="I1797" s="11">
        <f t="shared" si="28"/>
        <v>0</v>
      </c>
      <c r="J1797" s="11">
        <f>1/(H1797*Utilities!$B$11)</f>
        <v>7.999999999999801</v>
      </c>
      <c r="K1797" s="11">
        <f>IF(B1797&lt;C1797,1,EXP(-1*(B1797-C1797)/(Utilities!$B$11*IterData!H1797)))</f>
        <v>1</v>
      </c>
    </row>
    <row r="1798" spans="8:11" x14ac:dyDescent="0.3">
      <c r="H1798">
        <v>0.50000000000001221</v>
      </c>
      <c r="I1798" s="11">
        <f t="shared" si="28"/>
        <v>0</v>
      </c>
      <c r="J1798" s="11">
        <f>1/(H1798*Utilities!$B$11)</f>
        <v>7.9999999999998046</v>
      </c>
      <c r="K1798" s="11">
        <f>IF(B1798&lt;C1798,1,EXP(-1*(B1798-C1798)/(Utilities!$B$11*IterData!H1798)))</f>
        <v>1</v>
      </c>
    </row>
    <row r="1799" spans="8:11" x14ac:dyDescent="0.3">
      <c r="H1799">
        <v>0.50000000000001199</v>
      </c>
      <c r="I1799" s="11">
        <f t="shared" si="28"/>
        <v>0</v>
      </c>
      <c r="J1799" s="11">
        <f>1/(H1799*Utilities!$B$11)</f>
        <v>7.9999999999998082</v>
      </c>
      <c r="K1799" s="11">
        <f>IF(B1799&lt;C1799,1,EXP(-1*(B1799-C1799)/(Utilities!$B$11*IterData!H1799)))</f>
        <v>1</v>
      </c>
    </row>
    <row r="1800" spans="8:11" x14ac:dyDescent="0.3">
      <c r="H1800">
        <v>0.50000000000001177</v>
      </c>
      <c r="I1800" s="11">
        <f t="shared" si="28"/>
        <v>0</v>
      </c>
      <c r="J1800" s="11">
        <f>1/(H1800*Utilities!$B$11)</f>
        <v>7.9999999999998117</v>
      </c>
      <c r="K1800" s="11">
        <f>IF(B1800&lt;C1800,1,EXP(-1*(B1800-C1800)/(Utilities!$B$11*IterData!H1800)))</f>
        <v>1</v>
      </c>
    </row>
    <row r="1801" spans="8:11" x14ac:dyDescent="0.3">
      <c r="H1801">
        <v>0.50000000000001144</v>
      </c>
      <c r="I1801" s="11">
        <f t="shared" si="28"/>
        <v>0</v>
      </c>
      <c r="J1801" s="11">
        <f>1/(H1801*Utilities!$B$11)</f>
        <v>7.999999999999817</v>
      </c>
      <c r="K1801" s="11">
        <f>IF(B1801&lt;C1801,1,EXP(-1*(B1801-C1801)/(Utilities!$B$11*IterData!H1801)))</f>
        <v>1</v>
      </c>
    </row>
    <row r="1802" spans="8:11" x14ac:dyDescent="0.3">
      <c r="H1802">
        <v>0.50000000000001121</v>
      </c>
      <c r="I1802" s="11">
        <f t="shared" si="28"/>
        <v>0</v>
      </c>
      <c r="J1802" s="11">
        <f>1/(H1802*Utilities!$B$11)</f>
        <v>7.9999999999998206</v>
      </c>
      <c r="K1802" s="11">
        <f>IF(B1802&lt;C1802,1,EXP(-1*(B1802-C1802)/(Utilities!$B$11*IterData!H1802)))</f>
        <v>1</v>
      </c>
    </row>
    <row r="1803" spans="8:11" x14ac:dyDescent="0.3">
      <c r="H1803">
        <v>0.50000000000001099</v>
      </c>
      <c r="I1803" s="11">
        <f t="shared" si="28"/>
        <v>0</v>
      </c>
      <c r="J1803" s="11">
        <f>1/(H1803*Utilities!$B$11)</f>
        <v>7.9999999999998241</v>
      </c>
      <c r="K1803" s="11">
        <f>IF(B1803&lt;C1803,1,EXP(-1*(B1803-C1803)/(Utilities!$B$11*IterData!H1803)))</f>
        <v>1</v>
      </c>
    </row>
    <row r="1804" spans="8:11" x14ac:dyDescent="0.3">
      <c r="H1804">
        <v>0.50000000000001077</v>
      </c>
      <c r="I1804" s="11">
        <f t="shared" si="28"/>
        <v>0</v>
      </c>
      <c r="J1804" s="11">
        <f>1/(H1804*Utilities!$B$11)</f>
        <v>7.9999999999998277</v>
      </c>
      <c r="K1804" s="11">
        <f>IF(B1804&lt;C1804,1,EXP(-1*(B1804-C1804)/(Utilities!$B$11*IterData!H1804)))</f>
        <v>1</v>
      </c>
    </row>
    <row r="1805" spans="8:11" x14ac:dyDescent="0.3">
      <c r="H1805">
        <v>0.50000000000001055</v>
      </c>
      <c r="I1805" s="11">
        <f t="shared" si="28"/>
        <v>0</v>
      </c>
      <c r="J1805" s="11">
        <f>1/(H1805*Utilities!$B$11)</f>
        <v>7.9999999999998312</v>
      </c>
      <c r="K1805" s="11">
        <f>IF(B1805&lt;C1805,1,EXP(-1*(B1805-C1805)/(Utilities!$B$11*IterData!H1805)))</f>
        <v>1</v>
      </c>
    </row>
    <row r="1806" spans="8:11" x14ac:dyDescent="0.3">
      <c r="H1806">
        <v>0.50000000000001044</v>
      </c>
      <c r="I1806" s="11">
        <f t="shared" si="28"/>
        <v>0</v>
      </c>
      <c r="J1806" s="11">
        <f>1/(H1806*Utilities!$B$11)</f>
        <v>7.999999999999833</v>
      </c>
      <c r="K1806" s="11">
        <f>IF(B1806&lt;C1806,1,EXP(-1*(B1806-C1806)/(Utilities!$B$11*IterData!H1806)))</f>
        <v>1</v>
      </c>
    </row>
    <row r="1807" spans="8:11" x14ac:dyDescent="0.3">
      <c r="H1807">
        <v>0.50000000000001021</v>
      </c>
      <c r="I1807" s="11">
        <f t="shared" si="28"/>
        <v>0</v>
      </c>
      <c r="J1807" s="11">
        <f>1/(H1807*Utilities!$B$11)</f>
        <v>7.9999999999998366</v>
      </c>
      <c r="K1807" s="11">
        <f>IF(B1807&lt;C1807,1,EXP(-1*(B1807-C1807)/(Utilities!$B$11*IterData!H1807)))</f>
        <v>1</v>
      </c>
    </row>
    <row r="1808" spans="8:11" x14ac:dyDescent="0.3">
      <c r="H1808">
        <v>0.50000000000000999</v>
      </c>
      <c r="I1808" s="11">
        <f t="shared" si="28"/>
        <v>0</v>
      </c>
      <c r="J1808" s="11">
        <f>1/(H1808*Utilities!$B$11)</f>
        <v>7.9999999999998401</v>
      </c>
      <c r="K1808" s="11">
        <f>IF(B1808&lt;C1808,1,EXP(-1*(B1808-C1808)/(Utilities!$B$11*IterData!H1808)))</f>
        <v>1</v>
      </c>
    </row>
    <row r="1809" spans="8:11" x14ac:dyDescent="0.3">
      <c r="H1809">
        <v>0.50000000000000977</v>
      </c>
      <c r="I1809" s="11">
        <f t="shared" si="28"/>
        <v>0</v>
      </c>
      <c r="J1809" s="11">
        <f>1/(H1809*Utilities!$B$11)</f>
        <v>7.9999999999998437</v>
      </c>
      <c r="K1809" s="11">
        <f>IF(B1809&lt;C1809,1,EXP(-1*(B1809-C1809)/(Utilities!$B$11*IterData!H1809)))</f>
        <v>1</v>
      </c>
    </row>
    <row r="1810" spans="8:11" x14ac:dyDescent="0.3">
      <c r="H1810">
        <v>0.50000000000000955</v>
      </c>
      <c r="I1810" s="11">
        <f t="shared" si="28"/>
        <v>0</v>
      </c>
      <c r="J1810" s="11">
        <f>1/(H1810*Utilities!$B$11)</f>
        <v>7.9999999999998472</v>
      </c>
      <c r="K1810" s="11">
        <f>IF(B1810&lt;C1810,1,EXP(-1*(B1810-C1810)/(Utilities!$B$11*IterData!H1810)))</f>
        <v>1</v>
      </c>
    </row>
    <row r="1811" spans="8:11" x14ac:dyDescent="0.3">
      <c r="H1811">
        <v>0.50000000000000944</v>
      </c>
      <c r="I1811" s="11">
        <f t="shared" si="28"/>
        <v>0</v>
      </c>
      <c r="J1811" s="11">
        <f>1/(H1811*Utilities!$B$11)</f>
        <v>7.999999999999849</v>
      </c>
      <c r="K1811" s="11">
        <f>IF(B1811&lt;C1811,1,EXP(-1*(B1811-C1811)/(Utilities!$B$11*IterData!H1811)))</f>
        <v>1</v>
      </c>
    </row>
    <row r="1812" spans="8:11" x14ac:dyDescent="0.3">
      <c r="H1812">
        <v>0.50000000000000921</v>
      </c>
      <c r="I1812" s="11">
        <f t="shared" si="28"/>
        <v>0</v>
      </c>
      <c r="J1812" s="11">
        <f>1/(H1812*Utilities!$B$11)</f>
        <v>7.9999999999998526</v>
      </c>
      <c r="K1812" s="11">
        <f>IF(B1812&lt;C1812,1,EXP(-1*(B1812-C1812)/(Utilities!$B$11*IterData!H1812)))</f>
        <v>1</v>
      </c>
    </row>
    <row r="1813" spans="8:11" x14ac:dyDescent="0.3">
      <c r="H1813">
        <v>0.50000000000000899</v>
      </c>
      <c r="I1813" s="11">
        <f t="shared" si="28"/>
        <v>0</v>
      </c>
      <c r="J1813" s="11">
        <f>1/(H1813*Utilities!$B$11)</f>
        <v>7.9999999999998561</v>
      </c>
      <c r="K1813" s="11">
        <f>IF(B1813&lt;C1813,1,EXP(-1*(B1813-C1813)/(Utilities!$B$11*IterData!H1813)))</f>
        <v>1</v>
      </c>
    </row>
    <row r="1814" spans="8:11" x14ac:dyDescent="0.3">
      <c r="H1814">
        <v>0.50000000000000888</v>
      </c>
      <c r="I1814" s="11">
        <f t="shared" si="28"/>
        <v>0</v>
      </c>
      <c r="J1814" s="11">
        <f>1/(H1814*Utilities!$B$11)</f>
        <v>7.9999999999998579</v>
      </c>
      <c r="K1814" s="11">
        <f>IF(B1814&lt;C1814,1,EXP(-1*(B1814-C1814)/(Utilities!$B$11*IterData!H1814)))</f>
        <v>1</v>
      </c>
    </row>
    <row r="1815" spans="8:11" x14ac:dyDescent="0.3">
      <c r="H1815">
        <v>0.50000000000000866</v>
      </c>
      <c r="I1815" s="11">
        <f t="shared" si="28"/>
        <v>0</v>
      </c>
      <c r="J1815" s="11">
        <f>1/(H1815*Utilities!$B$11)</f>
        <v>7.9999999999998614</v>
      </c>
      <c r="K1815" s="11">
        <f>IF(B1815&lt;C1815,1,EXP(-1*(B1815-C1815)/(Utilities!$B$11*IterData!H1815)))</f>
        <v>1</v>
      </c>
    </row>
    <row r="1816" spans="8:11" x14ac:dyDescent="0.3">
      <c r="H1816">
        <v>0.50000000000000855</v>
      </c>
      <c r="I1816" s="11">
        <f t="shared" si="28"/>
        <v>0</v>
      </c>
      <c r="J1816" s="11">
        <f>1/(H1816*Utilities!$B$11)</f>
        <v>7.9999999999998632</v>
      </c>
      <c r="K1816" s="11">
        <f>IF(B1816&lt;C1816,1,EXP(-1*(B1816-C1816)/(Utilities!$B$11*IterData!H1816)))</f>
        <v>1</v>
      </c>
    </row>
    <row r="1817" spans="8:11" x14ac:dyDescent="0.3">
      <c r="H1817">
        <v>0.50000000000000833</v>
      </c>
      <c r="I1817" s="11">
        <f t="shared" si="28"/>
        <v>0</v>
      </c>
      <c r="J1817" s="11">
        <f>1/(H1817*Utilities!$B$11)</f>
        <v>7.9999999999998668</v>
      </c>
      <c r="K1817" s="11">
        <f>IF(B1817&lt;C1817,1,EXP(-1*(B1817-C1817)/(Utilities!$B$11*IterData!H1817)))</f>
        <v>1</v>
      </c>
    </row>
    <row r="1818" spans="8:11" x14ac:dyDescent="0.3">
      <c r="H1818">
        <v>0.50000000000000822</v>
      </c>
      <c r="I1818" s="11">
        <f t="shared" si="28"/>
        <v>0</v>
      </c>
      <c r="J1818" s="11">
        <f>1/(H1818*Utilities!$B$11)</f>
        <v>7.9999999999998685</v>
      </c>
      <c r="K1818" s="11">
        <f>IF(B1818&lt;C1818,1,EXP(-1*(B1818-C1818)/(Utilities!$B$11*IterData!H1818)))</f>
        <v>1</v>
      </c>
    </row>
    <row r="1819" spans="8:11" x14ac:dyDescent="0.3">
      <c r="H1819">
        <v>0.50000000000000799</v>
      </c>
      <c r="I1819" s="11">
        <f t="shared" si="28"/>
        <v>0</v>
      </c>
      <c r="J1819" s="11">
        <f>1/(H1819*Utilities!$B$11)</f>
        <v>7.9999999999998721</v>
      </c>
      <c r="K1819" s="11">
        <f>IF(B1819&lt;C1819,1,EXP(-1*(B1819-C1819)/(Utilities!$B$11*IterData!H1819)))</f>
        <v>1</v>
      </c>
    </row>
    <row r="1820" spans="8:11" x14ac:dyDescent="0.3">
      <c r="H1820">
        <v>0.50000000000000788</v>
      </c>
      <c r="I1820" s="11">
        <f t="shared" si="28"/>
        <v>0</v>
      </c>
      <c r="J1820" s="11">
        <f>1/(H1820*Utilities!$B$11)</f>
        <v>7.9999999999998739</v>
      </c>
      <c r="K1820" s="11">
        <f>IF(B1820&lt;C1820,1,EXP(-1*(B1820-C1820)/(Utilities!$B$11*IterData!H1820)))</f>
        <v>1</v>
      </c>
    </row>
    <row r="1821" spans="8:11" x14ac:dyDescent="0.3">
      <c r="H1821">
        <v>0.50000000000000766</v>
      </c>
      <c r="I1821" s="11">
        <f t="shared" si="28"/>
        <v>0</v>
      </c>
      <c r="J1821" s="11">
        <f>1/(H1821*Utilities!$B$11)</f>
        <v>7.9999999999998774</v>
      </c>
      <c r="K1821" s="11">
        <f>IF(B1821&lt;C1821,1,EXP(-1*(B1821-C1821)/(Utilities!$B$11*IterData!H1821)))</f>
        <v>1</v>
      </c>
    </row>
    <row r="1822" spans="8:11" x14ac:dyDescent="0.3">
      <c r="H1822">
        <v>0.50000000000000755</v>
      </c>
      <c r="I1822" s="11">
        <f t="shared" si="28"/>
        <v>0</v>
      </c>
      <c r="J1822" s="11">
        <f>1/(H1822*Utilities!$B$11)</f>
        <v>7.9999999999998792</v>
      </c>
      <c r="K1822" s="11">
        <f>IF(B1822&lt;C1822,1,EXP(-1*(B1822-C1822)/(Utilities!$B$11*IterData!H1822)))</f>
        <v>1</v>
      </c>
    </row>
    <row r="1823" spans="8:11" x14ac:dyDescent="0.3">
      <c r="H1823">
        <v>0.50000000000000744</v>
      </c>
      <c r="I1823" s="11">
        <f t="shared" si="28"/>
        <v>0</v>
      </c>
      <c r="J1823" s="11">
        <f>1/(H1823*Utilities!$B$11)</f>
        <v>7.999999999999881</v>
      </c>
      <c r="K1823" s="11">
        <f>IF(B1823&lt;C1823,1,EXP(-1*(B1823-C1823)/(Utilities!$B$11*IterData!H1823)))</f>
        <v>1</v>
      </c>
    </row>
    <row r="1824" spans="8:11" x14ac:dyDescent="0.3">
      <c r="H1824">
        <v>0.50000000000000722</v>
      </c>
      <c r="I1824" s="11">
        <f t="shared" si="28"/>
        <v>0</v>
      </c>
      <c r="J1824" s="11">
        <f>1/(H1824*Utilities!$B$11)</f>
        <v>7.9999999999998845</v>
      </c>
      <c r="K1824" s="11">
        <f>IF(B1824&lt;C1824,1,EXP(-1*(B1824-C1824)/(Utilities!$B$11*IterData!H1824)))</f>
        <v>1</v>
      </c>
    </row>
    <row r="1825" spans="8:11" x14ac:dyDescent="0.3">
      <c r="H1825">
        <v>0.50000000000000711</v>
      </c>
      <c r="I1825" s="11">
        <f t="shared" si="28"/>
        <v>0</v>
      </c>
      <c r="J1825" s="11">
        <f>1/(H1825*Utilities!$B$11)</f>
        <v>7.9999999999998863</v>
      </c>
      <c r="K1825" s="11">
        <f>IF(B1825&lt;C1825,1,EXP(-1*(B1825-C1825)/(Utilities!$B$11*IterData!H1825)))</f>
        <v>1</v>
      </c>
    </row>
    <row r="1826" spans="8:11" x14ac:dyDescent="0.3">
      <c r="H1826">
        <v>0.50000000000000699</v>
      </c>
      <c r="I1826" s="11">
        <f t="shared" si="28"/>
        <v>0</v>
      </c>
      <c r="J1826" s="11">
        <f>1/(H1826*Utilities!$B$11)</f>
        <v>7.9999999999998881</v>
      </c>
      <c r="K1826" s="11">
        <f>IF(B1826&lt;C1826,1,EXP(-1*(B1826-C1826)/(Utilities!$B$11*IterData!H1826)))</f>
        <v>1</v>
      </c>
    </row>
    <row r="1827" spans="8:11" x14ac:dyDescent="0.3">
      <c r="H1827">
        <v>0.50000000000000677</v>
      </c>
      <c r="I1827" s="11">
        <f t="shared" si="28"/>
        <v>0</v>
      </c>
      <c r="J1827" s="11">
        <f>1/(H1827*Utilities!$B$11)</f>
        <v>7.9999999999998916</v>
      </c>
      <c r="K1827" s="11">
        <f>IF(B1827&lt;C1827,1,EXP(-1*(B1827-C1827)/(Utilities!$B$11*IterData!H1827)))</f>
        <v>1</v>
      </c>
    </row>
    <row r="1828" spans="8:11" x14ac:dyDescent="0.3">
      <c r="H1828">
        <v>0.50000000000000666</v>
      </c>
      <c r="I1828" s="11">
        <f t="shared" si="28"/>
        <v>0</v>
      </c>
      <c r="J1828" s="11">
        <f>1/(H1828*Utilities!$B$11)</f>
        <v>7.9999999999998934</v>
      </c>
      <c r="K1828" s="11">
        <f>IF(B1828&lt;C1828,1,EXP(-1*(B1828-C1828)/(Utilities!$B$11*IterData!H1828)))</f>
        <v>1</v>
      </c>
    </row>
    <row r="1829" spans="8:11" x14ac:dyDescent="0.3">
      <c r="H1829">
        <v>0.50000000000000655</v>
      </c>
      <c r="I1829" s="11">
        <f t="shared" si="28"/>
        <v>0</v>
      </c>
      <c r="J1829" s="11">
        <f>1/(H1829*Utilities!$B$11)</f>
        <v>7.9999999999998952</v>
      </c>
      <c r="K1829" s="11">
        <f>IF(B1829&lt;C1829,1,EXP(-1*(B1829-C1829)/(Utilities!$B$11*IterData!H1829)))</f>
        <v>1</v>
      </c>
    </row>
    <row r="1830" spans="8:11" x14ac:dyDescent="0.3">
      <c r="H1830">
        <v>0.50000000000000644</v>
      </c>
      <c r="I1830" s="11">
        <f t="shared" si="28"/>
        <v>0</v>
      </c>
      <c r="J1830" s="11">
        <f>1/(H1830*Utilities!$B$11)</f>
        <v>7.999999999999897</v>
      </c>
      <c r="K1830" s="11">
        <f>IF(B1830&lt;C1830,1,EXP(-1*(B1830-C1830)/(Utilities!$B$11*IterData!H1830)))</f>
        <v>1</v>
      </c>
    </row>
    <row r="1831" spans="8:11" x14ac:dyDescent="0.3">
      <c r="H1831">
        <v>0.50000000000000633</v>
      </c>
      <c r="I1831" s="11">
        <f t="shared" si="28"/>
        <v>0</v>
      </c>
      <c r="J1831" s="11">
        <f>1/(H1831*Utilities!$B$11)</f>
        <v>7.9999999999998987</v>
      </c>
      <c r="K1831" s="11">
        <f>IF(B1831&lt;C1831,1,EXP(-1*(B1831-C1831)/(Utilities!$B$11*IterData!H1831)))</f>
        <v>1</v>
      </c>
    </row>
    <row r="1832" spans="8:11" x14ac:dyDescent="0.3">
      <c r="H1832">
        <v>0.50000000000000622</v>
      </c>
      <c r="I1832" s="11">
        <f t="shared" si="28"/>
        <v>0</v>
      </c>
      <c r="J1832" s="11">
        <f>1/(H1832*Utilities!$B$11)</f>
        <v>7.9999999999999005</v>
      </c>
      <c r="K1832" s="11">
        <f>IF(B1832&lt;C1832,1,EXP(-1*(B1832-C1832)/(Utilities!$B$11*IterData!H1832)))</f>
        <v>1</v>
      </c>
    </row>
    <row r="1833" spans="8:11" x14ac:dyDescent="0.3">
      <c r="H1833">
        <v>0.50000000000000611</v>
      </c>
      <c r="I1833" s="11">
        <f t="shared" si="28"/>
        <v>0</v>
      </c>
      <c r="J1833" s="11">
        <f>1/(H1833*Utilities!$B$11)</f>
        <v>7.9999999999999023</v>
      </c>
      <c r="K1833" s="11">
        <f>IF(B1833&lt;C1833,1,EXP(-1*(B1833-C1833)/(Utilities!$B$11*IterData!H1833)))</f>
        <v>1</v>
      </c>
    </row>
    <row r="1834" spans="8:11" x14ac:dyDescent="0.3">
      <c r="H1834">
        <v>0.50000000000000588</v>
      </c>
      <c r="I1834" s="11">
        <f t="shared" si="28"/>
        <v>0</v>
      </c>
      <c r="J1834" s="11">
        <f>1/(H1834*Utilities!$B$11)</f>
        <v>7.9999999999999059</v>
      </c>
      <c r="K1834" s="11">
        <f>IF(B1834&lt;C1834,1,EXP(-1*(B1834-C1834)/(Utilities!$B$11*IterData!H1834)))</f>
        <v>1</v>
      </c>
    </row>
    <row r="1835" spans="8:11" x14ac:dyDescent="0.3">
      <c r="H1835">
        <v>0.50000000000000577</v>
      </c>
      <c r="I1835" s="11">
        <f t="shared" si="28"/>
        <v>0</v>
      </c>
      <c r="J1835" s="11">
        <f>1/(H1835*Utilities!$B$11)</f>
        <v>7.9999999999999076</v>
      </c>
      <c r="K1835" s="11">
        <f>IF(B1835&lt;C1835,1,EXP(-1*(B1835-C1835)/(Utilities!$B$11*IterData!H1835)))</f>
        <v>1</v>
      </c>
    </row>
    <row r="1836" spans="8:11" x14ac:dyDescent="0.3">
      <c r="H1836">
        <v>0.50000000000000566</v>
      </c>
      <c r="I1836" s="11">
        <f t="shared" si="28"/>
        <v>0</v>
      </c>
      <c r="J1836" s="11">
        <f>1/(H1836*Utilities!$B$11)</f>
        <v>7.9999999999999094</v>
      </c>
      <c r="K1836" s="11">
        <f>IF(B1836&lt;C1836,1,EXP(-1*(B1836-C1836)/(Utilities!$B$11*IterData!H1836)))</f>
        <v>1</v>
      </c>
    </row>
    <row r="1837" spans="8:11" x14ac:dyDescent="0.3">
      <c r="H1837">
        <v>0.50000000000000555</v>
      </c>
      <c r="I1837" s="11">
        <f t="shared" si="28"/>
        <v>0</v>
      </c>
      <c r="J1837" s="11">
        <f>1/(H1837*Utilities!$B$11)</f>
        <v>7.9999999999999112</v>
      </c>
      <c r="K1837" s="11">
        <f>IF(B1837&lt;C1837,1,EXP(-1*(B1837-C1837)/(Utilities!$B$11*IterData!H1837)))</f>
        <v>1</v>
      </c>
    </row>
    <row r="1838" spans="8:11" x14ac:dyDescent="0.3">
      <c r="H1838">
        <v>0.50000000000000544</v>
      </c>
      <c r="I1838" s="11">
        <f t="shared" si="28"/>
        <v>0</v>
      </c>
      <c r="J1838" s="11">
        <f>1/(H1838*Utilities!$B$11)</f>
        <v>7.999999999999913</v>
      </c>
      <c r="K1838" s="11">
        <f>IF(B1838&lt;C1838,1,EXP(-1*(B1838-C1838)/(Utilities!$B$11*IterData!H1838)))</f>
        <v>1</v>
      </c>
    </row>
    <row r="1839" spans="8:11" x14ac:dyDescent="0.3">
      <c r="H1839">
        <v>0.50000000000000533</v>
      </c>
      <c r="I1839" s="11">
        <f t="shared" si="28"/>
        <v>0</v>
      </c>
      <c r="J1839" s="11">
        <f>1/(H1839*Utilities!$B$11)</f>
        <v>7.9999999999999147</v>
      </c>
      <c r="K1839" s="11">
        <f>IF(B1839&lt;C1839,1,EXP(-1*(B1839-C1839)/(Utilities!$B$11*IterData!H1839)))</f>
        <v>1</v>
      </c>
    </row>
    <row r="1840" spans="8:11" x14ac:dyDescent="0.3">
      <c r="H1840">
        <v>0.50000000000000522</v>
      </c>
      <c r="I1840" s="11">
        <f t="shared" si="28"/>
        <v>0</v>
      </c>
      <c r="J1840" s="11">
        <f>1/(H1840*Utilities!$B$11)</f>
        <v>7.9999999999999165</v>
      </c>
      <c r="K1840" s="11">
        <f>IF(B1840&lt;C1840,1,EXP(-1*(B1840-C1840)/(Utilities!$B$11*IterData!H1840)))</f>
        <v>1</v>
      </c>
    </row>
    <row r="1841" spans="8:11" x14ac:dyDescent="0.3">
      <c r="H1841">
        <v>0.50000000000000511</v>
      </c>
      <c r="I1841" s="11">
        <f t="shared" si="28"/>
        <v>0</v>
      </c>
      <c r="J1841" s="11">
        <f>1/(H1841*Utilities!$B$11)</f>
        <v>7.9999999999999183</v>
      </c>
      <c r="K1841" s="11">
        <f>IF(B1841&lt;C1841,1,EXP(-1*(B1841-C1841)/(Utilities!$B$11*IterData!H1841)))</f>
        <v>1</v>
      </c>
    </row>
    <row r="1842" spans="8:11" x14ac:dyDescent="0.3">
      <c r="H1842">
        <v>0.50000000000000511</v>
      </c>
      <c r="I1842" s="11">
        <f t="shared" si="28"/>
        <v>0</v>
      </c>
      <c r="J1842" s="11">
        <f>1/(H1842*Utilities!$B$11)</f>
        <v>7.9999999999999183</v>
      </c>
      <c r="K1842" s="11">
        <f>IF(B1842&lt;C1842,1,EXP(-1*(B1842-C1842)/(Utilities!$B$11*IterData!H1842)))</f>
        <v>1</v>
      </c>
    </row>
    <row r="1843" spans="8:11" x14ac:dyDescent="0.3">
      <c r="H1843">
        <v>0.500000000000005</v>
      </c>
      <c r="I1843" s="11">
        <f t="shared" si="28"/>
        <v>0</v>
      </c>
      <c r="J1843" s="11">
        <f>1/(H1843*Utilities!$B$11)</f>
        <v>7.9999999999999201</v>
      </c>
      <c r="K1843" s="11">
        <f>IF(B1843&lt;C1843,1,EXP(-1*(B1843-C1843)/(Utilities!$B$11*IterData!H1843)))</f>
        <v>1</v>
      </c>
    </row>
    <row r="1844" spans="8:11" x14ac:dyDescent="0.3">
      <c r="H1844">
        <v>0.50000000000000488</v>
      </c>
      <c r="I1844" s="11">
        <f t="shared" si="28"/>
        <v>0</v>
      </c>
      <c r="J1844" s="11">
        <f>1/(H1844*Utilities!$B$11)</f>
        <v>7.9999999999999218</v>
      </c>
      <c r="K1844" s="11">
        <f>IF(B1844&lt;C1844,1,EXP(-1*(B1844-C1844)/(Utilities!$B$11*IterData!H1844)))</f>
        <v>1</v>
      </c>
    </row>
    <row r="1845" spans="8:11" x14ac:dyDescent="0.3">
      <c r="H1845">
        <v>0.50000000000000477</v>
      </c>
      <c r="I1845" s="11">
        <f t="shared" si="28"/>
        <v>0</v>
      </c>
      <c r="J1845" s="11">
        <f>1/(H1845*Utilities!$B$11)</f>
        <v>7.9999999999999236</v>
      </c>
      <c r="K1845" s="11">
        <f>IF(B1845&lt;C1845,1,EXP(-1*(B1845-C1845)/(Utilities!$B$11*IterData!H1845)))</f>
        <v>1</v>
      </c>
    </row>
    <row r="1846" spans="8:11" x14ac:dyDescent="0.3">
      <c r="H1846">
        <v>0.50000000000000466</v>
      </c>
      <c r="I1846" s="11">
        <f t="shared" si="28"/>
        <v>0</v>
      </c>
      <c r="J1846" s="11">
        <f>1/(H1846*Utilities!$B$11)</f>
        <v>7.9999999999999254</v>
      </c>
      <c r="K1846" s="11">
        <f>IF(B1846&lt;C1846,1,EXP(-1*(B1846-C1846)/(Utilities!$B$11*IterData!H1846)))</f>
        <v>1</v>
      </c>
    </row>
    <row r="1847" spans="8:11" x14ac:dyDescent="0.3">
      <c r="H1847">
        <v>0.50000000000000455</v>
      </c>
      <c r="I1847" s="11">
        <f t="shared" si="28"/>
        <v>0</v>
      </c>
      <c r="J1847" s="11">
        <f>1/(H1847*Utilities!$B$11)</f>
        <v>7.9999999999999272</v>
      </c>
      <c r="K1847" s="11">
        <f>IF(B1847&lt;C1847,1,EXP(-1*(B1847-C1847)/(Utilities!$B$11*IterData!H1847)))</f>
        <v>1</v>
      </c>
    </row>
    <row r="1848" spans="8:11" x14ac:dyDescent="0.3">
      <c r="H1848">
        <v>0.50000000000000444</v>
      </c>
      <c r="I1848" s="11">
        <f t="shared" si="28"/>
        <v>0</v>
      </c>
      <c r="J1848" s="11">
        <f>1/(H1848*Utilities!$B$11)</f>
        <v>7.9999999999999289</v>
      </c>
      <c r="K1848" s="11">
        <f>IF(B1848&lt;C1848,1,EXP(-1*(B1848-C1848)/(Utilities!$B$11*IterData!H1848)))</f>
        <v>1</v>
      </c>
    </row>
    <row r="1849" spans="8:11" x14ac:dyDescent="0.3">
      <c r="H1849">
        <v>0.50000000000000444</v>
      </c>
      <c r="I1849" s="11">
        <f t="shared" si="28"/>
        <v>0</v>
      </c>
      <c r="J1849" s="11">
        <f>1/(H1849*Utilities!$B$11)</f>
        <v>7.9999999999999289</v>
      </c>
      <c r="K1849" s="11">
        <f>IF(B1849&lt;C1849,1,EXP(-1*(B1849-C1849)/(Utilities!$B$11*IterData!H1849)))</f>
        <v>1</v>
      </c>
    </row>
    <row r="1850" spans="8:11" x14ac:dyDescent="0.3">
      <c r="H1850">
        <v>0.50000000000000433</v>
      </c>
      <c r="I1850" s="11">
        <f t="shared" si="28"/>
        <v>0</v>
      </c>
      <c r="J1850" s="11">
        <f>1/(H1850*Utilities!$B$11)</f>
        <v>7.9999999999999307</v>
      </c>
      <c r="K1850" s="11">
        <f>IF(B1850&lt;C1850,1,EXP(-1*(B1850-C1850)/(Utilities!$B$11*IterData!H1850)))</f>
        <v>1</v>
      </c>
    </row>
    <row r="1851" spans="8:11" x14ac:dyDescent="0.3">
      <c r="H1851">
        <v>0.50000000000000422</v>
      </c>
      <c r="I1851" s="11">
        <f t="shared" si="28"/>
        <v>0</v>
      </c>
      <c r="J1851" s="11">
        <f>1/(H1851*Utilities!$B$11)</f>
        <v>7.9999999999999325</v>
      </c>
      <c r="K1851" s="11">
        <f>IF(B1851&lt;C1851,1,EXP(-1*(B1851-C1851)/(Utilities!$B$11*IterData!H1851)))</f>
        <v>1</v>
      </c>
    </row>
    <row r="1852" spans="8:11" x14ac:dyDescent="0.3">
      <c r="H1852">
        <v>0.50000000000000411</v>
      </c>
      <c r="I1852" s="11">
        <f t="shared" si="28"/>
        <v>0</v>
      </c>
      <c r="J1852" s="11">
        <f>1/(H1852*Utilities!$B$11)</f>
        <v>7.9999999999999343</v>
      </c>
      <c r="K1852" s="11">
        <f>IF(B1852&lt;C1852,1,EXP(-1*(B1852-C1852)/(Utilities!$B$11*IterData!H1852)))</f>
        <v>1</v>
      </c>
    </row>
    <row r="1853" spans="8:11" x14ac:dyDescent="0.3">
      <c r="H1853">
        <v>0.50000000000000411</v>
      </c>
      <c r="I1853" s="11">
        <f t="shared" si="28"/>
        <v>0</v>
      </c>
      <c r="J1853" s="11">
        <f>1/(H1853*Utilities!$B$11)</f>
        <v>7.9999999999999343</v>
      </c>
      <c r="K1853" s="11">
        <f>IF(B1853&lt;C1853,1,EXP(-1*(B1853-C1853)/(Utilities!$B$11*IterData!H1853)))</f>
        <v>1</v>
      </c>
    </row>
    <row r="1854" spans="8:11" x14ac:dyDescent="0.3">
      <c r="H1854">
        <v>0.500000000000004</v>
      </c>
      <c r="I1854" s="11">
        <f t="shared" si="28"/>
        <v>0</v>
      </c>
      <c r="J1854" s="11">
        <f>1/(H1854*Utilities!$B$11)</f>
        <v>7.9999999999999361</v>
      </c>
      <c r="K1854" s="11">
        <f>IF(B1854&lt;C1854,1,EXP(-1*(B1854-C1854)/(Utilities!$B$11*IterData!H1854)))</f>
        <v>1</v>
      </c>
    </row>
    <row r="1855" spans="8:11" x14ac:dyDescent="0.3">
      <c r="H1855">
        <v>0.50000000000000389</v>
      </c>
      <c r="I1855" s="11">
        <f t="shared" si="28"/>
        <v>0</v>
      </c>
      <c r="J1855" s="11">
        <f>1/(H1855*Utilities!$B$11)</f>
        <v>7.9999999999999378</v>
      </c>
      <c r="K1855" s="11">
        <f>IF(B1855&lt;C1855,1,EXP(-1*(B1855-C1855)/(Utilities!$B$11*IterData!H1855)))</f>
        <v>1</v>
      </c>
    </row>
    <row r="1856" spans="8:11" x14ac:dyDescent="0.3">
      <c r="H1856">
        <v>0.50000000000000377</v>
      </c>
      <c r="I1856" s="11">
        <f t="shared" si="28"/>
        <v>0</v>
      </c>
      <c r="J1856" s="11">
        <f>1/(H1856*Utilities!$B$11)</f>
        <v>7.9999999999999396</v>
      </c>
      <c r="K1856" s="11">
        <f>IF(B1856&lt;C1856,1,EXP(-1*(B1856-C1856)/(Utilities!$B$11*IterData!H1856)))</f>
        <v>1</v>
      </c>
    </row>
    <row r="1857" spans="8:11" x14ac:dyDescent="0.3">
      <c r="H1857">
        <v>0.50000000000000377</v>
      </c>
      <c r="I1857" s="11">
        <f t="shared" si="28"/>
        <v>0</v>
      </c>
      <c r="J1857" s="11">
        <f>1/(H1857*Utilities!$B$11)</f>
        <v>7.9999999999999396</v>
      </c>
      <c r="K1857" s="11">
        <f>IF(B1857&lt;C1857,1,EXP(-1*(B1857-C1857)/(Utilities!$B$11*IterData!H1857)))</f>
        <v>1</v>
      </c>
    </row>
    <row r="1858" spans="8:11" x14ac:dyDescent="0.3">
      <c r="H1858">
        <v>0.50000000000000366</v>
      </c>
      <c r="I1858" s="11">
        <f t="shared" si="28"/>
        <v>0</v>
      </c>
      <c r="J1858" s="11">
        <f>1/(H1858*Utilities!$B$11)</f>
        <v>7.9999999999999414</v>
      </c>
      <c r="K1858" s="11">
        <f>IF(B1858&lt;C1858,1,EXP(-1*(B1858-C1858)/(Utilities!$B$11*IterData!H1858)))</f>
        <v>1</v>
      </c>
    </row>
    <row r="1859" spans="8:11" x14ac:dyDescent="0.3">
      <c r="H1859">
        <v>0.50000000000000355</v>
      </c>
      <c r="I1859" s="11">
        <f t="shared" ref="I1859:I1922" si="29">B1859-C1859</f>
        <v>0</v>
      </c>
      <c r="J1859" s="11">
        <f>1/(H1859*Utilities!$B$11)</f>
        <v>7.9999999999999432</v>
      </c>
      <c r="K1859" s="11">
        <f>IF(B1859&lt;C1859,1,EXP(-1*(B1859-C1859)/(Utilities!$B$11*IterData!H1859)))</f>
        <v>1</v>
      </c>
    </row>
    <row r="1860" spans="8:11" x14ac:dyDescent="0.3">
      <c r="H1860">
        <v>0.50000000000000355</v>
      </c>
      <c r="I1860" s="11">
        <f t="shared" si="29"/>
        <v>0</v>
      </c>
      <c r="J1860" s="11">
        <f>1/(H1860*Utilities!$B$11)</f>
        <v>7.9999999999999432</v>
      </c>
      <c r="K1860" s="11">
        <f>IF(B1860&lt;C1860,1,EXP(-1*(B1860-C1860)/(Utilities!$B$11*IterData!H1860)))</f>
        <v>1</v>
      </c>
    </row>
    <row r="1861" spans="8:11" x14ac:dyDescent="0.3">
      <c r="H1861">
        <v>0.50000000000000344</v>
      </c>
      <c r="I1861" s="11">
        <f t="shared" si="29"/>
        <v>0</v>
      </c>
      <c r="J1861" s="11">
        <f>1/(H1861*Utilities!$B$11)</f>
        <v>7.9999999999999449</v>
      </c>
      <c r="K1861" s="11">
        <f>IF(B1861&lt;C1861,1,EXP(-1*(B1861-C1861)/(Utilities!$B$11*IterData!H1861)))</f>
        <v>1</v>
      </c>
    </row>
    <row r="1862" spans="8:11" x14ac:dyDescent="0.3">
      <c r="H1862">
        <v>0.50000000000000344</v>
      </c>
      <c r="I1862" s="11">
        <f t="shared" si="29"/>
        <v>0</v>
      </c>
      <c r="J1862" s="11">
        <f>1/(H1862*Utilities!$B$11)</f>
        <v>7.9999999999999449</v>
      </c>
      <c r="K1862" s="11">
        <f>IF(B1862&lt;C1862,1,EXP(-1*(B1862-C1862)/(Utilities!$B$11*IterData!H1862)))</f>
        <v>1</v>
      </c>
    </row>
    <row r="1863" spans="8:11" x14ac:dyDescent="0.3">
      <c r="H1863">
        <v>0.50000000000000333</v>
      </c>
      <c r="I1863" s="11">
        <f t="shared" si="29"/>
        <v>0</v>
      </c>
      <c r="J1863" s="11">
        <f>1/(H1863*Utilities!$B$11)</f>
        <v>7.9999999999999467</v>
      </c>
      <c r="K1863" s="11">
        <f>IF(B1863&lt;C1863,1,EXP(-1*(B1863-C1863)/(Utilities!$B$11*IterData!H1863)))</f>
        <v>1</v>
      </c>
    </row>
    <row r="1864" spans="8:11" x14ac:dyDescent="0.3">
      <c r="H1864">
        <v>0.50000000000000322</v>
      </c>
      <c r="I1864" s="11">
        <f t="shared" si="29"/>
        <v>0</v>
      </c>
      <c r="J1864" s="11">
        <f>1/(H1864*Utilities!$B$11)</f>
        <v>7.9999999999999485</v>
      </c>
      <c r="K1864" s="11">
        <f>IF(B1864&lt;C1864,1,EXP(-1*(B1864-C1864)/(Utilities!$B$11*IterData!H1864)))</f>
        <v>1</v>
      </c>
    </row>
    <row r="1865" spans="8:11" x14ac:dyDescent="0.3">
      <c r="H1865">
        <v>0.50000000000000322</v>
      </c>
      <c r="I1865" s="11">
        <f t="shared" si="29"/>
        <v>0</v>
      </c>
      <c r="J1865" s="11">
        <f>1/(H1865*Utilities!$B$11)</f>
        <v>7.9999999999999485</v>
      </c>
      <c r="K1865" s="11">
        <f>IF(B1865&lt;C1865,1,EXP(-1*(B1865-C1865)/(Utilities!$B$11*IterData!H1865)))</f>
        <v>1</v>
      </c>
    </row>
    <row r="1866" spans="8:11" x14ac:dyDescent="0.3">
      <c r="H1866">
        <v>0.50000000000000311</v>
      </c>
      <c r="I1866" s="11">
        <f t="shared" si="29"/>
        <v>0</v>
      </c>
      <c r="J1866" s="11">
        <f>1/(H1866*Utilities!$B$11)</f>
        <v>7.9999999999999503</v>
      </c>
      <c r="K1866" s="11">
        <f>IF(B1866&lt;C1866,1,EXP(-1*(B1866-C1866)/(Utilities!$B$11*IterData!H1866)))</f>
        <v>1</v>
      </c>
    </row>
    <row r="1867" spans="8:11" x14ac:dyDescent="0.3">
      <c r="H1867">
        <v>0.50000000000000311</v>
      </c>
      <c r="I1867" s="11">
        <f t="shared" si="29"/>
        <v>0</v>
      </c>
      <c r="J1867" s="11">
        <f>1/(H1867*Utilities!$B$11)</f>
        <v>7.9999999999999503</v>
      </c>
      <c r="K1867" s="11">
        <f>IF(B1867&lt;C1867,1,EXP(-1*(B1867-C1867)/(Utilities!$B$11*IterData!H1867)))</f>
        <v>1</v>
      </c>
    </row>
    <row r="1868" spans="8:11" x14ac:dyDescent="0.3">
      <c r="H1868">
        <v>0.500000000000003</v>
      </c>
      <c r="I1868" s="11">
        <f t="shared" si="29"/>
        <v>0</v>
      </c>
      <c r="J1868" s="11">
        <f>1/(H1868*Utilities!$B$11)</f>
        <v>7.999999999999952</v>
      </c>
      <c r="K1868" s="11">
        <f>IF(B1868&lt;C1868,1,EXP(-1*(B1868-C1868)/(Utilities!$B$11*IterData!H1868)))</f>
        <v>1</v>
      </c>
    </row>
    <row r="1869" spans="8:11" x14ac:dyDescent="0.3">
      <c r="H1869">
        <v>0.500000000000003</v>
      </c>
      <c r="I1869" s="11">
        <f t="shared" si="29"/>
        <v>0</v>
      </c>
      <c r="J1869" s="11">
        <f>1/(H1869*Utilities!$B$11)</f>
        <v>7.999999999999952</v>
      </c>
      <c r="K1869" s="11">
        <f>IF(B1869&lt;C1869,1,EXP(-1*(B1869-C1869)/(Utilities!$B$11*IterData!H1869)))</f>
        <v>1</v>
      </c>
    </row>
    <row r="1870" spans="8:11" x14ac:dyDescent="0.3">
      <c r="H1870">
        <v>0.50000000000000289</v>
      </c>
      <c r="I1870" s="11">
        <f t="shared" si="29"/>
        <v>0</v>
      </c>
      <c r="J1870" s="11">
        <f>1/(H1870*Utilities!$B$11)</f>
        <v>7.9999999999999538</v>
      </c>
      <c r="K1870" s="11">
        <f>IF(B1870&lt;C1870,1,EXP(-1*(B1870-C1870)/(Utilities!$B$11*IterData!H1870)))</f>
        <v>1</v>
      </c>
    </row>
    <row r="1871" spans="8:11" x14ac:dyDescent="0.3">
      <c r="H1871">
        <v>0.50000000000000289</v>
      </c>
      <c r="I1871" s="11">
        <f t="shared" si="29"/>
        <v>0</v>
      </c>
      <c r="J1871" s="11">
        <f>1/(H1871*Utilities!$B$11)</f>
        <v>7.9999999999999538</v>
      </c>
      <c r="K1871" s="11">
        <f>IF(B1871&lt;C1871,1,EXP(-1*(B1871-C1871)/(Utilities!$B$11*IterData!H1871)))</f>
        <v>1</v>
      </c>
    </row>
    <row r="1872" spans="8:11" x14ac:dyDescent="0.3">
      <c r="H1872">
        <v>0.50000000000000278</v>
      </c>
      <c r="I1872" s="11">
        <f t="shared" si="29"/>
        <v>0</v>
      </c>
      <c r="J1872" s="11">
        <f>1/(H1872*Utilities!$B$11)</f>
        <v>7.9999999999999556</v>
      </c>
      <c r="K1872" s="11">
        <f>IF(B1872&lt;C1872,1,EXP(-1*(B1872-C1872)/(Utilities!$B$11*IterData!H1872)))</f>
        <v>1</v>
      </c>
    </row>
    <row r="1873" spans="8:11" x14ac:dyDescent="0.3">
      <c r="H1873">
        <v>0.50000000000000278</v>
      </c>
      <c r="I1873" s="11">
        <f t="shared" si="29"/>
        <v>0</v>
      </c>
      <c r="J1873" s="11">
        <f>1/(H1873*Utilities!$B$11)</f>
        <v>7.9999999999999556</v>
      </c>
      <c r="K1873" s="11">
        <f>IF(B1873&lt;C1873,1,EXP(-1*(B1873-C1873)/(Utilities!$B$11*IterData!H1873)))</f>
        <v>1</v>
      </c>
    </row>
    <row r="1874" spans="8:11" x14ac:dyDescent="0.3">
      <c r="H1874">
        <v>0.50000000000000266</v>
      </c>
      <c r="I1874" s="11">
        <f t="shared" si="29"/>
        <v>0</v>
      </c>
      <c r="J1874" s="11">
        <f>1/(H1874*Utilities!$B$11)</f>
        <v>7.9999999999999574</v>
      </c>
      <c r="K1874" s="11">
        <f>IF(B1874&lt;C1874,1,EXP(-1*(B1874-C1874)/(Utilities!$B$11*IterData!H1874)))</f>
        <v>1</v>
      </c>
    </row>
    <row r="1875" spans="8:11" x14ac:dyDescent="0.3">
      <c r="H1875">
        <v>0.50000000000000266</v>
      </c>
      <c r="I1875" s="11">
        <f t="shared" si="29"/>
        <v>0</v>
      </c>
      <c r="J1875" s="11">
        <f>1/(H1875*Utilities!$B$11)</f>
        <v>7.9999999999999574</v>
      </c>
      <c r="K1875" s="11">
        <f>IF(B1875&lt;C1875,1,EXP(-1*(B1875-C1875)/(Utilities!$B$11*IterData!H1875)))</f>
        <v>1</v>
      </c>
    </row>
    <row r="1876" spans="8:11" x14ac:dyDescent="0.3">
      <c r="H1876">
        <v>0.50000000000000255</v>
      </c>
      <c r="I1876" s="11">
        <f t="shared" si="29"/>
        <v>0</v>
      </c>
      <c r="J1876" s="11">
        <f>1/(H1876*Utilities!$B$11)</f>
        <v>7.9999999999999591</v>
      </c>
      <c r="K1876" s="11">
        <f>IF(B1876&lt;C1876,1,EXP(-1*(B1876-C1876)/(Utilities!$B$11*IterData!H1876)))</f>
        <v>1</v>
      </c>
    </row>
    <row r="1877" spans="8:11" x14ac:dyDescent="0.3">
      <c r="H1877">
        <v>0.50000000000000255</v>
      </c>
      <c r="I1877" s="11">
        <f t="shared" si="29"/>
        <v>0</v>
      </c>
      <c r="J1877" s="11">
        <f>1/(H1877*Utilities!$B$11)</f>
        <v>7.9999999999999591</v>
      </c>
      <c r="K1877" s="11">
        <f>IF(B1877&lt;C1877,1,EXP(-1*(B1877-C1877)/(Utilities!$B$11*IterData!H1877)))</f>
        <v>1</v>
      </c>
    </row>
    <row r="1878" spans="8:11" x14ac:dyDescent="0.3">
      <c r="H1878">
        <v>0.50000000000000244</v>
      </c>
      <c r="I1878" s="11">
        <f t="shared" si="29"/>
        <v>0</v>
      </c>
      <c r="J1878" s="11">
        <f>1/(H1878*Utilities!$B$11)</f>
        <v>7.9999999999999609</v>
      </c>
      <c r="K1878" s="11">
        <f>IF(B1878&lt;C1878,1,EXP(-1*(B1878-C1878)/(Utilities!$B$11*IterData!H1878)))</f>
        <v>1</v>
      </c>
    </row>
    <row r="1879" spans="8:11" x14ac:dyDescent="0.3">
      <c r="H1879">
        <v>0.50000000000000244</v>
      </c>
      <c r="I1879" s="11">
        <f t="shared" si="29"/>
        <v>0</v>
      </c>
      <c r="J1879" s="11">
        <f>1/(H1879*Utilities!$B$11)</f>
        <v>7.9999999999999609</v>
      </c>
      <c r="K1879" s="11">
        <f>IF(B1879&lt;C1879,1,EXP(-1*(B1879-C1879)/(Utilities!$B$11*IterData!H1879)))</f>
        <v>1</v>
      </c>
    </row>
    <row r="1880" spans="8:11" x14ac:dyDescent="0.3">
      <c r="H1880">
        <v>0.50000000000000233</v>
      </c>
      <c r="I1880" s="11">
        <f t="shared" si="29"/>
        <v>0</v>
      </c>
      <c r="J1880" s="11">
        <f>1/(H1880*Utilities!$B$11)</f>
        <v>7.9999999999999627</v>
      </c>
      <c r="K1880" s="11">
        <f>IF(B1880&lt;C1880,1,EXP(-1*(B1880-C1880)/(Utilities!$B$11*IterData!H1880)))</f>
        <v>1</v>
      </c>
    </row>
    <row r="1881" spans="8:11" x14ac:dyDescent="0.3">
      <c r="H1881">
        <v>0.50000000000000233</v>
      </c>
      <c r="I1881" s="11">
        <f t="shared" si="29"/>
        <v>0</v>
      </c>
      <c r="J1881" s="11">
        <f>1/(H1881*Utilities!$B$11)</f>
        <v>7.9999999999999627</v>
      </c>
      <c r="K1881" s="11">
        <f>IF(B1881&lt;C1881,1,EXP(-1*(B1881-C1881)/(Utilities!$B$11*IterData!H1881)))</f>
        <v>1</v>
      </c>
    </row>
    <row r="1882" spans="8:11" x14ac:dyDescent="0.3">
      <c r="H1882">
        <v>0.50000000000000222</v>
      </c>
      <c r="I1882" s="11">
        <f t="shared" si="29"/>
        <v>0</v>
      </c>
      <c r="J1882" s="11">
        <f>1/(H1882*Utilities!$B$11)</f>
        <v>7.9999999999999645</v>
      </c>
      <c r="K1882" s="11">
        <f>IF(B1882&lt;C1882,1,EXP(-1*(B1882-C1882)/(Utilities!$B$11*IterData!H1882)))</f>
        <v>1</v>
      </c>
    </row>
    <row r="1883" spans="8:11" x14ac:dyDescent="0.3">
      <c r="H1883">
        <v>0.50000000000000222</v>
      </c>
      <c r="I1883" s="11">
        <f t="shared" si="29"/>
        <v>0</v>
      </c>
      <c r="J1883" s="11">
        <f>1/(H1883*Utilities!$B$11)</f>
        <v>7.9999999999999645</v>
      </c>
      <c r="K1883" s="11">
        <f>IF(B1883&lt;C1883,1,EXP(-1*(B1883-C1883)/(Utilities!$B$11*IterData!H1883)))</f>
        <v>1</v>
      </c>
    </row>
    <row r="1884" spans="8:11" x14ac:dyDescent="0.3">
      <c r="H1884">
        <v>0.50000000000000222</v>
      </c>
      <c r="I1884" s="11">
        <f t="shared" si="29"/>
        <v>0</v>
      </c>
      <c r="J1884" s="11">
        <f>1/(H1884*Utilities!$B$11)</f>
        <v>7.9999999999999645</v>
      </c>
      <c r="K1884" s="11">
        <f>IF(B1884&lt;C1884,1,EXP(-1*(B1884-C1884)/(Utilities!$B$11*IterData!H1884)))</f>
        <v>1</v>
      </c>
    </row>
    <row r="1885" spans="8:11" x14ac:dyDescent="0.3">
      <c r="H1885">
        <v>0.50000000000000211</v>
      </c>
      <c r="I1885" s="11">
        <f t="shared" si="29"/>
        <v>0</v>
      </c>
      <c r="J1885" s="11">
        <f>1/(H1885*Utilities!$B$11)</f>
        <v>7.9999999999999662</v>
      </c>
      <c r="K1885" s="11">
        <f>IF(B1885&lt;C1885,1,EXP(-1*(B1885-C1885)/(Utilities!$B$11*IterData!H1885)))</f>
        <v>1</v>
      </c>
    </row>
    <row r="1886" spans="8:11" x14ac:dyDescent="0.3">
      <c r="H1886">
        <v>0.50000000000000211</v>
      </c>
      <c r="I1886" s="11">
        <f t="shared" si="29"/>
        <v>0</v>
      </c>
      <c r="J1886" s="11">
        <f>1/(H1886*Utilities!$B$11)</f>
        <v>7.9999999999999662</v>
      </c>
      <c r="K1886" s="11">
        <f>IF(B1886&lt;C1886,1,EXP(-1*(B1886-C1886)/(Utilities!$B$11*IterData!H1886)))</f>
        <v>1</v>
      </c>
    </row>
    <row r="1887" spans="8:11" x14ac:dyDescent="0.3">
      <c r="H1887">
        <v>0.50000000000000211</v>
      </c>
      <c r="I1887" s="11">
        <f t="shared" si="29"/>
        <v>0</v>
      </c>
      <c r="J1887" s="11">
        <f>1/(H1887*Utilities!$B$11)</f>
        <v>7.9999999999999662</v>
      </c>
      <c r="K1887" s="11">
        <f>IF(B1887&lt;C1887,1,EXP(-1*(B1887-C1887)/(Utilities!$B$11*IterData!H1887)))</f>
        <v>1</v>
      </c>
    </row>
    <row r="1888" spans="8:11" x14ac:dyDescent="0.3">
      <c r="H1888">
        <v>0.500000000000002</v>
      </c>
      <c r="I1888" s="11">
        <f t="shared" si="29"/>
        <v>0</v>
      </c>
      <c r="J1888" s="11">
        <f>1/(H1888*Utilities!$B$11)</f>
        <v>7.999999999999968</v>
      </c>
      <c r="K1888" s="11">
        <f>IF(B1888&lt;C1888,1,EXP(-1*(B1888-C1888)/(Utilities!$B$11*IterData!H1888)))</f>
        <v>1</v>
      </c>
    </row>
    <row r="1889" spans="8:11" x14ac:dyDescent="0.3">
      <c r="H1889">
        <v>0.500000000000002</v>
      </c>
      <c r="I1889" s="11">
        <f t="shared" si="29"/>
        <v>0</v>
      </c>
      <c r="J1889" s="11">
        <f>1/(H1889*Utilities!$B$11)</f>
        <v>7.999999999999968</v>
      </c>
      <c r="K1889" s="11">
        <f>IF(B1889&lt;C1889,1,EXP(-1*(B1889-C1889)/(Utilities!$B$11*IterData!H1889)))</f>
        <v>1</v>
      </c>
    </row>
    <row r="1890" spans="8:11" x14ac:dyDescent="0.3">
      <c r="H1890">
        <v>0.50000000000000189</v>
      </c>
      <c r="I1890" s="11">
        <f t="shared" si="29"/>
        <v>0</v>
      </c>
      <c r="J1890" s="11">
        <f>1/(H1890*Utilities!$B$11)</f>
        <v>7.9999999999999698</v>
      </c>
      <c r="K1890" s="11">
        <f>IF(B1890&lt;C1890,1,EXP(-1*(B1890-C1890)/(Utilities!$B$11*IterData!H1890)))</f>
        <v>1</v>
      </c>
    </row>
    <row r="1891" spans="8:11" x14ac:dyDescent="0.3">
      <c r="H1891">
        <v>0.50000000000000189</v>
      </c>
      <c r="I1891" s="11">
        <f t="shared" si="29"/>
        <v>0</v>
      </c>
      <c r="J1891" s="11">
        <f>1/(H1891*Utilities!$B$11)</f>
        <v>7.9999999999999698</v>
      </c>
      <c r="K1891" s="11">
        <f>IF(B1891&lt;C1891,1,EXP(-1*(B1891-C1891)/(Utilities!$B$11*IterData!H1891)))</f>
        <v>1</v>
      </c>
    </row>
    <row r="1892" spans="8:11" x14ac:dyDescent="0.3">
      <c r="H1892">
        <v>0.50000000000000189</v>
      </c>
      <c r="I1892" s="11">
        <f t="shared" si="29"/>
        <v>0</v>
      </c>
      <c r="J1892" s="11">
        <f>1/(H1892*Utilities!$B$11)</f>
        <v>7.9999999999999698</v>
      </c>
      <c r="K1892" s="11">
        <f>IF(B1892&lt;C1892,1,EXP(-1*(B1892-C1892)/(Utilities!$B$11*IterData!H1892)))</f>
        <v>1</v>
      </c>
    </row>
    <row r="1893" spans="8:11" x14ac:dyDescent="0.3">
      <c r="H1893">
        <v>0.50000000000000178</v>
      </c>
      <c r="I1893" s="11">
        <f t="shared" si="29"/>
        <v>0</v>
      </c>
      <c r="J1893" s="11">
        <f>1/(H1893*Utilities!$B$11)</f>
        <v>7.9999999999999716</v>
      </c>
      <c r="K1893" s="11">
        <f>IF(B1893&lt;C1893,1,EXP(-1*(B1893-C1893)/(Utilities!$B$11*IterData!H1893)))</f>
        <v>1</v>
      </c>
    </row>
    <row r="1894" spans="8:11" x14ac:dyDescent="0.3">
      <c r="H1894">
        <v>0.50000000000000178</v>
      </c>
      <c r="I1894" s="11">
        <f t="shared" si="29"/>
        <v>0</v>
      </c>
      <c r="J1894" s="11">
        <f>1/(H1894*Utilities!$B$11)</f>
        <v>7.9999999999999716</v>
      </c>
      <c r="K1894" s="11">
        <f>IF(B1894&lt;C1894,1,EXP(-1*(B1894-C1894)/(Utilities!$B$11*IterData!H1894)))</f>
        <v>1</v>
      </c>
    </row>
    <row r="1895" spans="8:11" x14ac:dyDescent="0.3">
      <c r="H1895">
        <v>0.50000000000000178</v>
      </c>
      <c r="I1895" s="11">
        <f t="shared" si="29"/>
        <v>0</v>
      </c>
      <c r="J1895" s="11">
        <f>1/(H1895*Utilities!$B$11)</f>
        <v>7.9999999999999716</v>
      </c>
      <c r="K1895" s="11">
        <f>IF(B1895&lt;C1895,1,EXP(-1*(B1895-C1895)/(Utilities!$B$11*IterData!H1895)))</f>
        <v>1</v>
      </c>
    </row>
    <row r="1896" spans="8:11" x14ac:dyDescent="0.3">
      <c r="H1896">
        <v>0.50000000000000167</v>
      </c>
      <c r="I1896" s="11">
        <f t="shared" si="29"/>
        <v>0</v>
      </c>
      <c r="J1896" s="11">
        <f>1/(H1896*Utilities!$B$11)</f>
        <v>7.9999999999999734</v>
      </c>
      <c r="K1896" s="11">
        <f>IF(B1896&lt;C1896,1,EXP(-1*(B1896-C1896)/(Utilities!$B$11*IterData!H1896)))</f>
        <v>1</v>
      </c>
    </row>
    <row r="1897" spans="8:11" x14ac:dyDescent="0.3">
      <c r="H1897">
        <v>0.50000000000000167</v>
      </c>
      <c r="I1897" s="11">
        <f t="shared" si="29"/>
        <v>0</v>
      </c>
      <c r="J1897" s="11">
        <f>1/(H1897*Utilities!$B$11)</f>
        <v>7.9999999999999734</v>
      </c>
      <c r="K1897" s="11">
        <f>IF(B1897&lt;C1897,1,EXP(-1*(B1897-C1897)/(Utilities!$B$11*IterData!H1897)))</f>
        <v>1</v>
      </c>
    </row>
    <row r="1898" spans="8:11" x14ac:dyDescent="0.3">
      <c r="H1898">
        <v>0.50000000000000167</v>
      </c>
      <c r="I1898" s="11">
        <f t="shared" si="29"/>
        <v>0</v>
      </c>
      <c r="J1898" s="11">
        <f>1/(H1898*Utilities!$B$11)</f>
        <v>7.9999999999999734</v>
      </c>
      <c r="K1898" s="11">
        <f>IF(B1898&lt;C1898,1,EXP(-1*(B1898-C1898)/(Utilities!$B$11*IterData!H1898)))</f>
        <v>1</v>
      </c>
    </row>
    <row r="1899" spans="8:11" x14ac:dyDescent="0.3">
      <c r="H1899">
        <v>0.50000000000000167</v>
      </c>
      <c r="I1899" s="11">
        <f t="shared" si="29"/>
        <v>0</v>
      </c>
      <c r="J1899" s="11">
        <f>1/(H1899*Utilities!$B$11)</f>
        <v>7.9999999999999734</v>
      </c>
      <c r="K1899" s="11">
        <f>IF(B1899&lt;C1899,1,EXP(-1*(B1899-C1899)/(Utilities!$B$11*IterData!H1899)))</f>
        <v>1</v>
      </c>
    </row>
    <row r="1900" spans="8:11" x14ac:dyDescent="0.3">
      <c r="H1900">
        <v>0.50000000000000155</v>
      </c>
      <c r="I1900" s="11">
        <f t="shared" si="29"/>
        <v>0</v>
      </c>
      <c r="J1900" s="11">
        <f>1/(H1900*Utilities!$B$11)</f>
        <v>7.9999999999999751</v>
      </c>
      <c r="K1900" s="11">
        <f>IF(B1900&lt;C1900,1,EXP(-1*(B1900-C1900)/(Utilities!$B$11*IterData!H1900)))</f>
        <v>1</v>
      </c>
    </row>
    <row r="1901" spans="8:11" x14ac:dyDescent="0.3">
      <c r="H1901">
        <v>0.50000000000000155</v>
      </c>
      <c r="I1901" s="11">
        <f t="shared" si="29"/>
        <v>0</v>
      </c>
      <c r="J1901" s="11">
        <f>1/(H1901*Utilities!$B$11)</f>
        <v>7.9999999999999751</v>
      </c>
      <c r="K1901" s="11">
        <f>IF(B1901&lt;C1901,1,EXP(-1*(B1901-C1901)/(Utilities!$B$11*IterData!H1901)))</f>
        <v>1</v>
      </c>
    </row>
    <row r="1902" spans="8:11" x14ac:dyDescent="0.3">
      <c r="H1902">
        <v>0.50000000000000155</v>
      </c>
      <c r="I1902" s="11">
        <f t="shared" si="29"/>
        <v>0</v>
      </c>
      <c r="J1902" s="11">
        <f>1/(H1902*Utilities!$B$11)</f>
        <v>7.9999999999999751</v>
      </c>
      <c r="K1902" s="11">
        <f>IF(B1902&lt;C1902,1,EXP(-1*(B1902-C1902)/(Utilities!$B$11*IterData!H1902)))</f>
        <v>1</v>
      </c>
    </row>
    <row r="1903" spans="8:11" x14ac:dyDescent="0.3">
      <c r="H1903">
        <v>0.50000000000000144</v>
      </c>
      <c r="I1903" s="11">
        <f t="shared" si="29"/>
        <v>0</v>
      </c>
      <c r="J1903" s="11">
        <f>1/(H1903*Utilities!$B$11)</f>
        <v>7.9999999999999769</v>
      </c>
      <c r="K1903" s="11">
        <f>IF(B1903&lt;C1903,1,EXP(-1*(B1903-C1903)/(Utilities!$B$11*IterData!H1903)))</f>
        <v>1</v>
      </c>
    </row>
    <row r="1904" spans="8:11" x14ac:dyDescent="0.3">
      <c r="H1904">
        <v>0.50000000000000144</v>
      </c>
      <c r="I1904" s="11">
        <f t="shared" si="29"/>
        <v>0</v>
      </c>
      <c r="J1904" s="11">
        <f>1/(H1904*Utilities!$B$11)</f>
        <v>7.9999999999999769</v>
      </c>
      <c r="K1904" s="11">
        <f>IF(B1904&lt;C1904,1,EXP(-1*(B1904-C1904)/(Utilities!$B$11*IterData!H1904)))</f>
        <v>1</v>
      </c>
    </row>
    <row r="1905" spans="8:11" x14ac:dyDescent="0.3">
      <c r="H1905">
        <v>0.50000000000000144</v>
      </c>
      <c r="I1905" s="11">
        <f t="shared" si="29"/>
        <v>0</v>
      </c>
      <c r="J1905" s="11">
        <f>1/(H1905*Utilities!$B$11)</f>
        <v>7.9999999999999769</v>
      </c>
      <c r="K1905" s="11">
        <f>IF(B1905&lt;C1905,1,EXP(-1*(B1905-C1905)/(Utilities!$B$11*IterData!H1905)))</f>
        <v>1</v>
      </c>
    </row>
    <row r="1906" spans="8:11" x14ac:dyDescent="0.3">
      <c r="H1906">
        <v>0.50000000000000144</v>
      </c>
      <c r="I1906" s="11">
        <f t="shared" si="29"/>
        <v>0</v>
      </c>
      <c r="J1906" s="11">
        <f>1/(H1906*Utilities!$B$11)</f>
        <v>7.9999999999999769</v>
      </c>
      <c r="K1906" s="11">
        <f>IF(B1906&lt;C1906,1,EXP(-1*(B1906-C1906)/(Utilities!$B$11*IterData!H1906)))</f>
        <v>1</v>
      </c>
    </row>
    <row r="1907" spans="8:11" x14ac:dyDescent="0.3">
      <c r="H1907">
        <v>0.50000000000000133</v>
      </c>
      <c r="I1907" s="11">
        <f t="shared" si="29"/>
        <v>0</v>
      </c>
      <c r="J1907" s="11">
        <f>1/(H1907*Utilities!$B$11)</f>
        <v>7.9999999999999787</v>
      </c>
      <c r="K1907" s="11">
        <f>IF(B1907&lt;C1907,1,EXP(-1*(B1907-C1907)/(Utilities!$B$11*IterData!H1907)))</f>
        <v>1</v>
      </c>
    </row>
    <row r="1908" spans="8:11" x14ac:dyDescent="0.3">
      <c r="H1908">
        <v>0.50000000000000133</v>
      </c>
      <c r="I1908" s="11">
        <f t="shared" si="29"/>
        <v>0</v>
      </c>
      <c r="J1908" s="11">
        <f>1/(H1908*Utilities!$B$11)</f>
        <v>7.9999999999999787</v>
      </c>
      <c r="K1908" s="11">
        <f>IF(B1908&lt;C1908,1,EXP(-1*(B1908-C1908)/(Utilities!$B$11*IterData!H1908)))</f>
        <v>1</v>
      </c>
    </row>
    <row r="1909" spans="8:11" x14ac:dyDescent="0.3">
      <c r="H1909">
        <v>0.50000000000000133</v>
      </c>
      <c r="I1909" s="11">
        <f t="shared" si="29"/>
        <v>0</v>
      </c>
      <c r="J1909" s="11">
        <f>1/(H1909*Utilities!$B$11)</f>
        <v>7.9999999999999787</v>
      </c>
      <c r="K1909" s="11">
        <f>IF(B1909&lt;C1909,1,EXP(-1*(B1909-C1909)/(Utilities!$B$11*IterData!H1909)))</f>
        <v>1</v>
      </c>
    </row>
    <row r="1910" spans="8:11" x14ac:dyDescent="0.3">
      <c r="H1910">
        <v>0.50000000000000133</v>
      </c>
      <c r="I1910" s="11">
        <f t="shared" si="29"/>
        <v>0</v>
      </c>
      <c r="J1910" s="11">
        <f>1/(H1910*Utilities!$B$11)</f>
        <v>7.9999999999999787</v>
      </c>
      <c r="K1910" s="11">
        <f>IF(B1910&lt;C1910,1,EXP(-1*(B1910-C1910)/(Utilities!$B$11*IterData!H1910)))</f>
        <v>1</v>
      </c>
    </row>
    <row r="1911" spans="8:11" x14ac:dyDescent="0.3">
      <c r="H1911">
        <v>0.50000000000000122</v>
      </c>
      <c r="I1911" s="11">
        <f t="shared" si="29"/>
        <v>0</v>
      </c>
      <c r="J1911" s="11">
        <f>1/(H1911*Utilities!$B$11)</f>
        <v>7.9999999999999805</v>
      </c>
      <c r="K1911" s="11">
        <f>IF(B1911&lt;C1911,1,EXP(-1*(B1911-C1911)/(Utilities!$B$11*IterData!H1911)))</f>
        <v>1</v>
      </c>
    </row>
    <row r="1912" spans="8:11" x14ac:dyDescent="0.3">
      <c r="H1912">
        <v>0.50000000000000122</v>
      </c>
      <c r="I1912" s="11">
        <f t="shared" si="29"/>
        <v>0</v>
      </c>
      <c r="J1912" s="11">
        <f>1/(H1912*Utilities!$B$11)</f>
        <v>7.9999999999999805</v>
      </c>
      <c r="K1912" s="11">
        <f>IF(B1912&lt;C1912,1,EXP(-1*(B1912-C1912)/(Utilities!$B$11*IterData!H1912)))</f>
        <v>1</v>
      </c>
    </row>
    <row r="1913" spans="8:11" x14ac:dyDescent="0.3">
      <c r="H1913">
        <v>0.50000000000000122</v>
      </c>
      <c r="I1913" s="11">
        <f t="shared" si="29"/>
        <v>0</v>
      </c>
      <c r="J1913" s="11">
        <f>1/(H1913*Utilities!$B$11)</f>
        <v>7.9999999999999805</v>
      </c>
      <c r="K1913" s="11">
        <f>IF(B1913&lt;C1913,1,EXP(-1*(B1913-C1913)/(Utilities!$B$11*IterData!H1913)))</f>
        <v>1</v>
      </c>
    </row>
    <row r="1914" spans="8:11" x14ac:dyDescent="0.3">
      <c r="H1914">
        <v>0.50000000000000122</v>
      </c>
      <c r="I1914" s="11">
        <f t="shared" si="29"/>
        <v>0</v>
      </c>
      <c r="J1914" s="11">
        <f>1/(H1914*Utilities!$B$11)</f>
        <v>7.9999999999999805</v>
      </c>
      <c r="K1914" s="11">
        <f>IF(B1914&lt;C1914,1,EXP(-1*(B1914-C1914)/(Utilities!$B$11*IterData!H1914)))</f>
        <v>1</v>
      </c>
    </row>
    <row r="1915" spans="8:11" x14ac:dyDescent="0.3">
      <c r="H1915">
        <v>0.50000000000000122</v>
      </c>
      <c r="I1915" s="11">
        <f t="shared" si="29"/>
        <v>0</v>
      </c>
      <c r="J1915" s="11">
        <f>1/(H1915*Utilities!$B$11)</f>
        <v>7.9999999999999805</v>
      </c>
      <c r="K1915" s="11">
        <f>IF(B1915&lt;C1915,1,EXP(-1*(B1915-C1915)/(Utilities!$B$11*IterData!H1915)))</f>
        <v>1</v>
      </c>
    </row>
    <row r="1916" spans="8:11" x14ac:dyDescent="0.3">
      <c r="H1916">
        <v>0.50000000000000111</v>
      </c>
      <c r="I1916" s="11">
        <f t="shared" si="29"/>
        <v>0</v>
      </c>
      <c r="J1916" s="11">
        <f>1/(H1916*Utilities!$B$11)</f>
        <v>7.9999999999999822</v>
      </c>
      <c r="K1916" s="11">
        <f>IF(B1916&lt;C1916,1,EXP(-1*(B1916-C1916)/(Utilities!$B$11*IterData!H1916)))</f>
        <v>1</v>
      </c>
    </row>
    <row r="1917" spans="8:11" x14ac:dyDescent="0.3">
      <c r="H1917">
        <v>0.50000000000000111</v>
      </c>
      <c r="I1917" s="11">
        <f t="shared" si="29"/>
        <v>0</v>
      </c>
      <c r="J1917" s="11">
        <f>1/(H1917*Utilities!$B$11)</f>
        <v>7.9999999999999822</v>
      </c>
      <c r="K1917" s="11">
        <f>IF(B1917&lt;C1917,1,EXP(-1*(B1917-C1917)/(Utilities!$B$11*IterData!H1917)))</f>
        <v>1</v>
      </c>
    </row>
    <row r="1918" spans="8:11" x14ac:dyDescent="0.3">
      <c r="H1918">
        <v>0.50000000000000111</v>
      </c>
      <c r="I1918" s="11">
        <f t="shared" si="29"/>
        <v>0</v>
      </c>
      <c r="J1918" s="11">
        <f>1/(H1918*Utilities!$B$11)</f>
        <v>7.9999999999999822</v>
      </c>
      <c r="K1918" s="11">
        <f>IF(B1918&lt;C1918,1,EXP(-1*(B1918-C1918)/(Utilities!$B$11*IterData!H1918)))</f>
        <v>1</v>
      </c>
    </row>
    <row r="1919" spans="8:11" x14ac:dyDescent="0.3">
      <c r="H1919">
        <v>0.50000000000000111</v>
      </c>
      <c r="I1919" s="11">
        <f t="shared" si="29"/>
        <v>0</v>
      </c>
      <c r="J1919" s="11">
        <f>1/(H1919*Utilities!$B$11)</f>
        <v>7.9999999999999822</v>
      </c>
      <c r="K1919" s="11">
        <f>IF(B1919&lt;C1919,1,EXP(-1*(B1919-C1919)/(Utilities!$B$11*IterData!H1919)))</f>
        <v>1</v>
      </c>
    </row>
    <row r="1920" spans="8:11" x14ac:dyDescent="0.3">
      <c r="H1920">
        <v>0.50000000000000111</v>
      </c>
      <c r="I1920" s="11">
        <f t="shared" si="29"/>
        <v>0</v>
      </c>
      <c r="J1920" s="11">
        <f>1/(H1920*Utilities!$B$11)</f>
        <v>7.9999999999999822</v>
      </c>
      <c r="K1920" s="11">
        <f>IF(B1920&lt;C1920,1,EXP(-1*(B1920-C1920)/(Utilities!$B$11*IterData!H1920)))</f>
        <v>1</v>
      </c>
    </row>
    <row r="1921" spans="8:11" x14ac:dyDescent="0.3">
      <c r="H1921">
        <v>0.500000000000001</v>
      </c>
      <c r="I1921" s="11">
        <f t="shared" si="29"/>
        <v>0</v>
      </c>
      <c r="J1921" s="11">
        <f>1/(H1921*Utilities!$B$11)</f>
        <v>7.999999999999984</v>
      </c>
      <c r="K1921" s="11">
        <f>IF(B1921&lt;C1921,1,EXP(-1*(B1921-C1921)/(Utilities!$B$11*IterData!H1921)))</f>
        <v>1</v>
      </c>
    </row>
    <row r="1922" spans="8:11" x14ac:dyDescent="0.3">
      <c r="H1922">
        <v>0.500000000000001</v>
      </c>
      <c r="I1922" s="11">
        <f t="shared" si="29"/>
        <v>0</v>
      </c>
      <c r="J1922" s="11">
        <f>1/(H1922*Utilities!$B$11)</f>
        <v>7.999999999999984</v>
      </c>
      <c r="K1922" s="11">
        <f>IF(B1922&lt;C1922,1,EXP(-1*(B1922-C1922)/(Utilities!$B$11*IterData!H1922)))</f>
        <v>1</v>
      </c>
    </row>
    <row r="1923" spans="8:11" x14ac:dyDescent="0.3">
      <c r="H1923">
        <v>0.500000000000001</v>
      </c>
      <c r="I1923" s="11">
        <f t="shared" ref="I1923:I1986" si="30">B1923-C1923</f>
        <v>0</v>
      </c>
      <c r="J1923" s="11">
        <f>1/(H1923*Utilities!$B$11)</f>
        <v>7.999999999999984</v>
      </c>
      <c r="K1923" s="11">
        <f>IF(B1923&lt;C1923,1,EXP(-1*(B1923-C1923)/(Utilities!$B$11*IterData!H1923)))</f>
        <v>1</v>
      </c>
    </row>
    <row r="1924" spans="8:11" x14ac:dyDescent="0.3">
      <c r="H1924">
        <v>0.500000000000001</v>
      </c>
      <c r="I1924" s="11">
        <f t="shared" si="30"/>
        <v>0</v>
      </c>
      <c r="J1924" s="11">
        <f>1/(H1924*Utilities!$B$11)</f>
        <v>7.999999999999984</v>
      </c>
      <c r="K1924" s="11">
        <f>IF(B1924&lt;C1924,1,EXP(-1*(B1924-C1924)/(Utilities!$B$11*IterData!H1924)))</f>
        <v>1</v>
      </c>
    </row>
    <row r="1925" spans="8:11" x14ac:dyDescent="0.3">
      <c r="H1925">
        <v>0.500000000000001</v>
      </c>
      <c r="I1925" s="11">
        <f t="shared" si="30"/>
        <v>0</v>
      </c>
      <c r="J1925" s="11">
        <f>1/(H1925*Utilities!$B$11)</f>
        <v>7.999999999999984</v>
      </c>
      <c r="K1925" s="11">
        <f>IF(B1925&lt;C1925,1,EXP(-1*(B1925-C1925)/(Utilities!$B$11*IterData!H1925)))</f>
        <v>1</v>
      </c>
    </row>
    <row r="1926" spans="8:11" x14ac:dyDescent="0.3">
      <c r="H1926">
        <v>0.50000000000000089</v>
      </c>
      <c r="I1926" s="11">
        <f t="shared" si="30"/>
        <v>0</v>
      </c>
      <c r="J1926" s="11">
        <f>1/(H1926*Utilities!$B$11)</f>
        <v>7.9999999999999858</v>
      </c>
      <c r="K1926" s="11">
        <f>IF(B1926&lt;C1926,1,EXP(-1*(B1926-C1926)/(Utilities!$B$11*IterData!H1926)))</f>
        <v>1</v>
      </c>
    </row>
    <row r="1927" spans="8:11" x14ac:dyDescent="0.3">
      <c r="H1927">
        <v>0.50000000000000089</v>
      </c>
      <c r="I1927" s="11">
        <f t="shared" si="30"/>
        <v>0</v>
      </c>
      <c r="J1927" s="11">
        <f>1/(H1927*Utilities!$B$11)</f>
        <v>7.9999999999999858</v>
      </c>
      <c r="K1927" s="11">
        <f>IF(B1927&lt;C1927,1,EXP(-1*(B1927-C1927)/(Utilities!$B$11*IterData!H1927)))</f>
        <v>1</v>
      </c>
    </row>
    <row r="1928" spans="8:11" x14ac:dyDescent="0.3">
      <c r="H1928">
        <v>0.50000000000000089</v>
      </c>
      <c r="I1928" s="11">
        <f t="shared" si="30"/>
        <v>0</v>
      </c>
      <c r="J1928" s="11">
        <f>1/(H1928*Utilities!$B$11)</f>
        <v>7.9999999999999858</v>
      </c>
      <c r="K1928" s="11">
        <f>IF(B1928&lt;C1928,1,EXP(-1*(B1928-C1928)/(Utilities!$B$11*IterData!H1928)))</f>
        <v>1</v>
      </c>
    </row>
    <row r="1929" spans="8:11" x14ac:dyDescent="0.3">
      <c r="H1929">
        <v>0.50000000000000089</v>
      </c>
      <c r="I1929" s="11">
        <f t="shared" si="30"/>
        <v>0</v>
      </c>
      <c r="J1929" s="11">
        <f>1/(H1929*Utilities!$B$11)</f>
        <v>7.9999999999999858</v>
      </c>
      <c r="K1929" s="11">
        <f>IF(B1929&lt;C1929,1,EXP(-1*(B1929-C1929)/(Utilities!$B$11*IterData!H1929)))</f>
        <v>1</v>
      </c>
    </row>
    <row r="1930" spans="8:11" x14ac:dyDescent="0.3">
      <c r="H1930">
        <v>0.50000000000000089</v>
      </c>
      <c r="I1930" s="11">
        <f t="shared" si="30"/>
        <v>0</v>
      </c>
      <c r="J1930" s="11">
        <f>1/(H1930*Utilities!$B$11)</f>
        <v>7.9999999999999858</v>
      </c>
      <c r="K1930" s="11">
        <f>IF(B1930&lt;C1930,1,EXP(-1*(B1930-C1930)/(Utilities!$B$11*IterData!H1930)))</f>
        <v>1</v>
      </c>
    </row>
    <row r="1931" spans="8:11" x14ac:dyDescent="0.3">
      <c r="H1931">
        <v>0.50000000000000089</v>
      </c>
      <c r="I1931" s="11">
        <f t="shared" si="30"/>
        <v>0</v>
      </c>
      <c r="J1931" s="11">
        <f>1/(H1931*Utilities!$B$11)</f>
        <v>7.9999999999999858</v>
      </c>
      <c r="K1931" s="11">
        <f>IF(B1931&lt;C1931,1,EXP(-1*(B1931-C1931)/(Utilities!$B$11*IterData!H1931)))</f>
        <v>1</v>
      </c>
    </row>
    <row r="1932" spans="8:11" x14ac:dyDescent="0.3">
      <c r="H1932">
        <v>0.50000000000000089</v>
      </c>
      <c r="I1932" s="11">
        <f t="shared" si="30"/>
        <v>0</v>
      </c>
      <c r="J1932" s="11">
        <f>1/(H1932*Utilities!$B$11)</f>
        <v>7.9999999999999858</v>
      </c>
      <c r="K1932" s="11">
        <f>IF(B1932&lt;C1932,1,EXP(-1*(B1932-C1932)/(Utilities!$B$11*IterData!H1932)))</f>
        <v>1</v>
      </c>
    </row>
    <row r="1933" spans="8:11" x14ac:dyDescent="0.3">
      <c r="H1933">
        <v>0.50000000000000078</v>
      </c>
      <c r="I1933" s="11">
        <f t="shared" si="30"/>
        <v>0</v>
      </c>
      <c r="J1933" s="11">
        <f>1/(H1933*Utilities!$B$11)</f>
        <v>7.9999999999999876</v>
      </c>
      <c r="K1933" s="11">
        <f>IF(B1933&lt;C1933,1,EXP(-1*(B1933-C1933)/(Utilities!$B$11*IterData!H1933)))</f>
        <v>1</v>
      </c>
    </row>
    <row r="1934" spans="8:11" x14ac:dyDescent="0.3">
      <c r="H1934">
        <v>0.50000000000000078</v>
      </c>
      <c r="I1934" s="11">
        <f t="shared" si="30"/>
        <v>0</v>
      </c>
      <c r="J1934" s="11">
        <f>1/(H1934*Utilities!$B$11)</f>
        <v>7.9999999999999876</v>
      </c>
      <c r="K1934" s="11">
        <f>IF(B1934&lt;C1934,1,EXP(-1*(B1934-C1934)/(Utilities!$B$11*IterData!H1934)))</f>
        <v>1</v>
      </c>
    </row>
    <row r="1935" spans="8:11" x14ac:dyDescent="0.3">
      <c r="H1935">
        <v>0.50000000000000078</v>
      </c>
      <c r="I1935" s="11">
        <f t="shared" si="30"/>
        <v>0</v>
      </c>
      <c r="J1935" s="11">
        <f>1/(H1935*Utilities!$B$11)</f>
        <v>7.9999999999999876</v>
      </c>
      <c r="K1935" s="11">
        <f>IF(B1935&lt;C1935,1,EXP(-1*(B1935-C1935)/(Utilities!$B$11*IterData!H1935)))</f>
        <v>1</v>
      </c>
    </row>
    <row r="1936" spans="8:11" x14ac:dyDescent="0.3">
      <c r="H1936">
        <v>0.50000000000000078</v>
      </c>
      <c r="I1936" s="11">
        <f t="shared" si="30"/>
        <v>0</v>
      </c>
      <c r="J1936" s="11">
        <f>1/(H1936*Utilities!$B$11)</f>
        <v>7.9999999999999876</v>
      </c>
      <c r="K1936" s="11">
        <f>IF(B1936&lt;C1936,1,EXP(-1*(B1936-C1936)/(Utilities!$B$11*IterData!H1936)))</f>
        <v>1</v>
      </c>
    </row>
    <row r="1937" spans="8:11" x14ac:dyDescent="0.3">
      <c r="H1937">
        <v>0.50000000000000078</v>
      </c>
      <c r="I1937" s="11">
        <f t="shared" si="30"/>
        <v>0</v>
      </c>
      <c r="J1937" s="11">
        <f>1/(H1937*Utilities!$B$11)</f>
        <v>7.9999999999999876</v>
      </c>
      <c r="K1937" s="11">
        <f>IF(B1937&lt;C1937,1,EXP(-1*(B1937-C1937)/(Utilities!$B$11*IterData!H1937)))</f>
        <v>1</v>
      </c>
    </row>
    <row r="1938" spans="8:11" x14ac:dyDescent="0.3">
      <c r="H1938">
        <v>0.50000000000000078</v>
      </c>
      <c r="I1938" s="11">
        <f t="shared" si="30"/>
        <v>0</v>
      </c>
      <c r="J1938" s="11">
        <f>1/(H1938*Utilities!$B$11)</f>
        <v>7.9999999999999876</v>
      </c>
      <c r="K1938" s="11">
        <f>IF(B1938&lt;C1938,1,EXP(-1*(B1938-C1938)/(Utilities!$B$11*IterData!H1938)))</f>
        <v>1</v>
      </c>
    </row>
    <row r="1939" spans="8:11" x14ac:dyDescent="0.3">
      <c r="H1939">
        <v>0.50000000000000078</v>
      </c>
      <c r="I1939" s="11">
        <f t="shared" si="30"/>
        <v>0</v>
      </c>
      <c r="J1939" s="11">
        <f>1/(H1939*Utilities!$B$11)</f>
        <v>7.9999999999999876</v>
      </c>
      <c r="K1939" s="11">
        <f>IF(B1939&lt;C1939,1,EXP(-1*(B1939-C1939)/(Utilities!$B$11*IterData!H1939)))</f>
        <v>1</v>
      </c>
    </row>
    <row r="1940" spans="8:11" x14ac:dyDescent="0.3">
      <c r="H1940">
        <v>0.50000000000000067</v>
      </c>
      <c r="I1940" s="11">
        <f t="shared" si="30"/>
        <v>0</v>
      </c>
      <c r="J1940" s="11">
        <f>1/(H1940*Utilities!$B$11)</f>
        <v>7.9999999999999893</v>
      </c>
      <c r="K1940" s="11">
        <f>IF(B1940&lt;C1940,1,EXP(-1*(B1940-C1940)/(Utilities!$B$11*IterData!H1940)))</f>
        <v>1</v>
      </c>
    </row>
    <row r="1941" spans="8:11" x14ac:dyDescent="0.3">
      <c r="H1941">
        <v>0.50000000000000067</v>
      </c>
      <c r="I1941" s="11">
        <f t="shared" si="30"/>
        <v>0</v>
      </c>
      <c r="J1941" s="11">
        <f>1/(H1941*Utilities!$B$11)</f>
        <v>7.9999999999999893</v>
      </c>
      <c r="K1941" s="11">
        <f>IF(B1941&lt;C1941,1,EXP(-1*(B1941-C1941)/(Utilities!$B$11*IterData!H1941)))</f>
        <v>1</v>
      </c>
    </row>
    <row r="1942" spans="8:11" x14ac:dyDescent="0.3">
      <c r="H1942">
        <v>0.50000000000000067</v>
      </c>
      <c r="I1942" s="11">
        <f t="shared" si="30"/>
        <v>0</v>
      </c>
      <c r="J1942" s="11">
        <f>1/(H1942*Utilities!$B$11)</f>
        <v>7.9999999999999893</v>
      </c>
      <c r="K1942" s="11">
        <f>IF(B1942&lt;C1942,1,EXP(-1*(B1942-C1942)/(Utilities!$B$11*IterData!H1942)))</f>
        <v>1</v>
      </c>
    </row>
    <row r="1943" spans="8:11" x14ac:dyDescent="0.3">
      <c r="H1943">
        <v>0.50000000000000067</v>
      </c>
      <c r="I1943" s="11">
        <f t="shared" si="30"/>
        <v>0</v>
      </c>
      <c r="J1943" s="11">
        <f>1/(H1943*Utilities!$B$11)</f>
        <v>7.9999999999999893</v>
      </c>
      <c r="K1943" s="11">
        <f>IF(B1943&lt;C1943,1,EXP(-1*(B1943-C1943)/(Utilities!$B$11*IterData!H1943)))</f>
        <v>1</v>
      </c>
    </row>
    <row r="1944" spans="8:11" x14ac:dyDescent="0.3">
      <c r="H1944">
        <v>0.50000000000000067</v>
      </c>
      <c r="I1944" s="11">
        <f t="shared" si="30"/>
        <v>0</v>
      </c>
      <c r="J1944" s="11">
        <f>1/(H1944*Utilities!$B$11)</f>
        <v>7.9999999999999893</v>
      </c>
      <c r="K1944" s="11">
        <f>IF(B1944&lt;C1944,1,EXP(-1*(B1944-C1944)/(Utilities!$B$11*IterData!H1944)))</f>
        <v>1</v>
      </c>
    </row>
    <row r="1945" spans="8:11" x14ac:dyDescent="0.3">
      <c r="H1945">
        <v>0.50000000000000067</v>
      </c>
      <c r="I1945" s="11">
        <f t="shared" si="30"/>
        <v>0</v>
      </c>
      <c r="J1945" s="11">
        <f>1/(H1945*Utilities!$B$11)</f>
        <v>7.9999999999999893</v>
      </c>
      <c r="K1945" s="11">
        <f>IF(B1945&lt;C1945,1,EXP(-1*(B1945-C1945)/(Utilities!$B$11*IterData!H1945)))</f>
        <v>1</v>
      </c>
    </row>
    <row r="1946" spans="8:11" x14ac:dyDescent="0.3">
      <c r="H1946">
        <v>0.50000000000000067</v>
      </c>
      <c r="I1946" s="11">
        <f t="shared" si="30"/>
        <v>0</v>
      </c>
      <c r="J1946" s="11">
        <f>1/(H1946*Utilities!$B$11)</f>
        <v>7.9999999999999893</v>
      </c>
      <c r="K1946" s="11">
        <f>IF(B1946&lt;C1946,1,EXP(-1*(B1946-C1946)/(Utilities!$B$11*IterData!H1946)))</f>
        <v>1</v>
      </c>
    </row>
    <row r="1947" spans="8:11" x14ac:dyDescent="0.3">
      <c r="H1947">
        <v>0.50000000000000067</v>
      </c>
      <c r="I1947" s="11">
        <f t="shared" si="30"/>
        <v>0</v>
      </c>
      <c r="J1947" s="11">
        <f>1/(H1947*Utilities!$B$11)</f>
        <v>7.9999999999999893</v>
      </c>
      <c r="K1947" s="11">
        <f>IF(B1947&lt;C1947,1,EXP(-1*(B1947-C1947)/(Utilities!$B$11*IterData!H1947)))</f>
        <v>1</v>
      </c>
    </row>
    <row r="1948" spans="8:11" x14ac:dyDescent="0.3">
      <c r="H1948">
        <v>0.50000000000000056</v>
      </c>
      <c r="I1948" s="11">
        <f t="shared" si="30"/>
        <v>0</v>
      </c>
      <c r="J1948" s="11">
        <f>1/(H1948*Utilities!$B$11)</f>
        <v>7.9999999999999911</v>
      </c>
      <c r="K1948" s="11">
        <f>IF(B1948&lt;C1948,1,EXP(-1*(B1948-C1948)/(Utilities!$B$11*IterData!H1948)))</f>
        <v>1</v>
      </c>
    </row>
    <row r="1949" spans="8:11" x14ac:dyDescent="0.3">
      <c r="H1949">
        <v>0.50000000000000056</v>
      </c>
      <c r="I1949" s="11">
        <f t="shared" si="30"/>
        <v>0</v>
      </c>
      <c r="J1949" s="11">
        <f>1/(H1949*Utilities!$B$11)</f>
        <v>7.9999999999999911</v>
      </c>
      <c r="K1949" s="11">
        <f>IF(B1949&lt;C1949,1,EXP(-1*(B1949-C1949)/(Utilities!$B$11*IterData!H1949)))</f>
        <v>1</v>
      </c>
    </row>
    <row r="1950" spans="8:11" x14ac:dyDescent="0.3">
      <c r="H1950">
        <v>0.50000000000000056</v>
      </c>
      <c r="I1950" s="11">
        <f t="shared" si="30"/>
        <v>0</v>
      </c>
      <c r="J1950" s="11">
        <f>1/(H1950*Utilities!$B$11)</f>
        <v>7.9999999999999911</v>
      </c>
      <c r="K1950" s="11">
        <f>IF(B1950&lt;C1950,1,EXP(-1*(B1950-C1950)/(Utilities!$B$11*IterData!H1950)))</f>
        <v>1</v>
      </c>
    </row>
    <row r="1951" spans="8:11" x14ac:dyDescent="0.3">
      <c r="H1951">
        <v>0.50000000000000056</v>
      </c>
      <c r="I1951" s="11">
        <f t="shared" si="30"/>
        <v>0</v>
      </c>
      <c r="J1951" s="11">
        <f>1/(H1951*Utilities!$B$11)</f>
        <v>7.9999999999999911</v>
      </c>
      <c r="K1951" s="11">
        <f>IF(B1951&lt;C1951,1,EXP(-1*(B1951-C1951)/(Utilities!$B$11*IterData!H1951)))</f>
        <v>1</v>
      </c>
    </row>
    <row r="1952" spans="8:11" x14ac:dyDescent="0.3">
      <c r="H1952">
        <v>0.50000000000000056</v>
      </c>
      <c r="I1952" s="11">
        <f t="shared" si="30"/>
        <v>0</v>
      </c>
      <c r="J1952" s="11">
        <f>1/(H1952*Utilities!$B$11)</f>
        <v>7.9999999999999911</v>
      </c>
      <c r="K1952" s="11">
        <f>IF(B1952&lt;C1952,1,EXP(-1*(B1952-C1952)/(Utilities!$B$11*IterData!H1952)))</f>
        <v>1</v>
      </c>
    </row>
    <row r="1953" spans="8:11" x14ac:dyDescent="0.3">
      <c r="H1953">
        <v>0.50000000000000056</v>
      </c>
      <c r="I1953" s="11">
        <f t="shared" si="30"/>
        <v>0</v>
      </c>
      <c r="J1953" s="11">
        <f>1/(H1953*Utilities!$B$11)</f>
        <v>7.9999999999999911</v>
      </c>
      <c r="K1953" s="11">
        <f>IF(B1953&lt;C1953,1,EXP(-1*(B1953-C1953)/(Utilities!$B$11*IterData!H1953)))</f>
        <v>1</v>
      </c>
    </row>
    <row r="1954" spans="8:11" x14ac:dyDescent="0.3">
      <c r="H1954">
        <v>0.50000000000000056</v>
      </c>
      <c r="I1954" s="11">
        <f t="shared" si="30"/>
        <v>0</v>
      </c>
      <c r="J1954" s="11">
        <f>1/(H1954*Utilities!$B$11)</f>
        <v>7.9999999999999911</v>
      </c>
      <c r="K1954" s="11">
        <f>IF(B1954&lt;C1954,1,EXP(-1*(B1954-C1954)/(Utilities!$B$11*IterData!H1954)))</f>
        <v>1</v>
      </c>
    </row>
    <row r="1955" spans="8:11" x14ac:dyDescent="0.3">
      <c r="H1955">
        <v>0.50000000000000056</v>
      </c>
      <c r="I1955" s="11">
        <f t="shared" si="30"/>
        <v>0</v>
      </c>
      <c r="J1955" s="11">
        <f>1/(H1955*Utilities!$B$11)</f>
        <v>7.9999999999999911</v>
      </c>
      <c r="K1955" s="11">
        <f>IF(B1955&lt;C1955,1,EXP(-1*(B1955-C1955)/(Utilities!$B$11*IterData!H1955)))</f>
        <v>1</v>
      </c>
    </row>
    <row r="1956" spans="8:11" x14ac:dyDescent="0.3">
      <c r="H1956">
        <v>0.50000000000000056</v>
      </c>
      <c r="I1956" s="11">
        <f t="shared" si="30"/>
        <v>0</v>
      </c>
      <c r="J1956" s="11">
        <f>1/(H1956*Utilities!$B$11)</f>
        <v>7.9999999999999911</v>
      </c>
      <c r="K1956" s="11">
        <f>IF(B1956&lt;C1956,1,EXP(-1*(B1956-C1956)/(Utilities!$B$11*IterData!H1956)))</f>
        <v>1</v>
      </c>
    </row>
    <row r="1957" spans="8:11" x14ac:dyDescent="0.3">
      <c r="H1957">
        <v>0.50000000000000056</v>
      </c>
      <c r="I1957" s="11">
        <f t="shared" si="30"/>
        <v>0</v>
      </c>
      <c r="J1957" s="11">
        <f>1/(H1957*Utilities!$B$11)</f>
        <v>7.9999999999999911</v>
      </c>
      <c r="K1957" s="11">
        <f>IF(B1957&lt;C1957,1,EXP(-1*(B1957-C1957)/(Utilities!$B$11*IterData!H1957)))</f>
        <v>1</v>
      </c>
    </row>
    <row r="1958" spans="8:11" x14ac:dyDescent="0.3">
      <c r="H1958">
        <v>0.50000000000000044</v>
      </c>
      <c r="I1958" s="11">
        <f t="shared" si="30"/>
        <v>0</v>
      </c>
      <c r="J1958" s="11">
        <f>1/(H1958*Utilities!$B$11)</f>
        <v>7.9999999999999929</v>
      </c>
      <c r="K1958" s="11">
        <f>IF(B1958&lt;C1958,1,EXP(-1*(B1958-C1958)/(Utilities!$B$11*IterData!H1958)))</f>
        <v>1</v>
      </c>
    </row>
    <row r="1959" spans="8:11" x14ac:dyDescent="0.3">
      <c r="H1959">
        <v>0.50000000000000044</v>
      </c>
      <c r="I1959" s="11">
        <f t="shared" si="30"/>
        <v>0</v>
      </c>
      <c r="J1959" s="11">
        <f>1/(H1959*Utilities!$B$11)</f>
        <v>7.9999999999999929</v>
      </c>
      <c r="K1959" s="11">
        <f>IF(B1959&lt;C1959,1,EXP(-1*(B1959-C1959)/(Utilities!$B$11*IterData!H1959)))</f>
        <v>1</v>
      </c>
    </row>
    <row r="1960" spans="8:11" x14ac:dyDescent="0.3">
      <c r="H1960">
        <v>0.50000000000000044</v>
      </c>
      <c r="I1960" s="11">
        <f t="shared" si="30"/>
        <v>0</v>
      </c>
      <c r="J1960" s="11">
        <f>1/(H1960*Utilities!$B$11)</f>
        <v>7.9999999999999929</v>
      </c>
      <c r="K1960" s="11">
        <f>IF(B1960&lt;C1960,1,EXP(-1*(B1960-C1960)/(Utilities!$B$11*IterData!H1960)))</f>
        <v>1</v>
      </c>
    </row>
    <row r="1961" spans="8:11" x14ac:dyDescent="0.3">
      <c r="H1961">
        <v>0.50000000000000044</v>
      </c>
      <c r="I1961" s="11">
        <f t="shared" si="30"/>
        <v>0</v>
      </c>
      <c r="J1961" s="11">
        <f>1/(H1961*Utilities!$B$11)</f>
        <v>7.9999999999999929</v>
      </c>
      <c r="K1961" s="11">
        <f>IF(B1961&lt;C1961,1,EXP(-1*(B1961-C1961)/(Utilities!$B$11*IterData!H1961)))</f>
        <v>1</v>
      </c>
    </row>
    <row r="1962" spans="8:11" x14ac:dyDescent="0.3">
      <c r="H1962">
        <v>0.50000000000000044</v>
      </c>
      <c r="I1962" s="11">
        <f t="shared" si="30"/>
        <v>0</v>
      </c>
      <c r="J1962" s="11">
        <f>1/(H1962*Utilities!$B$11)</f>
        <v>7.9999999999999929</v>
      </c>
      <c r="K1962" s="11">
        <f>IF(B1962&lt;C1962,1,EXP(-1*(B1962-C1962)/(Utilities!$B$11*IterData!H1962)))</f>
        <v>1</v>
      </c>
    </row>
    <row r="1963" spans="8:11" x14ac:dyDescent="0.3">
      <c r="H1963">
        <v>0.50000000000000044</v>
      </c>
      <c r="I1963" s="11">
        <f t="shared" si="30"/>
        <v>0</v>
      </c>
      <c r="J1963" s="11">
        <f>1/(H1963*Utilities!$B$11)</f>
        <v>7.9999999999999929</v>
      </c>
      <c r="K1963" s="11">
        <f>IF(B1963&lt;C1963,1,EXP(-1*(B1963-C1963)/(Utilities!$B$11*IterData!H1963)))</f>
        <v>1</v>
      </c>
    </row>
    <row r="1964" spans="8:11" x14ac:dyDescent="0.3">
      <c r="H1964">
        <v>0.50000000000000044</v>
      </c>
      <c r="I1964" s="11">
        <f t="shared" si="30"/>
        <v>0</v>
      </c>
      <c r="J1964" s="11">
        <f>1/(H1964*Utilities!$B$11)</f>
        <v>7.9999999999999929</v>
      </c>
      <c r="K1964" s="11">
        <f>IF(B1964&lt;C1964,1,EXP(-1*(B1964-C1964)/(Utilities!$B$11*IterData!H1964)))</f>
        <v>1</v>
      </c>
    </row>
    <row r="1965" spans="8:11" x14ac:dyDescent="0.3">
      <c r="H1965">
        <v>0.50000000000000044</v>
      </c>
      <c r="I1965" s="11">
        <f t="shared" si="30"/>
        <v>0</v>
      </c>
      <c r="J1965" s="11">
        <f>1/(H1965*Utilities!$B$11)</f>
        <v>7.9999999999999929</v>
      </c>
      <c r="K1965" s="11">
        <f>IF(B1965&lt;C1965,1,EXP(-1*(B1965-C1965)/(Utilities!$B$11*IterData!H1965)))</f>
        <v>1</v>
      </c>
    </row>
    <row r="1966" spans="8:11" x14ac:dyDescent="0.3">
      <c r="H1966">
        <v>0.50000000000000044</v>
      </c>
      <c r="I1966" s="11">
        <f t="shared" si="30"/>
        <v>0</v>
      </c>
      <c r="J1966" s="11">
        <f>1/(H1966*Utilities!$B$11)</f>
        <v>7.9999999999999929</v>
      </c>
      <c r="K1966" s="11">
        <f>IF(B1966&lt;C1966,1,EXP(-1*(B1966-C1966)/(Utilities!$B$11*IterData!H1966)))</f>
        <v>1</v>
      </c>
    </row>
    <row r="1967" spans="8:11" x14ac:dyDescent="0.3">
      <c r="H1967">
        <v>0.50000000000000044</v>
      </c>
      <c r="I1967" s="11">
        <f t="shared" si="30"/>
        <v>0</v>
      </c>
      <c r="J1967" s="11">
        <f>1/(H1967*Utilities!$B$11)</f>
        <v>7.9999999999999929</v>
      </c>
      <c r="K1967" s="11">
        <f>IF(B1967&lt;C1967,1,EXP(-1*(B1967-C1967)/(Utilities!$B$11*IterData!H1967)))</f>
        <v>1</v>
      </c>
    </row>
    <row r="1968" spans="8:11" x14ac:dyDescent="0.3">
      <c r="H1968">
        <v>0.50000000000000044</v>
      </c>
      <c r="I1968" s="11">
        <f t="shared" si="30"/>
        <v>0</v>
      </c>
      <c r="J1968" s="11">
        <f>1/(H1968*Utilities!$B$11)</f>
        <v>7.9999999999999929</v>
      </c>
      <c r="K1968" s="11">
        <f>IF(B1968&lt;C1968,1,EXP(-1*(B1968-C1968)/(Utilities!$B$11*IterData!H1968)))</f>
        <v>1</v>
      </c>
    </row>
    <row r="1969" spans="8:11" x14ac:dyDescent="0.3">
      <c r="H1969">
        <v>0.50000000000000044</v>
      </c>
      <c r="I1969" s="11">
        <f t="shared" si="30"/>
        <v>0</v>
      </c>
      <c r="J1969" s="11">
        <f>1/(H1969*Utilities!$B$11)</f>
        <v>7.9999999999999929</v>
      </c>
      <c r="K1969" s="11">
        <f>IF(B1969&lt;C1969,1,EXP(-1*(B1969-C1969)/(Utilities!$B$11*IterData!H1969)))</f>
        <v>1</v>
      </c>
    </row>
    <row r="1970" spans="8:11" x14ac:dyDescent="0.3">
      <c r="H1970">
        <v>0.50000000000000044</v>
      </c>
      <c r="I1970" s="11">
        <f t="shared" si="30"/>
        <v>0</v>
      </c>
      <c r="J1970" s="11">
        <f>1/(H1970*Utilities!$B$11)</f>
        <v>7.9999999999999929</v>
      </c>
      <c r="K1970" s="11">
        <f>IF(B1970&lt;C1970,1,EXP(-1*(B1970-C1970)/(Utilities!$B$11*IterData!H1970)))</f>
        <v>1</v>
      </c>
    </row>
    <row r="1971" spans="8:11" x14ac:dyDescent="0.3">
      <c r="H1971">
        <v>0.50000000000000033</v>
      </c>
      <c r="I1971" s="11">
        <f t="shared" si="30"/>
        <v>0</v>
      </c>
      <c r="J1971" s="11">
        <f>1/(H1971*Utilities!$B$11)</f>
        <v>7.9999999999999947</v>
      </c>
      <c r="K1971" s="11">
        <f>IF(B1971&lt;C1971,1,EXP(-1*(B1971-C1971)/(Utilities!$B$11*IterData!H1971)))</f>
        <v>1</v>
      </c>
    </row>
    <row r="1972" spans="8:11" x14ac:dyDescent="0.3">
      <c r="H1972">
        <v>0.50000000000000033</v>
      </c>
      <c r="I1972" s="11">
        <f t="shared" si="30"/>
        <v>0</v>
      </c>
      <c r="J1972" s="11">
        <f>1/(H1972*Utilities!$B$11)</f>
        <v>7.9999999999999947</v>
      </c>
      <c r="K1972" s="11">
        <f>IF(B1972&lt;C1972,1,EXP(-1*(B1972-C1972)/(Utilities!$B$11*IterData!H1972)))</f>
        <v>1</v>
      </c>
    </row>
    <row r="1973" spans="8:11" x14ac:dyDescent="0.3">
      <c r="H1973">
        <v>0.50000000000000033</v>
      </c>
      <c r="I1973" s="11">
        <f t="shared" si="30"/>
        <v>0</v>
      </c>
      <c r="J1973" s="11">
        <f>1/(H1973*Utilities!$B$11)</f>
        <v>7.9999999999999947</v>
      </c>
      <c r="K1973" s="11">
        <f>IF(B1973&lt;C1973,1,EXP(-1*(B1973-C1973)/(Utilities!$B$11*IterData!H1973)))</f>
        <v>1</v>
      </c>
    </row>
    <row r="1974" spans="8:11" x14ac:dyDescent="0.3">
      <c r="H1974">
        <v>0.50000000000000033</v>
      </c>
      <c r="I1974" s="11">
        <f t="shared" si="30"/>
        <v>0</v>
      </c>
      <c r="J1974" s="11">
        <f>1/(H1974*Utilities!$B$11)</f>
        <v>7.9999999999999947</v>
      </c>
      <c r="K1974" s="11">
        <f>IF(B1974&lt;C1974,1,EXP(-1*(B1974-C1974)/(Utilities!$B$11*IterData!H1974)))</f>
        <v>1</v>
      </c>
    </row>
    <row r="1975" spans="8:11" x14ac:dyDescent="0.3">
      <c r="H1975">
        <v>0.50000000000000033</v>
      </c>
      <c r="I1975" s="11">
        <f t="shared" si="30"/>
        <v>0</v>
      </c>
      <c r="J1975" s="11">
        <f>1/(H1975*Utilities!$B$11)</f>
        <v>7.9999999999999947</v>
      </c>
      <c r="K1975" s="11">
        <f>IF(B1975&lt;C1975,1,EXP(-1*(B1975-C1975)/(Utilities!$B$11*IterData!H1975)))</f>
        <v>1</v>
      </c>
    </row>
    <row r="1976" spans="8:11" x14ac:dyDescent="0.3">
      <c r="H1976">
        <v>0.50000000000000033</v>
      </c>
      <c r="I1976" s="11">
        <f t="shared" si="30"/>
        <v>0</v>
      </c>
      <c r="J1976" s="11">
        <f>1/(H1976*Utilities!$B$11)</f>
        <v>7.9999999999999947</v>
      </c>
      <c r="K1976" s="11">
        <f>IF(B1976&lt;C1976,1,EXP(-1*(B1976-C1976)/(Utilities!$B$11*IterData!H1976)))</f>
        <v>1</v>
      </c>
    </row>
    <row r="1977" spans="8:11" x14ac:dyDescent="0.3">
      <c r="H1977">
        <v>0.50000000000000033</v>
      </c>
      <c r="I1977" s="11">
        <f t="shared" si="30"/>
        <v>0</v>
      </c>
      <c r="J1977" s="11">
        <f>1/(H1977*Utilities!$B$11)</f>
        <v>7.9999999999999947</v>
      </c>
      <c r="K1977" s="11">
        <f>IF(B1977&lt;C1977,1,EXP(-1*(B1977-C1977)/(Utilities!$B$11*IterData!H1977)))</f>
        <v>1</v>
      </c>
    </row>
    <row r="1978" spans="8:11" x14ac:dyDescent="0.3">
      <c r="H1978">
        <v>0.50000000000000033</v>
      </c>
      <c r="I1978" s="11">
        <f t="shared" si="30"/>
        <v>0</v>
      </c>
      <c r="J1978" s="11">
        <f>1/(H1978*Utilities!$B$11)</f>
        <v>7.9999999999999947</v>
      </c>
      <c r="K1978" s="11">
        <f>IF(B1978&lt;C1978,1,EXP(-1*(B1978-C1978)/(Utilities!$B$11*IterData!H1978)))</f>
        <v>1</v>
      </c>
    </row>
    <row r="1979" spans="8:11" x14ac:dyDescent="0.3">
      <c r="H1979">
        <v>0.50000000000000033</v>
      </c>
      <c r="I1979" s="11">
        <f t="shared" si="30"/>
        <v>0</v>
      </c>
      <c r="J1979" s="11">
        <f>1/(H1979*Utilities!$B$11)</f>
        <v>7.9999999999999947</v>
      </c>
      <c r="K1979" s="11">
        <f>IF(B1979&lt;C1979,1,EXP(-1*(B1979-C1979)/(Utilities!$B$11*IterData!H1979)))</f>
        <v>1</v>
      </c>
    </row>
    <row r="1980" spans="8:11" x14ac:dyDescent="0.3">
      <c r="H1980">
        <v>0.50000000000000033</v>
      </c>
      <c r="I1980" s="11">
        <f t="shared" si="30"/>
        <v>0</v>
      </c>
      <c r="J1980" s="11">
        <f>1/(H1980*Utilities!$B$11)</f>
        <v>7.9999999999999947</v>
      </c>
      <c r="K1980" s="11">
        <f>IF(B1980&lt;C1980,1,EXP(-1*(B1980-C1980)/(Utilities!$B$11*IterData!H1980)))</f>
        <v>1</v>
      </c>
    </row>
    <row r="1981" spans="8:11" x14ac:dyDescent="0.3">
      <c r="H1981">
        <v>0.50000000000000033</v>
      </c>
      <c r="I1981" s="11">
        <f t="shared" si="30"/>
        <v>0</v>
      </c>
      <c r="J1981" s="11">
        <f>1/(H1981*Utilities!$B$11)</f>
        <v>7.9999999999999947</v>
      </c>
      <c r="K1981" s="11">
        <f>IF(B1981&lt;C1981,1,EXP(-1*(B1981-C1981)/(Utilities!$B$11*IterData!H1981)))</f>
        <v>1</v>
      </c>
    </row>
    <row r="1982" spans="8:11" x14ac:dyDescent="0.3">
      <c r="H1982">
        <v>0.50000000000000033</v>
      </c>
      <c r="I1982" s="11">
        <f t="shared" si="30"/>
        <v>0</v>
      </c>
      <c r="J1982" s="11">
        <f>1/(H1982*Utilities!$B$11)</f>
        <v>7.9999999999999947</v>
      </c>
      <c r="K1982" s="11">
        <f>IF(B1982&lt;C1982,1,EXP(-1*(B1982-C1982)/(Utilities!$B$11*IterData!H1982)))</f>
        <v>1</v>
      </c>
    </row>
    <row r="1983" spans="8:11" x14ac:dyDescent="0.3">
      <c r="H1983">
        <v>0.50000000000000033</v>
      </c>
      <c r="I1983" s="11">
        <f t="shared" si="30"/>
        <v>0</v>
      </c>
      <c r="J1983" s="11">
        <f>1/(H1983*Utilities!$B$11)</f>
        <v>7.9999999999999947</v>
      </c>
      <c r="K1983" s="11">
        <f>IF(B1983&lt;C1983,1,EXP(-1*(B1983-C1983)/(Utilities!$B$11*IterData!H1983)))</f>
        <v>1</v>
      </c>
    </row>
    <row r="1984" spans="8:11" x14ac:dyDescent="0.3">
      <c r="H1984">
        <v>0.50000000000000033</v>
      </c>
      <c r="I1984" s="11">
        <f t="shared" si="30"/>
        <v>0</v>
      </c>
      <c r="J1984" s="11">
        <f>1/(H1984*Utilities!$B$11)</f>
        <v>7.9999999999999947</v>
      </c>
      <c r="K1984" s="11">
        <f>IF(B1984&lt;C1984,1,EXP(-1*(B1984-C1984)/(Utilities!$B$11*IterData!H1984)))</f>
        <v>1</v>
      </c>
    </row>
    <row r="1985" spans="8:11" x14ac:dyDescent="0.3">
      <c r="H1985">
        <v>0.50000000000000033</v>
      </c>
      <c r="I1985" s="11">
        <f t="shared" si="30"/>
        <v>0</v>
      </c>
      <c r="J1985" s="11">
        <f>1/(H1985*Utilities!$B$11)</f>
        <v>7.9999999999999947</v>
      </c>
      <c r="K1985" s="11">
        <f>IF(B1985&lt;C1985,1,EXP(-1*(B1985-C1985)/(Utilities!$B$11*IterData!H1985)))</f>
        <v>1</v>
      </c>
    </row>
    <row r="1986" spans="8:11" x14ac:dyDescent="0.3">
      <c r="H1986">
        <v>0.50000000000000033</v>
      </c>
      <c r="I1986" s="11">
        <f t="shared" si="30"/>
        <v>0</v>
      </c>
      <c r="J1986" s="11">
        <f>1/(H1986*Utilities!$B$11)</f>
        <v>7.9999999999999947</v>
      </c>
      <c r="K1986" s="11">
        <f>IF(B1986&lt;C1986,1,EXP(-1*(B1986-C1986)/(Utilities!$B$11*IterData!H1986)))</f>
        <v>1</v>
      </c>
    </row>
    <row r="1987" spans="8:11" x14ac:dyDescent="0.3">
      <c r="H1987">
        <v>0.50000000000000033</v>
      </c>
      <c r="I1987" s="11">
        <f t="shared" ref="I1987:I2050" si="31">B1987-C1987</f>
        <v>0</v>
      </c>
      <c r="J1987" s="11">
        <f>1/(H1987*Utilities!$B$11)</f>
        <v>7.9999999999999947</v>
      </c>
      <c r="K1987" s="11">
        <f>IF(B1987&lt;C1987,1,EXP(-1*(B1987-C1987)/(Utilities!$B$11*IterData!H1987)))</f>
        <v>1</v>
      </c>
    </row>
    <row r="1988" spans="8:11" x14ac:dyDescent="0.3">
      <c r="H1988">
        <v>0.50000000000000022</v>
      </c>
      <c r="I1988" s="11">
        <f t="shared" si="31"/>
        <v>0</v>
      </c>
      <c r="J1988" s="11">
        <f>1/(H1988*Utilities!$B$11)</f>
        <v>7.9999999999999964</v>
      </c>
      <c r="K1988" s="11">
        <f>IF(B1988&lt;C1988,1,EXP(-1*(B1988-C1988)/(Utilities!$B$11*IterData!H1988)))</f>
        <v>1</v>
      </c>
    </row>
    <row r="1989" spans="8:11" x14ac:dyDescent="0.3">
      <c r="H1989">
        <v>0.50000000000000022</v>
      </c>
      <c r="I1989" s="11">
        <f t="shared" si="31"/>
        <v>0</v>
      </c>
      <c r="J1989" s="11">
        <f>1/(H1989*Utilities!$B$11)</f>
        <v>7.9999999999999964</v>
      </c>
      <c r="K1989" s="11">
        <f>IF(B1989&lt;C1989,1,EXP(-1*(B1989-C1989)/(Utilities!$B$11*IterData!H1989)))</f>
        <v>1</v>
      </c>
    </row>
    <row r="1990" spans="8:11" x14ac:dyDescent="0.3">
      <c r="H1990">
        <v>0.50000000000000022</v>
      </c>
      <c r="I1990" s="11">
        <f t="shared" si="31"/>
        <v>0</v>
      </c>
      <c r="J1990" s="11">
        <f>1/(H1990*Utilities!$B$11)</f>
        <v>7.9999999999999964</v>
      </c>
      <c r="K1990" s="11">
        <f>IF(B1990&lt;C1990,1,EXP(-1*(B1990-C1990)/(Utilities!$B$11*IterData!H1990)))</f>
        <v>1</v>
      </c>
    </row>
    <row r="1991" spans="8:11" x14ac:dyDescent="0.3">
      <c r="H1991">
        <v>0.50000000000000022</v>
      </c>
      <c r="I1991" s="11">
        <f t="shared" si="31"/>
        <v>0</v>
      </c>
      <c r="J1991" s="11">
        <f>1/(H1991*Utilities!$B$11)</f>
        <v>7.9999999999999964</v>
      </c>
      <c r="K1991" s="11">
        <f>IF(B1991&lt;C1991,1,EXP(-1*(B1991-C1991)/(Utilities!$B$11*IterData!H1991)))</f>
        <v>1</v>
      </c>
    </row>
    <row r="1992" spans="8:11" x14ac:dyDescent="0.3">
      <c r="H1992">
        <v>0.50000000000000022</v>
      </c>
      <c r="I1992" s="11">
        <f t="shared" si="31"/>
        <v>0</v>
      </c>
      <c r="J1992" s="11">
        <f>1/(H1992*Utilities!$B$11)</f>
        <v>7.9999999999999964</v>
      </c>
      <c r="K1992" s="11">
        <f>IF(B1992&lt;C1992,1,EXP(-1*(B1992-C1992)/(Utilities!$B$11*IterData!H1992)))</f>
        <v>1</v>
      </c>
    </row>
    <row r="1993" spans="8:11" x14ac:dyDescent="0.3">
      <c r="H1993">
        <v>0.50000000000000022</v>
      </c>
      <c r="I1993" s="11">
        <f t="shared" si="31"/>
        <v>0</v>
      </c>
      <c r="J1993" s="11">
        <f>1/(H1993*Utilities!$B$11)</f>
        <v>7.9999999999999964</v>
      </c>
      <c r="K1993" s="11">
        <f>IF(B1993&lt;C1993,1,EXP(-1*(B1993-C1993)/(Utilities!$B$11*IterData!H1993)))</f>
        <v>1</v>
      </c>
    </row>
    <row r="1994" spans="8:11" x14ac:dyDescent="0.3">
      <c r="H1994">
        <v>0.50000000000000022</v>
      </c>
      <c r="I1994" s="11">
        <f t="shared" si="31"/>
        <v>0</v>
      </c>
      <c r="J1994" s="11">
        <f>1/(H1994*Utilities!$B$11)</f>
        <v>7.9999999999999964</v>
      </c>
      <c r="K1994" s="11">
        <f>IF(B1994&lt;C1994,1,EXP(-1*(B1994-C1994)/(Utilities!$B$11*IterData!H1994)))</f>
        <v>1</v>
      </c>
    </row>
    <row r="1995" spans="8:11" x14ac:dyDescent="0.3">
      <c r="H1995">
        <v>0.50000000000000022</v>
      </c>
      <c r="I1995" s="11">
        <f t="shared" si="31"/>
        <v>0</v>
      </c>
      <c r="J1995" s="11">
        <f>1/(H1995*Utilities!$B$11)</f>
        <v>7.9999999999999964</v>
      </c>
      <c r="K1995" s="11">
        <f>IF(B1995&lt;C1995,1,EXP(-1*(B1995-C1995)/(Utilities!$B$11*IterData!H1995)))</f>
        <v>1</v>
      </c>
    </row>
    <row r="1996" spans="8:11" x14ac:dyDescent="0.3">
      <c r="H1996">
        <v>0.50000000000000022</v>
      </c>
      <c r="I1996" s="11">
        <f t="shared" si="31"/>
        <v>0</v>
      </c>
      <c r="J1996" s="11">
        <f>1/(H1996*Utilities!$B$11)</f>
        <v>7.9999999999999964</v>
      </c>
      <c r="K1996" s="11">
        <f>IF(B1996&lt;C1996,1,EXP(-1*(B1996-C1996)/(Utilities!$B$11*IterData!H1996)))</f>
        <v>1</v>
      </c>
    </row>
    <row r="1997" spans="8:11" x14ac:dyDescent="0.3">
      <c r="H1997">
        <v>0.50000000000000022</v>
      </c>
      <c r="I1997" s="11">
        <f t="shared" si="31"/>
        <v>0</v>
      </c>
      <c r="J1997" s="11">
        <f>1/(H1997*Utilities!$B$11)</f>
        <v>7.9999999999999964</v>
      </c>
      <c r="K1997" s="11">
        <f>IF(B1997&lt;C1997,1,EXP(-1*(B1997-C1997)/(Utilities!$B$11*IterData!H1997)))</f>
        <v>1</v>
      </c>
    </row>
    <row r="1998" spans="8:11" x14ac:dyDescent="0.3">
      <c r="H1998">
        <v>0.50000000000000022</v>
      </c>
      <c r="I1998" s="11">
        <f t="shared" si="31"/>
        <v>0</v>
      </c>
      <c r="J1998" s="11">
        <f>1/(H1998*Utilities!$B$11)</f>
        <v>7.9999999999999964</v>
      </c>
      <c r="K1998" s="11">
        <f>IF(B1998&lt;C1998,1,EXP(-1*(B1998-C1998)/(Utilities!$B$11*IterData!H1998)))</f>
        <v>1</v>
      </c>
    </row>
    <row r="1999" spans="8:11" x14ac:dyDescent="0.3">
      <c r="H1999">
        <v>0.50000000000000022</v>
      </c>
      <c r="I1999" s="11">
        <f t="shared" si="31"/>
        <v>0</v>
      </c>
      <c r="J1999" s="11">
        <f>1/(H1999*Utilities!$B$11)</f>
        <v>7.9999999999999964</v>
      </c>
      <c r="K1999" s="11">
        <f>IF(B1999&lt;C1999,1,EXP(-1*(B1999-C1999)/(Utilities!$B$11*IterData!H1999)))</f>
        <v>1</v>
      </c>
    </row>
    <row r="2000" spans="8:11" x14ac:dyDescent="0.3">
      <c r="H2000">
        <v>0.50000000000000022</v>
      </c>
      <c r="I2000" s="11">
        <f t="shared" si="31"/>
        <v>0</v>
      </c>
      <c r="J2000" s="11">
        <f>1/(H2000*Utilities!$B$11)</f>
        <v>7.9999999999999964</v>
      </c>
      <c r="K2000" s="11">
        <f>IF(B2000&lt;C2000,1,EXP(-1*(B2000-C2000)/(Utilities!$B$11*IterData!H2000)))</f>
        <v>1</v>
      </c>
    </row>
    <row r="2001" spans="8:11" x14ac:dyDescent="0.3">
      <c r="H2001">
        <v>0.50000000000000022</v>
      </c>
      <c r="I2001" s="11">
        <f t="shared" si="31"/>
        <v>0</v>
      </c>
      <c r="J2001" s="11">
        <f>1/(H2001*Utilities!$B$11)</f>
        <v>7.9999999999999964</v>
      </c>
      <c r="K2001" s="11">
        <f>IF(B2001&lt;C2001,1,EXP(-1*(B2001-C2001)/(Utilities!$B$11*IterData!H2001)))</f>
        <v>1</v>
      </c>
    </row>
    <row r="2002" spans="8:11" x14ac:dyDescent="0.3">
      <c r="H2002">
        <v>0.50000000000000022</v>
      </c>
      <c r="I2002" s="11">
        <f t="shared" si="31"/>
        <v>0</v>
      </c>
      <c r="J2002" s="11">
        <f>1/(H2002*Utilities!$B$11)</f>
        <v>7.9999999999999964</v>
      </c>
      <c r="K2002" s="11">
        <f>IF(B2002&lt;C2002,1,EXP(-1*(B2002-C2002)/(Utilities!$B$11*IterData!H2002)))</f>
        <v>1</v>
      </c>
    </row>
    <row r="2003" spans="8:11" x14ac:dyDescent="0.3">
      <c r="H2003">
        <v>0.50000000000000022</v>
      </c>
      <c r="I2003" s="11">
        <f t="shared" si="31"/>
        <v>0</v>
      </c>
      <c r="J2003" s="11">
        <f>1/(H2003*Utilities!$B$11)</f>
        <v>7.9999999999999964</v>
      </c>
      <c r="K2003" s="11">
        <f>IF(B2003&lt;C2003,1,EXP(-1*(B2003-C2003)/(Utilities!$B$11*IterData!H2003)))</f>
        <v>1</v>
      </c>
    </row>
    <row r="2004" spans="8:11" x14ac:dyDescent="0.3">
      <c r="H2004">
        <v>0.50000000000000022</v>
      </c>
      <c r="I2004" s="11">
        <f t="shared" si="31"/>
        <v>0</v>
      </c>
      <c r="J2004" s="11">
        <f>1/(H2004*Utilities!$B$11)</f>
        <v>7.9999999999999964</v>
      </c>
      <c r="K2004" s="11">
        <f>IF(B2004&lt;C2004,1,EXP(-1*(B2004-C2004)/(Utilities!$B$11*IterData!H2004)))</f>
        <v>1</v>
      </c>
    </row>
    <row r="2005" spans="8:11" x14ac:dyDescent="0.3">
      <c r="H2005">
        <v>0.50000000000000022</v>
      </c>
      <c r="I2005" s="11">
        <f t="shared" si="31"/>
        <v>0</v>
      </c>
      <c r="J2005" s="11">
        <f>1/(H2005*Utilities!$B$11)</f>
        <v>7.9999999999999964</v>
      </c>
      <c r="K2005" s="11">
        <f>IF(B2005&lt;C2005,1,EXP(-1*(B2005-C2005)/(Utilities!$B$11*IterData!H2005)))</f>
        <v>1</v>
      </c>
    </row>
    <row r="2006" spans="8:11" x14ac:dyDescent="0.3">
      <c r="H2006">
        <v>0.50000000000000022</v>
      </c>
      <c r="I2006" s="11">
        <f t="shared" si="31"/>
        <v>0</v>
      </c>
      <c r="J2006" s="11">
        <f>1/(H2006*Utilities!$B$11)</f>
        <v>7.9999999999999964</v>
      </c>
      <c r="K2006" s="11">
        <f>IF(B2006&lt;C2006,1,EXP(-1*(B2006-C2006)/(Utilities!$B$11*IterData!H2006)))</f>
        <v>1</v>
      </c>
    </row>
    <row r="2007" spans="8:11" x14ac:dyDescent="0.3">
      <c r="H2007">
        <v>0.50000000000000022</v>
      </c>
      <c r="I2007" s="11">
        <f t="shared" si="31"/>
        <v>0</v>
      </c>
      <c r="J2007" s="11">
        <f>1/(H2007*Utilities!$B$11)</f>
        <v>7.9999999999999964</v>
      </c>
      <c r="K2007" s="11">
        <f>IF(B2007&lt;C2007,1,EXP(-1*(B2007-C2007)/(Utilities!$B$11*IterData!H2007)))</f>
        <v>1</v>
      </c>
    </row>
    <row r="2008" spans="8:11" x14ac:dyDescent="0.3">
      <c r="H2008">
        <v>0.50000000000000022</v>
      </c>
      <c r="I2008" s="11">
        <f t="shared" si="31"/>
        <v>0</v>
      </c>
      <c r="J2008" s="11">
        <f>1/(H2008*Utilities!$B$11)</f>
        <v>7.9999999999999964</v>
      </c>
      <c r="K2008" s="11">
        <f>IF(B2008&lt;C2008,1,EXP(-1*(B2008-C2008)/(Utilities!$B$11*IterData!H2008)))</f>
        <v>1</v>
      </c>
    </row>
    <row r="2009" spans="8:11" x14ac:dyDescent="0.3">
      <c r="H2009">
        <v>0.50000000000000022</v>
      </c>
      <c r="I2009" s="11">
        <f t="shared" si="31"/>
        <v>0</v>
      </c>
      <c r="J2009" s="11">
        <f>1/(H2009*Utilities!$B$11)</f>
        <v>7.9999999999999964</v>
      </c>
      <c r="K2009" s="11">
        <f>IF(B2009&lt;C2009,1,EXP(-1*(B2009-C2009)/(Utilities!$B$11*IterData!H2009)))</f>
        <v>1</v>
      </c>
    </row>
    <row r="2010" spans="8:11" x14ac:dyDescent="0.3">
      <c r="H2010">
        <v>0.50000000000000022</v>
      </c>
      <c r="I2010" s="11">
        <f t="shared" si="31"/>
        <v>0</v>
      </c>
      <c r="J2010" s="11">
        <f>1/(H2010*Utilities!$B$11)</f>
        <v>7.9999999999999964</v>
      </c>
      <c r="K2010" s="11">
        <f>IF(B2010&lt;C2010,1,EXP(-1*(B2010-C2010)/(Utilities!$B$11*IterData!H2010)))</f>
        <v>1</v>
      </c>
    </row>
    <row r="2011" spans="8:11" x14ac:dyDescent="0.3">
      <c r="H2011">
        <v>0.50000000000000022</v>
      </c>
      <c r="I2011" s="11">
        <f t="shared" si="31"/>
        <v>0</v>
      </c>
      <c r="J2011" s="11">
        <f>1/(H2011*Utilities!$B$11)</f>
        <v>7.9999999999999964</v>
      </c>
      <c r="K2011" s="11">
        <f>IF(B2011&lt;C2011,1,EXP(-1*(B2011-C2011)/(Utilities!$B$11*IterData!H2011)))</f>
        <v>1</v>
      </c>
    </row>
    <row r="2012" spans="8:11" x14ac:dyDescent="0.3">
      <c r="H2012">
        <v>0.50000000000000022</v>
      </c>
      <c r="I2012" s="11">
        <f t="shared" si="31"/>
        <v>0</v>
      </c>
      <c r="J2012" s="11">
        <f>1/(H2012*Utilities!$B$11)</f>
        <v>7.9999999999999964</v>
      </c>
      <c r="K2012" s="11">
        <f>IF(B2012&lt;C2012,1,EXP(-1*(B2012-C2012)/(Utilities!$B$11*IterData!H2012)))</f>
        <v>1</v>
      </c>
    </row>
    <row r="2013" spans="8:11" x14ac:dyDescent="0.3">
      <c r="H2013">
        <v>0.50000000000000011</v>
      </c>
      <c r="I2013" s="11">
        <f t="shared" si="31"/>
        <v>0</v>
      </c>
      <c r="J2013" s="11">
        <f>1/(H2013*Utilities!$B$11)</f>
        <v>7.9999999999999982</v>
      </c>
      <c r="K2013" s="11">
        <f>IF(B2013&lt;C2013,1,EXP(-1*(B2013-C2013)/(Utilities!$B$11*IterData!H2013)))</f>
        <v>1</v>
      </c>
    </row>
    <row r="2014" spans="8:11" x14ac:dyDescent="0.3">
      <c r="H2014">
        <v>0.50000000000000011</v>
      </c>
      <c r="I2014" s="11">
        <f t="shared" si="31"/>
        <v>0</v>
      </c>
      <c r="J2014" s="11">
        <f>1/(H2014*Utilities!$B$11)</f>
        <v>7.9999999999999982</v>
      </c>
      <c r="K2014" s="11">
        <f>IF(B2014&lt;C2014,1,EXP(-1*(B2014-C2014)/(Utilities!$B$11*IterData!H2014)))</f>
        <v>1</v>
      </c>
    </row>
    <row r="2015" spans="8:11" x14ac:dyDescent="0.3">
      <c r="H2015">
        <v>0.50000000000000011</v>
      </c>
      <c r="I2015" s="11">
        <f t="shared" si="31"/>
        <v>0</v>
      </c>
      <c r="J2015" s="11">
        <f>1/(H2015*Utilities!$B$11)</f>
        <v>7.9999999999999982</v>
      </c>
      <c r="K2015" s="11">
        <f>IF(B2015&lt;C2015,1,EXP(-1*(B2015-C2015)/(Utilities!$B$11*IterData!H2015)))</f>
        <v>1</v>
      </c>
    </row>
    <row r="2016" spans="8:11" x14ac:dyDescent="0.3">
      <c r="H2016">
        <v>0.50000000000000011</v>
      </c>
      <c r="I2016" s="11">
        <f t="shared" si="31"/>
        <v>0</v>
      </c>
      <c r="J2016" s="11">
        <f>1/(H2016*Utilities!$B$11)</f>
        <v>7.9999999999999982</v>
      </c>
      <c r="K2016" s="11">
        <f>IF(B2016&lt;C2016,1,EXP(-1*(B2016-C2016)/(Utilities!$B$11*IterData!H2016)))</f>
        <v>1</v>
      </c>
    </row>
    <row r="2017" spans="8:11" x14ac:dyDescent="0.3">
      <c r="H2017">
        <v>0.50000000000000011</v>
      </c>
      <c r="I2017" s="11">
        <f t="shared" si="31"/>
        <v>0</v>
      </c>
      <c r="J2017" s="11">
        <f>1/(H2017*Utilities!$B$11)</f>
        <v>7.9999999999999982</v>
      </c>
      <c r="K2017" s="11">
        <f>IF(B2017&lt;C2017,1,EXP(-1*(B2017-C2017)/(Utilities!$B$11*IterData!H2017)))</f>
        <v>1</v>
      </c>
    </row>
    <row r="2018" spans="8:11" x14ac:dyDescent="0.3">
      <c r="H2018">
        <v>0.50000000000000011</v>
      </c>
      <c r="I2018" s="11">
        <f t="shared" si="31"/>
        <v>0</v>
      </c>
      <c r="J2018" s="11">
        <f>1/(H2018*Utilities!$B$11)</f>
        <v>7.9999999999999982</v>
      </c>
      <c r="K2018" s="11">
        <f>IF(B2018&lt;C2018,1,EXP(-1*(B2018-C2018)/(Utilities!$B$11*IterData!H2018)))</f>
        <v>1</v>
      </c>
    </row>
    <row r="2019" spans="8:11" x14ac:dyDescent="0.3">
      <c r="H2019">
        <v>0.50000000000000011</v>
      </c>
      <c r="I2019" s="11">
        <f t="shared" si="31"/>
        <v>0</v>
      </c>
      <c r="J2019" s="11">
        <f>1/(H2019*Utilities!$B$11)</f>
        <v>7.9999999999999982</v>
      </c>
      <c r="K2019" s="11">
        <f>IF(B2019&lt;C2019,1,EXP(-1*(B2019-C2019)/(Utilities!$B$11*IterData!H2019)))</f>
        <v>1</v>
      </c>
    </row>
    <row r="2020" spans="8:11" x14ac:dyDescent="0.3">
      <c r="H2020">
        <v>0.50000000000000011</v>
      </c>
      <c r="I2020" s="11">
        <f t="shared" si="31"/>
        <v>0</v>
      </c>
      <c r="J2020" s="11">
        <f>1/(H2020*Utilities!$B$11)</f>
        <v>7.9999999999999982</v>
      </c>
      <c r="K2020" s="11">
        <f>IF(B2020&lt;C2020,1,EXP(-1*(B2020-C2020)/(Utilities!$B$11*IterData!H2020)))</f>
        <v>1</v>
      </c>
    </row>
    <row r="2021" spans="8:11" x14ac:dyDescent="0.3">
      <c r="H2021">
        <v>0.50000000000000011</v>
      </c>
      <c r="I2021" s="11">
        <f t="shared" si="31"/>
        <v>0</v>
      </c>
      <c r="J2021" s="11">
        <f>1/(H2021*Utilities!$B$11)</f>
        <v>7.9999999999999982</v>
      </c>
      <c r="K2021" s="11">
        <f>IF(B2021&lt;C2021,1,EXP(-1*(B2021-C2021)/(Utilities!$B$11*IterData!H2021)))</f>
        <v>1</v>
      </c>
    </row>
    <row r="2022" spans="8:11" x14ac:dyDescent="0.3">
      <c r="H2022">
        <v>0.50000000000000011</v>
      </c>
      <c r="I2022" s="11">
        <f t="shared" si="31"/>
        <v>0</v>
      </c>
      <c r="J2022" s="11">
        <f>1/(H2022*Utilities!$B$11)</f>
        <v>7.9999999999999982</v>
      </c>
      <c r="K2022" s="11">
        <f>IF(B2022&lt;C2022,1,EXP(-1*(B2022-C2022)/(Utilities!$B$11*IterData!H2022)))</f>
        <v>1</v>
      </c>
    </row>
    <row r="2023" spans="8:11" x14ac:dyDescent="0.3">
      <c r="H2023">
        <v>0.50000000000000011</v>
      </c>
      <c r="I2023" s="11">
        <f t="shared" si="31"/>
        <v>0</v>
      </c>
      <c r="J2023" s="11">
        <f>1/(H2023*Utilities!$B$11)</f>
        <v>7.9999999999999982</v>
      </c>
      <c r="K2023" s="11">
        <f>IF(B2023&lt;C2023,1,EXP(-1*(B2023-C2023)/(Utilities!$B$11*IterData!H2023)))</f>
        <v>1</v>
      </c>
    </row>
    <row r="2024" spans="8:11" x14ac:dyDescent="0.3">
      <c r="H2024">
        <v>0.50000000000000011</v>
      </c>
      <c r="I2024" s="11">
        <f t="shared" si="31"/>
        <v>0</v>
      </c>
      <c r="J2024" s="11">
        <f>1/(H2024*Utilities!$B$11)</f>
        <v>7.9999999999999982</v>
      </c>
      <c r="K2024" s="11">
        <f>IF(B2024&lt;C2024,1,EXP(-1*(B2024-C2024)/(Utilities!$B$11*IterData!H2024)))</f>
        <v>1</v>
      </c>
    </row>
    <row r="2025" spans="8:11" x14ac:dyDescent="0.3">
      <c r="H2025">
        <v>0.50000000000000011</v>
      </c>
      <c r="I2025" s="11">
        <f t="shared" si="31"/>
        <v>0</v>
      </c>
      <c r="J2025" s="11">
        <f>1/(H2025*Utilities!$B$11)</f>
        <v>7.9999999999999982</v>
      </c>
      <c r="K2025" s="11">
        <f>IF(B2025&lt;C2025,1,EXP(-1*(B2025-C2025)/(Utilities!$B$11*IterData!H2025)))</f>
        <v>1</v>
      </c>
    </row>
    <row r="2026" spans="8:11" x14ac:dyDescent="0.3">
      <c r="H2026">
        <v>0.50000000000000011</v>
      </c>
      <c r="I2026" s="11">
        <f t="shared" si="31"/>
        <v>0</v>
      </c>
      <c r="J2026" s="11">
        <f>1/(H2026*Utilities!$B$11)</f>
        <v>7.9999999999999982</v>
      </c>
      <c r="K2026" s="11">
        <f>IF(B2026&lt;C2026,1,EXP(-1*(B2026-C2026)/(Utilities!$B$11*IterData!H2026)))</f>
        <v>1</v>
      </c>
    </row>
    <row r="2027" spans="8:11" x14ac:dyDescent="0.3">
      <c r="H2027">
        <v>0.50000000000000011</v>
      </c>
      <c r="I2027" s="11">
        <f t="shared" si="31"/>
        <v>0</v>
      </c>
      <c r="J2027" s="11">
        <f>1/(H2027*Utilities!$B$11)</f>
        <v>7.9999999999999982</v>
      </c>
      <c r="K2027" s="11">
        <f>IF(B2027&lt;C2027,1,EXP(-1*(B2027-C2027)/(Utilities!$B$11*IterData!H2027)))</f>
        <v>1</v>
      </c>
    </row>
    <row r="2028" spans="8:11" x14ac:dyDescent="0.3">
      <c r="H2028">
        <v>0.50000000000000011</v>
      </c>
      <c r="I2028" s="11">
        <f t="shared" si="31"/>
        <v>0</v>
      </c>
      <c r="J2028" s="11">
        <f>1/(H2028*Utilities!$B$11)</f>
        <v>7.9999999999999982</v>
      </c>
      <c r="K2028" s="11">
        <f>IF(B2028&lt;C2028,1,EXP(-1*(B2028-C2028)/(Utilities!$B$11*IterData!H2028)))</f>
        <v>1</v>
      </c>
    </row>
    <row r="2029" spans="8:11" x14ac:dyDescent="0.3">
      <c r="H2029">
        <v>0.50000000000000011</v>
      </c>
      <c r="I2029" s="11">
        <f t="shared" si="31"/>
        <v>0</v>
      </c>
      <c r="J2029" s="11">
        <f>1/(H2029*Utilities!$B$11)</f>
        <v>7.9999999999999982</v>
      </c>
      <c r="K2029" s="11">
        <f>IF(B2029&lt;C2029,1,EXP(-1*(B2029-C2029)/(Utilities!$B$11*IterData!H2029)))</f>
        <v>1</v>
      </c>
    </row>
    <row r="2030" spans="8:11" x14ac:dyDescent="0.3">
      <c r="H2030">
        <v>0.50000000000000011</v>
      </c>
      <c r="I2030" s="11">
        <f t="shared" si="31"/>
        <v>0</v>
      </c>
      <c r="J2030" s="11">
        <f>1/(H2030*Utilities!$B$11)</f>
        <v>7.9999999999999982</v>
      </c>
      <c r="K2030" s="11">
        <f>IF(B2030&lt;C2030,1,EXP(-1*(B2030-C2030)/(Utilities!$B$11*IterData!H2030)))</f>
        <v>1</v>
      </c>
    </row>
    <row r="2031" spans="8:11" x14ac:dyDescent="0.3">
      <c r="H2031">
        <v>0.50000000000000011</v>
      </c>
      <c r="I2031" s="11">
        <f t="shared" si="31"/>
        <v>0</v>
      </c>
      <c r="J2031" s="11">
        <f>1/(H2031*Utilities!$B$11)</f>
        <v>7.9999999999999982</v>
      </c>
      <c r="K2031" s="11">
        <f>IF(B2031&lt;C2031,1,EXP(-1*(B2031-C2031)/(Utilities!$B$11*IterData!H2031)))</f>
        <v>1</v>
      </c>
    </row>
    <row r="2032" spans="8:11" x14ac:dyDescent="0.3">
      <c r="H2032">
        <v>0.50000000000000011</v>
      </c>
      <c r="I2032" s="11">
        <f t="shared" si="31"/>
        <v>0</v>
      </c>
      <c r="J2032" s="11">
        <f>1/(H2032*Utilities!$B$11)</f>
        <v>7.9999999999999982</v>
      </c>
      <c r="K2032" s="11">
        <f>IF(B2032&lt;C2032,1,EXP(-1*(B2032-C2032)/(Utilities!$B$11*IterData!H2032)))</f>
        <v>1</v>
      </c>
    </row>
    <row r="2033" spans="8:11" x14ac:dyDescent="0.3">
      <c r="H2033">
        <v>0.50000000000000011</v>
      </c>
      <c r="I2033" s="11">
        <f t="shared" si="31"/>
        <v>0</v>
      </c>
      <c r="J2033" s="11">
        <f>1/(H2033*Utilities!$B$11)</f>
        <v>7.9999999999999982</v>
      </c>
      <c r="K2033" s="11">
        <f>IF(B2033&lt;C2033,1,EXP(-1*(B2033-C2033)/(Utilities!$B$11*IterData!H2033)))</f>
        <v>1</v>
      </c>
    </row>
    <row r="2034" spans="8:11" x14ac:dyDescent="0.3">
      <c r="H2034">
        <v>0.50000000000000011</v>
      </c>
      <c r="I2034" s="11">
        <f t="shared" si="31"/>
        <v>0</v>
      </c>
      <c r="J2034" s="11">
        <f>1/(H2034*Utilities!$B$11)</f>
        <v>7.9999999999999982</v>
      </c>
      <c r="K2034" s="11">
        <f>IF(B2034&lt;C2034,1,EXP(-1*(B2034-C2034)/(Utilities!$B$11*IterData!H2034)))</f>
        <v>1</v>
      </c>
    </row>
    <row r="2035" spans="8:11" x14ac:dyDescent="0.3">
      <c r="H2035">
        <v>0.50000000000000011</v>
      </c>
      <c r="I2035" s="11">
        <f t="shared" si="31"/>
        <v>0</v>
      </c>
      <c r="J2035" s="11">
        <f>1/(H2035*Utilities!$B$11)</f>
        <v>7.9999999999999982</v>
      </c>
      <c r="K2035" s="11">
        <f>IF(B2035&lt;C2035,1,EXP(-1*(B2035-C2035)/(Utilities!$B$11*IterData!H2035)))</f>
        <v>1</v>
      </c>
    </row>
    <row r="2036" spans="8:11" x14ac:dyDescent="0.3">
      <c r="H2036">
        <v>0.50000000000000011</v>
      </c>
      <c r="I2036" s="11">
        <f t="shared" si="31"/>
        <v>0</v>
      </c>
      <c r="J2036" s="11">
        <f>1/(H2036*Utilities!$B$11)</f>
        <v>7.9999999999999982</v>
      </c>
      <c r="K2036" s="11">
        <f>IF(B2036&lt;C2036,1,EXP(-1*(B2036-C2036)/(Utilities!$B$11*IterData!H2036)))</f>
        <v>1</v>
      </c>
    </row>
    <row r="2037" spans="8:11" x14ac:dyDescent="0.3">
      <c r="H2037">
        <v>0.50000000000000011</v>
      </c>
      <c r="I2037" s="11">
        <f t="shared" si="31"/>
        <v>0</v>
      </c>
      <c r="J2037" s="11">
        <f>1/(H2037*Utilities!$B$11)</f>
        <v>7.9999999999999982</v>
      </c>
      <c r="K2037" s="11">
        <f>IF(B2037&lt;C2037,1,EXP(-1*(B2037-C2037)/(Utilities!$B$11*IterData!H2037)))</f>
        <v>1</v>
      </c>
    </row>
    <row r="2038" spans="8:11" x14ac:dyDescent="0.3">
      <c r="H2038">
        <v>0.50000000000000011</v>
      </c>
      <c r="I2038" s="11">
        <f t="shared" si="31"/>
        <v>0</v>
      </c>
      <c r="J2038" s="11">
        <f>1/(H2038*Utilities!$B$11)</f>
        <v>7.9999999999999982</v>
      </c>
      <c r="K2038" s="11">
        <f>IF(B2038&lt;C2038,1,EXP(-1*(B2038-C2038)/(Utilities!$B$11*IterData!H2038)))</f>
        <v>1</v>
      </c>
    </row>
    <row r="2039" spans="8:11" x14ac:dyDescent="0.3">
      <c r="H2039">
        <v>0.50000000000000011</v>
      </c>
      <c r="I2039" s="11">
        <f t="shared" si="31"/>
        <v>0</v>
      </c>
      <c r="J2039" s="11">
        <f>1/(H2039*Utilities!$B$11)</f>
        <v>7.9999999999999982</v>
      </c>
      <c r="K2039" s="11">
        <f>IF(B2039&lt;C2039,1,EXP(-1*(B2039-C2039)/(Utilities!$B$11*IterData!H2039)))</f>
        <v>1</v>
      </c>
    </row>
    <row r="2040" spans="8:11" x14ac:dyDescent="0.3">
      <c r="H2040">
        <v>0.50000000000000011</v>
      </c>
      <c r="I2040" s="11">
        <f t="shared" si="31"/>
        <v>0</v>
      </c>
      <c r="J2040" s="11">
        <f>1/(H2040*Utilities!$B$11)</f>
        <v>7.9999999999999982</v>
      </c>
      <c r="K2040" s="11">
        <f>IF(B2040&lt;C2040,1,EXP(-1*(B2040-C2040)/(Utilities!$B$11*IterData!H2040)))</f>
        <v>1</v>
      </c>
    </row>
    <row r="2041" spans="8:11" x14ac:dyDescent="0.3">
      <c r="H2041">
        <v>0.50000000000000011</v>
      </c>
      <c r="I2041" s="11">
        <f t="shared" si="31"/>
        <v>0</v>
      </c>
      <c r="J2041" s="11">
        <f>1/(H2041*Utilities!$B$11)</f>
        <v>7.9999999999999982</v>
      </c>
      <c r="K2041" s="11">
        <f>IF(B2041&lt;C2041,1,EXP(-1*(B2041-C2041)/(Utilities!$B$11*IterData!H2041)))</f>
        <v>1</v>
      </c>
    </row>
    <row r="2042" spans="8:11" x14ac:dyDescent="0.3">
      <c r="H2042">
        <v>0.50000000000000011</v>
      </c>
      <c r="I2042" s="11">
        <f t="shared" si="31"/>
        <v>0</v>
      </c>
      <c r="J2042" s="11">
        <f>1/(H2042*Utilities!$B$11)</f>
        <v>7.9999999999999982</v>
      </c>
      <c r="K2042" s="11">
        <f>IF(B2042&lt;C2042,1,EXP(-1*(B2042-C2042)/(Utilities!$B$11*IterData!H2042)))</f>
        <v>1</v>
      </c>
    </row>
    <row r="2043" spans="8:11" x14ac:dyDescent="0.3">
      <c r="H2043">
        <v>0.50000000000000011</v>
      </c>
      <c r="I2043" s="11">
        <f t="shared" si="31"/>
        <v>0</v>
      </c>
      <c r="J2043" s="11">
        <f>1/(H2043*Utilities!$B$11)</f>
        <v>7.9999999999999982</v>
      </c>
      <c r="K2043" s="11">
        <f>IF(B2043&lt;C2043,1,EXP(-1*(B2043-C2043)/(Utilities!$B$11*IterData!H2043)))</f>
        <v>1</v>
      </c>
    </row>
    <row r="2044" spans="8:11" x14ac:dyDescent="0.3">
      <c r="H2044">
        <v>0.50000000000000011</v>
      </c>
      <c r="I2044" s="11">
        <f t="shared" si="31"/>
        <v>0</v>
      </c>
      <c r="J2044" s="11">
        <f>1/(H2044*Utilities!$B$11)</f>
        <v>7.9999999999999982</v>
      </c>
      <c r="K2044" s="11">
        <f>IF(B2044&lt;C2044,1,EXP(-1*(B2044-C2044)/(Utilities!$B$11*IterData!H2044)))</f>
        <v>1</v>
      </c>
    </row>
    <row r="2045" spans="8:11" x14ac:dyDescent="0.3">
      <c r="H2045">
        <v>0.50000000000000011</v>
      </c>
      <c r="I2045" s="11">
        <f t="shared" si="31"/>
        <v>0</v>
      </c>
      <c r="J2045" s="11">
        <f>1/(H2045*Utilities!$B$11)</f>
        <v>7.9999999999999982</v>
      </c>
      <c r="K2045" s="11">
        <f>IF(B2045&lt;C2045,1,EXP(-1*(B2045-C2045)/(Utilities!$B$11*IterData!H2045)))</f>
        <v>1</v>
      </c>
    </row>
    <row r="2046" spans="8:11" x14ac:dyDescent="0.3">
      <c r="H2046">
        <v>0.50000000000000011</v>
      </c>
      <c r="I2046" s="11">
        <f t="shared" si="31"/>
        <v>0</v>
      </c>
      <c r="J2046" s="11">
        <f>1/(H2046*Utilities!$B$11)</f>
        <v>7.9999999999999982</v>
      </c>
      <c r="K2046" s="11">
        <f>IF(B2046&lt;C2046,1,EXP(-1*(B2046-C2046)/(Utilities!$B$11*IterData!H2046)))</f>
        <v>1</v>
      </c>
    </row>
    <row r="2047" spans="8:11" x14ac:dyDescent="0.3">
      <c r="H2047">
        <v>0.50000000000000011</v>
      </c>
      <c r="I2047" s="11">
        <f t="shared" si="31"/>
        <v>0</v>
      </c>
      <c r="J2047" s="11">
        <f>1/(H2047*Utilities!$B$11)</f>
        <v>7.9999999999999982</v>
      </c>
      <c r="K2047" s="11">
        <f>IF(B2047&lt;C2047,1,EXP(-1*(B2047-C2047)/(Utilities!$B$11*IterData!H2047)))</f>
        <v>1</v>
      </c>
    </row>
    <row r="2048" spans="8:11" x14ac:dyDescent="0.3">
      <c r="H2048">
        <v>0.50000000000000011</v>
      </c>
      <c r="I2048" s="11">
        <f t="shared" si="31"/>
        <v>0</v>
      </c>
      <c r="J2048" s="11">
        <f>1/(H2048*Utilities!$B$11)</f>
        <v>7.9999999999999982</v>
      </c>
      <c r="K2048" s="11">
        <f>IF(B2048&lt;C2048,1,EXP(-1*(B2048-C2048)/(Utilities!$B$11*IterData!H2048)))</f>
        <v>1</v>
      </c>
    </row>
    <row r="2049" spans="8:11" x14ac:dyDescent="0.3">
      <c r="H2049">
        <v>0.50000000000000011</v>
      </c>
      <c r="I2049" s="11">
        <f t="shared" si="31"/>
        <v>0</v>
      </c>
      <c r="J2049" s="11">
        <f>1/(H2049*Utilities!$B$11)</f>
        <v>7.9999999999999982</v>
      </c>
      <c r="K2049" s="11">
        <f>IF(B2049&lt;C2049,1,EXP(-1*(B2049-C2049)/(Utilities!$B$11*IterData!H2049)))</f>
        <v>1</v>
      </c>
    </row>
    <row r="2050" spans="8:11" x14ac:dyDescent="0.3">
      <c r="H2050">
        <v>0.50000000000000011</v>
      </c>
      <c r="I2050" s="11">
        <f t="shared" si="31"/>
        <v>0</v>
      </c>
      <c r="J2050" s="11">
        <f>1/(H2050*Utilities!$B$11)</f>
        <v>7.9999999999999982</v>
      </c>
      <c r="K2050" s="11">
        <f>IF(B2050&lt;C2050,1,EXP(-1*(B2050-C2050)/(Utilities!$B$11*IterData!H2050)))</f>
        <v>1</v>
      </c>
    </row>
    <row r="2051" spans="8:11" x14ac:dyDescent="0.3">
      <c r="H2051">
        <v>0.50000000000000011</v>
      </c>
      <c r="I2051" s="11">
        <f t="shared" ref="I2051:I2114" si="32">B2051-C2051</f>
        <v>0</v>
      </c>
      <c r="J2051" s="11">
        <f>1/(H2051*Utilities!$B$11)</f>
        <v>7.9999999999999982</v>
      </c>
      <c r="K2051" s="11">
        <f>IF(B2051&lt;C2051,1,EXP(-1*(B2051-C2051)/(Utilities!$B$11*IterData!H2051)))</f>
        <v>1</v>
      </c>
    </row>
    <row r="2052" spans="8:11" x14ac:dyDescent="0.3">
      <c r="H2052">
        <v>0.50000000000000011</v>
      </c>
      <c r="I2052" s="11">
        <f t="shared" si="32"/>
        <v>0</v>
      </c>
      <c r="J2052" s="11">
        <f>1/(H2052*Utilities!$B$11)</f>
        <v>7.9999999999999982</v>
      </c>
      <c r="K2052" s="11">
        <f>IF(B2052&lt;C2052,1,EXP(-1*(B2052-C2052)/(Utilities!$B$11*IterData!H2052)))</f>
        <v>1</v>
      </c>
    </row>
    <row r="2053" spans="8:11" x14ac:dyDescent="0.3">
      <c r="H2053">
        <v>0.50000000000000011</v>
      </c>
      <c r="I2053" s="11">
        <f t="shared" si="32"/>
        <v>0</v>
      </c>
      <c r="J2053" s="11">
        <f>1/(H2053*Utilities!$B$11)</f>
        <v>7.9999999999999982</v>
      </c>
      <c r="K2053" s="11">
        <f>IF(B2053&lt;C2053,1,EXP(-1*(B2053-C2053)/(Utilities!$B$11*IterData!H2053)))</f>
        <v>1</v>
      </c>
    </row>
    <row r="2054" spans="8:11" x14ac:dyDescent="0.3">
      <c r="H2054">
        <v>0.50000000000000011</v>
      </c>
      <c r="I2054" s="11">
        <f t="shared" si="32"/>
        <v>0</v>
      </c>
      <c r="J2054" s="11">
        <f>1/(H2054*Utilities!$B$11)</f>
        <v>7.9999999999999982</v>
      </c>
      <c r="K2054" s="11">
        <f>IF(B2054&lt;C2054,1,EXP(-1*(B2054-C2054)/(Utilities!$B$11*IterData!H2054)))</f>
        <v>1</v>
      </c>
    </row>
    <row r="2055" spans="8:11" x14ac:dyDescent="0.3">
      <c r="H2055">
        <v>0.50000000000000011</v>
      </c>
      <c r="I2055" s="11">
        <f t="shared" si="32"/>
        <v>0</v>
      </c>
      <c r="J2055" s="11">
        <f>1/(H2055*Utilities!$B$11)</f>
        <v>7.9999999999999982</v>
      </c>
      <c r="K2055" s="11">
        <f>IF(B2055&lt;C2055,1,EXP(-1*(B2055-C2055)/(Utilities!$B$11*IterData!H2055)))</f>
        <v>1</v>
      </c>
    </row>
    <row r="2056" spans="8:11" x14ac:dyDescent="0.3">
      <c r="H2056">
        <v>0.50000000000000011</v>
      </c>
      <c r="I2056" s="11">
        <f t="shared" si="32"/>
        <v>0</v>
      </c>
      <c r="J2056" s="11">
        <f>1/(H2056*Utilities!$B$11)</f>
        <v>7.9999999999999982</v>
      </c>
      <c r="K2056" s="11">
        <f>IF(B2056&lt;C2056,1,EXP(-1*(B2056-C2056)/(Utilities!$B$11*IterData!H2056)))</f>
        <v>1</v>
      </c>
    </row>
    <row r="2057" spans="8:11" x14ac:dyDescent="0.3">
      <c r="H2057">
        <v>0.50000000000000011</v>
      </c>
      <c r="I2057" s="11">
        <f t="shared" si="32"/>
        <v>0</v>
      </c>
      <c r="J2057" s="11">
        <f>1/(H2057*Utilities!$B$11)</f>
        <v>7.9999999999999982</v>
      </c>
      <c r="K2057" s="11">
        <f>IF(B2057&lt;C2057,1,EXP(-1*(B2057-C2057)/(Utilities!$B$11*IterData!H2057)))</f>
        <v>1</v>
      </c>
    </row>
    <row r="2058" spans="8:11" x14ac:dyDescent="0.3">
      <c r="H2058">
        <v>0.50000000000000011</v>
      </c>
      <c r="I2058" s="11">
        <f t="shared" si="32"/>
        <v>0</v>
      </c>
      <c r="J2058" s="11">
        <f>1/(H2058*Utilities!$B$11)</f>
        <v>7.9999999999999982</v>
      </c>
      <c r="K2058" s="11">
        <f>IF(B2058&lt;C2058,1,EXP(-1*(B2058-C2058)/(Utilities!$B$11*IterData!H2058)))</f>
        <v>1</v>
      </c>
    </row>
    <row r="2059" spans="8:11" x14ac:dyDescent="0.3">
      <c r="H2059">
        <v>0.50000000000000011</v>
      </c>
      <c r="I2059" s="11">
        <f t="shared" si="32"/>
        <v>0</v>
      </c>
      <c r="J2059" s="11">
        <f>1/(H2059*Utilities!$B$11)</f>
        <v>7.9999999999999982</v>
      </c>
      <c r="K2059" s="11">
        <f>IF(B2059&lt;C2059,1,EXP(-1*(B2059-C2059)/(Utilities!$B$11*IterData!H2059)))</f>
        <v>1</v>
      </c>
    </row>
    <row r="2060" spans="8:11" x14ac:dyDescent="0.3">
      <c r="H2060">
        <v>0.50000000000000011</v>
      </c>
      <c r="I2060" s="11">
        <f t="shared" si="32"/>
        <v>0</v>
      </c>
      <c r="J2060" s="11">
        <f>1/(H2060*Utilities!$B$11)</f>
        <v>7.9999999999999982</v>
      </c>
      <c r="K2060" s="11">
        <f>IF(B2060&lt;C2060,1,EXP(-1*(B2060-C2060)/(Utilities!$B$11*IterData!H2060)))</f>
        <v>1</v>
      </c>
    </row>
    <row r="2061" spans="8:11" x14ac:dyDescent="0.3">
      <c r="H2061">
        <v>0.50000000000000011</v>
      </c>
      <c r="I2061" s="11">
        <f t="shared" si="32"/>
        <v>0</v>
      </c>
      <c r="J2061" s="11">
        <f>1/(H2061*Utilities!$B$11)</f>
        <v>7.9999999999999982</v>
      </c>
      <c r="K2061" s="11">
        <f>IF(B2061&lt;C2061,1,EXP(-1*(B2061-C2061)/(Utilities!$B$11*IterData!H2061)))</f>
        <v>1</v>
      </c>
    </row>
    <row r="2062" spans="8:11" x14ac:dyDescent="0.3">
      <c r="H2062">
        <v>0.50000000000000011</v>
      </c>
      <c r="I2062" s="11">
        <f t="shared" si="32"/>
        <v>0</v>
      </c>
      <c r="J2062" s="11">
        <f>1/(H2062*Utilities!$B$11)</f>
        <v>7.9999999999999982</v>
      </c>
      <c r="K2062" s="11">
        <f>IF(B2062&lt;C2062,1,EXP(-1*(B2062-C2062)/(Utilities!$B$11*IterData!H2062)))</f>
        <v>1</v>
      </c>
    </row>
    <row r="2063" spans="8:11" x14ac:dyDescent="0.3">
      <c r="H2063">
        <v>0.50000000000000011</v>
      </c>
      <c r="I2063" s="11">
        <f t="shared" si="32"/>
        <v>0</v>
      </c>
      <c r="J2063" s="11">
        <f>1/(H2063*Utilities!$B$11)</f>
        <v>7.9999999999999982</v>
      </c>
      <c r="K2063" s="11">
        <f>IF(B2063&lt;C2063,1,EXP(-1*(B2063-C2063)/(Utilities!$B$11*IterData!H2063)))</f>
        <v>1</v>
      </c>
    </row>
    <row r="2064" spans="8:11" x14ac:dyDescent="0.3">
      <c r="H2064">
        <v>0.50000000000000011</v>
      </c>
      <c r="I2064" s="11">
        <f t="shared" si="32"/>
        <v>0</v>
      </c>
      <c r="J2064" s="11">
        <f>1/(H2064*Utilities!$B$11)</f>
        <v>7.9999999999999982</v>
      </c>
      <c r="K2064" s="11">
        <f>IF(B2064&lt;C2064,1,EXP(-1*(B2064-C2064)/(Utilities!$B$11*IterData!H2064)))</f>
        <v>1</v>
      </c>
    </row>
    <row r="2065" spans="8:11" x14ac:dyDescent="0.3">
      <c r="H2065">
        <v>0.50000000000000011</v>
      </c>
      <c r="I2065" s="11">
        <f t="shared" si="32"/>
        <v>0</v>
      </c>
      <c r="J2065" s="11">
        <f>1/(H2065*Utilities!$B$11)</f>
        <v>7.9999999999999982</v>
      </c>
      <c r="K2065" s="11">
        <f>IF(B2065&lt;C2065,1,EXP(-1*(B2065-C2065)/(Utilities!$B$11*IterData!H2065)))</f>
        <v>1</v>
      </c>
    </row>
    <row r="2066" spans="8:11" x14ac:dyDescent="0.3">
      <c r="H2066">
        <v>0.50000000000000011</v>
      </c>
      <c r="I2066" s="11">
        <f t="shared" si="32"/>
        <v>0</v>
      </c>
      <c r="J2066" s="11">
        <f>1/(H2066*Utilities!$B$11)</f>
        <v>7.9999999999999982</v>
      </c>
      <c r="K2066" s="11">
        <f>IF(B2066&lt;C2066,1,EXP(-1*(B2066-C2066)/(Utilities!$B$11*IterData!H2066)))</f>
        <v>1</v>
      </c>
    </row>
    <row r="2067" spans="8:11" x14ac:dyDescent="0.3">
      <c r="H2067">
        <v>0.50000000000000011</v>
      </c>
      <c r="I2067" s="11">
        <f t="shared" si="32"/>
        <v>0</v>
      </c>
      <c r="J2067" s="11">
        <f>1/(H2067*Utilities!$B$11)</f>
        <v>7.9999999999999982</v>
      </c>
      <c r="K2067" s="11">
        <f>IF(B2067&lt;C2067,1,EXP(-1*(B2067-C2067)/(Utilities!$B$11*IterData!H2067)))</f>
        <v>1</v>
      </c>
    </row>
    <row r="2068" spans="8:11" x14ac:dyDescent="0.3">
      <c r="H2068">
        <v>0.5</v>
      </c>
      <c r="I2068" s="11">
        <f t="shared" si="32"/>
        <v>0</v>
      </c>
      <c r="J2068" s="11">
        <f>1/(H2068*Utilities!$B$11)</f>
        <v>8</v>
      </c>
      <c r="K2068" s="11">
        <f>IF(B2068&lt;C2068,1,EXP(-1*(B2068-C2068)/(Utilities!$B$11*IterData!H2068)))</f>
        <v>1</v>
      </c>
    </row>
    <row r="2069" spans="8:11" x14ac:dyDescent="0.3">
      <c r="H2069">
        <v>0.5</v>
      </c>
      <c r="I2069" s="11">
        <f t="shared" si="32"/>
        <v>0</v>
      </c>
      <c r="J2069" s="11">
        <f>1/(H2069*Utilities!$B$11)</f>
        <v>8</v>
      </c>
      <c r="K2069" s="11">
        <f>IF(B2069&lt;C2069,1,EXP(-1*(B2069-C2069)/(Utilities!$B$11*IterData!H2069)))</f>
        <v>1</v>
      </c>
    </row>
    <row r="2070" spans="8:11" x14ac:dyDescent="0.3">
      <c r="H2070">
        <v>0.5</v>
      </c>
      <c r="I2070" s="11">
        <f t="shared" si="32"/>
        <v>0</v>
      </c>
      <c r="J2070" s="11">
        <f>1/(H2070*Utilities!$B$11)</f>
        <v>8</v>
      </c>
      <c r="K2070" s="11">
        <f>IF(B2070&lt;C2070,1,EXP(-1*(B2070-C2070)/(Utilities!$B$11*IterData!H2070)))</f>
        <v>1</v>
      </c>
    </row>
    <row r="2071" spans="8:11" x14ac:dyDescent="0.3">
      <c r="H2071">
        <v>0.5</v>
      </c>
      <c r="I2071" s="11">
        <f t="shared" si="32"/>
        <v>0</v>
      </c>
      <c r="J2071" s="11">
        <f>1/(H2071*Utilities!$B$11)</f>
        <v>8</v>
      </c>
      <c r="K2071" s="11">
        <f>IF(B2071&lt;C2071,1,EXP(-1*(B2071-C2071)/(Utilities!$B$11*IterData!H2071)))</f>
        <v>1</v>
      </c>
    </row>
    <row r="2072" spans="8:11" x14ac:dyDescent="0.3">
      <c r="H2072">
        <v>0.5</v>
      </c>
      <c r="I2072" s="11">
        <f t="shared" si="32"/>
        <v>0</v>
      </c>
      <c r="J2072" s="11">
        <f>1/(H2072*Utilities!$B$11)</f>
        <v>8</v>
      </c>
      <c r="K2072" s="11">
        <f>IF(B2072&lt;C2072,1,EXP(-1*(B2072-C2072)/(Utilities!$B$11*IterData!H2072)))</f>
        <v>1</v>
      </c>
    </row>
    <row r="2073" spans="8:11" x14ac:dyDescent="0.3">
      <c r="H2073">
        <v>0.5</v>
      </c>
      <c r="I2073" s="11">
        <f t="shared" si="32"/>
        <v>0</v>
      </c>
      <c r="J2073" s="11">
        <f>1/(H2073*Utilities!$B$11)</f>
        <v>8</v>
      </c>
      <c r="K2073" s="11">
        <f>IF(B2073&lt;C2073,1,EXP(-1*(B2073-C2073)/(Utilities!$B$11*IterData!H2073)))</f>
        <v>1</v>
      </c>
    </row>
    <row r="2074" spans="8:11" x14ac:dyDescent="0.3">
      <c r="H2074">
        <v>0.5</v>
      </c>
      <c r="I2074" s="11">
        <f t="shared" si="32"/>
        <v>0</v>
      </c>
      <c r="J2074" s="11">
        <f>1/(H2074*Utilities!$B$11)</f>
        <v>8</v>
      </c>
      <c r="K2074" s="11">
        <f>IF(B2074&lt;C2074,1,EXP(-1*(B2074-C2074)/(Utilities!$B$11*IterData!H2074)))</f>
        <v>1</v>
      </c>
    </row>
    <row r="2075" spans="8:11" x14ac:dyDescent="0.3">
      <c r="H2075">
        <v>0.5</v>
      </c>
      <c r="I2075" s="11">
        <f t="shared" si="32"/>
        <v>0</v>
      </c>
      <c r="J2075" s="11">
        <f>1/(H2075*Utilities!$B$11)</f>
        <v>8</v>
      </c>
      <c r="K2075" s="11">
        <f>IF(B2075&lt;C2075,1,EXP(-1*(B2075-C2075)/(Utilities!$B$11*IterData!H2075)))</f>
        <v>1</v>
      </c>
    </row>
    <row r="2076" spans="8:11" x14ac:dyDescent="0.3">
      <c r="H2076">
        <v>0.5</v>
      </c>
      <c r="I2076" s="11">
        <f t="shared" si="32"/>
        <v>0</v>
      </c>
      <c r="J2076" s="11">
        <f>1/(H2076*Utilities!$B$11)</f>
        <v>8</v>
      </c>
      <c r="K2076" s="11">
        <f>IF(B2076&lt;C2076,1,EXP(-1*(B2076-C2076)/(Utilities!$B$11*IterData!H2076)))</f>
        <v>1</v>
      </c>
    </row>
    <row r="2077" spans="8:11" x14ac:dyDescent="0.3">
      <c r="H2077">
        <v>0.5</v>
      </c>
      <c r="I2077" s="11">
        <f t="shared" si="32"/>
        <v>0</v>
      </c>
      <c r="J2077" s="11">
        <f>1/(H2077*Utilities!$B$11)</f>
        <v>8</v>
      </c>
      <c r="K2077" s="11">
        <f>IF(B2077&lt;C2077,1,EXP(-1*(B2077-C2077)/(Utilities!$B$11*IterData!H2077)))</f>
        <v>1</v>
      </c>
    </row>
    <row r="2078" spans="8:11" x14ac:dyDescent="0.3">
      <c r="H2078">
        <v>0.5</v>
      </c>
      <c r="I2078" s="11">
        <f t="shared" si="32"/>
        <v>0</v>
      </c>
      <c r="J2078" s="11">
        <f>1/(H2078*Utilities!$B$11)</f>
        <v>8</v>
      </c>
      <c r="K2078" s="11">
        <f>IF(B2078&lt;C2078,1,EXP(-1*(B2078-C2078)/(Utilities!$B$11*IterData!H2078)))</f>
        <v>1</v>
      </c>
    </row>
    <row r="2079" spans="8:11" x14ac:dyDescent="0.3">
      <c r="H2079">
        <v>0.5</v>
      </c>
      <c r="I2079" s="11">
        <f t="shared" si="32"/>
        <v>0</v>
      </c>
      <c r="J2079" s="11">
        <f>1/(H2079*Utilities!$B$11)</f>
        <v>8</v>
      </c>
      <c r="K2079" s="11">
        <f>IF(B2079&lt;C2079,1,EXP(-1*(B2079-C2079)/(Utilities!$B$11*IterData!H2079)))</f>
        <v>1</v>
      </c>
    </row>
    <row r="2080" spans="8:11" x14ac:dyDescent="0.3">
      <c r="H2080">
        <v>0.5</v>
      </c>
      <c r="I2080" s="11">
        <f t="shared" si="32"/>
        <v>0</v>
      </c>
      <c r="J2080" s="11">
        <f>1/(H2080*Utilities!$B$11)</f>
        <v>8</v>
      </c>
      <c r="K2080" s="11">
        <f>IF(B2080&lt;C2080,1,EXP(-1*(B2080-C2080)/(Utilities!$B$11*IterData!H2080)))</f>
        <v>1</v>
      </c>
    </row>
    <row r="2081" spans="8:11" x14ac:dyDescent="0.3">
      <c r="H2081">
        <v>0.5</v>
      </c>
      <c r="I2081" s="11">
        <f t="shared" si="32"/>
        <v>0</v>
      </c>
      <c r="J2081" s="11">
        <f>1/(H2081*Utilities!$B$11)</f>
        <v>8</v>
      </c>
      <c r="K2081" s="11">
        <f>IF(B2081&lt;C2081,1,EXP(-1*(B2081-C2081)/(Utilities!$B$11*IterData!H2081)))</f>
        <v>1</v>
      </c>
    </row>
    <row r="2082" spans="8:11" x14ac:dyDescent="0.3">
      <c r="H2082">
        <v>0.5</v>
      </c>
      <c r="I2082" s="11">
        <f t="shared" si="32"/>
        <v>0</v>
      </c>
      <c r="J2082" s="11">
        <f>1/(H2082*Utilities!$B$11)</f>
        <v>8</v>
      </c>
      <c r="K2082" s="11">
        <f>IF(B2082&lt;C2082,1,EXP(-1*(B2082-C2082)/(Utilities!$B$11*IterData!H2082)))</f>
        <v>1</v>
      </c>
    </row>
    <row r="2083" spans="8:11" x14ac:dyDescent="0.3">
      <c r="H2083">
        <v>0.5</v>
      </c>
      <c r="I2083" s="11">
        <f t="shared" si="32"/>
        <v>0</v>
      </c>
      <c r="J2083" s="11">
        <f>1/(H2083*Utilities!$B$11)</f>
        <v>8</v>
      </c>
      <c r="K2083" s="11">
        <f>IF(B2083&lt;C2083,1,EXP(-1*(B2083-C2083)/(Utilities!$B$11*IterData!H2083)))</f>
        <v>1</v>
      </c>
    </row>
    <row r="2084" spans="8:11" x14ac:dyDescent="0.3">
      <c r="H2084">
        <v>0.5</v>
      </c>
      <c r="I2084" s="11">
        <f t="shared" si="32"/>
        <v>0</v>
      </c>
      <c r="J2084" s="11">
        <f>1/(H2084*Utilities!$B$11)</f>
        <v>8</v>
      </c>
      <c r="K2084" s="11">
        <f>IF(B2084&lt;C2084,1,EXP(-1*(B2084-C2084)/(Utilities!$B$11*IterData!H2084)))</f>
        <v>1</v>
      </c>
    </row>
    <row r="2085" spans="8:11" x14ac:dyDescent="0.3">
      <c r="H2085">
        <v>0.5</v>
      </c>
      <c r="I2085" s="11">
        <f t="shared" si="32"/>
        <v>0</v>
      </c>
      <c r="J2085" s="11">
        <f>1/(H2085*Utilities!$B$11)</f>
        <v>8</v>
      </c>
      <c r="K2085" s="11">
        <f>IF(B2085&lt;C2085,1,EXP(-1*(B2085-C2085)/(Utilities!$B$11*IterData!H2085)))</f>
        <v>1</v>
      </c>
    </row>
    <row r="2086" spans="8:11" x14ac:dyDescent="0.3">
      <c r="H2086">
        <v>0.5</v>
      </c>
      <c r="I2086" s="11">
        <f t="shared" si="32"/>
        <v>0</v>
      </c>
      <c r="J2086" s="11">
        <f>1/(H2086*Utilities!$B$11)</f>
        <v>8</v>
      </c>
      <c r="K2086" s="11">
        <f>IF(B2086&lt;C2086,1,EXP(-1*(B2086-C2086)/(Utilities!$B$11*IterData!H2086)))</f>
        <v>1</v>
      </c>
    </row>
    <row r="2087" spans="8:11" x14ac:dyDescent="0.3">
      <c r="H2087">
        <v>0.5</v>
      </c>
      <c r="I2087" s="11">
        <f t="shared" si="32"/>
        <v>0</v>
      </c>
      <c r="J2087" s="11">
        <f>1/(H2087*Utilities!$B$11)</f>
        <v>8</v>
      </c>
      <c r="K2087" s="11">
        <f>IF(B2087&lt;C2087,1,EXP(-1*(B2087-C2087)/(Utilities!$B$11*IterData!H2087)))</f>
        <v>1</v>
      </c>
    </row>
    <row r="2088" spans="8:11" x14ac:dyDescent="0.3">
      <c r="H2088">
        <v>0.5</v>
      </c>
      <c r="I2088" s="11">
        <f t="shared" si="32"/>
        <v>0</v>
      </c>
      <c r="J2088" s="11">
        <f>1/(H2088*Utilities!$B$11)</f>
        <v>8</v>
      </c>
      <c r="K2088" s="11">
        <f>IF(B2088&lt;C2088,1,EXP(-1*(B2088-C2088)/(Utilities!$B$11*IterData!H2088)))</f>
        <v>1</v>
      </c>
    </row>
    <row r="2089" spans="8:11" x14ac:dyDescent="0.3">
      <c r="H2089">
        <v>0.5</v>
      </c>
      <c r="I2089" s="11">
        <f t="shared" si="32"/>
        <v>0</v>
      </c>
      <c r="J2089" s="11">
        <f>1/(H2089*Utilities!$B$11)</f>
        <v>8</v>
      </c>
      <c r="K2089" s="11">
        <f>IF(B2089&lt;C2089,1,EXP(-1*(B2089-C2089)/(Utilities!$B$11*IterData!H2089)))</f>
        <v>1</v>
      </c>
    </row>
    <row r="2090" spans="8:11" x14ac:dyDescent="0.3">
      <c r="H2090">
        <v>0.5</v>
      </c>
      <c r="I2090" s="11">
        <f t="shared" si="32"/>
        <v>0</v>
      </c>
      <c r="J2090" s="11">
        <f>1/(H2090*Utilities!$B$11)</f>
        <v>8</v>
      </c>
      <c r="K2090" s="11">
        <f>IF(B2090&lt;C2090,1,EXP(-1*(B2090-C2090)/(Utilities!$B$11*IterData!H2090)))</f>
        <v>1</v>
      </c>
    </row>
    <row r="2091" spans="8:11" x14ac:dyDescent="0.3">
      <c r="H2091">
        <v>0.5</v>
      </c>
      <c r="I2091" s="11">
        <f t="shared" si="32"/>
        <v>0</v>
      </c>
      <c r="J2091" s="11">
        <f>1/(H2091*Utilities!$B$11)</f>
        <v>8</v>
      </c>
      <c r="K2091" s="11">
        <f>IF(B2091&lt;C2091,1,EXP(-1*(B2091-C2091)/(Utilities!$B$11*IterData!H2091)))</f>
        <v>1</v>
      </c>
    </row>
    <row r="2092" spans="8:11" x14ac:dyDescent="0.3">
      <c r="H2092">
        <v>0.5</v>
      </c>
      <c r="I2092" s="11">
        <f t="shared" si="32"/>
        <v>0</v>
      </c>
      <c r="J2092" s="11">
        <f>1/(H2092*Utilities!$B$11)</f>
        <v>8</v>
      </c>
      <c r="K2092" s="11">
        <f>IF(B2092&lt;C2092,1,EXP(-1*(B2092-C2092)/(Utilities!$B$11*IterData!H2092)))</f>
        <v>1</v>
      </c>
    </row>
    <row r="2093" spans="8:11" x14ac:dyDescent="0.3">
      <c r="H2093">
        <v>0.5</v>
      </c>
      <c r="I2093" s="11">
        <f t="shared" si="32"/>
        <v>0</v>
      </c>
      <c r="J2093" s="11">
        <f>1/(H2093*Utilities!$B$11)</f>
        <v>8</v>
      </c>
      <c r="K2093" s="11">
        <f>IF(B2093&lt;C2093,1,EXP(-1*(B2093-C2093)/(Utilities!$B$11*IterData!H2093)))</f>
        <v>1</v>
      </c>
    </row>
    <row r="2094" spans="8:11" x14ac:dyDescent="0.3">
      <c r="H2094">
        <v>0.5</v>
      </c>
      <c r="I2094" s="11">
        <f t="shared" si="32"/>
        <v>0</v>
      </c>
      <c r="J2094" s="11">
        <f>1/(H2094*Utilities!$B$11)</f>
        <v>8</v>
      </c>
      <c r="K2094" s="11">
        <f>IF(B2094&lt;C2094,1,EXP(-1*(B2094-C2094)/(Utilities!$B$11*IterData!H2094)))</f>
        <v>1</v>
      </c>
    </row>
    <row r="2095" spans="8:11" x14ac:dyDescent="0.3">
      <c r="H2095">
        <v>0.5</v>
      </c>
      <c r="I2095" s="11">
        <f t="shared" si="32"/>
        <v>0</v>
      </c>
      <c r="J2095" s="11">
        <f>1/(H2095*Utilities!$B$11)</f>
        <v>8</v>
      </c>
      <c r="K2095" s="11">
        <f>IF(B2095&lt;C2095,1,EXP(-1*(B2095-C2095)/(Utilities!$B$11*IterData!H2095)))</f>
        <v>1</v>
      </c>
    </row>
    <row r="2096" spans="8:11" x14ac:dyDescent="0.3">
      <c r="H2096">
        <v>0.5</v>
      </c>
      <c r="I2096" s="11">
        <f t="shared" si="32"/>
        <v>0</v>
      </c>
      <c r="J2096" s="11">
        <f>1/(H2096*Utilities!$B$11)</f>
        <v>8</v>
      </c>
      <c r="K2096" s="11">
        <f>IF(B2096&lt;C2096,1,EXP(-1*(B2096-C2096)/(Utilities!$B$11*IterData!H2096)))</f>
        <v>1</v>
      </c>
    </row>
    <row r="2097" spans="8:11" x14ac:dyDescent="0.3">
      <c r="H2097">
        <v>0.5</v>
      </c>
      <c r="I2097" s="11">
        <f t="shared" si="32"/>
        <v>0</v>
      </c>
      <c r="J2097" s="11">
        <f>1/(H2097*Utilities!$B$11)</f>
        <v>8</v>
      </c>
      <c r="K2097" s="11">
        <f>IF(B2097&lt;C2097,1,EXP(-1*(B2097-C2097)/(Utilities!$B$11*IterData!H2097)))</f>
        <v>1</v>
      </c>
    </row>
    <row r="2098" spans="8:11" x14ac:dyDescent="0.3">
      <c r="H2098">
        <v>0.5</v>
      </c>
      <c r="I2098" s="11">
        <f t="shared" si="32"/>
        <v>0</v>
      </c>
      <c r="J2098" s="11">
        <f>1/(H2098*Utilities!$B$11)</f>
        <v>8</v>
      </c>
      <c r="K2098" s="11">
        <f>IF(B2098&lt;C2098,1,EXP(-1*(B2098-C2098)/(Utilities!$B$11*IterData!H2098)))</f>
        <v>1</v>
      </c>
    </row>
    <row r="2099" spans="8:11" x14ac:dyDescent="0.3">
      <c r="H2099">
        <v>0.5</v>
      </c>
      <c r="I2099" s="11">
        <f t="shared" si="32"/>
        <v>0</v>
      </c>
      <c r="J2099" s="11">
        <f>1/(H2099*Utilities!$B$11)</f>
        <v>8</v>
      </c>
      <c r="K2099" s="11">
        <f>IF(B2099&lt;C2099,1,EXP(-1*(B2099-C2099)/(Utilities!$B$11*IterData!H2099)))</f>
        <v>1</v>
      </c>
    </row>
    <row r="2100" spans="8:11" x14ac:dyDescent="0.3">
      <c r="H2100">
        <v>0.5</v>
      </c>
      <c r="I2100" s="11">
        <f t="shared" si="32"/>
        <v>0</v>
      </c>
      <c r="J2100" s="11">
        <f>1/(H2100*Utilities!$B$11)</f>
        <v>8</v>
      </c>
      <c r="K2100" s="11">
        <f>IF(B2100&lt;C2100,1,EXP(-1*(B2100-C2100)/(Utilities!$B$11*IterData!H2100)))</f>
        <v>1</v>
      </c>
    </row>
    <row r="2101" spans="8:11" x14ac:dyDescent="0.3">
      <c r="H2101">
        <v>0.5</v>
      </c>
      <c r="I2101" s="11">
        <f t="shared" si="32"/>
        <v>0</v>
      </c>
      <c r="J2101" s="11">
        <f>1/(H2101*Utilities!$B$11)</f>
        <v>8</v>
      </c>
      <c r="K2101" s="11">
        <f>IF(B2101&lt;C2101,1,EXP(-1*(B2101-C2101)/(Utilities!$B$11*IterData!H2101)))</f>
        <v>1</v>
      </c>
    </row>
    <row r="2102" spans="8:11" x14ac:dyDescent="0.3">
      <c r="H2102">
        <v>0.5</v>
      </c>
      <c r="I2102" s="11">
        <f t="shared" si="32"/>
        <v>0</v>
      </c>
      <c r="J2102" s="11">
        <f>1/(H2102*Utilities!$B$11)</f>
        <v>8</v>
      </c>
      <c r="K2102" s="11">
        <f>IF(B2102&lt;C2102,1,EXP(-1*(B2102-C2102)/(Utilities!$B$11*IterData!H2102)))</f>
        <v>1</v>
      </c>
    </row>
    <row r="2103" spans="8:11" x14ac:dyDescent="0.3">
      <c r="H2103">
        <v>0.5</v>
      </c>
      <c r="I2103" s="11">
        <f t="shared" si="32"/>
        <v>0</v>
      </c>
      <c r="J2103" s="11">
        <f>1/(H2103*Utilities!$B$11)</f>
        <v>8</v>
      </c>
      <c r="K2103" s="11">
        <f>IF(B2103&lt;C2103,1,EXP(-1*(B2103-C2103)/(Utilities!$B$11*IterData!H2103)))</f>
        <v>1</v>
      </c>
    </row>
    <row r="2104" spans="8:11" x14ac:dyDescent="0.3">
      <c r="H2104">
        <v>0.5</v>
      </c>
      <c r="I2104" s="11">
        <f t="shared" si="32"/>
        <v>0</v>
      </c>
      <c r="J2104" s="11">
        <f>1/(H2104*Utilities!$B$11)</f>
        <v>8</v>
      </c>
      <c r="K2104" s="11">
        <f>IF(B2104&lt;C2104,1,EXP(-1*(B2104-C2104)/(Utilities!$B$11*IterData!H2104)))</f>
        <v>1</v>
      </c>
    </row>
    <row r="2105" spans="8:11" x14ac:dyDescent="0.3">
      <c r="H2105">
        <v>0.5</v>
      </c>
      <c r="I2105" s="11">
        <f t="shared" si="32"/>
        <v>0</v>
      </c>
      <c r="J2105" s="11">
        <f>1/(H2105*Utilities!$B$11)</f>
        <v>8</v>
      </c>
      <c r="K2105" s="11">
        <f>IF(B2105&lt;C2105,1,EXP(-1*(B2105-C2105)/(Utilities!$B$11*IterData!H2105)))</f>
        <v>1</v>
      </c>
    </row>
    <row r="2106" spans="8:11" x14ac:dyDescent="0.3">
      <c r="H2106">
        <v>0.5</v>
      </c>
      <c r="I2106" s="11">
        <f t="shared" si="32"/>
        <v>0</v>
      </c>
      <c r="J2106" s="11">
        <f>1/(H2106*Utilities!$B$11)</f>
        <v>8</v>
      </c>
      <c r="K2106" s="11">
        <f>IF(B2106&lt;C2106,1,EXP(-1*(B2106-C2106)/(Utilities!$B$11*IterData!H2106)))</f>
        <v>1</v>
      </c>
    </row>
    <row r="2107" spans="8:11" x14ac:dyDescent="0.3">
      <c r="H2107">
        <v>0.5</v>
      </c>
      <c r="I2107" s="11">
        <f t="shared" si="32"/>
        <v>0</v>
      </c>
      <c r="J2107" s="11">
        <f>1/(H2107*Utilities!$B$11)</f>
        <v>8</v>
      </c>
      <c r="K2107" s="11">
        <f>IF(B2107&lt;C2107,1,EXP(-1*(B2107-C2107)/(Utilities!$B$11*IterData!H2107)))</f>
        <v>1</v>
      </c>
    </row>
    <row r="2108" spans="8:11" x14ac:dyDescent="0.3">
      <c r="H2108">
        <v>0.5</v>
      </c>
      <c r="I2108" s="11">
        <f t="shared" si="32"/>
        <v>0</v>
      </c>
      <c r="J2108" s="11">
        <f>1/(H2108*Utilities!$B$11)</f>
        <v>8</v>
      </c>
      <c r="K2108" s="11">
        <f>IF(B2108&lt;C2108,1,EXP(-1*(B2108-C2108)/(Utilities!$B$11*IterData!H2108)))</f>
        <v>1</v>
      </c>
    </row>
    <row r="2109" spans="8:11" x14ac:dyDescent="0.3">
      <c r="H2109">
        <v>0.5</v>
      </c>
      <c r="I2109" s="11">
        <f t="shared" si="32"/>
        <v>0</v>
      </c>
      <c r="J2109" s="11">
        <f>1/(H2109*Utilities!$B$11)</f>
        <v>8</v>
      </c>
      <c r="K2109" s="11">
        <f>IF(B2109&lt;C2109,1,EXP(-1*(B2109-C2109)/(Utilities!$B$11*IterData!H2109)))</f>
        <v>1</v>
      </c>
    </row>
    <row r="2110" spans="8:11" x14ac:dyDescent="0.3">
      <c r="H2110">
        <v>0.5</v>
      </c>
      <c r="I2110" s="11">
        <f t="shared" si="32"/>
        <v>0</v>
      </c>
      <c r="J2110" s="11">
        <f>1/(H2110*Utilities!$B$11)</f>
        <v>8</v>
      </c>
      <c r="K2110" s="11">
        <f>IF(B2110&lt;C2110,1,EXP(-1*(B2110-C2110)/(Utilities!$B$11*IterData!H2110)))</f>
        <v>1</v>
      </c>
    </row>
    <row r="2111" spans="8:11" x14ac:dyDescent="0.3">
      <c r="H2111">
        <v>0.5</v>
      </c>
      <c r="I2111" s="11">
        <f t="shared" si="32"/>
        <v>0</v>
      </c>
      <c r="J2111" s="11">
        <f>1/(H2111*Utilities!$B$11)</f>
        <v>8</v>
      </c>
      <c r="K2111" s="11">
        <f>IF(B2111&lt;C2111,1,EXP(-1*(B2111-C2111)/(Utilities!$B$11*IterData!H2111)))</f>
        <v>1</v>
      </c>
    </row>
    <row r="2112" spans="8:11" x14ac:dyDescent="0.3">
      <c r="H2112">
        <v>0.5</v>
      </c>
      <c r="I2112" s="11">
        <f t="shared" si="32"/>
        <v>0</v>
      </c>
      <c r="J2112" s="11">
        <f>1/(H2112*Utilities!$B$11)</f>
        <v>8</v>
      </c>
      <c r="K2112" s="11">
        <f>IF(B2112&lt;C2112,1,EXP(-1*(B2112-C2112)/(Utilities!$B$11*IterData!H2112)))</f>
        <v>1</v>
      </c>
    </row>
    <row r="2113" spans="8:11" x14ac:dyDescent="0.3">
      <c r="H2113">
        <v>0.5</v>
      </c>
      <c r="I2113" s="11">
        <f t="shared" si="32"/>
        <v>0</v>
      </c>
      <c r="J2113" s="11">
        <f>1/(H2113*Utilities!$B$11)</f>
        <v>8</v>
      </c>
      <c r="K2113" s="11">
        <f>IF(B2113&lt;C2113,1,EXP(-1*(B2113-C2113)/(Utilities!$B$11*IterData!H2113)))</f>
        <v>1</v>
      </c>
    </row>
    <row r="2114" spans="8:11" x14ac:dyDescent="0.3">
      <c r="H2114">
        <v>0.5</v>
      </c>
      <c r="I2114" s="11">
        <f t="shared" si="32"/>
        <v>0</v>
      </c>
      <c r="J2114" s="11">
        <f>1/(H2114*Utilities!$B$11)</f>
        <v>8</v>
      </c>
      <c r="K2114" s="11">
        <f>IF(B2114&lt;C2114,1,EXP(-1*(B2114-C2114)/(Utilities!$B$11*IterData!H2114)))</f>
        <v>1</v>
      </c>
    </row>
    <row r="2115" spans="8:11" x14ac:dyDescent="0.3">
      <c r="H2115">
        <v>0.5</v>
      </c>
      <c r="I2115" s="11">
        <f t="shared" ref="I2115:I2178" si="33">B2115-C2115</f>
        <v>0</v>
      </c>
      <c r="J2115" s="11">
        <f>1/(H2115*Utilities!$B$11)</f>
        <v>8</v>
      </c>
      <c r="K2115" s="11">
        <f>IF(B2115&lt;C2115,1,EXP(-1*(B2115-C2115)/(Utilities!$B$11*IterData!H2115)))</f>
        <v>1</v>
      </c>
    </row>
    <row r="2116" spans="8:11" x14ac:dyDescent="0.3">
      <c r="H2116">
        <v>0.5</v>
      </c>
      <c r="I2116" s="11">
        <f t="shared" si="33"/>
        <v>0</v>
      </c>
      <c r="J2116" s="11">
        <f>1/(H2116*Utilities!$B$11)</f>
        <v>8</v>
      </c>
      <c r="K2116" s="11">
        <f>IF(B2116&lt;C2116,1,EXP(-1*(B2116-C2116)/(Utilities!$B$11*IterData!H2116)))</f>
        <v>1</v>
      </c>
    </row>
    <row r="2117" spans="8:11" x14ac:dyDescent="0.3">
      <c r="H2117">
        <v>0.5</v>
      </c>
      <c r="I2117" s="11">
        <f t="shared" si="33"/>
        <v>0</v>
      </c>
      <c r="J2117" s="11">
        <f>1/(H2117*Utilities!$B$11)</f>
        <v>8</v>
      </c>
      <c r="K2117" s="11">
        <f>IF(B2117&lt;C2117,1,EXP(-1*(B2117-C2117)/(Utilities!$B$11*IterData!H2117)))</f>
        <v>1</v>
      </c>
    </row>
    <row r="2118" spans="8:11" x14ac:dyDescent="0.3">
      <c r="H2118">
        <v>0.5</v>
      </c>
      <c r="I2118" s="11">
        <f t="shared" si="33"/>
        <v>0</v>
      </c>
      <c r="J2118" s="11">
        <f>1/(H2118*Utilities!$B$11)</f>
        <v>8</v>
      </c>
      <c r="K2118" s="11">
        <f>IF(B2118&lt;C2118,1,EXP(-1*(B2118-C2118)/(Utilities!$B$11*IterData!H2118)))</f>
        <v>1</v>
      </c>
    </row>
    <row r="2119" spans="8:11" x14ac:dyDescent="0.3">
      <c r="H2119">
        <v>0.5</v>
      </c>
      <c r="I2119" s="11">
        <f t="shared" si="33"/>
        <v>0</v>
      </c>
      <c r="J2119" s="11">
        <f>1/(H2119*Utilities!$B$11)</f>
        <v>8</v>
      </c>
      <c r="K2119" s="11">
        <f>IF(B2119&lt;C2119,1,EXP(-1*(B2119-C2119)/(Utilities!$B$11*IterData!H2119)))</f>
        <v>1</v>
      </c>
    </row>
    <row r="2120" spans="8:11" x14ac:dyDescent="0.3">
      <c r="H2120">
        <v>0.5</v>
      </c>
      <c r="I2120" s="11">
        <f t="shared" si="33"/>
        <v>0</v>
      </c>
      <c r="J2120" s="11">
        <f>1/(H2120*Utilities!$B$11)</f>
        <v>8</v>
      </c>
      <c r="K2120" s="11">
        <f>IF(B2120&lt;C2120,1,EXP(-1*(B2120-C2120)/(Utilities!$B$11*IterData!H2120)))</f>
        <v>1</v>
      </c>
    </row>
    <row r="2121" spans="8:11" x14ac:dyDescent="0.3">
      <c r="H2121">
        <v>0.5</v>
      </c>
      <c r="I2121" s="11">
        <f t="shared" si="33"/>
        <v>0</v>
      </c>
      <c r="J2121" s="11">
        <f>1/(H2121*Utilities!$B$11)</f>
        <v>8</v>
      </c>
      <c r="K2121" s="11">
        <f>IF(B2121&lt;C2121,1,EXP(-1*(B2121-C2121)/(Utilities!$B$11*IterData!H2121)))</f>
        <v>1</v>
      </c>
    </row>
    <row r="2122" spans="8:11" x14ac:dyDescent="0.3">
      <c r="H2122">
        <v>0.5</v>
      </c>
      <c r="I2122" s="11">
        <f t="shared" si="33"/>
        <v>0</v>
      </c>
      <c r="J2122" s="11">
        <f>1/(H2122*Utilities!$B$11)</f>
        <v>8</v>
      </c>
      <c r="K2122" s="11">
        <f>IF(B2122&lt;C2122,1,EXP(-1*(B2122-C2122)/(Utilities!$B$11*IterData!H2122)))</f>
        <v>1</v>
      </c>
    </row>
    <row r="2123" spans="8:11" x14ac:dyDescent="0.3">
      <c r="H2123">
        <v>0.5</v>
      </c>
      <c r="I2123" s="11">
        <f t="shared" si="33"/>
        <v>0</v>
      </c>
      <c r="J2123" s="11">
        <f>1/(H2123*Utilities!$B$11)</f>
        <v>8</v>
      </c>
      <c r="K2123" s="11">
        <f>IF(B2123&lt;C2123,1,EXP(-1*(B2123-C2123)/(Utilities!$B$11*IterData!H2123)))</f>
        <v>1</v>
      </c>
    </row>
    <row r="2124" spans="8:11" x14ac:dyDescent="0.3">
      <c r="H2124">
        <v>0.5</v>
      </c>
      <c r="I2124" s="11">
        <f t="shared" si="33"/>
        <v>0</v>
      </c>
      <c r="J2124" s="11">
        <f>1/(H2124*Utilities!$B$11)</f>
        <v>8</v>
      </c>
      <c r="K2124" s="11">
        <f>IF(B2124&lt;C2124,1,EXP(-1*(B2124-C2124)/(Utilities!$B$11*IterData!H2124)))</f>
        <v>1</v>
      </c>
    </row>
    <row r="2125" spans="8:11" x14ac:dyDescent="0.3">
      <c r="H2125">
        <v>0.5</v>
      </c>
      <c r="I2125" s="11">
        <f t="shared" si="33"/>
        <v>0</v>
      </c>
      <c r="J2125" s="11">
        <f>1/(H2125*Utilities!$B$11)</f>
        <v>8</v>
      </c>
      <c r="K2125" s="11">
        <f>IF(B2125&lt;C2125,1,EXP(-1*(B2125-C2125)/(Utilities!$B$11*IterData!H2125)))</f>
        <v>1</v>
      </c>
    </row>
    <row r="2126" spans="8:11" x14ac:dyDescent="0.3">
      <c r="H2126">
        <v>0.5</v>
      </c>
      <c r="I2126" s="11">
        <f t="shared" si="33"/>
        <v>0</v>
      </c>
      <c r="J2126" s="11">
        <f>1/(H2126*Utilities!$B$11)</f>
        <v>8</v>
      </c>
      <c r="K2126" s="11">
        <f>IF(B2126&lt;C2126,1,EXP(-1*(B2126-C2126)/(Utilities!$B$11*IterData!H2126)))</f>
        <v>1</v>
      </c>
    </row>
    <row r="2127" spans="8:11" x14ac:dyDescent="0.3">
      <c r="H2127">
        <v>0.5</v>
      </c>
      <c r="I2127" s="11">
        <f t="shared" si="33"/>
        <v>0</v>
      </c>
      <c r="J2127" s="11">
        <f>1/(H2127*Utilities!$B$11)</f>
        <v>8</v>
      </c>
      <c r="K2127" s="11">
        <f>IF(B2127&lt;C2127,1,EXP(-1*(B2127-C2127)/(Utilities!$B$11*IterData!H2127)))</f>
        <v>1</v>
      </c>
    </row>
    <row r="2128" spans="8:11" x14ac:dyDescent="0.3">
      <c r="H2128">
        <v>0.5</v>
      </c>
      <c r="I2128" s="11">
        <f t="shared" si="33"/>
        <v>0</v>
      </c>
      <c r="J2128" s="11">
        <f>1/(H2128*Utilities!$B$11)</f>
        <v>8</v>
      </c>
      <c r="K2128" s="11">
        <f>IF(B2128&lt;C2128,1,EXP(-1*(B2128-C2128)/(Utilities!$B$11*IterData!H2128)))</f>
        <v>1</v>
      </c>
    </row>
    <row r="2129" spans="8:11" x14ac:dyDescent="0.3">
      <c r="H2129">
        <v>0.5</v>
      </c>
      <c r="I2129" s="11">
        <f t="shared" si="33"/>
        <v>0</v>
      </c>
      <c r="J2129" s="11">
        <f>1/(H2129*Utilities!$B$11)</f>
        <v>8</v>
      </c>
      <c r="K2129" s="11">
        <f>IF(B2129&lt;C2129,1,EXP(-1*(B2129-C2129)/(Utilities!$B$11*IterData!H2129)))</f>
        <v>1</v>
      </c>
    </row>
    <row r="2130" spans="8:11" x14ac:dyDescent="0.3">
      <c r="H2130">
        <v>0.5</v>
      </c>
      <c r="I2130" s="11">
        <f t="shared" si="33"/>
        <v>0</v>
      </c>
      <c r="J2130" s="11">
        <f>1/(H2130*Utilities!$B$11)</f>
        <v>8</v>
      </c>
      <c r="K2130" s="11">
        <f>IF(B2130&lt;C2130,1,EXP(-1*(B2130-C2130)/(Utilities!$B$11*IterData!H2130)))</f>
        <v>1</v>
      </c>
    </row>
    <row r="2131" spans="8:11" x14ac:dyDescent="0.3">
      <c r="H2131">
        <v>0.5</v>
      </c>
      <c r="I2131" s="11">
        <f t="shared" si="33"/>
        <v>0</v>
      </c>
      <c r="J2131" s="11">
        <f>1/(H2131*Utilities!$B$11)</f>
        <v>8</v>
      </c>
      <c r="K2131" s="11">
        <f>IF(B2131&lt;C2131,1,EXP(-1*(B2131-C2131)/(Utilities!$B$11*IterData!H2131)))</f>
        <v>1</v>
      </c>
    </row>
    <row r="2132" spans="8:11" x14ac:dyDescent="0.3">
      <c r="H2132">
        <v>0.5</v>
      </c>
      <c r="I2132" s="11">
        <f t="shared" si="33"/>
        <v>0</v>
      </c>
      <c r="J2132" s="11">
        <f>1/(H2132*Utilities!$B$11)</f>
        <v>8</v>
      </c>
      <c r="K2132" s="11">
        <f>IF(B2132&lt;C2132,1,EXP(-1*(B2132-C2132)/(Utilities!$B$11*IterData!H2132)))</f>
        <v>1</v>
      </c>
    </row>
    <row r="2133" spans="8:11" x14ac:dyDescent="0.3">
      <c r="H2133">
        <v>0.5</v>
      </c>
      <c r="I2133" s="11">
        <f t="shared" si="33"/>
        <v>0</v>
      </c>
      <c r="J2133" s="11">
        <f>1/(H2133*Utilities!$B$11)</f>
        <v>8</v>
      </c>
      <c r="K2133" s="11">
        <f>IF(B2133&lt;C2133,1,EXP(-1*(B2133-C2133)/(Utilities!$B$11*IterData!H2133)))</f>
        <v>1</v>
      </c>
    </row>
    <row r="2134" spans="8:11" x14ac:dyDescent="0.3">
      <c r="H2134">
        <v>0.5</v>
      </c>
      <c r="I2134" s="11">
        <f t="shared" si="33"/>
        <v>0</v>
      </c>
      <c r="J2134" s="11">
        <f>1/(H2134*Utilities!$B$11)</f>
        <v>8</v>
      </c>
      <c r="K2134" s="11">
        <f>IF(B2134&lt;C2134,1,EXP(-1*(B2134-C2134)/(Utilities!$B$11*IterData!H2134)))</f>
        <v>1</v>
      </c>
    </row>
    <row r="2135" spans="8:11" x14ac:dyDescent="0.3">
      <c r="H2135">
        <v>0.5</v>
      </c>
      <c r="I2135" s="11">
        <f t="shared" si="33"/>
        <v>0</v>
      </c>
      <c r="J2135" s="11">
        <f>1/(H2135*Utilities!$B$11)</f>
        <v>8</v>
      </c>
      <c r="K2135" s="11">
        <f>IF(B2135&lt;C2135,1,EXP(-1*(B2135-C2135)/(Utilities!$B$11*IterData!H2135)))</f>
        <v>1</v>
      </c>
    </row>
    <row r="2136" spans="8:11" x14ac:dyDescent="0.3">
      <c r="H2136">
        <v>0.5</v>
      </c>
      <c r="I2136" s="11">
        <f t="shared" si="33"/>
        <v>0</v>
      </c>
      <c r="J2136" s="11">
        <f>1/(H2136*Utilities!$B$11)</f>
        <v>8</v>
      </c>
      <c r="K2136" s="11">
        <f>IF(B2136&lt;C2136,1,EXP(-1*(B2136-C2136)/(Utilities!$B$11*IterData!H2136)))</f>
        <v>1</v>
      </c>
    </row>
    <row r="2137" spans="8:11" x14ac:dyDescent="0.3">
      <c r="H2137">
        <v>0.5</v>
      </c>
      <c r="I2137" s="11">
        <f t="shared" si="33"/>
        <v>0</v>
      </c>
      <c r="J2137" s="11">
        <f>1/(H2137*Utilities!$B$11)</f>
        <v>8</v>
      </c>
      <c r="K2137" s="11">
        <f>IF(B2137&lt;C2137,1,EXP(-1*(B2137-C2137)/(Utilities!$B$11*IterData!H2137)))</f>
        <v>1</v>
      </c>
    </row>
    <row r="2138" spans="8:11" x14ac:dyDescent="0.3">
      <c r="H2138">
        <v>0.5</v>
      </c>
      <c r="I2138" s="11">
        <f t="shared" si="33"/>
        <v>0</v>
      </c>
      <c r="J2138" s="11">
        <f>1/(H2138*Utilities!$B$11)</f>
        <v>8</v>
      </c>
      <c r="K2138" s="11">
        <f>IF(B2138&lt;C2138,1,EXP(-1*(B2138-C2138)/(Utilities!$B$11*IterData!H2138)))</f>
        <v>1</v>
      </c>
    </row>
    <row r="2139" spans="8:11" x14ac:dyDescent="0.3">
      <c r="H2139">
        <v>0.5</v>
      </c>
      <c r="I2139" s="11">
        <f t="shared" si="33"/>
        <v>0</v>
      </c>
      <c r="J2139" s="11">
        <f>1/(H2139*Utilities!$B$11)</f>
        <v>8</v>
      </c>
      <c r="K2139" s="11">
        <f>IF(B2139&lt;C2139,1,EXP(-1*(B2139-C2139)/(Utilities!$B$11*IterData!H2139)))</f>
        <v>1</v>
      </c>
    </row>
    <row r="2140" spans="8:11" x14ac:dyDescent="0.3">
      <c r="H2140">
        <v>0.5</v>
      </c>
      <c r="I2140" s="11">
        <f t="shared" si="33"/>
        <v>0</v>
      </c>
      <c r="J2140" s="11">
        <f>1/(H2140*Utilities!$B$11)</f>
        <v>8</v>
      </c>
      <c r="K2140" s="11">
        <f>IF(B2140&lt;C2140,1,EXP(-1*(B2140-C2140)/(Utilities!$B$11*IterData!H2140)))</f>
        <v>1</v>
      </c>
    </row>
    <row r="2141" spans="8:11" x14ac:dyDescent="0.3">
      <c r="H2141">
        <v>0.5</v>
      </c>
      <c r="I2141" s="11">
        <f t="shared" si="33"/>
        <v>0</v>
      </c>
      <c r="J2141" s="11">
        <f>1/(H2141*Utilities!$B$11)</f>
        <v>8</v>
      </c>
      <c r="K2141" s="11">
        <f>IF(B2141&lt;C2141,1,EXP(-1*(B2141-C2141)/(Utilities!$B$11*IterData!H2141)))</f>
        <v>1</v>
      </c>
    </row>
    <row r="2142" spans="8:11" x14ac:dyDescent="0.3">
      <c r="H2142">
        <v>0.5</v>
      </c>
      <c r="I2142" s="11">
        <f t="shared" si="33"/>
        <v>0</v>
      </c>
      <c r="J2142" s="11">
        <f>1/(H2142*Utilities!$B$11)</f>
        <v>8</v>
      </c>
      <c r="K2142" s="11">
        <f>IF(B2142&lt;C2142,1,EXP(-1*(B2142-C2142)/(Utilities!$B$11*IterData!H2142)))</f>
        <v>1</v>
      </c>
    </row>
    <row r="2143" spans="8:11" x14ac:dyDescent="0.3">
      <c r="H2143">
        <v>0.5</v>
      </c>
      <c r="I2143" s="11">
        <f t="shared" si="33"/>
        <v>0</v>
      </c>
      <c r="J2143" s="11">
        <f>1/(H2143*Utilities!$B$11)</f>
        <v>8</v>
      </c>
      <c r="K2143" s="11">
        <f>IF(B2143&lt;C2143,1,EXP(-1*(B2143-C2143)/(Utilities!$B$11*IterData!H2143)))</f>
        <v>1</v>
      </c>
    </row>
    <row r="2144" spans="8:11" x14ac:dyDescent="0.3">
      <c r="H2144">
        <v>0.5</v>
      </c>
      <c r="I2144" s="11">
        <f t="shared" si="33"/>
        <v>0</v>
      </c>
      <c r="J2144" s="11">
        <f>1/(H2144*Utilities!$B$11)</f>
        <v>8</v>
      </c>
      <c r="K2144" s="11">
        <f>IF(B2144&lt;C2144,1,EXP(-1*(B2144-C2144)/(Utilities!$B$11*IterData!H2144)))</f>
        <v>1</v>
      </c>
    </row>
    <row r="2145" spans="8:11" x14ac:dyDescent="0.3">
      <c r="H2145">
        <v>0.5</v>
      </c>
      <c r="I2145" s="11">
        <f t="shared" si="33"/>
        <v>0</v>
      </c>
      <c r="J2145" s="11">
        <f>1/(H2145*Utilities!$B$11)</f>
        <v>8</v>
      </c>
      <c r="K2145" s="11">
        <f>IF(B2145&lt;C2145,1,EXP(-1*(B2145-C2145)/(Utilities!$B$11*IterData!H2145)))</f>
        <v>1</v>
      </c>
    </row>
    <row r="2146" spans="8:11" x14ac:dyDescent="0.3">
      <c r="H2146">
        <v>0.5</v>
      </c>
      <c r="I2146" s="11">
        <f t="shared" si="33"/>
        <v>0</v>
      </c>
      <c r="J2146" s="11">
        <f>1/(H2146*Utilities!$B$11)</f>
        <v>8</v>
      </c>
      <c r="K2146" s="11">
        <f>IF(B2146&lt;C2146,1,EXP(-1*(B2146-C2146)/(Utilities!$B$11*IterData!H2146)))</f>
        <v>1</v>
      </c>
    </row>
    <row r="2147" spans="8:11" x14ac:dyDescent="0.3">
      <c r="H2147">
        <v>0.5</v>
      </c>
      <c r="I2147" s="11">
        <f t="shared" si="33"/>
        <v>0</v>
      </c>
      <c r="J2147" s="11">
        <f>1/(H2147*Utilities!$B$11)</f>
        <v>8</v>
      </c>
      <c r="K2147" s="11">
        <f>IF(B2147&lt;C2147,1,EXP(-1*(B2147-C2147)/(Utilities!$B$11*IterData!H2147)))</f>
        <v>1</v>
      </c>
    </row>
    <row r="2148" spans="8:11" x14ac:dyDescent="0.3">
      <c r="H2148">
        <v>0.5</v>
      </c>
      <c r="I2148" s="11">
        <f t="shared" si="33"/>
        <v>0</v>
      </c>
      <c r="J2148" s="11">
        <f>1/(H2148*Utilities!$B$11)</f>
        <v>8</v>
      </c>
      <c r="K2148" s="11">
        <f>IF(B2148&lt;C2148,1,EXP(-1*(B2148-C2148)/(Utilities!$B$11*IterData!H2148)))</f>
        <v>1</v>
      </c>
    </row>
    <row r="2149" spans="8:11" x14ac:dyDescent="0.3">
      <c r="H2149">
        <v>0.5</v>
      </c>
      <c r="I2149" s="11">
        <f t="shared" si="33"/>
        <v>0</v>
      </c>
      <c r="J2149" s="11">
        <f>1/(H2149*Utilities!$B$11)</f>
        <v>8</v>
      </c>
      <c r="K2149" s="11">
        <f>IF(B2149&lt;C2149,1,EXP(-1*(B2149-C2149)/(Utilities!$B$11*IterData!H2149)))</f>
        <v>1</v>
      </c>
    </row>
    <row r="2150" spans="8:11" x14ac:dyDescent="0.3">
      <c r="H2150">
        <v>0.5</v>
      </c>
      <c r="I2150" s="11">
        <f t="shared" si="33"/>
        <v>0</v>
      </c>
      <c r="J2150" s="11">
        <f>1/(H2150*Utilities!$B$11)</f>
        <v>8</v>
      </c>
      <c r="K2150" s="11">
        <f>IF(B2150&lt;C2150,1,EXP(-1*(B2150-C2150)/(Utilities!$B$11*IterData!H2150)))</f>
        <v>1</v>
      </c>
    </row>
    <row r="2151" spans="8:11" x14ac:dyDescent="0.3">
      <c r="H2151">
        <v>0.5</v>
      </c>
      <c r="I2151" s="11">
        <f t="shared" si="33"/>
        <v>0</v>
      </c>
      <c r="J2151" s="11">
        <f>1/(H2151*Utilities!$B$11)</f>
        <v>8</v>
      </c>
      <c r="K2151" s="11">
        <f>IF(B2151&lt;C2151,1,EXP(-1*(B2151-C2151)/(Utilities!$B$11*IterData!H2151)))</f>
        <v>1</v>
      </c>
    </row>
    <row r="2152" spans="8:11" x14ac:dyDescent="0.3">
      <c r="H2152">
        <v>0.5</v>
      </c>
      <c r="I2152" s="11">
        <f t="shared" si="33"/>
        <v>0</v>
      </c>
      <c r="J2152" s="11">
        <f>1/(H2152*Utilities!$B$11)</f>
        <v>8</v>
      </c>
      <c r="K2152" s="11">
        <f>IF(B2152&lt;C2152,1,EXP(-1*(B2152-C2152)/(Utilities!$B$11*IterData!H2152)))</f>
        <v>1</v>
      </c>
    </row>
    <row r="2153" spans="8:11" x14ac:dyDescent="0.3">
      <c r="H2153">
        <v>0.5</v>
      </c>
      <c r="I2153" s="11">
        <f t="shared" si="33"/>
        <v>0</v>
      </c>
      <c r="J2153" s="11">
        <f>1/(H2153*Utilities!$B$11)</f>
        <v>8</v>
      </c>
      <c r="K2153" s="11">
        <f>IF(B2153&lt;C2153,1,EXP(-1*(B2153-C2153)/(Utilities!$B$11*IterData!H2153)))</f>
        <v>1</v>
      </c>
    </row>
    <row r="2154" spans="8:11" x14ac:dyDescent="0.3">
      <c r="H2154">
        <v>0.5</v>
      </c>
      <c r="I2154" s="11">
        <f t="shared" si="33"/>
        <v>0</v>
      </c>
      <c r="J2154" s="11">
        <f>1/(H2154*Utilities!$B$11)</f>
        <v>8</v>
      </c>
      <c r="K2154" s="11">
        <f>IF(B2154&lt;C2154,1,EXP(-1*(B2154-C2154)/(Utilities!$B$11*IterData!H2154)))</f>
        <v>1</v>
      </c>
    </row>
    <row r="2155" spans="8:11" x14ac:dyDescent="0.3">
      <c r="H2155">
        <v>0.5</v>
      </c>
      <c r="I2155" s="11">
        <f t="shared" si="33"/>
        <v>0</v>
      </c>
      <c r="J2155" s="11">
        <f>1/(H2155*Utilities!$B$11)</f>
        <v>8</v>
      </c>
      <c r="K2155" s="11">
        <f>IF(B2155&lt;C2155,1,EXP(-1*(B2155-C2155)/(Utilities!$B$11*IterData!H2155)))</f>
        <v>1</v>
      </c>
    </row>
    <row r="2156" spans="8:11" x14ac:dyDescent="0.3">
      <c r="H2156">
        <v>0.5</v>
      </c>
      <c r="I2156" s="11">
        <f t="shared" si="33"/>
        <v>0</v>
      </c>
      <c r="J2156" s="11">
        <f>1/(H2156*Utilities!$B$11)</f>
        <v>8</v>
      </c>
      <c r="K2156" s="11">
        <f>IF(B2156&lt;C2156,1,EXP(-1*(B2156-C2156)/(Utilities!$B$11*IterData!H2156)))</f>
        <v>1</v>
      </c>
    </row>
    <row r="2157" spans="8:11" x14ac:dyDescent="0.3">
      <c r="H2157">
        <v>0.5</v>
      </c>
      <c r="I2157" s="11">
        <f t="shared" si="33"/>
        <v>0</v>
      </c>
      <c r="J2157" s="11">
        <f>1/(H2157*Utilities!$B$11)</f>
        <v>8</v>
      </c>
      <c r="K2157" s="11">
        <f>IF(B2157&lt;C2157,1,EXP(-1*(B2157-C2157)/(Utilities!$B$11*IterData!H2157)))</f>
        <v>1</v>
      </c>
    </row>
    <row r="2158" spans="8:11" x14ac:dyDescent="0.3">
      <c r="H2158">
        <v>0.5</v>
      </c>
      <c r="I2158" s="11">
        <f t="shared" si="33"/>
        <v>0</v>
      </c>
      <c r="J2158" s="11">
        <f>1/(H2158*Utilities!$B$11)</f>
        <v>8</v>
      </c>
      <c r="K2158" s="11">
        <f>IF(B2158&lt;C2158,1,EXP(-1*(B2158-C2158)/(Utilities!$B$11*IterData!H2158)))</f>
        <v>1</v>
      </c>
    </row>
    <row r="2159" spans="8:11" x14ac:dyDescent="0.3">
      <c r="H2159">
        <v>0.5</v>
      </c>
      <c r="I2159" s="11">
        <f t="shared" si="33"/>
        <v>0</v>
      </c>
      <c r="J2159" s="11">
        <f>1/(H2159*Utilities!$B$11)</f>
        <v>8</v>
      </c>
      <c r="K2159" s="11">
        <f>IF(B2159&lt;C2159,1,EXP(-1*(B2159-C2159)/(Utilities!$B$11*IterData!H2159)))</f>
        <v>1</v>
      </c>
    </row>
    <row r="2160" spans="8:11" x14ac:dyDescent="0.3">
      <c r="H2160">
        <v>0.5</v>
      </c>
      <c r="I2160" s="11">
        <f t="shared" si="33"/>
        <v>0</v>
      </c>
      <c r="J2160" s="11">
        <f>1/(H2160*Utilities!$B$11)</f>
        <v>8</v>
      </c>
      <c r="K2160" s="11">
        <f>IF(B2160&lt;C2160,1,EXP(-1*(B2160-C2160)/(Utilities!$B$11*IterData!H2160)))</f>
        <v>1</v>
      </c>
    </row>
    <row r="2161" spans="8:11" x14ac:dyDescent="0.3">
      <c r="H2161">
        <v>0.5</v>
      </c>
      <c r="I2161" s="11">
        <f t="shared" si="33"/>
        <v>0</v>
      </c>
      <c r="J2161" s="11">
        <f>1/(H2161*Utilities!$B$11)</f>
        <v>8</v>
      </c>
      <c r="K2161" s="11">
        <f>IF(B2161&lt;C2161,1,EXP(-1*(B2161-C2161)/(Utilities!$B$11*IterData!H2161)))</f>
        <v>1</v>
      </c>
    </row>
    <row r="2162" spans="8:11" x14ac:dyDescent="0.3">
      <c r="H2162">
        <v>0.5</v>
      </c>
      <c r="I2162" s="11">
        <f t="shared" si="33"/>
        <v>0</v>
      </c>
      <c r="J2162" s="11">
        <f>1/(H2162*Utilities!$B$11)</f>
        <v>8</v>
      </c>
      <c r="K2162" s="11">
        <f>IF(B2162&lt;C2162,1,EXP(-1*(B2162-C2162)/(Utilities!$B$11*IterData!H2162)))</f>
        <v>1</v>
      </c>
    </row>
    <row r="2163" spans="8:11" x14ac:dyDescent="0.3">
      <c r="H2163">
        <v>0.5</v>
      </c>
      <c r="I2163" s="11">
        <f t="shared" si="33"/>
        <v>0</v>
      </c>
      <c r="J2163" s="11">
        <f>1/(H2163*Utilities!$B$11)</f>
        <v>8</v>
      </c>
      <c r="K2163" s="11">
        <f>IF(B2163&lt;C2163,1,EXP(-1*(B2163-C2163)/(Utilities!$B$11*IterData!H2163)))</f>
        <v>1</v>
      </c>
    </row>
    <row r="2164" spans="8:11" x14ac:dyDescent="0.3">
      <c r="H2164">
        <v>0.5</v>
      </c>
      <c r="I2164" s="11">
        <f t="shared" si="33"/>
        <v>0</v>
      </c>
      <c r="J2164" s="11">
        <f>1/(H2164*Utilities!$B$11)</f>
        <v>8</v>
      </c>
      <c r="K2164" s="11">
        <f>IF(B2164&lt;C2164,1,EXP(-1*(B2164-C2164)/(Utilities!$B$11*IterData!H2164)))</f>
        <v>1</v>
      </c>
    </row>
    <row r="2165" spans="8:11" x14ac:dyDescent="0.3">
      <c r="H2165">
        <v>0.5</v>
      </c>
      <c r="I2165" s="11">
        <f t="shared" si="33"/>
        <v>0</v>
      </c>
      <c r="J2165" s="11">
        <f>1/(H2165*Utilities!$B$11)</f>
        <v>8</v>
      </c>
      <c r="K2165" s="11">
        <f>IF(B2165&lt;C2165,1,EXP(-1*(B2165-C2165)/(Utilities!$B$11*IterData!H2165)))</f>
        <v>1</v>
      </c>
    </row>
    <row r="2166" spans="8:11" x14ac:dyDescent="0.3">
      <c r="H2166">
        <v>0.5</v>
      </c>
      <c r="I2166" s="11">
        <f t="shared" si="33"/>
        <v>0</v>
      </c>
      <c r="J2166" s="11">
        <f>1/(H2166*Utilities!$B$11)</f>
        <v>8</v>
      </c>
      <c r="K2166" s="11">
        <f>IF(B2166&lt;C2166,1,EXP(-1*(B2166-C2166)/(Utilities!$B$11*IterData!H2166)))</f>
        <v>1</v>
      </c>
    </row>
    <row r="2167" spans="8:11" x14ac:dyDescent="0.3">
      <c r="H2167">
        <v>0.5</v>
      </c>
      <c r="I2167" s="11">
        <f t="shared" si="33"/>
        <v>0</v>
      </c>
      <c r="J2167" s="11">
        <f>1/(H2167*Utilities!$B$11)</f>
        <v>8</v>
      </c>
      <c r="K2167" s="11">
        <f>IF(B2167&lt;C2167,1,EXP(-1*(B2167-C2167)/(Utilities!$B$11*IterData!H2167)))</f>
        <v>1</v>
      </c>
    </row>
    <row r="2168" spans="8:11" x14ac:dyDescent="0.3">
      <c r="H2168">
        <v>0.5</v>
      </c>
      <c r="I2168" s="11">
        <f t="shared" si="33"/>
        <v>0</v>
      </c>
      <c r="J2168" s="11">
        <f>1/(H2168*Utilities!$B$11)</f>
        <v>8</v>
      </c>
      <c r="K2168" s="11">
        <f>IF(B2168&lt;C2168,1,EXP(-1*(B2168-C2168)/(Utilities!$B$11*IterData!H2168)))</f>
        <v>1</v>
      </c>
    </row>
    <row r="2169" spans="8:11" x14ac:dyDescent="0.3">
      <c r="H2169">
        <v>0.5</v>
      </c>
      <c r="I2169" s="11">
        <f t="shared" si="33"/>
        <v>0</v>
      </c>
      <c r="J2169" s="11">
        <f>1/(H2169*Utilities!$B$11)</f>
        <v>8</v>
      </c>
      <c r="K2169" s="11">
        <f>IF(B2169&lt;C2169,1,EXP(-1*(B2169-C2169)/(Utilities!$B$11*IterData!H2169)))</f>
        <v>1</v>
      </c>
    </row>
    <row r="2170" spans="8:11" x14ac:dyDescent="0.3">
      <c r="H2170">
        <v>0.5</v>
      </c>
      <c r="I2170" s="11">
        <f t="shared" si="33"/>
        <v>0</v>
      </c>
      <c r="J2170" s="11">
        <f>1/(H2170*Utilities!$B$11)</f>
        <v>8</v>
      </c>
      <c r="K2170" s="11">
        <f>IF(B2170&lt;C2170,1,EXP(-1*(B2170-C2170)/(Utilities!$B$11*IterData!H2170)))</f>
        <v>1</v>
      </c>
    </row>
    <row r="2171" spans="8:11" x14ac:dyDescent="0.3">
      <c r="H2171">
        <v>0.5</v>
      </c>
      <c r="I2171" s="11">
        <f t="shared" si="33"/>
        <v>0</v>
      </c>
      <c r="J2171" s="11">
        <f>1/(H2171*Utilities!$B$11)</f>
        <v>8</v>
      </c>
      <c r="K2171" s="11">
        <f>IF(B2171&lt;C2171,1,EXP(-1*(B2171-C2171)/(Utilities!$B$11*IterData!H2171)))</f>
        <v>1</v>
      </c>
    </row>
    <row r="2172" spans="8:11" x14ac:dyDescent="0.3">
      <c r="H2172">
        <v>0.5</v>
      </c>
      <c r="I2172" s="11">
        <f t="shared" si="33"/>
        <v>0</v>
      </c>
      <c r="J2172" s="11">
        <f>1/(H2172*Utilities!$B$11)</f>
        <v>8</v>
      </c>
      <c r="K2172" s="11">
        <f>IF(B2172&lt;C2172,1,EXP(-1*(B2172-C2172)/(Utilities!$B$11*IterData!H2172)))</f>
        <v>1</v>
      </c>
    </row>
    <row r="2173" spans="8:11" x14ac:dyDescent="0.3">
      <c r="H2173">
        <v>0.5</v>
      </c>
      <c r="I2173" s="11">
        <f t="shared" si="33"/>
        <v>0</v>
      </c>
      <c r="J2173" s="11">
        <f>1/(H2173*Utilities!$B$11)</f>
        <v>8</v>
      </c>
      <c r="K2173" s="11">
        <f>IF(B2173&lt;C2173,1,EXP(-1*(B2173-C2173)/(Utilities!$B$11*IterData!H2173)))</f>
        <v>1</v>
      </c>
    </row>
    <row r="2174" spans="8:11" x14ac:dyDescent="0.3">
      <c r="H2174">
        <v>0.5</v>
      </c>
      <c r="I2174" s="11">
        <f t="shared" si="33"/>
        <v>0</v>
      </c>
      <c r="J2174" s="11">
        <f>1/(H2174*Utilities!$B$11)</f>
        <v>8</v>
      </c>
      <c r="K2174" s="11">
        <f>IF(B2174&lt;C2174,1,EXP(-1*(B2174-C2174)/(Utilities!$B$11*IterData!H2174)))</f>
        <v>1</v>
      </c>
    </row>
    <row r="2175" spans="8:11" x14ac:dyDescent="0.3">
      <c r="H2175">
        <v>0.5</v>
      </c>
      <c r="I2175" s="11">
        <f t="shared" si="33"/>
        <v>0</v>
      </c>
      <c r="J2175" s="11">
        <f>1/(H2175*Utilities!$B$11)</f>
        <v>8</v>
      </c>
      <c r="K2175" s="11">
        <f>IF(B2175&lt;C2175,1,EXP(-1*(B2175-C2175)/(Utilities!$B$11*IterData!H2175)))</f>
        <v>1</v>
      </c>
    </row>
    <row r="2176" spans="8:11" x14ac:dyDescent="0.3">
      <c r="H2176">
        <v>0.5</v>
      </c>
      <c r="I2176" s="11">
        <f t="shared" si="33"/>
        <v>0</v>
      </c>
      <c r="J2176" s="11">
        <f>1/(H2176*Utilities!$B$11)</f>
        <v>8</v>
      </c>
      <c r="K2176" s="11">
        <f>IF(B2176&lt;C2176,1,EXP(-1*(B2176-C2176)/(Utilities!$B$11*IterData!H2176)))</f>
        <v>1</v>
      </c>
    </row>
    <row r="2177" spans="8:11" x14ac:dyDescent="0.3">
      <c r="H2177">
        <v>0.5</v>
      </c>
      <c r="I2177" s="11">
        <f t="shared" si="33"/>
        <v>0</v>
      </c>
      <c r="J2177" s="11">
        <f>1/(H2177*Utilities!$B$11)</f>
        <v>8</v>
      </c>
      <c r="K2177" s="11">
        <f>IF(B2177&lt;C2177,1,EXP(-1*(B2177-C2177)/(Utilities!$B$11*IterData!H2177)))</f>
        <v>1</v>
      </c>
    </row>
    <row r="2178" spans="8:11" x14ac:dyDescent="0.3">
      <c r="H2178">
        <v>0.5</v>
      </c>
      <c r="I2178" s="11">
        <f t="shared" si="33"/>
        <v>0</v>
      </c>
      <c r="J2178" s="11">
        <f>1/(H2178*Utilities!$B$11)</f>
        <v>8</v>
      </c>
      <c r="K2178" s="11">
        <f>IF(B2178&lt;C2178,1,EXP(-1*(B2178-C2178)/(Utilities!$B$11*IterData!H2178)))</f>
        <v>1</v>
      </c>
    </row>
    <row r="2179" spans="8:11" x14ac:dyDescent="0.3">
      <c r="H2179">
        <v>0.5</v>
      </c>
      <c r="I2179" s="11">
        <f t="shared" ref="I2179:I2242" si="34">B2179-C2179</f>
        <v>0</v>
      </c>
      <c r="J2179" s="11">
        <f>1/(H2179*Utilities!$B$11)</f>
        <v>8</v>
      </c>
      <c r="K2179" s="11">
        <f>IF(B2179&lt;C2179,1,EXP(-1*(B2179-C2179)/(Utilities!$B$11*IterData!H2179)))</f>
        <v>1</v>
      </c>
    </row>
    <row r="2180" spans="8:11" x14ac:dyDescent="0.3">
      <c r="H2180">
        <v>0.5</v>
      </c>
      <c r="I2180" s="11">
        <f t="shared" si="34"/>
        <v>0</v>
      </c>
      <c r="J2180" s="11">
        <f>1/(H2180*Utilities!$B$11)</f>
        <v>8</v>
      </c>
      <c r="K2180" s="11">
        <f>IF(B2180&lt;C2180,1,EXP(-1*(B2180-C2180)/(Utilities!$B$11*IterData!H2180)))</f>
        <v>1</v>
      </c>
    </row>
    <row r="2181" spans="8:11" x14ac:dyDescent="0.3">
      <c r="H2181">
        <v>0.5</v>
      </c>
      <c r="I2181" s="11">
        <f t="shared" si="34"/>
        <v>0</v>
      </c>
      <c r="J2181" s="11">
        <f>1/(H2181*Utilities!$B$11)</f>
        <v>8</v>
      </c>
      <c r="K2181" s="11">
        <f>IF(B2181&lt;C2181,1,EXP(-1*(B2181-C2181)/(Utilities!$B$11*IterData!H2181)))</f>
        <v>1</v>
      </c>
    </row>
    <row r="2182" spans="8:11" x14ac:dyDescent="0.3">
      <c r="H2182">
        <v>0.5</v>
      </c>
      <c r="I2182" s="11">
        <f t="shared" si="34"/>
        <v>0</v>
      </c>
      <c r="J2182" s="11">
        <f>1/(H2182*Utilities!$B$11)</f>
        <v>8</v>
      </c>
      <c r="K2182" s="11">
        <f>IF(B2182&lt;C2182,1,EXP(-1*(B2182-C2182)/(Utilities!$B$11*IterData!H2182)))</f>
        <v>1</v>
      </c>
    </row>
    <row r="2183" spans="8:11" x14ac:dyDescent="0.3">
      <c r="H2183">
        <v>0.5</v>
      </c>
      <c r="I2183" s="11">
        <f t="shared" si="34"/>
        <v>0</v>
      </c>
      <c r="J2183" s="11">
        <f>1/(H2183*Utilities!$B$11)</f>
        <v>8</v>
      </c>
      <c r="K2183" s="11">
        <f>IF(B2183&lt;C2183,1,EXP(-1*(B2183-C2183)/(Utilities!$B$11*IterData!H2183)))</f>
        <v>1</v>
      </c>
    </row>
    <row r="2184" spans="8:11" x14ac:dyDescent="0.3">
      <c r="H2184">
        <v>0.5</v>
      </c>
      <c r="I2184" s="11">
        <f t="shared" si="34"/>
        <v>0</v>
      </c>
      <c r="J2184" s="11">
        <f>1/(H2184*Utilities!$B$11)</f>
        <v>8</v>
      </c>
      <c r="K2184" s="11">
        <f>IF(B2184&lt;C2184,1,EXP(-1*(B2184-C2184)/(Utilities!$B$11*IterData!H2184)))</f>
        <v>1</v>
      </c>
    </row>
    <row r="2185" spans="8:11" x14ac:dyDescent="0.3">
      <c r="H2185">
        <v>0.5</v>
      </c>
      <c r="I2185" s="11">
        <f t="shared" si="34"/>
        <v>0</v>
      </c>
      <c r="J2185" s="11">
        <f>1/(H2185*Utilities!$B$11)</f>
        <v>8</v>
      </c>
      <c r="K2185" s="11">
        <f>IF(B2185&lt;C2185,1,EXP(-1*(B2185-C2185)/(Utilities!$B$11*IterData!H2185)))</f>
        <v>1</v>
      </c>
    </row>
    <row r="2186" spans="8:11" x14ac:dyDescent="0.3">
      <c r="H2186">
        <v>0.5</v>
      </c>
      <c r="I2186" s="11">
        <f t="shared" si="34"/>
        <v>0</v>
      </c>
      <c r="J2186" s="11">
        <f>1/(H2186*Utilities!$B$11)</f>
        <v>8</v>
      </c>
      <c r="K2186" s="11">
        <f>IF(B2186&lt;C2186,1,EXP(-1*(B2186-C2186)/(Utilities!$B$11*IterData!H2186)))</f>
        <v>1</v>
      </c>
    </row>
    <row r="2187" spans="8:11" x14ac:dyDescent="0.3">
      <c r="H2187">
        <v>0.5</v>
      </c>
      <c r="I2187" s="11">
        <f t="shared" si="34"/>
        <v>0</v>
      </c>
      <c r="J2187" s="11">
        <f>1/(H2187*Utilities!$B$11)</f>
        <v>8</v>
      </c>
      <c r="K2187" s="11">
        <f>IF(B2187&lt;C2187,1,EXP(-1*(B2187-C2187)/(Utilities!$B$11*IterData!H2187)))</f>
        <v>1</v>
      </c>
    </row>
    <row r="2188" spans="8:11" x14ac:dyDescent="0.3">
      <c r="H2188">
        <v>0.5</v>
      </c>
      <c r="I2188" s="11">
        <f t="shared" si="34"/>
        <v>0</v>
      </c>
      <c r="J2188" s="11">
        <f>1/(H2188*Utilities!$B$11)</f>
        <v>8</v>
      </c>
      <c r="K2188" s="11">
        <f>IF(B2188&lt;C2188,1,EXP(-1*(B2188-C2188)/(Utilities!$B$11*IterData!H2188)))</f>
        <v>1</v>
      </c>
    </row>
    <row r="2189" spans="8:11" x14ac:dyDescent="0.3">
      <c r="H2189">
        <v>0.5</v>
      </c>
      <c r="I2189" s="11">
        <f t="shared" si="34"/>
        <v>0</v>
      </c>
      <c r="J2189" s="11">
        <f>1/(H2189*Utilities!$B$11)</f>
        <v>8</v>
      </c>
      <c r="K2189" s="11">
        <f>IF(B2189&lt;C2189,1,EXP(-1*(B2189-C2189)/(Utilities!$B$11*IterData!H2189)))</f>
        <v>1</v>
      </c>
    </row>
    <row r="2190" spans="8:11" x14ac:dyDescent="0.3">
      <c r="H2190">
        <v>0.5</v>
      </c>
      <c r="I2190" s="11">
        <f t="shared" si="34"/>
        <v>0</v>
      </c>
      <c r="J2190" s="11">
        <f>1/(H2190*Utilities!$B$11)</f>
        <v>8</v>
      </c>
      <c r="K2190" s="11">
        <f>IF(B2190&lt;C2190,1,EXP(-1*(B2190-C2190)/(Utilities!$B$11*IterData!H2190)))</f>
        <v>1</v>
      </c>
    </row>
    <row r="2191" spans="8:11" x14ac:dyDescent="0.3">
      <c r="H2191">
        <v>0.5</v>
      </c>
      <c r="I2191" s="11">
        <f t="shared" si="34"/>
        <v>0</v>
      </c>
      <c r="J2191" s="11">
        <f>1/(H2191*Utilities!$B$11)</f>
        <v>8</v>
      </c>
      <c r="K2191" s="11">
        <f>IF(B2191&lt;C2191,1,EXP(-1*(B2191-C2191)/(Utilities!$B$11*IterData!H2191)))</f>
        <v>1</v>
      </c>
    </row>
    <row r="2192" spans="8:11" x14ac:dyDescent="0.3">
      <c r="H2192">
        <v>0.5</v>
      </c>
      <c r="I2192" s="11">
        <f t="shared" si="34"/>
        <v>0</v>
      </c>
      <c r="J2192" s="11">
        <f>1/(H2192*Utilities!$B$11)</f>
        <v>8</v>
      </c>
      <c r="K2192" s="11">
        <f>IF(B2192&lt;C2192,1,EXP(-1*(B2192-C2192)/(Utilities!$B$11*IterData!H2192)))</f>
        <v>1</v>
      </c>
    </row>
    <row r="2193" spans="8:11" x14ac:dyDescent="0.3">
      <c r="H2193">
        <v>0.5</v>
      </c>
      <c r="I2193" s="11">
        <f t="shared" si="34"/>
        <v>0</v>
      </c>
      <c r="J2193" s="11">
        <f>1/(H2193*Utilities!$B$11)</f>
        <v>8</v>
      </c>
      <c r="K2193" s="11">
        <f>IF(B2193&lt;C2193,1,EXP(-1*(B2193-C2193)/(Utilities!$B$11*IterData!H2193)))</f>
        <v>1</v>
      </c>
    </row>
    <row r="2194" spans="8:11" x14ac:dyDescent="0.3">
      <c r="H2194">
        <v>0.5</v>
      </c>
      <c r="I2194" s="11">
        <f t="shared" si="34"/>
        <v>0</v>
      </c>
      <c r="J2194" s="11">
        <f>1/(H2194*Utilities!$B$11)</f>
        <v>8</v>
      </c>
      <c r="K2194" s="11">
        <f>IF(B2194&lt;C2194,1,EXP(-1*(B2194-C2194)/(Utilities!$B$11*IterData!H2194)))</f>
        <v>1</v>
      </c>
    </row>
    <row r="2195" spans="8:11" x14ac:dyDescent="0.3">
      <c r="H2195">
        <v>0.5</v>
      </c>
      <c r="I2195" s="11">
        <f t="shared" si="34"/>
        <v>0</v>
      </c>
      <c r="J2195" s="11">
        <f>1/(H2195*Utilities!$B$11)</f>
        <v>8</v>
      </c>
      <c r="K2195" s="11">
        <f>IF(B2195&lt;C2195,1,EXP(-1*(B2195-C2195)/(Utilities!$B$11*IterData!H2195)))</f>
        <v>1</v>
      </c>
    </row>
    <row r="2196" spans="8:11" x14ac:dyDescent="0.3">
      <c r="H2196">
        <v>0.5</v>
      </c>
      <c r="I2196" s="11">
        <f t="shared" si="34"/>
        <v>0</v>
      </c>
      <c r="J2196" s="11">
        <f>1/(H2196*Utilities!$B$11)</f>
        <v>8</v>
      </c>
      <c r="K2196" s="11">
        <f>IF(B2196&lt;C2196,1,EXP(-1*(B2196-C2196)/(Utilities!$B$11*IterData!H2196)))</f>
        <v>1</v>
      </c>
    </row>
    <row r="2197" spans="8:11" x14ac:dyDescent="0.3">
      <c r="H2197">
        <v>0.5</v>
      </c>
      <c r="I2197" s="11">
        <f t="shared" si="34"/>
        <v>0</v>
      </c>
      <c r="J2197" s="11">
        <f>1/(H2197*Utilities!$B$11)</f>
        <v>8</v>
      </c>
      <c r="K2197" s="11">
        <f>IF(B2197&lt;C2197,1,EXP(-1*(B2197-C2197)/(Utilities!$B$11*IterData!H2197)))</f>
        <v>1</v>
      </c>
    </row>
    <row r="2198" spans="8:11" x14ac:dyDescent="0.3">
      <c r="H2198">
        <v>0.5</v>
      </c>
      <c r="I2198" s="11">
        <f t="shared" si="34"/>
        <v>0</v>
      </c>
      <c r="J2198" s="11">
        <f>1/(H2198*Utilities!$B$11)</f>
        <v>8</v>
      </c>
      <c r="K2198" s="11">
        <f>IF(B2198&lt;C2198,1,EXP(-1*(B2198-C2198)/(Utilities!$B$11*IterData!H2198)))</f>
        <v>1</v>
      </c>
    </row>
    <row r="2199" spans="8:11" x14ac:dyDescent="0.3">
      <c r="H2199">
        <v>0.5</v>
      </c>
      <c r="I2199" s="11">
        <f t="shared" si="34"/>
        <v>0</v>
      </c>
      <c r="J2199" s="11">
        <f>1/(H2199*Utilities!$B$11)</f>
        <v>8</v>
      </c>
      <c r="K2199" s="11">
        <f>IF(B2199&lt;C2199,1,EXP(-1*(B2199-C2199)/(Utilities!$B$11*IterData!H2199)))</f>
        <v>1</v>
      </c>
    </row>
    <row r="2200" spans="8:11" x14ac:dyDescent="0.3">
      <c r="H2200">
        <v>0.5</v>
      </c>
      <c r="I2200" s="11">
        <f t="shared" si="34"/>
        <v>0</v>
      </c>
      <c r="J2200" s="11">
        <f>1/(H2200*Utilities!$B$11)</f>
        <v>8</v>
      </c>
      <c r="K2200" s="11">
        <f>IF(B2200&lt;C2200,1,EXP(-1*(B2200-C2200)/(Utilities!$B$11*IterData!H2200)))</f>
        <v>1</v>
      </c>
    </row>
    <row r="2201" spans="8:11" x14ac:dyDescent="0.3">
      <c r="H2201">
        <v>0.5</v>
      </c>
      <c r="I2201" s="11">
        <f t="shared" si="34"/>
        <v>0</v>
      </c>
      <c r="J2201" s="11">
        <f>1/(H2201*Utilities!$B$11)</f>
        <v>8</v>
      </c>
      <c r="K2201" s="11">
        <f>IF(B2201&lt;C2201,1,EXP(-1*(B2201-C2201)/(Utilities!$B$11*IterData!H2201)))</f>
        <v>1</v>
      </c>
    </row>
    <row r="2202" spans="8:11" x14ac:dyDescent="0.3">
      <c r="H2202">
        <v>0.5</v>
      </c>
      <c r="I2202" s="11">
        <f t="shared" si="34"/>
        <v>0</v>
      </c>
      <c r="J2202" s="11">
        <f>1/(H2202*Utilities!$B$11)</f>
        <v>8</v>
      </c>
      <c r="K2202" s="11">
        <f>IF(B2202&lt;C2202,1,EXP(-1*(B2202-C2202)/(Utilities!$B$11*IterData!H2202)))</f>
        <v>1</v>
      </c>
    </row>
    <row r="2203" spans="8:11" x14ac:dyDescent="0.3">
      <c r="H2203">
        <v>0.5</v>
      </c>
      <c r="I2203" s="11">
        <f t="shared" si="34"/>
        <v>0</v>
      </c>
      <c r="J2203" s="11">
        <f>1/(H2203*Utilities!$B$11)</f>
        <v>8</v>
      </c>
      <c r="K2203" s="11">
        <f>IF(B2203&lt;C2203,1,EXP(-1*(B2203-C2203)/(Utilities!$B$11*IterData!H2203)))</f>
        <v>1</v>
      </c>
    </row>
    <row r="2204" spans="8:11" x14ac:dyDescent="0.3">
      <c r="H2204">
        <v>0.5</v>
      </c>
      <c r="I2204" s="11">
        <f t="shared" si="34"/>
        <v>0</v>
      </c>
      <c r="J2204" s="11">
        <f>1/(H2204*Utilities!$B$11)</f>
        <v>8</v>
      </c>
      <c r="K2204" s="11">
        <f>IF(B2204&lt;C2204,1,EXP(-1*(B2204-C2204)/(Utilities!$B$11*IterData!H2204)))</f>
        <v>1</v>
      </c>
    </row>
    <row r="2205" spans="8:11" x14ac:dyDescent="0.3">
      <c r="H2205">
        <v>0.5</v>
      </c>
      <c r="I2205" s="11">
        <f t="shared" si="34"/>
        <v>0</v>
      </c>
      <c r="J2205" s="11">
        <f>1/(H2205*Utilities!$B$11)</f>
        <v>8</v>
      </c>
      <c r="K2205" s="11">
        <f>IF(B2205&lt;C2205,1,EXP(-1*(B2205-C2205)/(Utilities!$B$11*IterData!H2205)))</f>
        <v>1</v>
      </c>
    </row>
    <row r="2206" spans="8:11" x14ac:dyDescent="0.3">
      <c r="H2206">
        <v>0.5</v>
      </c>
      <c r="I2206" s="11">
        <f t="shared" si="34"/>
        <v>0</v>
      </c>
      <c r="J2206" s="11">
        <f>1/(H2206*Utilities!$B$11)</f>
        <v>8</v>
      </c>
      <c r="K2206" s="11">
        <f>IF(B2206&lt;C2206,1,EXP(-1*(B2206-C2206)/(Utilities!$B$11*IterData!H2206)))</f>
        <v>1</v>
      </c>
    </row>
    <row r="2207" spans="8:11" x14ac:dyDescent="0.3">
      <c r="H2207">
        <v>0.5</v>
      </c>
      <c r="I2207" s="11">
        <f t="shared" si="34"/>
        <v>0</v>
      </c>
      <c r="J2207" s="11">
        <f>1/(H2207*Utilities!$B$11)</f>
        <v>8</v>
      </c>
      <c r="K2207" s="11">
        <f>IF(B2207&lt;C2207,1,EXP(-1*(B2207-C2207)/(Utilities!$B$11*IterData!H2207)))</f>
        <v>1</v>
      </c>
    </row>
    <row r="2208" spans="8:11" x14ac:dyDescent="0.3">
      <c r="H2208">
        <v>0.5</v>
      </c>
      <c r="I2208" s="11">
        <f t="shared" si="34"/>
        <v>0</v>
      </c>
      <c r="J2208" s="11">
        <f>1/(H2208*Utilities!$B$11)</f>
        <v>8</v>
      </c>
      <c r="K2208" s="11">
        <f>IF(B2208&lt;C2208,1,EXP(-1*(B2208-C2208)/(Utilities!$B$11*IterData!H2208)))</f>
        <v>1</v>
      </c>
    </row>
    <row r="2209" spans="8:11" x14ac:dyDescent="0.3">
      <c r="H2209">
        <v>0.5</v>
      </c>
      <c r="I2209" s="11">
        <f t="shared" si="34"/>
        <v>0</v>
      </c>
      <c r="J2209" s="11">
        <f>1/(H2209*Utilities!$B$11)</f>
        <v>8</v>
      </c>
      <c r="K2209" s="11">
        <f>IF(B2209&lt;C2209,1,EXP(-1*(B2209-C2209)/(Utilities!$B$11*IterData!H2209)))</f>
        <v>1</v>
      </c>
    </row>
    <row r="2210" spans="8:11" x14ac:dyDescent="0.3">
      <c r="H2210">
        <v>0.5</v>
      </c>
      <c r="I2210" s="11">
        <f t="shared" si="34"/>
        <v>0</v>
      </c>
      <c r="J2210" s="11">
        <f>1/(H2210*Utilities!$B$11)</f>
        <v>8</v>
      </c>
      <c r="K2210" s="11">
        <f>IF(B2210&lt;C2210,1,EXP(-1*(B2210-C2210)/(Utilities!$B$11*IterData!H2210)))</f>
        <v>1</v>
      </c>
    </row>
    <row r="2211" spans="8:11" x14ac:dyDescent="0.3">
      <c r="H2211">
        <v>0.5</v>
      </c>
      <c r="I2211" s="11">
        <f t="shared" si="34"/>
        <v>0</v>
      </c>
      <c r="J2211" s="11">
        <f>1/(H2211*Utilities!$B$11)</f>
        <v>8</v>
      </c>
      <c r="K2211" s="11">
        <f>IF(B2211&lt;C2211,1,EXP(-1*(B2211-C2211)/(Utilities!$B$11*IterData!H2211)))</f>
        <v>1</v>
      </c>
    </row>
    <row r="2212" spans="8:11" x14ac:dyDescent="0.3">
      <c r="H2212">
        <v>0.5</v>
      </c>
      <c r="I2212" s="11">
        <f t="shared" si="34"/>
        <v>0</v>
      </c>
      <c r="J2212" s="11">
        <f>1/(H2212*Utilities!$B$11)</f>
        <v>8</v>
      </c>
      <c r="K2212" s="11">
        <f>IF(B2212&lt;C2212,1,EXP(-1*(B2212-C2212)/(Utilities!$B$11*IterData!H2212)))</f>
        <v>1</v>
      </c>
    </row>
    <row r="2213" spans="8:11" x14ac:dyDescent="0.3">
      <c r="H2213">
        <v>0.5</v>
      </c>
      <c r="I2213" s="11">
        <f t="shared" si="34"/>
        <v>0</v>
      </c>
      <c r="J2213" s="11">
        <f>1/(H2213*Utilities!$B$11)</f>
        <v>8</v>
      </c>
      <c r="K2213" s="11">
        <f>IF(B2213&lt;C2213,1,EXP(-1*(B2213-C2213)/(Utilities!$B$11*IterData!H2213)))</f>
        <v>1</v>
      </c>
    </row>
    <row r="2214" spans="8:11" x14ac:dyDescent="0.3">
      <c r="H2214">
        <v>0.5</v>
      </c>
      <c r="I2214" s="11">
        <f t="shared" si="34"/>
        <v>0</v>
      </c>
      <c r="J2214" s="11">
        <f>1/(H2214*Utilities!$B$11)</f>
        <v>8</v>
      </c>
      <c r="K2214" s="11">
        <f>IF(B2214&lt;C2214,1,EXP(-1*(B2214-C2214)/(Utilities!$B$11*IterData!H2214)))</f>
        <v>1</v>
      </c>
    </row>
    <row r="2215" spans="8:11" x14ac:dyDescent="0.3">
      <c r="H2215">
        <v>0.5</v>
      </c>
      <c r="I2215" s="11">
        <f t="shared" si="34"/>
        <v>0</v>
      </c>
      <c r="J2215" s="11">
        <f>1/(H2215*Utilities!$B$11)</f>
        <v>8</v>
      </c>
      <c r="K2215" s="11">
        <f>IF(B2215&lt;C2215,1,EXP(-1*(B2215-C2215)/(Utilities!$B$11*IterData!H2215)))</f>
        <v>1</v>
      </c>
    </row>
    <row r="2216" spans="8:11" x14ac:dyDescent="0.3">
      <c r="H2216">
        <v>0.5</v>
      </c>
      <c r="I2216" s="11">
        <f t="shared" si="34"/>
        <v>0</v>
      </c>
      <c r="J2216" s="11">
        <f>1/(H2216*Utilities!$B$11)</f>
        <v>8</v>
      </c>
      <c r="K2216" s="11">
        <f>IF(B2216&lt;C2216,1,EXP(-1*(B2216-C2216)/(Utilities!$B$11*IterData!H2216)))</f>
        <v>1</v>
      </c>
    </row>
    <row r="2217" spans="8:11" x14ac:dyDescent="0.3">
      <c r="H2217">
        <v>0.5</v>
      </c>
      <c r="I2217" s="11">
        <f t="shared" si="34"/>
        <v>0</v>
      </c>
      <c r="J2217" s="11">
        <f>1/(H2217*Utilities!$B$11)</f>
        <v>8</v>
      </c>
      <c r="K2217" s="11">
        <f>IF(B2217&lt;C2217,1,EXP(-1*(B2217-C2217)/(Utilities!$B$11*IterData!H2217)))</f>
        <v>1</v>
      </c>
    </row>
    <row r="2218" spans="8:11" x14ac:dyDescent="0.3">
      <c r="H2218">
        <v>0.5</v>
      </c>
      <c r="I2218" s="11">
        <f t="shared" si="34"/>
        <v>0</v>
      </c>
      <c r="J2218" s="11">
        <f>1/(H2218*Utilities!$B$11)</f>
        <v>8</v>
      </c>
      <c r="K2218" s="11">
        <f>IF(B2218&lt;C2218,1,EXP(-1*(B2218-C2218)/(Utilities!$B$11*IterData!H2218)))</f>
        <v>1</v>
      </c>
    </row>
    <row r="2219" spans="8:11" x14ac:dyDescent="0.3">
      <c r="H2219">
        <v>0.5</v>
      </c>
      <c r="I2219" s="11">
        <f t="shared" si="34"/>
        <v>0</v>
      </c>
      <c r="J2219" s="11">
        <f>1/(H2219*Utilities!$B$11)</f>
        <v>8</v>
      </c>
      <c r="K2219" s="11">
        <f>IF(B2219&lt;C2219,1,EXP(-1*(B2219-C2219)/(Utilities!$B$11*IterData!H2219)))</f>
        <v>1</v>
      </c>
    </row>
    <row r="2220" spans="8:11" x14ac:dyDescent="0.3">
      <c r="H2220">
        <v>0.5</v>
      </c>
      <c r="I2220" s="11">
        <f t="shared" si="34"/>
        <v>0</v>
      </c>
      <c r="J2220" s="11">
        <f>1/(H2220*Utilities!$B$11)</f>
        <v>8</v>
      </c>
      <c r="K2220" s="11">
        <f>IF(B2220&lt;C2220,1,EXP(-1*(B2220-C2220)/(Utilities!$B$11*IterData!H2220)))</f>
        <v>1</v>
      </c>
    </row>
    <row r="2221" spans="8:11" x14ac:dyDescent="0.3">
      <c r="H2221">
        <v>0.5</v>
      </c>
      <c r="I2221" s="11">
        <f t="shared" si="34"/>
        <v>0</v>
      </c>
      <c r="J2221" s="11">
        <f>1/(H2221*Utilities!$B$11)</f>
        <v>8</v>
      </c>
      <c r="K2221" s="11">
        <f>IF(B2221&lt;C2221,1,EXP(-1*(B2221-C2221)/(Utilities!$B$11*IterData!H2221)))</f>
        <v>1</v>
      </c>
    </row>
    <row r="2222" spans="8:11" x14ac:dyDescent="0.3">
      <c r="H2222">
        <v>0.5</v>
      </c>
      <c r="I2222" s="11">
        <f t="shared" si="34"/>
        <v>0</v>
      </c>
      <c r="J2222" s="11">
        <f>1/(H2222*Utilities!$B$11)</f>
        <v>8</v>
      </c>
      <c r="K2222" s="11">
        <f>IF(B2222&lt;C2222,1,EXP(-1*(B2222-C2222)/(Utilities!$B$11*IterData!H2222)))</f>
        <v>1</v>
      </c>
    </row>
    <row r="2223" spans="8:11" x14ac:dyDescent="0.3">
      <c r="H2223">
        <v>0.5</v>
      </c>
      <c r="I2223" s="11">
        <f t="shared" si="34"/>
        <v>0</v>
      </c>
      <c r="J2223" s="11">
        <f>1/(H2223*Utilities!$B$11)</f>
        <v>8</v>
      </c>
      <c r="K2223" s="11">
        <f>IF(B2223&lt;C2223,1,EXP(-1*(B2223-C2223)/(Utilities!$B$11*IterData!H2223)))</f>
        <v>1</v>
      </c>
    </row>
    <row r="2224" spans="8:11" x14ac:dyDescent="0.3">
      <c r="H2224">
        <v>0.5</v>
      </c>
      <c r="I2224" s="11">
        <f t="shared" si="34"/>
        <v>0</v>
      </c>
      <c r="J2224" s="11">
        <f>1/(H2224*Utilities!$B$11)</f>
        <v>8</v>
      </c>
      <c r="K2224" s="11">
        <f>IF(B2224&lt;C2224,1,EXP(-1*(B2224-C2224)/(Utilities!$B$11*IterData!H2224)))</f>
        <v>1</v>
      </c>
    </row>
    <row r="2225" spans="8:11" x14ac:dyDescent="0.3">
      <c r="H2225">
        <v>0.5</v>
      </c>
      <c r="I2225" s="11">
        <f t="shared" si="34"/>
        <v>0</v>
      </c>
      <c r="J2225" s="11">
        <f>1/(H2225*Utilities!$B$11)</f>
        <v>8</v>
      </c>
      <c r="K2225" s="11">
        <f>IF(B2225&lt;C2225,1,EXP(-1*(B2225-C2225)/(Utilities!$B$11*IterData!H2225)))</f>
        <v>1</v>
      </c>
    </row>
    <row r="2226" spans="8:11" x14ac:dyDescent="0.3">
      <c r="H2226">
        <v>0.5</v>
      </c>
      <c r="I2226" s="11">
        <f t="shared" si="34"/>
        <v>0</v>
      </c>
      <c r="J2226" s="11">
        <f>1/(H2226*Utilities!$B$11)</f>
        <v>8</v>
      </c>
      <c r="K2226" s="11">
        <f>IF(B2226&lt;C2226,1,EXP(-1*(B2226-C2226)/(Utilities!$B$11*IterData!H2226)))</f>
        <v>1</v>
      </c>
    </row>
    <row r="2227" spans="8:11" x14ac:dyDescent="0.3">
      <c r="H2227">
        <v>0.5</v>
      </c>
      <c r="I2227" s="11">
        <f t="shared" si="34"/>
        <v>0</v>
      </c>
      <c r="J2227" s="11">
        <f>1/(H2227*Utilities!$B$11)</f>
        <v>8</v>
      </c>
      <c r="K2227" s="11">
        <f>IF(B2227&lt;C2227,1,EXP(-1*(B2227-C2227)/(Utilities!$B$11*IterData!H2227)))</f>
        <v>1</v>
      </c>
    </row>
    <row r="2228" spans="8:11" x14ac:dyDescent="0.3">
      <c r="H2228">
        <v>0.5</v>
      </c>
      <c r="I2228" s="11">
        <f t="shared" si="34"/>
        <v>0</v>
      </c>
      <c r="J2228" s="11">
        <f>1/(H2228*Utilities!$B$11)</f>
        <v>8</v>
      </c>
      <c r="K2228" s="11">
        <f>IF(B2228&lt;C2228,1,EXP(-1*(B2228-C2228)/(Utilities!$B$11*IterData!H2228)))</f>
        <v>1</v>
      </c>
    </row>
    <row r="2229" spans="8:11" x14ac:dyDescent="0.3">
      <c r="H2229">
        <v>0.5</v>
      </c>
      <c r="I2229" s="11">
        <f t="shared" si="34"/>
        <v>0</v>
      </c>
      <c r="J2229" s="11">
        <f>1/(H2229*Utilities!$B$11)</f>
        <v>8</v>
      </c>
      <c r="K2229" s="11">
        <f>IF(B2229&lt;C2229,1,EXP(-1*(B2229-C2229)/(Utilities!$B$11*IterData!H2229)))</f>
        <v>1</v>
      </c>
    </row>
    <row r="2230" spans="8:11" x14ac:dyDescent="0.3">
      <c r="H2230">
        <v>0.5</v>
      </c>
      <c r="I2230" s="11">
        <f t="shared" si="34"/>
        <v>0</v>
      </c>
      <c r="J2230" s="11">
        <f>1/(H2230*Utilities!$B$11)</f>
        <v>8</v>
      </c>
      <c r="K2230" s="11">
        <f>IF(B2230&lt;C2230,1,EXP(-1*(B2230-C2230)/(Utilities!$B$11*IterData!H2230)))</f>
        <v>1</v>
      </c>
    </row>
    <row r="2231" spans="8:11" x14ac:dyDescent="0.3">
      <c r="H2231">
        <v>0.5</v>
      </c>
      <c r="I2231" s="11">
        <f t="shared" si="34"/>
        <v>0</v>
      </c>
      <c r="J2231" s="11">
        <f>1/(H2231*Utilities!$B$11)</f>
        <v>8</v>
      </c>
      <c r="K2231" s="11">
        <f>IF(B2231&lt;C2231,1,EXP(-1*(B2231-C2231)/(Utilities!$B$11*IterData!H2231)))</f>
        <v>1</v>
      </c>
    </row>
    <row r="2232" spans="8:11" x14ac:dyDescent="0.3">
      <c r="H2232">
        <v>0.5</v>
      </c>
      <c r="I2232" s="11">
        <f t="shared" si="34"/>
        <v>0</v>
      </c>
      <c r="J2232" s="11">
        <f>1/(H2232*Utilities!$B$11)</f>
        <v>8</v>
      </c>
      <c r="K2232" s="11">
        <f>IF(B2232&lt;C2232,1,EXP(-1*(B2232-C2232)/(Utilities!$B$11*IterData!H2232)))</f>
        <v>1</v>
      </c>
    </row>
    <row r="2233" spans="8:11" x14ac:dyDescent="0.3">
      <c r="H2233">
        <v>0.5</v>
      </c>
      <c r="I2233" s="11">
        <f t="shared" si="34"/>
        <v>0</v>
      </c>
      <c r="J2233" s="11">
        <f>1/(H2233*Utilities!$B$11)</f>
        <v>8</v>
      </c>
      <c r="K2233" s="11">
        <f>IF(B2233&lt;C2233,1,EXP(-1*(B2233-C2233)/(Utilities!$B$11*IterData!H2233)))</f>
        <v>1</v>
      </c>
    </row>
    <row r="2234" spans="8:11" x14ac:dyDescent="0.3">
      <c r="H2234">
        <v>0.5</v>
      </c>
      <c r="I2234" s="11">
        <f t="shared" si="34"/>
        <v>0</v>
      </c>
      <c r="J2234" s="11">
        <f>1/(H2234*Utilities!$B$11)</f>
        <v>8</v>
      </c>
      <c r="K2234" s="11">
        <f>IF(B2234&lt;C2234,1,EXP(-1*(B2234-C2234)/(Utilities!$B$11*IterData!H2234)))</f>
        <v>1</v>
      </c>
    </row>
    <row r="2235" spans="8:11" x14ac:dyDescent="0.3">
      <c r="H2235">
        <v>0.5</v>
      </c>
      <c r="I2235" s="11">
        <f t="shared" si="34"/>
        <v>0</v>
      </c>
      <c r="J2235" s="11">
        <f>1/(H2235*Utilities!$B$11)</f>
        <v>8</v>
      </c>
      <c r="K2235" s="11">
        <f>IF(B2235&lt;C2235,1,EXP(-1*(B2235-C2235)/(Utilities!$B$11*IterData!H2235)))</f>
        <v>1</v>
      </c>
    </row>
    <row r="2236" spans="8:11" x14ac:dyDescent="0.3">
      <c r="H2236">
        <v>0.5</v>
      </c>
      <c r="I2236" s="11">
        <f t="shared" si="34"/>
        <v>0</v>
      </c>
      <c r="J2236" s="11">
        <f>1/(H2236*Utilities!$B$11)</f>
        <v>8</v>
      </c>
      <c r="K2236" s="11">
        <f>IF(B2236&lt;C2236,1,EXP(-1*(B2236-C2236)/(Utilities!$B$11*IterData!H2236)))</f>
        <v>1</v>
      </c>
    </row>
    <row r="2237" spans="8:11" x14ac:dyDescent="0.3">
      <c r="H2237">
        <v>0.5</v>
      </c>
      <c r="I2237" s="11">
        <f t="shared" si="34"/>
        <v>0</v>
      </c>
      <c r="J2237" s="11">
        <f>1/(H2237*Utilities!$B$11)</f>
        <v>8</v>
      </c>
      <c r="K2237" s="11">
        <f>IF(B2237&lt;C2237,1,EXP(-1*(B2237-C2237)/(Utilities!$B$11*IterData!H2237)))</f>
        <v>1</v>
      </c>
    </row>
    <row r="2238" spans="8:11" x14ac:dyDescent="0.3">
      <c r="H2238">
        <v>0.5</v>
      </c>
      <c r="I2238" s="11">
        <f t="shared" si="34"/>
        <v>0</v>
      </c>
      <c r="J2238" s="11">
        <f>1/(H2238*Utilities!$B$11)</f>
        <v>8</v>
      </c>
      <c r="K2238" s="11">
        <f>IF(B2238&lt;C2238,1,EXP(-1*(B2238-C2238)/(Utilities!$B$11*IterData!H2238)))</f>
        <v>1</v>
      </c>
    </row>
    <row r="2239" spans="8:11" x14ac:dyDescent="0.3">
      <c r="H2239">
        <v>0.5</v>
      </c>
      <c r="I2239" s="11">
        <f t="shared" si="34"/>
        <v>0</v>
      </c>
      <c r="J2239" s="11">
        <f>1/(H2239*Utilities!$B$11)</f>
        <v>8</v>
      </c>
      <c r="K2239" s="11">
        <f>IF(B2239&lt;C2239,1,EXP(-1*(B2239-C2239)/(Utilities!$B$11*IterData!H2239)))</f>
        <v>1</v>
      </c>
    </row>
    <row r="2240" spans="8:11" x14ac:dyDescent="0.3">
      <c r="H2240">
        <v>0.5</v>
      </c>
      <c r="I2240" s="11">
        <f t="shared" si="34"/>
        <v>0</v>
      </c>
      <c r="J2240" s="11">
        <f>1/(H2240*Utilities!$B$11)</f>
        <v>8</v>
      </c>
      <c r="K2240" s="11">
        <f>IF(B2240&lt;C2240,1,EXP(-1*(B2240-C2240)/(Utilities!$B$11*IterData!H2240)))</f>
        <v>1</v>
      </c>
    </row>
    <row r="2241" spans="8:11" x14ac:dyDescent="0.3">
      <c r="H2241">
        <v>0.5</v>
      </c>
      <c r="I2241" s="11">
        <f t="shared" si="34"/>
        <v>0</v>
      </c>
      <c r="J2241" s="11">
        <f>1/(H2241*Utilities!$B$11)</f>
        <v>8</v>
      </c>
      <c r="K2241" s="11">
        <f>IF(B2241&lt;C2241,1,EXP(-1*(B2241-C2241)/(Utilities!$B$11*IterData!H2241)))</f>
        <v>1</v>
      </c>
    </row>
    <row r="2242" spans="8:11" x14ac:dyDescent="0.3">
      <c r="H2242">
        <v>0.5</v>
      </c>
      <c r="I2242" s="11">
        <f t="shared" si="34"/>
        <v>0</v>
      </c>
      <c r="J2242" s="11">
        <f>1/(H2242*Utilities!$B$11)</f>
        <v>8</v>
      </c>
      <c r="K2242" s="11">
        <f>IF(B2242&lt;C2242,1,EXP(-1*(B2242-C2242)/(Utilities!$B$11*IterData!H2242)))</f>
        <v>1</v>
      </c>
    </row>
    <row r="2243" spans="8:11" x14ac:dyDescent="0.3">
      <c r="H2243">
        <v>0.5</v>
      </c>
      <c r="I2243" s="11">
        <f t="shared" ref="I2243:I2306" si="35">B2243-C2243</f>
        <v>0</v>
      </c>
      <c r="J2243" s="11">
        <f>1/(H2243*Utilities!$B$11)</f>
        <v>8</v>
      </c>
      <c r="K2243" s="11">
        <f>IF(B2243&lt;C2243,1,EXP(-1*(B2243-C2243)/(Utilities!$B$11*IterData!H2243)))</f>
        <v>1</v>
      </c>
    </row>
    <row r="2244" spans="8:11" x14ac:dyDescent="0.3">
      <c r="H2244">
        <v>0.5</v>
      </c>
      <c r="I2244" s="11">
        <f t="shared" si="35"/>
        <v>0</v>
      </c>
      <c r="J2244" s="11">
        <f>1/(H2244*Utilities!$B$11)</f>
        <v>8</v>
      </c>
      <c r="K2244" s="11">
        <f>IF(B2244&lt;C2244,1,EXP(-1*(B2244-C2244)/(Utilities!$B$11*IterData!H2244)))</f>
        <v>1</v>
      </c>
    </row>
    <row r="2245" spans="8:11" x14ac:dyDescent="0.3">
      <c r="H2245">
        <v>0.5</v>
      </c>
      <c r="I2245" s="11">
        <f t="shared" si="35"/>
        <v>0</v>
      </c>
      <c r="J2245" s="11">
        <f>1/(H2245*Utilities!$B$11)</f>
        <v>8</v>
      </c>
      <c r="K2245" s="11">
        <f>IF(B2245&lt;C2245,1,EXP(-1*(B2245-C2245)/(Utilities!$B$11*IterData!H2245)))</f>
        <v>1</v>
      </c>
    </row>
    <row r="2246" spans="8:11" x14ac:dyDescent="0.3">
      <c r="H2246">
        <v>0.5</v>
      </c>
      <c r="I2246" s="11">
        <f t="shared" si="35"/>
        <v>0</v>
      </c>
      <c r="J2246" s="11">
        <f>1/(H2246*Utilities!$B$11)</f>
        <v>8</v>
      </c>
      <c r="K2246" s="11">
        <f>IF(B2246&lt;C2246,1,EXP(-1*(B2246-C2246)/(Utilities!$B$11*IterData!H2246)))</f>
        <v>1</v>
      </c>
    </row>
    <row r="2247" spans="8:11" x14ac:dyDescent="0.3">
      <c r="H2247">
        <v>0.5</v>
      </c>
      <c r="I2247" s="11">
        <f t="shared" si="35"/>
        <v>0</v>
      </c>
      <c r="J2247" s="11">
        <f>1/(H2247*Utilities!$B$11)</f>
        <v>8</v>
      </c>
      <c r="K2247" s="11">
        <f>IF(B2247&lt;C2247,1,EXP(-1*(B2247-C2247)/(Utilities!$B$11*IterData!H2247)))</f>
        <v>1</v>
      </c>
    </row>
    <row r="2248" spans="8:11" x14ac:dyDescent="0.3">
      <c r="H2248">
        <v>0.5</v>
      </c>
      <c r="I2248" s="11">
        <f t="shared" si="35"/>
        <v>0</v>
      </c>
      <c r="J2248" s="11">
        <f>1/(H2248*Utilities!$B$11)</f>
        <v>8</v>
      </c>
      <c r="K2248" s="11">
        <f>IF(B2248&lt;C2248,1,EXP(-1*(B2248-C2248)/(Utilities!$B$11*IterData!H2248)))</f>
        <v>1</v>
      </c>
    </row>
    <row r="2249" spans="8:11" x14ac:dyDescent="0.3">
      <c r="H2249">
        <v>0.5</v>
      </c>
      <c r="I2249" s="11">
        <f t="shared" si="35"/>
        <v>0</v>
      </c>
      <c r="J2249" s="11">
        <f>1/(H2249*Utilities!$B$11)</f>
        <v>8</v>
      </c>
      <c r="K2249" s="11">
        <f>IF(B2249&lt;C2249,1,EXP(-1*(B2249-C2249)/(Utilities!$B$11*IterData!H2249)))</f>
        <v>1</v>
      </c>
    </row>
    <row r="2250" spans="8:11" x14ac:dyDescent="0.3">
      <c r="H2250">
        <v>0.5</v>
      </c>
      <c r="I2250" s="11">
        <f t="shared" si="35"/>
        <v>0</v>
      </c>
      <c r="J2250" s="11">
        <f>1/(H2250*Utilities!$B$11)</f>
        <v>8</v>
      </c>
      <c r="K2250" s="11">
        <f>IF(B2250&lt;C2250,1,EXP(-1*(B2250-C2250)/(Utilities!$B$11*IterData!H2250)))</f>
        <v>1</v>
      </c>
    </row>
    <row r="2251" spans="8:11" x14ac:dyDescent="0.3">
      <c r="H2251">
        <v>0.5</v>
      </c>
      <c r="I2251" s="11">
        <f t="shared" si="35"/>
        <v>0</v>
      </c>
      <c r="J2251" s="11">
        <f>1/(H2251*Utilities!$B$11)</f>
        <v>8</v>
      </c>
      <c r="K2251" s="11">
        <f>IF(B2251&lt;C2251,1,EXP(-1*(B2251-C2251)/(Utilities!$B$11*IterData!H2251)))</f>
        <v>1</v>
      </c>
    </row>
    <row r="2252" spans="8:11" x14ac:dyDescent="0.3">
      <c r="H2252">
        <v>0.5</v>
      </c>
      <c r="I2252" s="11">
        <f t="shared" si="35"/>
        <v>0</v>
      </c>
      <c r="J2252" s="11">
        <f>1/(H2252*Utilities!$B$11)</f>
        <v>8</v>
      </c>
      <c r="K2252" s="11">
        <f>IF(B2252&lt;C2252,1,EXP(-1*(B2252-C2252)/(Utilities!$B$11*IterData!H2252)))</f>
        <v>1</v>
      </c>
    </row>
    <row r="2253" spans="8:11" x14ac:dyDescent="0.3">
      <c r="H2253">
        <v>0.5</v>
      </c>
      <c r="I2253" s="11">
        <f t="shared" si="35"/>
        <v>0</v>
      </c>
      <c r="J2253" s="11">
        <f>1/(H2253*Utilities!$B$11)</f>
        <v>8</v>
      </c>
      <c r="K2253" s="11">
        <f>IF(B2253&lt;C2253,1,EXP(-1*(B2253-C2253)/(Utilities!$B$11*IterData!H2253)))</f>
        <v>1</v>
      </c>
    </row>
    <row r="2254" spans="8:11" x14ac:dyDescent="0.3">
      <c r="H2254">
        <v>0.5</v>
      </c>
      <c r="I2254" s="11">
        <f t="shared" si="35"/>
        <v>0</v>
      </c>
      <c r="J2254" s="11">
        <f>1/(H2254*Utilities!$B$11)</f>
        <v>8</v>
      </c>
      <c r="K2254" s="11">
        <f>IF(B2254&lt;C2254,1,EXP(-1*(B2254-C2254)/(Utilities!$B$11*IterData!H2254)))</f>
        <v>1</v>
      </c>
    </row>
    <row r="2255" spans="8:11" x14ac:dyDescent="0.3">
      <c r="H2255">
        <v>0.5</v>
      </c>
      <c r="I2255" s="11">
        <f t="shared" si="35"/>
        <v>0</v>
      </c>
      <c r="J2255" s="11">
        <f>1/(H2255*Utilities!$B$11)</f>
        <v>8</v>
      </c>
      <c r="K2255" s="11">
        <f>IF(B2255&lt;C2255,1,EXP(-1*(B2255-C2255)/(Utilities!$B$11*IterData!H2255)))</f>
        <v>1</v>
      </c>
    </row>
    <row r="2256" spans="8:11" x14ac:dyDescent="0.3">
      <c r="H2256">
        <v>0.5</v>
      </c>
      <c r="I2256" s="11">
        <f t="shared" si="35"/>
        <v>0</v>
      </c>
      <c r="J2256" s="11">
        <f>1/(H2256*Utilities!$B$11)</f>
        <v>8</v>
      </c>
      <c r="K2256" s="11">
        <f>IF(B2256&lt;C2256,1,EXP(-1*(B2256-C2256)/(Utilities!$B$11*IterData!H2256)))</f>
        <v>1</v>
      </c>
    </row>
    <row r="2257" spans="8:11" x14ac:dyDescent="0.3">
      <c r="H2257">
        <v>0.5</v>
      </c>
      <c r="I2257" s="11">
        <f t="shared" si="35"/>
        <v>0</v>
      </c>
      <c r="J2257" s="11">
        <f>1/(H2257*Utilities!$B$11)</f>
        <v>8</v>
      </c>
      <c r="K2257" s="11">
        <f>IF(B2257&lt;C2257,1,EXP(-1*(B2257-C2257)/(Utilities!$B$11*IterData!H2257)))</f>
        <v>1</v>
      </c>
    </row>
    <row r="2258" spans="8:11" x14ac:dyDescent="0.3">
      <c r="H2258">
        <v>0.5</v>
      </c>
      <c r="I2258" s="11">
        <f t="shared" si="35"/>
        <v>0</v>
      </c>
      <c r="J2258" s="11">
        <f>1/(H2258*Utilities!$B$11)</f>
        <v>8</v>
      </c>
      <c r="K2258" s="11">
        <f>IF(B2258&lt;C2258,1,EXP(-1*(B2258-C2258)/(Utilities!$B$11*IterData!H2258)))</f>
        <v>1</v>
      </c>
    </row>
    <row r="2259" spans="8:11" x14ac:dyDescent="0.3">
      <c r="H2259">
        <v>0.5</v>
      </c>
      <c r="I2259" s="11">
        <f t="shared" si="35"/>
        <v>0</v>
      </c>
      <c r="J2259" s="11">
        <f>1/(H2259*Utilities!$B$11)</f>
        <v>8</v>
      </c>
      <c r="K2259" s="11">
        <f>IF(B2259&lt;C2259,1,EXP(-1*(B2259-C2259)/(Utilities!$B$11*IterData!H2259)))</f>
        <v>1</v>
      </c>
    </row>
    <row r="2260" spans="8:11" x14ac:dyDescent="0.3">
      <c r="H2260">
        <v>0.5</v>
      </c>
      <c r="I2260" s="11">
        <f t="shared" si="35"/>
        <v>0</v>
      </c>
      <c r="J2260" s="11">
        <f>1/(H2260*Utilities!$B$11)</f>
        <v>8</v>
      </c>
      <c r="K2260" s="11">
        <f>IF(B2260&lt;C2260,1,EXP(-1*(B2260-C2260)/(Utilities!$B$11*IterData!H2260)))</f>
        <v>1</v>
      </c>
    </row>
    <row r="2261" spans="8:11" x14ac:dyDescent="0.3">
      <c r="H2261">
        <v>0.5</v>
      </c>
      <c r="I2261" s="11">
        <f t="shared" si="35"/>
        <v>0</v>
      </c>
      <c r="J2261" s="11">
        <f>1/(H2261*Utilities!$B$11)</f>
        <v>8</v>
      </c>
      <c r="K2261" s="11">
        <f>IF(B2261&lt;C2261,1,EXP(-1*(B2261-C2261)/(Utilities!$B$11*IterData!H2261)))</f>
        <v>1</v>
      </c>
    </row>
    <row r="2262" spans="8:11" x14ac:dyDescent="0.3">
      <c r="H2262">
        <v>0.5</v>
      </c>
      <c r="I2262" s="11">
        <f t="shared" si="35"/>
        <v>0</v>
      </c>
      <c r="J2262" s="11">
        <f>1/(H2262*Utilities!$B$11)</f>
        <v>8</v>
      </c>
      <c r="K2262" s="11">
        <f>IF(B2262&lt;C2262,1,EXP(-1*(B2262-C2262)/(Utilities!$B$11*IterData!H2262)))</f>
        <v>1</v>
      </c>
    </row>
    <row r="2263" spans="8:11" x14ac:dyDescent="0.3">
      <c r="H2263">
        <v>0.5</v>
      </c>
      <c r="I2263" s="11">
        <f t="shared" si="35"/>
        <v>0</v>
      </c>
      <c r="J2263" s="11">
        <f>1/(H2263*Utilities!$B$11)</f>
        <v>8</v>
      </c>
      <c r="K2263" s="11">
        <f>IF(B2263&lt;C2263,1,EXP(-1*(B2263-C2263)/(Utilities!$B$11*IterData!H2263)))</f>
        <v>1</v>
      </c>
    </row>
    <row r="2264" spans="8:11" x14ac:dyDescent="0.3">
      <c r="H2264">
        <v>0.5</v>
      </c>
      <c r="I2264" s="11">
        <f t="shared" si="35"/>
        <v>0</v>
      </c>
      <c r="J2264" s="11">
        <f>1/(H2264*Utilities!$B$11)</f>
        <v>8</v>
      </c>
      <c r="K2264" s="11">
        <f>IF(B2264&lt;C2264,1,EXP(-1*(B2264-C2264)/(Utilities!$B$11*IterData!H2264)))</f>
        <v>1</v>
      </c>
    </row>
    <row r="2265" spans="8:11" x14ac:dyDescent="0.3">
      <c r="H2265">
        <v>0.5</v>
      </c>
      <c r="I2265" s="11">
        <f t="shared" si="35"/>
        <v>0</v>
      </c>
      <c r="J2265" s="11">
        <f>1/(H2265*Utilities!$B$11)</f>
        <v>8</v>
      </c>
      <c r="K2265" s="11">
        <f>IF(B2265&lt;C2265,1,EXP(-1*(B2265-C2265)/(Utilities!$B$11*IterData!H2265)))</f>
        <v>1</v>
      </c>
    </row>
    <row r="2266" spans="8:11" x14ac:dyDescent="0.3">
      <c r="H2266">
        <v>0.5</v>
      </c>
      <c r="I2266" s="11">
        <f t="shared" si="35"/>
        <v>0</v>
      </c>
      <c r="J2266" s="11">
        <f>1/(H2266*Utilities!$B$11)</f>
        <v>8</v>
      </c>
      <c r="K2266" s="11">
        <f>IF(B2266&lt;C2266,1,EXP(-1*(B2266-C2266)/(Utilities!$B$11*IterData!H2266)))</f>
        <v>1</v>
      </c>
    </row>
    <row r="2267" spans="8:11" x14ac:dyDescent="0.3">
      <c r="H2267">
        <v>0.5</v>
      </c>
      <c r="I2267" s="11">
        <f t="shared" si="35"/>
        <v>0</v>
      </c>
      <c r="J2267" s="11">
        <f>1/(H2267*Utilities!$B$11)</f>
        <v>8</v>
      </c>
      <c r="K2267" s="11">
        <f>IF(B2267&lt;C2267,1,EXP(-1*(B2267-C2267)/(Utilities!$B$11*IterData!H2267)))</f>
        <v>1</v>
      </c>
    </row>
    <row r="2268" spans="8:11" x14ac:dyDescent="0.3">
      <c r="H2268">
        <v>0.5</v>
      </c>
      <c r="I2268" s="11">
        <f t="shared" si="35"/>
        <v>0</v>
      </c>
      <c r="J2268" s="11">
        <f>1/(H2268*Utilities!$B$11)</f>
        <v>8</v>
      </c>
      <c r="K2268" s="11">
        <f>IF(B2268&lt;C2268,1,EXP(-1*(B2268-C2268)/(Utilities!$B$11*IterData!H2268)))</f>
        <v>1</v>
      </c>
    </row>
    <row r="2269" spans="8:11" x14ac:dyDescent="0.3">
      <c r="H2269">
        <v>0.5</v>
      </c>
      <c r="I2269" s="11">
        <f t="shared" si="35"/>
        <v>0</v>
      </c>
      <c r="J2269" s="11">
        <f>1/(H2269*Utilities!$B$11)</f>
        <v>8</v>
      </c>
      <c r="K2269" s="11">
        <f>IF(B2269&lt;C2269,1,EXP(-1*(B2269-C2269)/(Utilities!$B$11*IterData!H2269)))</f>
        <v>1</v>
      </c>
    </row>
    <row r="2270" spans="8:11" x14ac:dyDescent="0.3">
      <c r="H2270">
        <v>0.5</v>
      </c>
      <c r="I2270" s="11">
        <f t="shared" si="35"/>
        <v>0</v>
      </c>
      <c r="J2270" s="11">
        <f>1/(H2270*Utilities!$B$11)</f>
        <v>8</v>
      </c>
      <c r="K2270" s="11">
        <f>IF(B2270&lt;C2270,1,EXP(-1*(B2270-C2270)/(Utilities!$B$11*IterData!H2270)))</f>
        <v>1</v>
      </c>
    </row>
    <row r="2271" spans="8:11" x14ac:dyDescent="0.3">
      <c r="H2271">
        <v>0.5</v>
      </c>
      <c r="I2271" s="11">
        <f t="shared" si="35"/>
        <v>0</v>
      </c>
      <c r="J2271" s="11">
        <f>1/(H2271*Utilities!$B$11)</f>
        <v>8</v>
      </c>
      <c r="K2271" s="11">
        <f>IF(B2271&lt;C2271,1,EXP(-1*(B2271-C2271)/(Utilities!$B$11*IterData!H2271)))</f>
        <v>1</v>
      </c>
    </row>
    <row r="2272" spans="8:11" x14ac:dyDescent="0.3">
      <c r="H2272">
        <v>0.5</v>
      </c>
      <c r="I2272" s="11">
        <f t="shared" si="35"/>
        <v>0</v>
      </c>
      <c r="J2272" s="11">
        <f>1/(H2272*Utilities!$B$11)</f>
        <v>8</v>
      </c>
      <c r="K2272" s="11">
        <f>IF(B2272&lt;C2272,1,EXP(-1*(B2272-C2272)/(Utilities!$B$11*IterData!H2272)))</f>
        <v>1</v>
      </c>
    </row>
    <row r="2273" spans="8:11" x14ac:dyDescent="0.3">
      <c r="H2273">
        <v>0.5</v>
      </c>
      <c r="I2273" s="11">
        <f t="shared" si="35"/>
        <v>0</v>
      </c>
      <c r="J2273" s="11">
        <f>1/(H2273*Utilities!$B$11)</f>
        <v>8</v>
      </c>
      <c r="K2273" s="11">
        <f>IF(B2273&lt;C2273,1,EXP(-1*(B2273-C2273)/(Utilities!$B$11*IterData!H2273)))</f>
        <v>1</v>
      </c>
    </row>
    <row r="2274" spans="8:11" x14ac:dyDescent="0.3">
      <c r="H2274">
        <v>0.5</v>
      </c>
      <c r="I2274" s="11">
        <f t="shared" si="35"/>
        <v>0</v>
      </c>
      <c r="J2274" s="11">
        <f>1/(H2274*Utilities!$B$11)</f>
        <v>8</v>
      </c>
      <c r="K2274" s="11">
        <f>IF(B2274&lt;C2274,1,EXP(-1*(B2274-C2274)/(Utilities!$B$11*IterData!H2274)))</f>
        <v>1</v>
      </c>
    </row>
    <row r="2275" spans="8:11" x14ac:dyDescent="0.3">
      <c r="H2275">
        <v>0.5</v>
      </c>
      <c r="I2275" s="11">
        <f t="shared" si="35"/>
        <v>0</v>
      </c>
      <c r="J2275" s="11">
        <f>1/(H2275*Utilities!$B$11)</f>
        <v>8</v>
      </c>
      <c r="K2275" s="11">
        <f>IF(B2275&lt;C2275,1,EXP(-1*(B2275-C2275)/(Utilities!$B$11*IterData!H2275)))</f>
        <v>1</v>
      </c>
    </row>
    <row r="2276" spans="8:11" x14ac:dyDescent="0.3">
      <c r="H2276">
        <v>0.5</v>
      </c>
      <c r="I2276" s="11">
        <f t="shared" si="35"/>
        <v>0</v>
      </c>
      <c r="J2276" s="11">
        <f>1/(H2276*Utilities!$B$11)</f>
        <v>8</v>
      </c>
      <c r="K2276" s="11">
        <f>IF(B2276&lt;C2276,1,EXP(-1*(B2276-C2276)/(Utilities!$B$11*IterData!H2276)))</f>
        <v>1</v>
      </c>
    </row>
    <row r="2277" spans="8:11" x14ac:dyDescent="0.3">
      <c r="H2277">
        <v>0.5</v>
      </c>
      <c r="I2277" s="11">
        <f t="shared" si="35"/>
        <v>0</v>
      </c>
      <c r="J2277" s="11">
        <f>1/(H2277*Utilities!$B$11)</f>
        <v>8</v>
      </c>
      <c r="K2277" s="11">
        <f>IF(B2277&lt;C2277,1,EXP(-1*(B2277-C2277)/(Utilities!$B$11*IterData!H2277)))</f>
        <v>1</v>
      </c>
    </row>
    <row r="2278" spans="8:11" x14ac:dyDescent="0.3">
      <c r="H2278">
        <v>0.5</v>
      </c>
      <c r="I2278" s="11">
        <f t="shared" si="35"/>
        <v>0</v>
      </c>
      <c r="J2278" s="11">
        <f>1/(H2278*Utilities!$B$11)</f>
        <v>8</v>
      </c>
      <c r="K2278" s="11">
        <f>IF(B2278&lt;C2278,1,EXP(-1*(B2278-C2278)/(Utilities!$B$11*IterData!H2278)))</f>
        <v>1</v>
      </c>
    </row>
    <row r="2279" spans="8:11" x14ac:dyDescent="0.3">
      <c r="H2279">
        <v>0.5</v>
      </c>
      <c r="I2279" s="11">
        <f t="shared" si="35"/>
        <v>0</v>
      </c>
      <c r="J2279" s="11">
        <f>1/(H2279*Utilities!$B$11)</f>
        <v>8</v>
      </c>
      <c r="K2279" s="11">
        <f>IF(B2279&lt;C2279,1,EXP(-1*(B2279-C2279)/(Utilities!$B$11*IterData!H2279)))</f>
        <v>1</v>
      </c>
    </row>
    <row r="2280" spans="8:11" x14ac:dyDescent="0.3">
      <c r="H2280">
        <v>0.5</v>
      </c>
      <c r="I2280" s="11">
        <f t="shared" si="35"/>
        <v>0</v>
      </c>
      <c r="J2280" s="11">
        <f>1/(H2280*Utilities!$B$11)</f>
        <v>8</v>
      </c>
      <c r="K2280" s="11">
        <f>IF(B2280&lt;C2280,1,EXP(-1*(B2280-C2280)/(Utilities!$B$11*IterData!H2280)))</f>
        <v>1</v>
      </c>
    </row>
    <row r="2281" spans="8:11" x14ac:dyDescent="0.3">
      <c r="H2281">
        <v>0.5</v>
      </c>
      <c r="I2281" s="11">
        <f t="shared" si="35"/>
        <v>0</v>
      </c>
      <c r="J2281" s="11">
        <f>1/(H2281*Utilities!$B$11)</f>
        <v>8</v>
      </c>
      <c r="K2281" s="11">
        <f>IF(B2281&lt;C2281,1,EXP(-1*(B2281-C2281)/(Utilities!$B$11*IterData!H2281)))</f>
        <v>1</v>
      </c>
    </row>
    <row r="2282" spans="8:11" x14ac:dyDescent="0.3">
      <c r="H2282">
        <v>0.5</v>
      </c>
      <c r="I2282" s="11">
        <f t="shared" si="35"/>
        <v>0</v>
      </c>
      <c r="J2282" s="11">
        <f>1/(H2282*Utilities!$B$11)</f>
        <v>8</v>
      </c>
      <c r="K2282" s="11">
        <f>IF(B2282&lt;C2282,1,EXP(-1*(B2282-C2282)/(Utilities!$B$11*IterData!H2282)))</f>
        <v>1</v>
      </c>
    </row>
    <row r="2283" spans="8:11" x14ac:dyDescent="0.3">
      <c r="H2283">
        <v>0.5</v>
      </c>
      <c r="I2283" s="11">
        <f t="shared" si="35"/>
        <v>0</v>
      </c>
      <c r="J2283" s="11">
        <f>1/(H2283*Utilities!$B$11)</f>
        <v>8</v>
      </c>
      <c r="K2283" s="11">
        <f>IF(B2283&lt;C2283,1,EXP(-1*(B2283-C2283)/(Utilities!$B$11*IterData!H2283)))</f>
        <v>1</v>
      </c>
    </row>
    <row r="2284" spans="8:11" x14ac:dyDescent="0.3">
      <c r="H2284">
        <v>0.5</v>
      </c>
      <c r="I2284" s="11">
        <f t="shared" si="35"/>
        <v>0</v>
      </c>
      <c r="J2284" s="11">
        <f>1/(H2284*Utilities!$B$11)</f>
        <v>8</v>
      </c>
      <c r="K2284" s="11">
        <f>IF(B2284&lt;C2284,1,EXP(-1*(B2284-C2284)/(Utilities!$B$11*IterData!H2284)))</f>
        <v>1</v>
      </c>
    </row>
    <row r="2285" spans="8:11" x14ac:dyDescent="0.3">
      <c r="H2285">
        <v>0.5</v>
      </c>
      <c r="I2285" s="11">
        <f t="shared" si="35"/>
        <v>0</v>
      </c>
      <c r="J2285" s="11">
        <f>1/(H2285*Utilities!$B$11)</f>
        <v>8</v>
      </c>
      <c r="K2285" s="11">
        <f>IF(B2285&lt;C2285,1,EXP(-1*(B2285-C2285)/(Utilities!$B$11*IterData!H2285)))</f>
        <v>1</v>
      </c>
    </row>
    <row r="2286" spans="8:11" x14ac:dyDescent="0.3">
      <c r="H2286">
        <v>0.5</v>
      </c>
      <c r="I2286" s="11">
        <f t="shared" si="35"/>
        <v>0</v>
      </c>
      <c r="J2286" s="11">
        <f>1/(H2286*Utilities!$B$11)</f>
        <v>8</v>
      </c>
      <c r="K2286" s="11">
        <f>IF(B2286&lt;C2286,1,EXP(-1*(B2286-C2286)/(Utilities!$B$11*IterData!H2286)))</f>
        <v>1</v>
      </c>
    </row>
    <row r="2287" spans="8:11" x14ac:dyDescent="0.3">
      <c r="H2287">
        <v>0.5</v>
      </c>
      <c r="I2287" s="11">
        <f t="shared" si="35"/>
        <v>0</v>
      </c>
      <c r="J2287" s="11">
        <f>1/(H2287*Utilities!$B$11)</f>
        <v>8</v>
      </c>
      <c r="K2287" s="11">
        <f>IF(B2287&lt;C2287,1,EXP(-1*(B2287-C2287)/(Utilities!$B$11*IterData!H2287)))</f>
        <v>1</v>
      </c>
    </row>
    <row r="2288" spans="8:11" x14ac:dyDescent="0.3">
      <c r="H2288">
        <v>0.5</v>
      </c>
      <c r="I2288" s="11">
        <f t="shared" si="35"/>
        <v>0</v>
      </c>
      <c r="J2288" s="11">
        <f>1/(H2288*Utilities!$B$11)</f>
        <v>8</v>
      </c>
      <c r="K2288" s="11">
        <f>IF(B2288&lt;C2288,1,EXP(-1*(B2288-C2288)/(Utilities!$B$11*IterData!H2288)))</f>
        <v>1</v>
      </c>
    </row>
    <row r="2289" spans="8:11" x14ac:dyDescent="0.3">
      <c r="H2289">
        <v>0.5</v>
      </c>
      <c r="I2289" s="11">
        <f t="shared" si="35"/>
        <v>0</v>
      </c>
      <c r="J2289" s="11">
        <f>1/(H2289*Utilities!$B$11)</f>
        <v>8</v>
      </c>
      <c r="K2289" s="11">
        <f>IF(B2289&lt;C2289,1,EXP(-1*(B2289-C2289)/(Utilities!$B$11*IterData!H2289)))</f>
        <v>1</v>
      </c>
    </row>
    <row r="2290" spans="8:11" x14ac:dyDescent="0.3">
      <c r="H2290">
        <v>0.5</v>
      </c>
      <c r="I2290" s="11">
        <f t="shared" si="35"/>
        <v>0</v>
      </c>
      <c r="J2290" s="11">
        <f>1/(H2290*Utilities!$B$11)</f>
        <v>8</v>
      </c>
      <c r="K2290" s="11">
        <f>IF(B2290&lt;C2290,1,EXP(-1*(B2290-C2290)/(Utilities!$B$11*IterData!H2290)))</f>
        <v>1</v>
      </c>
    </row>
    <row r="2291" spans="8:11" x14ac:dyDescent="0.3">
      <c r="H2291">
        <v>0.5</v>
      </c>
      <c r="I2291" s="11">
        <f t="shared" si="35"/>
        <v>0</v>
      </c>
      <c r="J2291" s="11">
        <f>1/(H2291*Utilities!$B$11)</f>
        <v>8</v>
      </c>
      <c r="K2291" s="11">
        <f>IF(B2291&lt;C2291,1,EXP(-1*(B2291-C2291)/(Utilities!$B$11*IterData!H2291)))</f>
        <v>1</v>
      </c>
    </row>
    <row r="2292" spans="8:11" x14ac:dyDescent="0.3">
      <c r="H2292">
        <v>0.5</v>
      </c>
      <c r="I2292" s="11">
        <f t="shared" si="35"/>
        <v>0</v>
      </c>
      <c r="J2292" s="11">
        <f>1/(H2292*Utilities!$B$11)</f>
        <v>8</v>
      </c>
      <c r="K2292" s="11">
        <f>IF(B2292&lt;C2292,1,EXP(-1*(B2292-C2292)/(Utilities!$B$11*IterData!H2292)))</f>
        <v>1</v>
      </c>
    </row>
    <row r="2293" spans="8:11" x14ac:dyDescent="0.3">
      <c r="H2293">
        <v>0.5</v>
      </c>
      <c r="I2293" s="11">
        <f t="shared" si="35"/>
        <v>0</v>
      </c>
      <c r="J2293" s="11">
        <f>1/(H2293*Utilities!$B$11)</f>
        <v>8</v>
      </c>
      <c r="K2293" s="11">
        <f>IF(B2293&lt;C2293,1,EXP(-1*(B2293-C2293)/(Utilities!$B$11*IterData!H2293)))</f>
        <v>1</v>
      </c>
    </row>
    <row r="2294" spans="8:11" x14ac:dyDescent="0.3">
      <c r="H2294">
        <v>0.5</v>
      </c>
      <c r="I2294" s="11">
        <f t="shared" si="35"/>
        <v>0</v>
      </c>
      <c r="J2294" s="11">
        <f>1/(H2294*Utilities!$B$11)</f>
        <v>8</v>
      </c>
      <c r="K2294" s="11">
        <f>IF(B2294&lt;C2294,1,EXP(-1*(B2294-C2294)/(Utilities!$B$11*IterData!H2294)))</f>
        <v>1</v>
      </c>
    </row>
    <row r="2295" spans="8:11" x14ac:dyDescent="0.3">
      <c r="H2295">
        <v>0.5</v>
      </c>
      <c r="I2295" s="11">
        <f t="shared" si="35"/>
        <v>0</v>
      </c>
      <c r="J2295" s="11">
        <f>1/(H2295*Utilities!$B$11)</f>
        <v>8</v>
      </c>
      <c r="K2295" s="11">
        <f>IF(B2295&lt;C2295,1,EXP(-1*(B2295-C2295)/(Utilities!$B$11*IterData!H2295)))</f>
        <v>1</v>
      </c>
    </row>
    <row r="2296" spans="8:11" x14ac:dyDescent="0.3">
      <c r="H2296">
        <v>0.5</v>
      </c>
      <c r="I2296" s="11">
        <f t="shared" si="35"/>
        <v>0</v>
      </c>
      <c r="J2296" s="11">
        <f>1/(H2296*Utilities!$B$11)</f>
        <v>8</v>
      </c>
      <c r="K2296" s="11">
        <f>IF(B2296&lt;C2296,1,EXP(-1*(B2296-C2296)/(Utilities!$B$11*IterData!H2296)))</f>
        <v>1</v>
      </c>
    </row>
    <row r="2297" spans="8:11" x14ac:dyDescent="0.3">
      <c r="H2297">
        <v>0.5</v>
      </c>
      <c r="I2297" s="11">
        <f t="shared" si="35"/>
        <v>0</v>
      </c>
      <c r="J2297" s="11">
        <f>1/(H2297*Utilities!$B$11)</f>
        <v>8</v>
      </c>
      <c r="K2297" s="11">
        <f>IF(B2297&lt;C2297,1,EXP(-1*(B2297-C2297)/(Utilities!$B$11*IterData!H2297)))</f>
        <v>1</v>
      </c>
    </row>
    <row r="2298" spans="8:11" x14ac:dyDescent="0.3">
      <c r="H2298">
        <v>0.5</v>
      </c>
      <c r="I2298" s="11">
        <f t="shared" si="35"/>
        <v>0</v>
      </c>
      <c r="J2298" s="11">
        <f>1/(H2298*Utilities!$B$11)</f>
        <v>8</v>
      </c>
      <c r="K2298" s="11">
        <f>IF(B2298&lt;C2298,1,EXP(-1*(B2298-C2298)/(Utilities!$B$11*IterData!H2298)))</f>
        <v>1</v>
      </c>
    </row>
    <row r="2299" spans="8:11" x14ac:dyDescent="0.3">
      <c r="H2299">
        <v>0.5</v>
      </c>
      <c r="I2299" s="11">
        <f t="shared" si="35"/>
        <v>0</v>
      </c>
      <c r="J2299" s="11">
        <f>1/(H2299*Utilities!$B$11)</f>
        <v>8</v>
      </c>
      <c r="K2299" s="11">
        <f>IF(B2299&lt;C2299,1,EXP(-1*(B2299-C2299)/(Utilities!$B$11*IterData!H2299)))</f>
        <v>1</v>
      </c>
    </row>
    <row r="2300" spans="8:11" x14ac:dyDescent="0.3">
      <c r="H2300">
        <v>0.5</v>
      </c>
      <c r="I2300" s="11">
        <f t="shared" si="35"/>
        <v>0</v>
      </c>
      <c r="J2300" s="11">
        <f>1/(H2300*Utilities!$B$11)</f>
        <v>8</v>
      </c>
      <c r="K2300" s="11">
        <f>IF(B2300&lt;C2300,1,EXP(-1*(B2300-C2300)/(Utilities!$B$11*IterData!H2300)))</f>
        <v>1</v>
      </c>
    </row>
    <row r="2301" spans="8:11" x14ac:dyDescent="0.3">
      <c r="H2301">
        <v>0.5</v>
      </c>
      <c r="I2301" s="11">
        <f t="shared" si="35"/>
        <v>0</v>
      </c>
      <c r="J2301" s="11">
        <f>1/(H2301*Utilities!$B$11)</f>
        <v>8</v>
      </c>
      <c r="K2301" s="11">
        <f>IF(B2301&lt;C2301,1,EXP(-1*(B2301-C2301)/(Utilities!$B$11*IterData!H2301)))</f>
        <v>1</v>
      </c>
    </row>
    <row r="2302" spans="8:11" x14ac:dyDescent="0.3">
      <c r="H2302">
        <v>0.5</v>
      </c>
      <c r="I2302" s="11">
        <f t="shared" si="35"/>
        <v>0</v>
      </c>
      <c r="J2302" s="11">
        <f>1/(H2302*Utilities!$B$11)</f>
        <v>8</v>
      </c>
      <c r="K2302" s="11">
        <f>IF(B2302&lt;C2302,1,EXP(-1*(B2302-C2302)/(Utilities!$B$11*IterData!H2302)))</f>
        <v>1</v>
      </c>
    </row>
    <row r="2303" spans="8:11" x14ac:dyDescent="0.3">
      <c r="H2303">
        <v>0.5</v>
      </c>
      <c r="I2303" s="11">
        <f t="shared" si="35"/>
        <v>0</v>
      </c>
      <c r="J2303" s="11">
        <f>1/(H2303*Utilities!$B$11)</f>
        <v>8</v>
      </c>
      <c r="K2303" s="11">
        <f>IF(B2303&lt;C2303,1,EXP(-1*(B2303-C2303)/(Utilities!$B$11*IterData!H2303)))</f>
        <v>1</v>
      </c>
    </row>
    <row r="2304" spans="8:11" x14ac:dyDescent="0.3">
      <c r="H2304">
        <v>0.5</v>
      </c>
      <c r="I2304" s="11">
        <f t="shared" si="35"/>
        <v>0</v>
      </c>
      <c r="J2304" s="11">
        <f>1/(H2304*Utilities!$B$11)</f>
        <v>8</v>
      </c>
      <c r="K2304" s="11">
        <f>IF(B2304&lt;C2304,1,EXP(-1*(B2304-C2304)/(Utilities!$B$11*IterData!H2304)))</f>
        <v>1</v>
      </c>
    </row>
    <row r="2305" spans="8:11" x14ac:dyDescent="0.3">
      <c r="H2305">
        <v>0.5</v>
      </c>
      <c r="I2305" s="11">
        <f t="shared" si="35"/>
        <v>0</v>
      </c>
      <c r="J2305" s="11">
        <f>1/(H2305*Utilities!$B$11)</f>
        <v>8</v>
      </c>
      <c r="K2305" s="11">
        <f>IF(B2305&lt;C2305,1,EXP(-1*(B2305-C2305)/(Utilities!$B$11*IterData!H2305)))</f>
        <v>1</v>
      </c>
    </row>
    <row r="2306" spans="8:11" x14ac:dyDescent="0.3">
      <c r="H2306">
        <v>0.5</v>
      </c>
      <c r="I2306" s="11">
        <f t="shared" si="35"/>
        <v>0</v>
      </c>
      <c r="J2306" s="11">
        <f>1/(H2306*Utilities!$B$11)</f>
        <v>8</v>
      </c>
      <c r="K2306" s="11">
        <f>IF(B2306&lt;C2306,1,EXP(-1*(B2306-C2306)/(Utilities!$B$11*IterData!H2306)))</f>
        <v>1</v>
      </c>
    </row>
    <row r="2307" spans="8:11" x14ac:dyDescent="0.3">
      <c r="H2307">
        <v>0.5</v>
      </c>
      <c r="I2307" s="11">
        <f t="shared" ref="I2307:I2370" si="36">B2307-C2307</f>
        <v>0</v>
      </c>
      <c r="J2307" s="11">
        <f>1/(H2307*Utilities!$B$11)</f>
        <v>8</v>
      </c>
      <c r="K2307" s="11">
        <f>IF(B2307&lt;C2307,1,EXP(-1*(B2307-C2307)/(Utilities!$B$11*IterData!H2307)))</f>
        <v>1</v>
      </c>
    </row>
    <row r="2308" spans="8:11" x14ac:dyDescent="0.3">
      <c r="H2308">
        <v>0.5</v>
      </c>
      <c r="I2308" s="11">
        <f t="shared" si="36"/>
        <v>0</v>
      </c>
      <c r="J2308" s="11">
        <f>1/(H2308*Utilities!$B$11)</f>
        <v>8</v>
      </c>
      <c r="K2308" s="11">
        <f>IF(B2308&lt;C2308,1,EXP(-1*(B2308-C2308)/(Utilities!$B$11*IterData!H2308)))</f>
        <v>1</v>
      </c>
    </row>
    <row r="2309" spans="8:11" x14ac:dyDescent="0.3">
      <c r="H2309">
        <v>0.5</v>
      </c>
      <c r="I2309" s="11">
        <f t="shared" si="36"/>
        <v>0</v>
      </c>
      <c r="J2309" s="11">
        <f>1/(H2309*Utilities!$B$11)</f>
        <v>8</v>
      </c>
      <c r="K2309" s="11">
        <f>IF(B2309&lt;C2309,1,EXP(-1*(B2309-C2309)/(Utilities!$B$11*IterData!H2309)))</f>
        <v>1</v>
      </c>
    </row>
    <row r="2310" spans="8:11" x14ac:dyDescent="0.3">
      <c r="H2310">
        <v>0.5</v>
      </c>
      <c r="I2310" s="11">
        <f t="shared" si="36"/>
        <v>0</v>
      </c>
      <c r="J2310" s="11">
        <f>1/(H2310*Utilities!$B$11)</f>
        <v>8</v>
      </c>
      <c r="K2310" s="11">
        <f>IF(B2310&lt;C2310,1,EXP(-1*(B2310-C2310)/(Utilities!$B$11*IterData!H2310)))</f>
        <v>1</v>
      </c>
    </row>
    <row r="2311" spans="8:11" x14ac:dyDescent="0.3">
      <c r="H2311">
        <v>0.5</v>
      </c>
      <c r="I2311" s="11">
        <f t="shared" si="36"/>
        <v>0</v>
      </c>
      <c r="J2311" s="11">
        <f>1/(H2311*Utilities!$B$11)</f>
        <v>8</v>
      </c>
      <c r="K2311" s="11">
        <f>IF(B2311&lt;C2311,1,EXP(-1*(B2311-C2311)/(Utilities!$B$11*IterData!H2311)))</f>
        <v>1</v>
      </c>
    </row>
    <row r="2312" spans="8:11" x14ac:dyDescent="0.3">
      <c r="H2312">
        <v>0.5</v>
      </c>
      <c r="I2312" s="11">
        <f t="shared" si="36"/>
        <v>0</v>
      </c>
      <c r="J2312" s="11">
        <f>1/(H2312*Utilities!$B$11)</f>
        <v>8</v>
      </c>
      <c r="K2312" s="11">
        <f>IF(B2312&lt;C2312,1,EXP(-1*(B2312-C2312)/(Utilities!$B$11*IterData!H2312)))</f>
        <v>1</v>
      </c>
    </row>
    <row r="2313" spans="8:11" x14ac:dyDescent="0.3">
      <c r="H2313">
        <v>0.5</v>
      </c>
      <c r="I2313" s="11">
        <f t="shared" si="36"/>
        <v>0</v>
      </c>
      <c r="J2313" s="11">
        <f>1/(H2313*Utilities!$B$11)</f>
        <v>8</v>
      </c>
      <c r="K2313" s="11">
        <f>IF(B2313&lt;C2313,1,EXP(-1*(B2313-C2313)/(Utilities!$B$11*IterData!H2313)))</f>
        <v>1</v>
      </c>
    </row>
    <row r="2314" spans="8:11" x14ac:dyDescent="0.3">
      <c r="H2314">
        <v>0.5</v>
      </c>
      <c r="I2314" s="11">
        <f t="shared" si="36"/>
        <v>0</v>
      </c>
      <c r="J2314" s="11">
        <f>1/(H2314*Utilities!$B$11)</f>
        <v>8</v>
      </c>
      <c r="K2314" s="11">
        <f>IF(B2314&lt;C2314,1,EXP(-1*(B2314-C2314)/(Utilities!$B$11*IterData!H2314)))</f>
        <v>1</v>
      </c>
    </row>
    <row r="2315" spans="8:11" x14ac:dyDescent="0.3">
      <c r="H2315">
        <v>0.5</v>
      </c>
      <c r="I2315" s="11">
        <f t="shared" si="36"/>
        <v>0</v>
      </c>
      <c r="J2315" s="11">
        <f>1/(H2315*Utilities!$B$11)</f>
        <v>8</v>
      </c>
      <c r="K2315" s="11">
        <f>IF(B2315&lt;C2315,1,EXP(-1*(B2315-C2315)/(Utilities!$B$11*IterData!H2315)))</f>
        <v>1</v>
      </c>
    </row>
    <row r="2316" spans="8:11" x14ac:dyDescent="0.3">
      <c r="H2316">
        <v>0.5</v>
      </c>
      <c r="I2316" s="11">
        <f t="shared" si="36"/>
        <v>0</v>
      </c>
      <c r="J2316" s="11">
        <f>1/(H2316*Utilities!$B$11)</f>
        <v>8</v>
      </c>
      <c r="K2316" s="11">
        <f>IF(B2316&lt;C2316,1,EXP(-1*(B2316-C2316)/(Utilities!$B$11*IterData!H2316)))</f>
        <v>1</v>
      </c>
    </row>
    <row r="2317" spans="8:11" x14ac:dyDescent="0.3">
      <c r="H2317">
        <v>0.5</v>
      </c>
      <c r="I2317" s="11">
        <f t="shared" si="36"/>
        <v>0</v>
      </c>
      <c r="J2317" s="11">
        <f>1/(H2317*Utilities!$B$11)</f>
        <v>8</v>
      </c>
      <c r="K2317" s="11">
        <f>IF(B2317&lt;C2317,1,EXP(-1*(B2317-C2317)/(Utilities!$B$11*IterData!H2317)))</f>
        <v>1</v>
      </c>
    </row>
    <row r="2318" spans="8:11" x14ac:dyDescent="0.3">
      <c r="H2318">
        <v>0.5</v>
      </c>
      <c r="I2318" s="11">
        <f t="shared" si="36"/>
        <v>0</v>
      </c>
      <c r="J2318" s="11">
        <f>1/(H2318*Utilities!$B$11)</f>
        <v>8</v>
      </c>
      <c r="K2318" s="11">
        <f>IF(B2318&lt;C2318,1,EXP(-1*(B2318-C2318)/(Utilities!$B$11*IterData!H2318)))</f>
        <v>1</v>
      </c>
    </row>
    <row r="2319" spans="8:11" x14ac:dyDescent="0.3">
      <c r="H2319">
        <v>0.5</v>
      </c>
      <c r="I2319" s="11">
        <f t="shared" si="36"/>
        <v>0</v>
      </c>
      <c r="J2319" s="11">
        <f>1/(H2319*Utilities!$B$11)</f>
        <v>8</v>
      </c>
      <c r="K2319" s="11">
        <f>IF(B2319&lt;C2319,1,EXP(-1*(B2319-C2319)/(Utilities!$B$11*IterData!H2319)))</f>
        <v>1</v>
      </c>
    </row>
    <row r="2320" spans="8:11" x14ac:dyDescent="0.3">
      <c r="H2320">
        <v>0.5</v>
      </c>
      <c r="I2320" s="11">
        <f t="shared" si="36"/>
        <v>0</v>
      </c>
      <c r="J2320" s="11">
        <f>1/(H2320*Utilities!$B$11)</f>
        <v>8</v>
      </c>
      <c r="K2320" s="11">
        <f>IF(B2320&lt;C2320,1,EXP(-1*(B2320-C2320)/(Utilities!$B$11*IterData!H2320)))</f>
        <v>1</v>
      </c>
    </row>
    <row r="2321" spans="8:11" x14ac:dyDescent="0.3">
      <c r="H2321">
        <v>0.5</v>
      </c>
      <c r="I2321" s="11">
        <f t="shared" si="36"/>
        <v>0</v>
      </c>
      <c r="J2321" s="11">
        <f>1/(H2321*Utilities!$B$11)</f>
        <v>8</v>
      </c>
      <c r="K2321" s="11">
        <f>IF(B2321&lt;C2321,1,EXP(-1*(B2321-C2321)/(Utilities!$B$11*IterData!H2321)))</f>
        <v>1</v>
      </c>
    </row>
    <row r="2322" spans="8:11" x14ac:dyDescent="0.3">
      <c r="H2322">
        <v>0.5</v>
      </c>
      <c r="I2322" s="11">
        <f t="shared" si="36"/>
        <v>0</v>
      </c>
      <c r="J2322" s="11">
        <f>1/(H2322*Utilities!$B$11)</f>
        <v>8</v>
      </c>
      <c r="K2322" s="11">
        <f>IF(B2322&lt;C2322,1,EXP(-1*(B2322-C2322)/(Utilities!$B$11*IterData!H2322)))</f>
        <v>1</v>
      </c>
    </row>
    <row r="2323" spans="8:11" x14ac:dyDescent="0.3">
      <c r="H2323">
        <v>0.5</v>
      </c>
      <c r="I2323" s="11">
        <f t="shared" si="36"/>
        <v>0</v>
      </c>
      <c r="J2323" s="11">
        <f>1/(H2323*Utilities!$B$11)</f>
        <v>8</v>
      </c>
      <c r="K2323" s="11">
        <f>IF(B2323&lt;C2323,1,EXP(-1*(B2323-C2323)/(Utilities!$B$11*IterData!H2323)))</f>
        <v>1</v>
      </c>
    </row>
    <row r="2324" spans="8:11" x14ac:dyDescent="0.3">
      <c r="H2324">
        <v>0.5</v>
      </c>
      <c r="I2324" s="11">
        <f t="shared" si="36"/>
        <v>0</v>
      </c>
      <c r="J2324" s="11">
        <f>1/(H2324*Utilities!$B$11)</f>
        <v>8</v>
      </c>
      <c r="K2324" s="11">
        <f>IF(B2324&lt;C2324,1,EXP(-1*(B2324-C2324)/(Utilities!$B$11*IterData!H2324)))</f>
        <v>1</v>
      </c>
    </row>
    <row r="2325" spans="8:11" x14ac:dyDescent="0.3">
      <c r="H2325">
        <v>0.5</v>
      </c>
      <c r="I2325" s="11">
        <f t="shared" si="36"/>
        <v>0</v>
      </c>
      <c r="J2325" s="11">
        <f>1/(H2325*Utilities!$B$11)</f>
        <v>8</v>
      </c>
      <c r="K2325" s="11">
        <f>IF(B2325&lt;C2325,1,EXP(-1*(B2325-C2325)/(Utilities!$B$11*IterData!H2325)))</f>
        <v>1</v>
      </c>
    </row>
    <row r="2326" spans="8:11" x14ac:dyDescent="0.3">
      <c r="H2326">
        <v>0.5</v>
      </c>
      <c r="I2326" s="11">
        <f t="shared" si="36"/>
        <v>0</v>
      </c>
      <c r="J2326" s="11">
        <f>1/(H2326*Utilities!$B$11)</f>
        <v>8</v>
      </c>
      <c r="K2326" s="11">
        <f>IF(B2326&lt;C2326,1,EXP(-1*(B2326-C2326)/(Utilities!$B$11*IterData!H2326)))</f>
        <v>1</v>
      </c>
    </row>
    <row r="2327" spans="8:11" x14ac:dyDescent="0.3">
      <c r="H2327">
        <v>0.5</v>
      </c>
      <c r="I2327" s="11">
        <f t="shared" si="36"/>
        <v>0</v>
      </c>
      <c r="J2327" s="11">
        <f>1/(H2327*Utilities!$B$11)</f>
        <v>8</v>
      </c>
      <c r="K2327" s="11">
        <f>IF(B2327&lt;C2327,1,EXP(-1*(B2327-C2327)/(Utilities!$B$11*IterData!H2327)))</f>
        <v>1</v>
      </c>
    </row>
    <row r="2328" spans="8:11" x14ac:dyDescent="0.3">
      <c r="H2328">
        <v>0.5</v>
      </c>
      <c r="I2328" s="11">
        <f t="shared" si="36"/>
        <v>0</v>
      </c>
      <c r="J2328" s="11">
        <f>1/(H2328*Utilities!$B$11)</f>
        <v>8</v>
      </c>
      <c r="K2328" s="11">
        <f>IF(B2328&lt;C2328,1,EXP(-1*(B2328-C2328)/(Utilities!$B$11*IterData!H2328)))</f>
        <v>1</v>
      </c>
    </row>
    <row r="2329" spans="8:11" x14ac:dyDescent="0.3">
      <c r="H2329">
        <v>0.5</v>
      </c>
      <c r="I2329" s="11">
        <f t="shared" si="36"/>
        <v>0</v>
      </c>
      <c r="J2329" s="11">
        <f>1/(H2329*Utilities!$B$11)</f>
        <v>8</v>
      </c>
      <c r="K2329" s="11">
        <f>IF(B2329&lt;C2329,1,EXP(-1*(B2329-C2329)/(Utilities!$B$11*IterData!H2329)))</f>
        <v>1</v>
      </c>
    </row>
    <row r="2330" spans="8:11" x14ac:dyDescent="0.3">
      <c r="H2330">
        <v>0.5</v>
      </c>
      <c r="I2330" s="11">
        <f t="shared" si="36"/>
        <v>0</v>
      </c>
      <c r="J2330" s="11">
        <f>1/(H2330*Utilities!$B$11)</f>
        <v>8</v>
      </c>
      <c r="K2330" s="11">
        <f>IF(B2330&lt;C2330,1,EXP(-1*(B2330-C2330)/(Utilities!$B$11*IterData!H2330)))</f>
        <v>1</v>
      </c>
    </row>
    <row r="2331" spans="8:11" x14ac:dyDescent="0.3">
      <c r="H2331">
        <v>0.5</v>
      </c>
      <c r="I2331" s="11">
        <f t="shared" si="36"/>
        <v>0</v>
      </c>
      <c r="J2331" s="11">
        <f>1/(H2331*Utilities!$B$11)</f>
        <v>8</v>
      </c>
      <c r="K2331" s="11">
        <f>IF(B2331&lt;C2331,1,EXP(-1*(B2331-C2331)/(Utilities!$B$11*IterData!H2331)))</f>
        <v>1</v>
      </c>
    </row>
    <row r="2332" spans="8:11" x14ac:dyDescent="0.3">
      <c r="H2332">
        <v>0.5</v>
      </c>
      <c r="I2332" s="11">
        <f t="shared" si="36"/>
        <v>0</v>
      </c>
      <c r="J2332" s="11">
        <f>1/(H2332*Utilities!$B$11)</f>
        <v>8</v>
      </c>
      <c r="K2332" s="11">
        <f>IF(B2332&lt;C2332,1,EXP(-1*(B2332-C2332)/(Utilities!$B$11*IterData!H2332)))</f>
        <v>1</v>
      </c>
    </row>
    <row r="2333" spans="8:11" x14ac:dyDescent="0.3">
      <c r="H2333">
        <v>0.5</v>
      </c>
      <c r="I2333" s="11">
        <f t="shared" si="36"/>
        <v>0</v>
      </c>
      <c r="J2333" s="11">
        <f>1/(H2333*Utilities!$B$11)</f>
        <v>8</v>
      </c>
      <c r="K2333" s="11">
        <f>IF(B2333&lt;C2333,1,EXP(-1*(B2333-C2333)/(Utilities!$B$11*IterData!H2333)))</f>
        <v>1</v>
      </c>
    </row>
    <row r="2334" spans="8:11" x14ac:dyDescent="0.3">
      <c r="H2334">
        <v>0.5</v>
      </c>
      <c r="I2334" s="11">
        <f t="shared" si="36"/>
        <v>0</v>
      </c>
      <c r="J2334" s="11">
        <f>1/(H2334*Utilities!$B$11)</f>
        <v>8</v>
      </c>
      <c r="K2334" s="11">
        <f>IF(B2334&lt;C2334,1,EXP(-1*(B2334-C2334)/(Utilities!$B$11*IterData!H2334)))</f>
        <v>1</v>
      </c>
    </row>
    <row r="2335" spans="8:11" x14ac:dyDescent="0.3">
      <c r="H2335">
        <v>0.5</v>
      </c>
      <c r="I2335" s="11">
        <f t="shared" si="36"/>
        <v>0</v>
      </c>
      <c r="J2335" s="11">
        <f>1/(H2335*Utilities!$B$11)</f>
        <v>8</v>
      </c>
      <c r="K2335" s="11">
        <f>IF(B2335&lt;C2335,1,EXP(-1*(B2335-C2335)/(Utilities!$B$11*IterData!H2335)))</f>
        <v>1</v>
      </c>
    </row>
    <row r="2336" spans="8:11" x14ac:dyDescent="0.3">
      <c r="H2336">
        <v>0.5</v>
      </c>
      <c r="I2336" s="11">
        <f t="shared" si="36"/>
        <v>0</v>
      </c>
      <c r="J2336" s="11">
        <f>1/(H2336*Utilities!$B$11)</f>
        <v>8</v>
      </c>
      <c r="K2336" s="11">
        <f>IF(B2336&lt;C2336,1,EXP(-1*(B2336-C2336)/(Utilities!$B$11*IterData!H2336)))</f>
        <v>1</v>
      </c>
    </row>
    <row r="2337" spans="8:11" x14ac:dyDescent="0.3">
      <c r="H2337">
        <v>0.5</v>
      </c>
      <c r="I2337" s="11">
        <f t="shared" si="36"/>
        <v>0</v>
      </c>
      <c r="J2337" s="11">
        <f>1/(H2337*Utilities!$B$11)</f>
        <v>8</v>
      </c>
      <c r="K2337" s="11">
        <f>IF(B2337&lt;C2337,1,EXP(-1*(B2337-C2337)/(Utilities!$B$11*IterData!H2337)))</f>
        <v>1</v>
      </c>
    </row>
    <row r="2338" spans="8:11" x14ac:dyDescent="0.3">
      <c r="H2338">
        <v>0.5</v>
      </c>
      <c r="I2338" s="11">
        <f t="shared" si="36"/>
        <v>0</v>
      </c>
      <c r="J2338" s="11">
        <f>1/(H2338*Utilities!$B$11)</f>
        <v>8</v>
      </c>
      <c r="K2338" s="11">
        <f>IF(B2338&lt;C2338,1,EXP(-1*(B2338-C2338)/(Utilities!$B$11*IterData!H2338)))</f>
        <v>1</v>
      </c>
    </row>
    <row r="2339" spans="8:11" x14ac:dyDescent="0.3">
      <c r="H2339">
        <v>0.5</v>
      </c>
      <c r="I2339" s="11">
        <f t="shared" si="36"/>
        <v>0</v>
      </c>
      <c r="J2339" s="11">
        <f>1/(H2339*Utilities!$B$11)</f>
        <v>8</v>
      </c>
      <c r="K2339" s="11">
        <f>IF(B2339&lt;C2339,1,EXP(-1*(B2339-C2339)/(Utilities!$B$11*IterData!H2339)))</f>
        <v>1</v>
      </c>
    </row>
    <row r="2340" spans="8:11" x14ac:dyDescent="0.3">
      <c r="H2340">
        <v>0.5</v>
      </c>
      <c r="I2340" s="11">
        <f t="shared" si="36"/>
        <v>0</v>
      </c>
      <c r="J2340" s="11">
        <f>1/(H2340*Utilities!$B$11)</f>
        <v>8</v>
      </c>
      <c r="K2340" s="11">
        <f>IF(B2340&lt;C2340,1,EXP(-1*(B2340-C2340)/(Utilities!$B$11*IterData!H2340)))</f>
        <v>1</v>
      </c>
    </row>
    <row r="2341" spans="8:11" x14ac:dyDescent="0.3">
      <c r="H2341">
        <v>0.5</v>
      </c>
      <c r="I2341" s="11">
        <f t="shared" si="36"/>
        <v>0</v>
      </c>
      <c r="J2341" s="11">
        <f>1/(H2341*Utilities!$B$11)</f>
        <v>8</v>
      </c>
      <c r="K2341" s="11">
        <f>IF(B2341&lt;C2341,1,EXP(-1*(B2341-C2341)/(Utilities!$B$11*IterData!H2341)))</f>
        <v>1</v>
      </c>
    </row>
    <row r="2342" spans="8:11" x14ac:dyDescent="0.3">
      <c r="H2342">
        <v>0.5</v>
      </c>
      <c r="I2342" s="11">
        <f t="shared" si="36"/>
        <v>0</v>
      </c>
      <c r="J2342" s="11">
        <f>1/(H2342*Utilities!$B$11)</f>
        <v>8</v>
      </c>
      <c r="K2342" s="11">
        <f>IF(B2342&lt;C2342,1,EXP(-1*(B2342-C2342)/(Utilities!$B$11*IterData!H2342)))</f>
        <v>1</v>
      </c>
    </row>
    <row r="2343" spans="8:11" x14ac:dyDescent="0.3">
      <c r="H2343">
        <v>0.5</v>
      </c>
      <c r="I2343" s="11">
        <f t="shared" si="36"/>
        <v>0</v>
      </c>
      <c r="J2343" s="11">
        <f>1/(H2343*Utilities!$B$11)</f>
        <v>8</v>
      </c>
      <c r="K2343" s="11">
        <f>IF(B2343&lt;C2343,1,EXP(-1*(B2343-C2343)/(Utilities!$B$11*IterData!H2343)))</f>
        <v>1</v>
      </c>
    </row>
    <row r="2344" spans="8:11" x14ac:dyDescent="0.3">
      <c r="H2344">
        <v>0.5</v>
      </c>
      <c r="I2344" s="11">
        <f t="shared" si="36"/>
        <v>0</v>
      </c>
      <c r="J2344" s="11">
        <f>1/(H2344*Utilities!$B$11)</f>
        <v>8</v>
      </c>
      <c r="K2344" s="11">
        <f>IF(B2344&lt;C2344,1,EXP(-1*(B2344-C2344)/(Utilities!$B$11*IterData!H2344)))</f>
        <v>1</v>
      </c>
    </row>
    <row r="2345" spans="8:11" x14ac:dyDescent="0.3">
      <c r="H2345">
        <v>0.5</v>
      </c>
      <c r="I2345" s="11">
        <f t="shared" si="36"/>
        <v>0</v>
      </c>
      <c r="J2345" s="11">
        <f>1/(H2345*Utilities!$B$11)</f>
        <v>8</v>
      </c>
      <c r="K2345" s="11">
        <f>IF(B2345&lt;C2345,1,EXP(-1*(B2345-C2345)/(Utilities!$B$11*IterData!H2345)))</f>
        <v>1</v>
      </c>
    </row>
    <row r="2346" spans="8:11" x14ac:dyDescent="0.3">
      <c r="H2346">
        <v>0.5</v>
      </c>
      <c r="I2346" s="11">
        <f t="shared" si="36"/>
        <v>0</v>
      </c>
      <c r="J2346" s="11">
        <f>1/(H2346*Utilities!$B$11)</f>
        <v>8</v>
      </c>
      <c r="K2346" s="11">
        <f>IF(B2346&lt;C2346,1,EXP(-1*(B2346-C2346)/(Utilities!$B$11*IterData!H2346)))</f>
        <v>1</v>
      </c>
    </row>
    <row r="2347" spans="8:11" x14ac:dyDescent="0.3">
      <c r="H2347">
        <v>0.5</v>
      </c>
      <c r="I2347" s="11">
        <f t="shared" si="36"/>
        <v>0</v>
      </c>
      <c r="J2347" s="11">
        <f>1/(H2347*Utilities!$B$11)</f>
        <v>8</v>
      </c>
      <c r="K2347" s="11">
        <f>IF(B2347&lt;C2347,1,EXP(-1*(B2347-C2347)/(Utilities!$B$11*IterData!H2347)))</f>
        <v>1</v>
      </c>
    </row>
    <row r="2348" spans="8:11" x14ac:dyDescent="0.3">
      <c r="H2348">
        <v>0.5</v>
      </c>
      <c r="I2348" s="11">
        <f t="shared" si="36"/>
        <v>0</v>
      </c>
      <c r="J2348" s="11">
        <f>1/(H2348*Utilities!$B$11)</f>
        <v>8</v>
      </c>
      <c r="K2348" s="11">
        <f>IF(B2348&lt;C2348,1,EXP(-1*(B2348-C2348)/(Utilities!$B$11*IterData!H2348)))</f>
        <v>1</v>
      </c>
    </row>
    <row r="2349" spans="8:11" x14ac:dyDescent="0.3">
      <c r="H2349">
        <v>0.5</v>
      </c>
      <c r="I2349" s="11">
        <f t="shared" si="36"/>
        <v>0</v>
      </c>
      <c r="J2349" s="11">
        <f>1/(H2349*Utilities!$B$11)</f>
        <v>8</v>
      </c>
      <c r="K2349" s="11">
        <f>IF(B2349&lt;C2349,1,EXP(-1*(B2349-C2349)/(Utilities!$B$11*IterData!H2349)))</f>
        <v>1</v>
      </c>
    </row>
    <row r="2350" spans="8:11" x14ac:dyDescent="0.3">
      <c r="H2350">
        <v>0.5</v>
      </c>
      <c r="I2350" s="11">
        <f t="shared" si="36"/>
        <v>0</v>
      </c>
      <c r="J2350" s="11">
        <f>1/(H2350*Utilities!$B$11)</f>
        <v>8</v>
      </c>
      <c r="K2350" s="11">
        <f>IF(B2350&lt;C2350,1,EXP(-1*(B2350-C2350)/(Utilities!$B$11*IterData!H2350)))</f>
        <v>1</v>
      </c>
    </row>
    <row r="2351" spans="8:11" x14ac:dyDescent="0.3">
      <c r="H2351">
        <v>0.5</v>
      </c>
      <c r="I2351" s="11">
        <f t="shared" si="36"/>
        <v>0</v>
      </c>
      <c r="J2351" s="11">
        <f>1/(H2351*Utilities!$B$11)</f>
        <v>8</v>
      </c>
      <c r="K2351" s="11">
        <f>IF(B2351&lt;C2351,1,EXP(-1*(B2351-C2351)/(Utilities!$B$11*IterData!H2351)))</f>
        <v>1</v>
      </c>
    </row>
    <row r="2352" spans="8:11" x14ac:dyDescent="0.3">
      <c r="H2352">
        <v>0.5</v>
      </c>
      <c r="I2352" s="11">
        <f t="shared" si="36"/>
        <v>0</v>
      </c>
      <c r="J2352" s="11">
        <f>1/(H2352*Utilities!$B$11)</f>
        <v>8</v>
      </c>
      <c r="K2352" s="11">
        <f>IF(B2352&lt;C2352,1,EXP(-1*(B2352-C2352)/(Utilities!$B$11*IterData!H2352)))</f>
        <v>1</v>
      </c>
    </row>
    <row r="2353" spans="8:11" x14ac:dyDescent="0.3">
      <c r="H2353">
        <v>0.5</v>
      </c>
      <c r="I2353" s="11">
        <f t="shared" si="36"/>
        <v>0</v>
      </c>
      <c r="J2353" s="11">
        <f>1/(H2353*Utilities!$B$11)</f>
        <v>8</v>
      </c>
      <c r="K2353" s="11">
        <f>IF(B2353&lt;C2353,1,EXP(-1*(B2353-C2353)/(Utilities!$B$11*IterData!H2353)))</f>
        <v>1</v>
      </c>
    </row>
    <row r="2354" spans="8:11" x14ac:dyDescent="0.3">
      <c r="H2354">
        <v>0.5</v>
      </c>
      <c r="I2354" s="11">
        <f t="shared" si="36"/>
        <v>0</v>
      </c>
      <c r="J2354" s="11">
        <f>1/(H2354*Utilities!$B$11)</f>
        <v>8</v>
      </c>
      <c r="K2354" s="11">
        <f>IF(B2354&lt;C2354,1,EXP(-1*(B2354-C2354)/(Utilities!$B$11*IterData!H2354)))</f>
        <v>1</v>
      </c>
    </row>
    <row r="2355" spans="8:11" x14ac:dyDescent="0.3">
      <c r="H2355">
        <v>0.5</v>
      </c>
      <c r="I2355" s="11">
        <f t="shared" si="36"/>
        <v>0</v>
      </c>
      <c r="J2355" s="11">
        <f>1/(H2355*Utilities!$B$11)</f>
        <v>8</v>
      </c>
      <c r="K2355" s="11">
        <f>IF(B2355&lt;C2355,1,EXP(-1*(B2355-C2355)/(Utilities!$B$11*IterData!H2355)))</f>
        <v>1</v>
      </c>
    </row>
    <row r="2356" spans="8:11" x14ac:dyDescent="0.3">
      <c r="H2356">
        <v>0.5</v>
      </c>
      <c r="I2356" s="11">
        <f t="shared" si="36"/>
        <v>0</v>
      </c>
      <c r="J2356" s="11">
        <f>1/(H2356*Utilities!$B$11)</f>
        <v>8</v>
      </c>
      <c r="K2356" s="11">
        <f>IF(B2356&lt;C2356,1,EXP(-1*(B2356-C2356)/(Utilities!$B$11*IterData!H2356)))</f>
        <v>1</v>
      </c>
    </row>
    <row r="2357" spans="8:11" x14ac:dyDescent="0.3">
      <c r="H2357">
        <v>0.5</v>
      </c>
      <c r="I2357" s="11">
        <f t="shared" si="36"/>
        <v>0</v>
      </c>
      <c r="J2357" s="11">
        <f>1/(H2357*Utilities!$B$11)</f>
        <v>8</v>
      </c>
      <c r="K2357" s="11">
        <f>IF(B2357&lt;C2357,1,EXP(-1*(B2357-C2357)/(Utilities!$B$11*IterData!H2357)))</f>
        <v>1</v>
      </c>
    </row>
    <row r="2358" spans="8:11" x14ac:dyDescent="0.3">
      <c r="H2358">
        <v>0.5</v>
      </c>
      <c r="I2358" s="11">
        <f t="shared" si="36"/>
        <v>0</v>
      </c>
      <c r="J2358" s="11">
        <f>1/(H2358*Utilities!$B$11)</f>
        <v>8</v>
      </c>
      <c r="K2358" s="11">
        <f>IF(B2358&lt;C2358,1,EXP(-1*(B2358-C2358)/(Utilities!$B$11*IterData!H2358)))</f>
        <v>1</v>
      </c>
    </row>
    <row r="2359" spans="8:11" x14ac:dyDescent="0.3">
      <c r="H2359">
        <v>0.5</v>
      </c>
      <c r="I2359" s="11">
        <f t="shared" si="36"/>
        <v>0</v>
      </c>
      <c r="J2359" s="11">
        <f>1/(H2359*Utilities!$B$11)</f>
        <v>8</v>
      </c>
      <c r="K2359" s="11">
        <f>IF(B2359&lt;C2359,1,EXP(-1*(B2359-C2359)/(Utilities!$B$11*IterData!H2359)))</f>
        <v>1</v>
      </c>
    </row>
    <row r="2360" spans="8:11" x14ac:dyDescent="0.3">
      <c r="H2360">
        <v>0.5</v>
      </c>
      <c r="I2360" s="11">
        <f t="shared" si="36"/>
        <v>0</v>
      </c>
      <c r="J2360" s="11">
        <f>1/(H2360*Utilities!$B$11)</f>
        <v>8</v>
      </c>
      <c r="K2360" s="11">
        <f>IF(B2360&lt;C2360,1,EXP(-1*(B2360-C2360)/(Utilities!$B$11*IterData!H2360)))</f>
        <v>1</v>
      </c>
    </row>
    <row r="2361" spans="8:11" x14ac:dyDescent="0.3">
      <c r="H2361">
        <v>0.5</v>
      </c>
      <c r="I2361" s="11">
        <f t="shared" si="36"/>
        <v>0</v>
      </c>
      <c r="J2361" s="11">
        <f>1/(H2361*Utilities!$B$11)</f>
        <v>8</v>
      </c>
      <c r="K2361" s="11">
        <f>IF(B2361&lt;C2361,1,EXP(-1*(B2361-C2361)/(Utilities!$B$11*IterData!H2361)))</f>
        <v>1</v>
      </c>
    </row>
    <row r="2362" spans="8:11" x14ac:dyDescent="0.3">
      <c r="H2362">
        <v>0.5</v>
      </c>
      <c r="I2362" s="11">
        <f t="shared" si="36"/>
        <v>0</v>
      </c>
      <c r="J2362" s="11">
        <f>1/(H2362*Utilities!$B$11)</f>
        <v>8</v>
      </c>
      <c r="K2362" s="11">
        <f>IF(B2362&lt;C2362,1,EXP(-1*(B2362-C2362)/(Utilities!$B$11*IterData!H2362)))</f>
        <v>1</v>
      </c>
    </row>
    <row r="2363" spans="8:11" x14ac:dyDescent="0.3">
      <c r="H2363">
        <v>0.5</v>
      </c>
      <c r="I2363" s="11">
        <f t="shared" si="36"/>
        <v>0</v>
      </c>
      <c r="J2363" s="11">
        <f>1/(H2363*Utilities!$B$11)</f>
        <v>8</v>
      </c>
      <c r="K2363" s="11">
        <f>IF(B2363&lt;C2363,1,EXP(-1*(B2363-C2363)/(Utilities!$B$11*IterData!H2363)))</f>
        <v>1</v>
      </c>
    </row>
    <row r="2364" spans="8:11" x14ac:dyDescent="0.3">
      <c r="H2364">
        <v>0.5</v>
      </c>
      <c r="I2364" s="11">
        <f t="shared" si="36"/>
        <v>0</v>
      </c>
      <c r="J2364" s="11">
        <f>1/(H2364*Utilities!$B$11)</f>
        <v>8</v>
      </c>
      <c r="K2364" s="11">
        <f>IF(B2364&lt;C2364,1,EXP(-1*(B2364-C2364)/(Utilities!$B$11*IterData!H2364)))</f>
        <v>1</v>
      </c>
    </row>
    <row r="2365" spans="8:11" x14ac:dyDescent="0.3">
      <c r="H2365">
        <v>0.5</v>
      </c>
      <c r="I2365" s="11">
        <f t="shared" si="36"/>
        <v>0</v>
      </c>
      <c r="J2365" s="11">
        <f>1/(H2365*Utilities!$B$11)</f>
        <v>8</v>
      </c>
      <c r="K2365" s="11">
        <f>IF(B2365&lt;C2365,1,EXP(-1*(B2365-C2365)/(Utilities!$B$11*IterData!H2365)))</f>
        <v>1</v>
      </c>
    </row>
    <row r="2366" spans="8:11" x14ac:dyDescent="0.3">
      <c r="H2366">
        <v>0.5</v>
      </c>
      <c r="I2366" s="11">
        <f t="shared" si="36"/>
        <v>0</v>
      </c>
      <c r="J2366" s="11">
        <f>1/(H2366*Utilities!$B$11)</f>
        <v>8</v>
      </c>
      <c r="K2366" s="11">
        <f>IF(B2366&lt;C2366,1,EXP(-1*(B2366-C2366)/(Utilities!$B$11*IterData!H2366)))</f>
        <v>1</v>
      </c>
    </row>
    <row r="2367" spans="8:11" x14ac:dyDescent="0.3">
      <c r="H2367">
        <v>0.5</v>
      </c>
      <c r="I2367" s="11">
        <f t="shared" si="36"/>
        <v>0</v>
      </c>
      <c r="J2367" s="11">
        <f>1/(H2367*Utilities!$B$11)</f>
        <v>8</v>
      </c>
      <c r="K2367" s="11">
        <f>IF(B2367&lt;C2367,1,EXP(-1*(B2367-C2367)/(Utilities!$B$11*IterData!H2367)))</f>
        <v>1</v>
      </c>
    </row>
    <row r="2368" spans="8:11" x14ac:dyDescent="0.3">
      <c r="H2368">
        <v>0.5</v>
      </c>
      <c r="I2368" s="11">
        <f t="shared" si="36"/>
        <v>0</v>
      </c>
      <c r="J2368" s="11">
        <f>1/(H2368*Utilities!$B$11)</f>
        <v>8</v>
      </c>
      <c r="K2368" s="11">
        <f>IF(B2368&lt;C2368,1,EXP(-1*(B2368-C2368)/(Utilities!$B$11*IterData!H2368)))</f>
        <v>1</v>
      </c>
    </row>
    <row r="2369" spans="8:11" x14ac:dyDescent="0.3">
      <c r="H2369">
        <v>0.5</v>
      </c>
      <c r="I2369" s="11">
        <f t="shared" si="36"/>
        <v>0</v>
      </c>
      <c r="J2369" s="11">
        <f>1/(H2369*Utilities!$B$11)</f>
        <v>8</v>
      </c>
      <c r="K2369" s="11">
        <f>IF(B2369&lt;C2369,1,EXP(-1*(B2369-C2369)/(Utilities!$B$11*IterData!H2369)))</f>
        <v>1</v>
      </c>
    </row>
    <row r="2370" spans="8:11" x14ac:dyDescent="0.3">
      <c r="H2370">
        <v>0.5</v>
      </c>
      <c r="I2370" s="11">
        <f t="shared" si="36"/>
        <v>0</v>
      </c>
      <c r="J2370" s="11">
        <f>1/(H2370*Utilities!$B$11)</f>
        <v>8</v>
      </c>
      <c r="K2370" s="11">
        <f>IF(B2370&lt;C2370,1,EXP(-1*(B2370-C2370)/(Utilities!$B$11*IterData!H2370)))</f>
        <v>1</v>
      </c>
    </row>
    <row r="2371" spans="8:11" x14ac:dyDescent="0.3">
      <c r="H2371">
        <v>0.5</v>
      </c>
      <c r="I2371" s="11">
        <f t="shared" ref="I2371:I2434" si="37">B2371-C2371</f>
        <v>0</v>
      </c>
      <c r="J2371" s="11">
        <f>1/(H2371*Utilities!$B$11)</f>
        <v>8</v>
      </c>
      <c r="K2371" s="11">
        <f>IF(B2371&lt;C2371,1,EXP(-1*(B2371-C2371)/(Utilities!$B$11*IterData!H2371)))</f>
        <v>1</v>
      </c>
    </row>
    <row r="2372" spans="8:11" x14ac:dyDescent="0.3">
      <c r="H2372">
        <v>0.5</v>
      </c>
      <c r="I2372" s="11">
        <f t="shared" si="37"/>
        <v>0</v>
      </c>
      <c r="J2372" s="11">
        <f>1/(H2372*Utilities!$B$11)</f>
        <v>8</v>
      </c>
      <c r="K2372" s="11">
        <f>IF(B2372&lt;C2372,1,EXP(-1*(B2372-C2372)/(Utilities!$B$11*IterData!H2372)))</f>
        <v>1</v>
      </c>
    </row>
    <row r="2373" spans="8:11" x14ac:dyDescent="0.3">
      <c r="H2373">
        <v>0.5</v>
      </c>
      <c r="I2373" s="11">
        <f t="shared" si="37"/>
        <v>0</v>
      </c>
      <c r="J2373" s="11">
        <f>1/(H2373*Utilities!$B$11)</f>
        <v>8</v>
      </c>
      <c r="K2373" s="11">
        <f>IF(B2373&lt;C2373,1,EXP(-1*(B2373-C2373)/(Utilities!$B$11*IterData!H2373)))</f>
        <v>1</v>
      </c>
    </row>
    <row r="2374" spans="8:11" x14ac:dyDescent="0.3">
      <c r="H2374">
        <v>0.5</v>
      </c>
      <c r="I2374" s="11">
        <f t="shared" si="37"/>
        <v>0</v>
      </c>
      <c r="J2374" s="11">
        <f>1/(H2374*Utilities!$B$11)</f>
        <v>8</v>
      </c>
      <c r="K2374" s="11">
        <f>IF(B2374&lt;C2374,1,EXP(-1*(B2374-C2374)/(Utilities!$B$11*IterData!H2374)))</f>
        <v>1</v>
      </c>
    </row>
    <row r="2375" spans="8:11" x14ac:dyDescent="0.3">
      <c r="H2375">
        <v>0.5</v>
      </c>
      <c r="I2375" s="11">
        <f t="shared" si="37"/>
        <v>0</v>
      </c>
      <c r="J2375" s="11">
        <f>1/(H2375*Utilities!$B$11)</f>
        <v>8</v>
      </c>
      <c r="K2375" s="11">
        <f>IF(B2375&lt;C2375,1,EXP(-1*(B2375-C2375)/(Utilities!$B$11*IterData!H2375)))</f>
        <v>1</v>
      </c>
    </row>
    <row r="2376" spans="8:11" x14ac:dyDescent="0.3">
      <c r="H2376">
        <v>0.5</v>
      </c>
      <c r="I2376" s="11">
        <f t="shared" si="37"/>
        <v>0</v>
      </c>
      <c r="J2376" s="11">
        <f>1/(H2376*Utilities!$B$11)</f>
        <v>8</v>
      </c>
      <c r="K2376" s="11">
        <f>IF(B2376&lt;C2376,1,EXP(-1*(B2376-C2376)/(Utilities!$B$11*IterData!H2376)))</f>
        <v>1</v>
      </c>
    </row>
    <row r="2377" spans="8:11" x14ac:dyDescent="0.3">
      <c r="H2377">
        <v>0.5</v>
      </c>
      <c r="I2377" s="11">
        <f t="shared" si="37"/>
        <v>0</v>
      </c>
      <c r="J2377" s="11">
        <f>1/(H2377*Utilities!$B$11)</f>
        <v>8</v>
      </c>
      <c r="K2377" s="11">
        <f>IF(B2377&lt;C2377,1,EXP(-1*(B2377-C2377)/(Utilities!$B$11*IterData!H2377)))</f>
        <v>1</v>
      </c>
    </row>
    <row r="2378" spans="8:11" x14ac:dyDescent="0.3">
      <c r="H2378">
        <v>0.5</v>
      </c>
      <c r="I2378" s="11">
        <f t="shared" si="37"/>
        <v>0</v>
      </c>
      <c r="J2378" s="11">
        <f>1/(H2378*Utilities!$B$11)</f>
        <v>8</v>
      </c>
      <c r="K2378" s="11">
        <f>IF(B2378&lt;C2378,1,EXP(-1*(B2378-C2378)/(Utilities!$B$11*IterData!H2378)))</f>
        <v>1</v>
      </c>
    </row>
    <row r="2379" spans="8:11" x14ac:dyDescent="0.3">
      <c r="H2379">
        <v>0.5</v>
      </c>
      <c r="I2379" s="11">
        <f t="shared" si="37"/>
        <v>0</v>
      </c>
      <c r="J2379" s="11">
        <f>1/(H2379*Utilities!$B$11)</f>
        <v>8</v>
      </c>
      <c r="K2379" s="11">
        <f>IF(B2379&lt;C2379,1,EXP(-1*(B2379-C2379)/(Utilities!$B$11*IterData!H2379)))</f>
        <v>1</v>
      </c>
    </row>
    <row r="2380" spans="8:11" x14ac:dyDescent="0.3">
      <c r="H2380">
        <v>0.5</v>
      </c>
      <c r="I2380" s="11">
        <f t="shared" si="37"/>
        <v>0</v>
      </c>
      <c r="J2380" s="11">
        <f>1/(H2380*Utilities!$B$11)</f>
        <v>8</v>
      </c>
      <c r="K2380" s="11">
        <f>IF(B2380&lt;C2380,1,EXP(-1*(B2380-C2380)/(Utilities!$B$11*IterData!H2380)))</f>
        <v>1</v>
      </c>
    </row>
    <row r="2381" spans="8:11" x14ac:dyDescent="0.3">
      <c r="H2381">
        <v>0.5</v>
      </c>
      <c r="I2381" s="11">
        <f t="shared" si="37"/>
        <v>0</v>
      </c>
      <c r="J2381" s="11">
        <f>1/(H2381*Utilities!$B$11)</f>
        <v>8</v>
      </c>
      <c r="K2381" s="11">
        <f>IF(B2381&lt;C2381,1,EXP(-1*(B2381-C2381)/(Utilities!$B$11*IterData!H2381)))</f>
        <v>1</v>
      </c>
    </row>
    <row r="2382" spans="8:11" x14ac:dyDescent="0.3">
      <c r="H2382">
        <v>0.5</v>
      </c>
      <c r="I2382" s="11">
        <f t="shared" si="37"/>
        <v>0</v>
      </c>
      <c r="J2382" s="11">
        <f>1/(H2382*Utilities!$B$11)</f>
        <v>8</v>
      </c>
      <c r="K2382" s="11">
        <f>IF(B2382&lt;C2382,1,EXP(-1*(B2382-C2382)/(Utilities!$B$11*IterData!H2382)))</f>
        <v>1</v>
      </c>
    </row>
    <row r="2383" spans="8:11" x14ac:dyDescent="0.3">
      <c r="H2383">
        <v>0.5</v>
      </c>
      <c r="I2383" s="11">
        <f t="shared" si="37"/>
        <v>0</v>
      </c>
      <c r="J2383" s="11">
        <f>1/(H2383*Utilities!$B$11)</f>
        <v>8</v>
      </c>
      <c r="K2383" s="11">
        <f>IF(B2383&lt;C2383,1,EXP(-1*(B2383-C2383)/(Utilities!$B$11*IterData!H2383)))</f>
        <v>1</v>
      </c>
    </row>
    <row r="2384" spans="8:11" x14ac:dyDescent="0.3">
      <c r="H2384">
        <v>0.5</v>
      </c>
      <c r="I2384" s="11">
        <f t="shared" si="37"/>
        <v>0</v>
      </c>
      <c r="J2384" s="11">
        <f>1/(H2384*Utilities!$B$11)</f>
        <v>8</v>
      </c>
      <c r="K2384" s="11">
        <f>IF(B2384&lt;C2384,1,EXP(-1*(B2384-C2384)/(Utilities!$B$11*IterData!H2384)))</f>
        <v>1</v>
      </c>
    </row>
    <row r="2385" spans="8:11" x14ac:dyDescent="0.3">
      <c r="H2385">
        <v>0.5</v>
      </c>
      <c r="I2385" s="11">
        <f t="shared" si="37"/>
        <v>0</v>
      </c>
      <c r="J2385" s="11">
        <f>1/(H2385*Utilities!$B$11)</f>
        <v>8</v>
      </c>
      <c r="K2385" s="11">
        <f>IF(B2385&lt;C2385,1,EXP(-1*(B2385-C2385)/(Utilities!$B$11*IterData!H2385)))</f>
        <v>1</v>
      </c>
    </row>
    <row r="2386" spans="8:11" x14ac:dyDescent="0.3">
      <c r="H2386">
        <v>0.5</v>
      </c>
      <c r="I2386" s="11">
        <f t="shared" si="37"/>
        <v>0</v>
      </c>
      <c r="J2386" s="11">
        <f>1/(H2386*Utilities!$B$11)</f>
        <v>8</v>
      </c>
      <c r="K2386" s="11">
        <f>IF(B2386&lt;C2386,1,EXP(-1*(B2386-C2386)/(Utilities!$B$11*IterData!H2386)))</f>
        <v>1</v>
      </c>
    </row>
    <row r="2387" spans="8:11" x14ac:dyDescent="0.3">
      <c r="H2387">
        <v>0.5</v>
      </c>
      <c r="I2387" s="11">
        <f t="shared" si="37"/>
        <v>0</v>
      </c>
      <c r="J2387" s="11">
        <f>1/(H2387*Utilities!$B$11)</f>
        <v>8</v>
      </c>
      <c r="K2387" s="11">
        <f>IF(B2387&lt;C2387,1,EXP(-1*(B2387-C2387)/(Utilities!$B$11*IterData!H2387)))</f>
        <v>1</v>
      </c>
    </row>
    <row r="2388" spans="8:11" x14ac:dyDescent="0.3">
      <c r="H2388">
        <v>0.5</v>
      </c>
      <c r="I2388" s="11">
        <f t="shared" si="37"/>
        <v>0</v>
      </c>
      <c r="J2388" s="11">
        <f>1/(H2388*Utilities!$B$11)</f>
        <v>8</v>
      </c>
      <c r="K2388" s="11">
        <f>IF(B2388&lt;C2388,1,EXP(-1*(B2388-C2388)/(Utilities!$B$11*IterData!H2388)))</f>
        <v>1</v>
      </c>
    </row>
    <row r="2389" spans="8:11" x14ac:dyDescent="0.3">
      <c r="H2389">
        <v>0.5</v>
      </c>
      <c r="I2389" s="11">
        <f t="shared" si="37"/>
        <v>0</v>
      </c>
      <c r="J2389" s="11">
        <f>1/(H2389*Utilities!$B$11)</f>
        <v>8</v>
      </c>
      <c r="K2389" s="11">
        <f>IF(B2389&lt;C2389,1,EXP(-1*(B2389-C2389)/(Utilities!$B$11*IterData!H2389)))</f>
        <v>1</v>
      </c>
    </row>
    <row r="2390" spans="8:11" x14ac:dyDescent="0.3">
      <c r="H2390">
        <v>0.5</v>
      </c>
      <c r="I2390" s="11">
        <f t="shared" si="37"/>
        <v>0</v>
      </c>
      <c r="J2390" s="11">
        <f>1/(H2390*Utilities!$B$11)</f>
        <v>8</v>
      </c>
      <c r="K2390" s="11">
        <f>IF(B2390&lt;C2390,1,EXP(-1*(B2390-C2390)/(Utilities!$B$11*IterData!H2390)))</f>
        <v>1</v>
      </c>
    </row>
    <row r="2391" spans="8:11" x14ac:dyDescent="0.3">
      <c r="H2391">
        <v>0.5</v>
      </c>
      <c r="I2391" s="11">
        <f t="shared" si="37"/>
        <v>0</v>
      </c>
      <c r="J2391" s="11">
        <f>1/(H2391*Utilities!$B$11)</f>
        <v>8</v>
      </c>
      <c r="K2391" s="11">
        <f>IF(B2391&lt;C2391,1,EXP(-1*(B2391-C2391)/(Utilities!$B$11*IterData!H2391)))</f>
        <v>1</v>
      </c>
    </row>
    <row r="2392" spans="8:11" x14ac:dyDescent="0.3">
      <c r="H2392">
        <v>0.5</v>
      </c>
      <c r="I2392" s="11">
        <f t="shared" si="37"/>
        <v>0</v>
      </c>
      <c r="J2392" s="11">
        <f>1/(H2392*Utilities!$B$11)</f>
        <v>8</v>
      </c>
      <c r="K2392" s="11">
        <f>IF(B2392&lt;C2392,1,EXP(-1*(B2392-C2392)/(Utilities!$B$11*IterData!H2392)))</f>
        <v>1</v>
      </c>
    </row>
    <row r="2393" spans="8:11" x14ac:dyDescent="0.3">
      <c r="H2393">
        <v>0.5</v>
      </c>
      <c r="I2393" s="11">
        <f t="shared" si="37"/>
        <v>0</v>
      </c>
      <c r="J2393" s="11">
        <f>1/(H2393*Utilities!$B$11)</f>
        <v>8</v>
      </c>
      <c r="K2393" s="11">
        <f>IF(B2393&lt;C2393,1,EXP(-1*(B2393-C2393)/(Utilities!$B$11*IterData!H2393)))</f>
        <v>1</v>
      </c>
    </row>
    <row r="2394" spans="8:11" x14ac:dyDescent="0.3">
      <c r="H2394">
        <v>0.5</v>
      </c>
      <c r="I2394" s="11">
        <f t="shared" si="37"/>
        <v>0</v>
      </c>
      <c r="J2394" s="11">
        <f>1/(H2394*Utilities!$B$11)</f>
        <v>8</v>
      </c>
      <c r="K2394" s="11">
        <f>IF(B2394&lt;C2394,1,EXP(-1*(B2394-C2394)/(Utilities!$B$11*IterData!H2394)))</f>
        <v>1</v>
      </c>
    </row>
    <row r="2395" spans="8:11" x14ac:dyDescent="0.3">
      <c r="H2395">
        <v>0.5</v>
      </c>
      <c r="I2395" s="11">
        <f t="shared" si="37"/>
        <v>0</v>
      </c>
      <c r="J2395" s="11">
        <f>1/(H2395*Utilities!$B$11)</f>
        <v>8</v>
      </c>
      <c r="K2395" s="11">
        <f>IF(B2395&lt;C2395,1,EXP(-1*(B2395-C2395)/(Utilities!$B$11*IterData!H2395)))</f>
        <v>1</v>
      </c>
    </row>
    <row r="2396" spans="8:11" x14ac:dyDescent="0.3">
      <c r="H2396">
        <v>0.5</v>
      </c>
      <c r="I2396" s="11">
        <f t="shared" si="37"/>
        <v>0</v>
      </c>
      <c r="J2396" s="11">
        <f>1/(H2396*Utilities!$B$11)</f>
        <v>8</v>
      </c>
      <c r="K2396" s="11">
        <f>IF(B2396&lt;C2396,1,EXP(-1*(B2396-C2396)/(Utilities!$B$11*IterData!H2396)))</f>
        <v>1</v>
      </c>
    </row>
    <row r="2397" spans="8:11" x14ac:dyDescent="0.3">
      <c r="H2397">
        <v>0.5</v>
      </c>
      <c r="I2397" s="11">
        <f t="shared" si="37"/>
        <v>0</v>
      </c>
      <c r="J2397" s="11">
        <f>1/(H2397*Utilities!$B$11)</f>
        <v>8</v>
      </c>
      <c r="K2397" s="11">
        <f>IF(B2397&lt;C2397,1,EXP(-1*(B2397-C2397)/(Utilities!$B$11*IterData!H2397)))</f>
        <v>1</v>
      </c>
    </row>
    <row r="2398" spans="8:11" x14ac:dyDescent="0.3">
      <c r="H2398">
        <v>0.5</v>
      </c>
      <c r="I2398" s="11">
        <f t="shared" si="37"/>
        <v>0</v>
      </c>
      <c r="J2398" s="11">
        <f>1/(H2398*Utilities!$B$11)</f>
        <v>8</v>
      </c>
      <c r="K2398" s="11">
        <f>IF(B2398&lt;C2398,1,EXP(-1*(B2398-C2398)/(Utilities!$B$11*IterData!H2398)))</f>
        <v>1</v>
      </c>
    </row>
    <row r="2399" spans="8:11" x14ac:dyDescent="0.3">
      <c r="H2399">
        <v>0.5</v>
      </c>
      <c r="I2399" s="11">
        <f t="shared" si="37"/>
        <v>0</v>
      </c>
      <c r="J2399" s="11">
        <f>1/(H2399*Utilities!$B$11)</f>
        <v>8</v>
      </c>
      <c r="K2399" s="11">
        <f>IF(B2399&lt;C2399,1,EXP(-1*(B2399-C2399)/(Utilities!$B$11*IterData!H2399)))</f>
        <v>1</v>
      </c>
    </row>
    <row r="2400" spans="8:11" x14ac:dyDescent="0.3">
      <c r="H2400">
        <v>0.5</v>
      </c>
      <c r="I2400" s="11">
        <f t="shared" si="37"/>
        <v>0</v>
      </c>
      <c r="J2400" s="11">
        <f>1/(H2400*Utilities!$B$11)</f>
        <v>8</v>
      </c>
      <c r="K2400" s="11">
        <f>IF(B2400&lt;C2400,1,EXP(-1*(B2400-C2400)/(Utilities!$B$11*IterData!H2400)))</f>
        <v>1</v>
      </c>
    </row>
    <row r="2401" spans="8:11" x14ac:dyDescent="0.3">
      <c r="H2401">
        <v>0.5</v>
      </c>
      <c r="I2401" s="11">
        <f t="shared" si="37"/>
        <v>0</v>
      </c>
      <c r="J2401" s="11">
        <f>1/(H2401*Utilities!$B$11)</f>
        <v>8</v>
      </c>
      <c r="K2401" s="11">
        <f>IF(B2401&lt;C2401,1,EXP(-1*(B2401-C2401)/(Utilities!$B$11*IterData!H2401)))</f>
        <v>1</v>
      </c>
    </row>
    <row r="2402" spans="8:11" x14ac:dyDescent="0.3">
      <c r="H2402">
        <v>0.5</v>
      </c>
      <c r="I2402" s="11">
        <f t="shared" si="37"/>
        <v>0</v>
      </c>
      <c r="J2402" s="11">
        <f>1/(H2402*Utilities!$B$11)</f>
        <v>8</v>
      </c>
      <c r="K2402" s="11">
        <f>IF(B2402&lt;C2402,1,EXP(-1*(B2402-C2402)/(Utilities!$B$11*IterData!H2402)))</f>
        <v>1</v>
      </c>
    </row>
    <row r="2403" spans="8:11" x14ac:dyDescent="0.3">
      <c r="H2403">
        <v>0.5</v>
      </c>
      <c r="I2403" s="11">
        <f t="shared" si="37"/>
        <v>0</v>
      </c>
      <c r="J2403" s="11">
        <f>1/(H2403*Utilities!$B$11)</f>
        <v>8</v>
      </c>
      <c r="K2403" s="11">
        <f>IF(B2403&lt;C2403,1,EXP(-1*(B2403-C2403)/(Utilities!$B$11*IterData!H2403)))</f>
        <v>1</v>
      </c>
    </row>
    <row r="2404" spans="8:11" x14ac:dyDescent="0.3">
      <c r="H2404">
        <v>0.5</v>
      </c>
      <c r="I2404" s="11">
        <f t="shared" si="37"/>
        <v>0</v>
      </c>
      <c r="J2404" s="11">
        <f>1/(H2404*Utilities!$B$11)</f>
        <v>8</v>
      </c>
      <c r="K2404" s="11">
        <f>IF(B2404&lt;C2404,1,EXP(-1*(B2404-C2404)/(Utilities!$B$11*IterData!H2404)))</f>
        <v>1</v>
      </c>
    </row>
    <row r="2405" spans="8:11" x14ac:dyDescent="0.3">
      <c r="H2405">
        <v>0.5</v>
      </c>
      <c r="I2405" s="11">
        <f t="shared" si="37"/>
        <v>0</v>
      </c>
      <c r="J2405" s="11">
        <f>1/(H2405*Utilities!$B$11)</f>
        <v>8</v>
      </c>
      <c r="K2405" s="11">
        <f>IF(B2405&lt;C2405,1,EXP(-1*(B2405-C2405)/(Utilities!$B$11*IterData!H2405)))</f>
        <v>1</v>
      </c>
    </row>
    <row r="2406" spans="8:11" x14ac:dyDescent="0.3">
      <c r="H2406">
        <v>0.5</v>
      </c>
      <c r="I2406" s="11">
        <f t="shared" si="37"/>
        <v>0</v>
      </c>
      <c r="J2406" s="11">
        <f>1/(H2406*Utilities!$B$11)</f>
        <v>8</v>
      </c>
      <c r="K2406" s="11">
        <f>IF(B2406&lt;C2406,1,EXP(-1*(B2406-C2406)/(Utilities!$B$11*IterData!H2406)))</f>
        <v>1</v>
      </c>
    </row>
    <row r="2407" spans="8:11" x14ac:dyDescent="0.3">
      <c r="H2407">
        <v>0.5</v>
      </c>
      <c r="I2407" s="11">
        <f t="shared" si="37"/>
        <v>0</v>
      </c>
      <c r="J2407" s="11">
        <f>1/(H2407*Utilities!$B$11)</f>
        <v>8</v>
      </c>
      <c r="K2407" s="11">
        <f>IF(B2407&lt;C2407,1,EXP(-1*(B2407-C2407)/(Utilities!$B$11*IterData!H2407)))</f>
        <v>1</v>
      </c>
    </row>
    <row r="2408" spans="8:11" x14ac:dyDescent="0.3">
      <c r="H2408">
        <v>0.5</v>
      </c>
      <c r="I2408" s="11">
        <f t="shared" si="37"/>
        <v>0</v>
      </c>
      <c r="J2408" s="11">
        <f>1/(H2408*Utilities!$B$11)</f>
        <v>8</v>
      </c>
      <c r="K2408" s="11">
        <f>IF(B2408&lt;C2408,1,EXP(-1*(B2408-C2408)/(Utilities!$B$11*IterData!H2408)))</f>
        <v>1</v>
      </c>
    </row>
    <row r="2409" spans="8:11" x14ac:dyDescent="0.3">
      <c r="H2409">
        <v>0.5</v>
      </c>
      <c r="I2409" s="11">
        <f t="shared" si="37"/>
        <v>0</v>
      </c>
      <c r="J2409" s="11">
        <f>1/(H2409*Utilities!$B$11)</f>
        <v>8</v>
      </c>
      <c r="K2409" s="11">
        <f>IF(B2409&lt;C2409,1,EXP(-1*(B2409-C2409)/(Utilities!$B$11*IterData!H2409)))</f>
        <v>1</v>
      </c>
    </row>
    <row r="2410" spans="8:11" x14ac:dyDescent="0.3">
      <c r="H2410">
        <v>0.5</v>
      </c>
      <c r="I2410" s="11">
        <f t="shared" si="37"/>
        <v>0</v>
      </c>
      <c r="J2410" s="11">
        <f>1/(H2410*Utilities!$B$11)</f>
        <v>8</v>
      </c>
      <c r="K2410" s="11">
        <f>IF(B2410&lt;C2410,1,EXP(-1*(B2410-C2410)/(Utilities!$B$11*IterData!H2410)))</f>
        <v>1</v>
      </c>
    </row>
    <row r="2411" spans="8:11" x14ac:dyDescent="0.3">
      <c r="H2411">
        <v>0.5</v>
      </c>
      <c r="I2411" s="11">
        <f t="shared" si="37"/>
        <v>0</v>
      </c>
      <c r="J2411" s="11">
        <f>1/(H2411*Utilities!$B$11)</f>
        <v>8</v>
      </c>
      <c r="K2411" s="11">
        <f>IF(B2411&lt;C2411,1,EXP(-1*(B2411-C2411)/(Utilities!$B$11*IterData!H2411)))</f>
        <v>1</v>
      </c>
    </row>
    <row r="2412" spans="8:11" x14ac:dyDescent="0.3">
      <c r="H2412">
        <v>0.5</v>
      </c>
      <c r="I2412" s="11">
        <f t="shared" si="37"/>
        <v>0</v>
      </c>
      <c r="J2412" s="11">
        <f>1/(H2412*Utilities!$B$11)</f>
        <v>8</v>
      </c>
      <c r="K2412" s="11">
        <f>IF(B2412&lt;C2412,1,EXP(-1*(B2412-C2412)/(Utilities!$B$11*IterData!H2412)))</f>
        <v>1</v>
      </c>
    </row>
    <row r="2413" spans="8:11" x14ac:dyDescent="0.3">
      <c r="H2413">
        <v>0.5</v>
      </c>
      <c r="I2413" s="11">
        <f t="shared" si="37"/>
        <v>0</v>
      </c>
      <c r="J2413" s="11">
        <f>1/(H2413*Utilities!$B$11)</f>
        <v>8</v>
      </c>
      <c r="K2413" s="11">
        <f>IF(B2413&lt;C2413,1,EXP(-1*(B2413-C2413)/(Utilities!$B$11*IterData!H2413)))</f>
        <v>1</v>
      </c>
    </row>
    <row r="2414" spans="8:11" x14ac:dyDescent="0.3">
      <c r="H2414">
        <v>0.5</v>
      </c>
      <c r="I2414" s="11">
        <f t="shared" si="37"/>
        <v>0</v>
      </c>
      <c r="J2414" s="11">
        <f>1/(H2414*Utilities!$B$11)</f>
        <v>8</v>
      </c>
      <c r="K2414" s="11">
        <f>IF(B2414&lt;C2414,1,EXP(-1*(B2414-C2414)/(Utilities!$B$11*IterData!H2414)))</f>
        <v>1</v>
      </c>
    </row>
    <row r="2415" spans="8:11" x14ac:dyDescent="0.3">
      <c r="H2415">
        <v>0.5</v>
      </c>
      <c r="I2415" s="11">
        <f t="shared" si="37"/>
        <v>0</v>
      </c>
      <c r="J2415" s="11">
        <f>1/(H2415*Utilities!$B$11)</f>
        <v>8</v>
      </c>
      <c r="K2415" s="11">
        <f>IF(B2415&lt;C2415,1,EXP(-1*(B2415-C2415)/(Utilities!$B$11*IterData!H2415)))</f>
        <v>1</v>
      </c>
    </row>
    <row r="2416" spans="8:11" x14ac:dyDescent="0.3">
      <c r="H2416">
        <v>0.5</v>
      </c>
      <c r="I2416" s="11">
        <f t="shared" si="37"/>
        <v>0</v>
      </c>
      <c r="J2416" s="11">
        <f>1/(H2416*Utilities!$B$11)</f>
        <v>8</v>
      </c>
      <c r="K2416" s="11">
        <f>IF(B2416&lt;C2416,1,EXP(-1*(B2416-C2416)/(Utilities!$B$11*IterData!H2416)))</f>
        <v>1</v>
      </c>
    </row>
    <row r="2417" spans="8:11" x14ac:dyDescent="0.3">
      <c r="H2417">
        <v>0.5</v>
      </c>
      <c r="I2417" s="11">
        <f t="shared" si="37"/>
        <v>0</v>
      </c>
      <c r="J2417" s="11">
        <f>1/(H2417*Utilities!$B$11)</f>
        <v>8</v>
      </c>
      <c r="K2417" s="11">
        <f>IF(B2417&lt;C2417,1,EXP(-1*(B2417-C2417)/(Utilities!$B$11*IterData!H2417)))</f>
        <v>1</v>
      </c>
    </row>
    <row r="2418" spans="8:11" x14ac:dyDescent="0.3">
      <c r="H2418">
        <v>0.5</v>
      </c>
      <c r="I2418" s="11">
        <f t="shared" si="37"/>
        <v>0</v>
      </c>
      <c r="J2418" s="11">
        <f>1/(H2418*Utilities!$B$11)</f>
        <v>8</v>
      </c>
      <c r="K2418" s="11">
        <f>IF(B2418&lt;C2418,1,EXP(-1*(B2418-C2418)/(Utilities!$B$11*IterData!H2418)))</f>
        <v>1</v>
      </c>
    </row>
    <row r="2419" spans="8:11" x14ac:dyDescent="0.3">
      <c r="H2419">
        <v>0.5</v>
      </c>
      <c r="I2419" s="11">
        <f t="shared" si="37"/>
        <v>0</v>
      </c>
      <c r="J2419" s="11">
        <f>1/(H2419*Utilities!$B$11)</f>
        <v>8</v>
      </c>
      <c r="K2419" s="11">
        <f>IF(B2419&lt;C2419,1,EXP(-1*(B2419-C2419)/(Utilities!$B$11*IterData!H2419)))</f>
        <v>1</v>
      </c>
    </row>
    <row r="2420" spans="8:11" x14ac:dyDescent="0.3">
      <c r="H2420">
        <v>0.5</v>
      </c>
      <c r="I2420" s="11">
        <f t="shared" si="37"/>
        <v>0</v>
      </c>
      <c r="J2420" s="11">
        <f>1/(H2420*Utilities!$B$11)</f>
        <v>8</v>
      </c>
      <c r="K2420" s="11">
        <f>IF(B2420&lt;C2420,1,EXP(-1*(B2420-C2420)/(Utilities!$B$11*IterData!H2420)))</f>
        <v>1</v>
      </c>
    </row>
    <row r="2421" spans="8:11" x14ac:dyDescent="0.3">
      <c r="H2421">
        <v>0.5</v>
      </c>
      <c r="I2421" s="11">
        <f t="shared" si="37"/>
        <v>0</v>
      </c>
      <c r="J2421" s="11">
        <f>1/(H2421*Utilities!$B$11)</f>
        <v>8</v>
      </c>
      <c r="K2421" s="11">
        <f>IF(B2421&lt;C2421,1,EXP(-1*(B2421-C2421)/(Utilities!$B$11*IterData!H2421)))</f>
        <v>1</v>
      </c>
    </row>
    <row r="2422" spans="8:11" x14ac:dyDescent="0.3">
      <c r="H2422">
        <v>0.5</v>
      </c>
      <c r="I2422" s="11">
        <f t="shared" si="37"/>
        <v>0</v>
      </c>
      <c r="J2422" s="11">
        <f>1/(H2422*Utilities!$B$11)</f>
        <v>8</v>
      </c>
      <c r="K2422" s="11">
        <f>IF(B2422&lt;C2422,1,EXP(-1*(B2422-C2422)/(Utilities!$B$11*IterData!H2422)))</f>
        <v>1</v>
      </c>
    </row>
    <row r="2423" spans="8:11" x14ac:dyDescent="0.3">
      <c r="H2423">
        <v>0.5</v>
      </c>
      <c r="I2423" s="11">
        <f t="shared" si="37"/>
        <v>0</v>
      </c>
      <c r="J2423" s="11">
        <f>1/(H2423*Utilities!$B$11)</f>
        <v>8</v>
      </c>
      <c r="K2423" s="11">
        <f>IF(B2423&lt;C2423,1,EXP(-1*(B2423-C2423)/(Utilities!$B$11*IterData!H2423)))</f>
        <v>1</v>
      </c>
    </row>
    <row r="2424" spans="8:11" x14ac:dyDescent="0.3">
      <c r="H2424">
        <v>0.5</v>
      </c>
      <c r="I2424" s="11">
        <f t="shared" si="37"/>
        <v>0</v>
      </c>
      <c r="J2424" s="11">
        <f>1/(H2424*Utilities!$B$11)</f>
        <v>8</v>
      </c>
      <c r="K2424" s="11">
        <f>IF(B2424&lt;C2424,1,EXP(-1*(B2424-C2424)/(Utilities!$B$11*IterData!H2424)))</f>
        <v>1</v>
      </c>
    </row>
    <row r="2425" spans="8:11" x14ac:dyDescent="0.3">
      <c r="H2425">
        <v>0.5</v>
      </c>
      <c r="I2425" s="11">
        <f t="shared" si="37"/>
        <v>0</v>
      </c>
      <c r="J2425" s="11">
        <f>1/(H2425*Utilities!$B$11)</f>
        <v>8</v>
      </c>
      <c r="K2425" s="11">
        <f>IF(B2425&lt;C2425,1,EXP(-1*(B2425-C2425)/(Utilities!$B$11*IterData!H2425)))</f>
        <v>1</v>
      </c>
    </row>
    <row r="2426" spans="8:11" x14ac:dyDescent="0.3">
      <c r="H2426">
        <v>0.5</v>
      </c>
      <c r="I2426" s="11">
        <f t="shared" si="37"/>
        <v>0</v>
      </c>
      <c r="J2426" s="11">
        <f>1/(H2426*Utilities!$B$11)</f>
        <v>8</v>
      </c>
      <c r="K2426" s="11">
        <f>IF(B2426&lt;C2426,1,EXP(-1*(B2426-C2426)/(Utilities!$B$11*IterData!H2426)))</f>
        <v>1</v>
      </c>
    </row>
    <row r="2427" spans="8:11" x14ac:dyDescent="0.3">
      <c r="H2427">
        <v>0.5</v>
      </c>
      <c r="I2427" s="11">
        <f t="shared" si="37"/>
        <v>0</v>
      </c>
      <c r="J2427" s="11">
        <f>1/(H2427*Utilities!$B$11)</f>
        <v>8</v>
      </c>
      <c r="K2427" s="11">
        <f>IF(B2427&lt;C2427,1,EXP(-1*(B2427-C2427)/(Utilities!$B$11*IterData!H2427)))</f>
        <v>1</v>
      </c>
    </row>
    <row r="2428" spans="8:11" x14ac:dyDescent="0.3">
      <c r="H2428">
        <v>0.5</v>
      </c>
      <c r="I2428" s="11">
        <f t="shared" si="37"/>
        <v>0</v>
      </c>
      <c r="J2428" s="11">
        <f>1/(H2428*Utilities!$B$11)</f>
        <v>8</v>
      </c>
      <c r="K2428" s="11">
        <f>IF(B2428&lt;C2428,1,EXP(-1*(B2428-C2428)/(Utilities!$B$11*IterData!H2428)))</f>
        <v>1</v>
      </c>
    </row>
    <row r="2429" spans="8:11" x14ac:dyDescent="0.3">
      <c r="H2429">
        <v>0.5</v>
      </c>
      <c r="I2429" s="11">
        <f t="shared" si="37"/>
        <v>0</v>
      </c>
      <c r="J2429" s="11">
        <f>1/(H2429*Utilities!$B$11)</f>
        <v>8</v>
      </c>
      <c r="K2429" s="11">
        <f>IF(B2429&lt;C2429,1,EXP(-1*(B2429-C2429)/(Utilities!$B$11*IterData!H2429)))</f>
        <v>1</v>
      </c>
    </row>
    <row r="2430" spans="8:11" x14ac:dyDescent="0.3">
      <c r="H2430">
        <v>0.5</v>
      </c>
      <c r="I2430" s="11">
        <f t="shared" si="37"/>
        <v>0</v>
      </c>
      <c r="J2430" s="11">
        <f>1/(H2430*Utilities!$B$11)</f>
        <v>8</v>
      </c>
      <c r="K2430" s="11">
        <f>IF(B2430&lt;C2430,1,EXP(-1*(B2430-C2430)/(Utilities!$B$11*IterData!H2430)))</f>
        <v>1</v>
      </c>
    </row>
    <row r="2431" spans="8:11" x14ac:dyDescent="0.3">
      <c r="H2431">
        <v>0.5</v>
      </c>
      <c r="I2431" s="11">
        <f t="shared" si="37"/>
        <v>0</v>
      </c>
      <c r="J2431" s="11">
        <f>1/(H2431*Utilities!$B$11)</f>
        <v>8</v>
      </c>
      <c r="K2431" s="11">
        <f>IF(B2431&lt;C2431,1,EXP(-1*(B2431-C2431)/(Utilities!$B$11*IterData!H2431)))</f>
        <v>1</v>
      </c>
    </row>
    <row r="2432" spans="8:11" x14ac:dyDescent="0.3">
      <c r="H2432">
        <v>0.5</v>
      </c>
      <c r="I2432" s="11">
        <f t="shared" si="37"/>
        <v>0</v>
      </c>
      <c r="J2432" s="11">
        <f>1/(H2432*Utilities!$B$11)</f>
        <v>8</v>
      </c>
      <c r="K2432" s="11">
        <f>IF(B2432&lt;C2432,1,EXP(-1*(B2432-C2432)/(Utilities!$B$11*IterData!H2432)))</f>
        <v>1</v>
      </c>
    </row>
    <row r="2433" spans="8:11" x14ac:dyDescent="0.3">
      <c r="H2433">
        <v>0.5</v>
      </c>
      <c r="I2433" s="11">
        <f t="shared" si="37"/>
        <v>0</v>
      </c>
      <c r="J2433" s="11">
        <f>1/(H2433*Utilities!$B$11)</f>
        <v>8</v>
      </c>
      <c r="K2433" s="11">
        <f>IF(B2433&lt;C2433,1,EXP(-1*(B2433-C2433)/(Utilities!$B$11*IterData!H2433)))</f>
        <v>1</v>
      </c>
    </row>
    <row r="2434" spans="8:11" x14ac:dyDescent="0.3">
      <c r="H2434">
        <v>0.5</v>
      </c>
      <c r="I2434" s="11">
        <f t="shared" si="37"/>
        <v>0</v>
      </c>
      <c r="J2434" s="11">
        <f>1/(H2434*Utilities!$B$11)</f>
        <v>8</v>
      </c>
      <c r="K2434" s="11">
        <f>IF(B2434&lt;C2434,1,EXP(-1*(B2434-C2434)/(Utilities!$B$11*IterData!H2434)))</f>
        <v>1</v>
      </c>
    </row>
    <row r="2435" spans="8:11" x14ac:dyDescent="0.3">
      <c r="H2435">
        <v>0.5</v>
      </c>
      <c r="I2435" s="11">
        <f t="shared" ref="I2435:I2498" si="38">B2435-C2435</f>
        <v>0</v>
      </c>
      <c r="J2435" s="11">
        <f>1/(H2435*Utilities!$B$11)</f>
        <v>8</v>
      </c>
      <c r="K2435" s="11">
        <f>IF(B2435&lt;C2435,1,EXP(-1*(B2435-C2435)/(Utilities!$B$11*IterData!H2435)))</f>
        <v>1</v>
      </c>
    </row>
    <row r="2436" spans="8:11" x14ac:dyDescent="0.3">
      <c r="H2436">
        <v>0.5</v>
      </c>
      <c r="I2436" s="11">
        <f t="shared" si="38"/>
        <v>0</v>
      </c>
      <c r="J2436" s="11">
        <f>1/(H2436*Utilities!$B$11)</f>
        <v>8</v>
      </c>
      <c r="K2436" s="11">
        <f>IF(B2436&lt;C2436,1,EXP(-1*(B2436-C2436)/(Utilities!$B$11*IterData!H2436)))</f>
        <v>1</v>
      </c>
    </row>
    <row r="2437" spans="8:11" x14ac:dyDescent="0.3">
      <c r="H2437">
        <v>0.5</v>
      </c>
      <c r="I2437" s="11">
        <f t="shared" si="38"/>
        <v>0</v>
      </c>
      <c r="J2437" s="11">
        <f>1/(H2437*Utilities!$B$11)</f>
        <v>8</v>
      </c>
      <c r="K2437" s="11">
        <f>IF(B2437&lt;C2437,1,EXP(-1*(B2437-C2437)/(Utilities!$B$11*IterData!H2437)))</f>
        <v>1</v>
      </c>
    </row>
    <row r="2438" spans="8:11" x14ac:dyDescent="0.3">
      <c r="H2438">
        <v>0.5</v>
      </c>
      <c r="I2438" s="11">
        <f t="shared" si="38"/>
        <v>0</v>
      </c>
      <c r="J2438" s="11">
        <f>1/(H2438*Utilities!$B$11)</f>
        <v>8</v>
      </c>
      <c r="K2438" s="11">
        <f>IF(B2438&lt;C2438,1,EXP(-1*(B2438-C2438)/(Utilities!$B$11*IterData!H2438)))</f>
        <v>1</v>
      </c>
    </row>
    <row r="2439" spans="8:11" x14ac:dyDescent="0.3">
      <c r="H2439">
        <v>0.5</v>
      </c>
      <c r="I2439" s="11">
        <f t="shared" si="38"/>
        <v>0</v>
      </c>
      <c r="J2439" s="11">
        <f>1/(H2439*Utilities!$B$11)</f>
        <v>8</v>
      </c>
      <c r="K2439" s="11">
        <f>IF(B2439&lt;C2439,1,EXP(-1*(B2439-C2439)/(Utilities!$B$11*IterData!H2439)))</f>
        <v>1</v>
      </c>
    </row>
    <row r="2440" spans="8:11" x14ac:dyDescent="0.3">
      <c r="H2440">
        <v>0.5</v>
      </c>
      <c r="I2440" s="11">
        <f t="shared" si="38"/>
        <v>0</v>
      </c>
      <c r="J2440" s="11">
        <f>1/(H2440*Utilities!$B$11)</f>
        <v>8</v>
      </c>
      <c r="K2440" s="11">
        <f>IF(B2440&lt;C2440,1,EXP(-1*(B2440-C2440)/(Utilities!$B$11*IterData!H2440)))</f>
        <v>1</v>
      </c>
    </row>
    <row r="2441" spans="8:11" x14ac:dyDescent="0.3">
      <c r="H2441">
        <v>0.5</v>
      </c>
      <c r="I2441" s="11">
        <f t="shared" si="38"/>
        <v>0</v>
      </c>
      <c r="J2441" s="11">
        <f>1/(H2441*Utilities!$B$11)</f>
        <v>8</v>
      </c>
      <c r="K2441" s="11">
        <f>IF(B2441&lt;C2441,1,EXP(-1*(B2441-C2441)/(Utilities!$B$11*IterData!H2441)))</f>
        <v>1</v>
      </c>
    </row>
    <row r="2442" spans="8:11" x14ac:dyDescent="0.3">
      <c r="H2442">
        <v>0.5</v>
      </c>
      <c r="I2442" s="11">
        <f t="shared" si="38"/>
        <v>0</v>
      </c>
      <c r="J2442" s="11">
        <f>1/(H2442*Utilities!$B$11)</f>
        <v>8</v>
      </c>
      <c r="K2442" s="11">
        <f>IF(B2442&lt;C2442,1,EXP(-1*(B2442-C2442)/(Utilities!$B$11*IterData!H2442)))</f>
        <v>1</v>
      </c>
    </row>
    <row r="2443" spans="8:11" x14ac:dyDescent="0.3">
      <c r="H2443">
        <v>0.5</v>
      </c>
      <c r="I2443" s="11">
        <f t="shared" si="38"/>
        <v>0</v>
      </c>
      <c r="J2443" s="11">
        <f>1/(H2443*Utilities!$B$11)</f>
        <v>8</v>
      </c>
      <c r="K2443" s="11">
        <f>IF(B2443&lt;C2443,1,EXP(-1*(B2443-C2443)/(Utilities!$B$11*IterData!H2443)))</f>
        <v>1</v>
      </c>
    </row>
    <row r="2444" spans="8:11" x14ac:dyDescent="0.3">
      <c r="H2444">
        <v>0.5</v>
      </c>
      <c r="I2444" s="11">
        <f t="shared" si="38"/>
        <v>0</v>
      </c>
      <c r="J2444" s="11">
        <f>1/(H2444*Utilities!$B$11)</f>
        <v>8</v>
      </c>
      <c r="K2444" s="11">
        <f>IF(B2444&lt;C2444,1,EXP(-1*(B2444-C2444)/(Utilities!$B$11*IterData!H2444)))</f>
        <v>1</v>
      </c>
    </row>
    <row r="2445" spans="8:11" x14ac:dyDescent="0.3">
      <c r="H2445">
        <v>0.5</v>
      </c>
      <c r="I2445" s="11">
        <f t="shared" si="38"/>
        <v>0</v>
      </c>
      <c r="J2445" s="11">
        <f>1/(H2445*Utilities!$B$11)</f>
        <v>8</v>
      </c>
      <c r="K2445" s="11">
        <f>IF(B2445&lt;C2445,1,EXP(-1*(B2445-C2445)/(Utilities!$B$11*IterData!H2445)))</f>
        <v>1</v>
      </c>
    </row>
    <row r="2446" spans="8:11" x14ac:dyDescent="0.3">
      <c r="H2446">
        <v>0.5</v>
      </c>
      <c r="I2446" s="11">
        <f t="shared" si="38"/>
        <v>0</v>
      </c>
      <c r="J2446" s="11">
        <f>1/(H2446*Utilities!$B$11)</f>
        <v>8</v>
      </c>
      <c r="K2446" s="11">
        <f>IF(B2446&lt;C2446,1,EXP(-1*(B2446-C2446)/(Utilities!$B$11*IterData!H2446)))</f>
        <v>1</v>
      </c>
    </row>
    <row r="2447" spans="8:11" x14ac:dyDescent="0.3">
      <c r="H2447">
        <v>0.5</v>
      </c>
      <c r="I2447" s="11">
        <f t="shared" si="38"/>
        <v>0</v>
      </c>
      <c r="J2447" s="11">
        <f>1/(H2447*Utilities!$B$11)</f>
        <v>8</v>
      </c>
      <c r="K2447" s="11">
        <f>IF(B2447&lt;C2447,1,EXP(-1*(B2447-C2447)/(Utilities!$B$11*IterData!H2447)))</f>
        <v>1</v>
      </c>
    </row>
    <row r="2448" spans="8:11" x14ac:dyDescent="0.3">
      <c r="H2448">
        <v>0.5</v>
      </c>
      <c r="I2448" s="11">
        <f t="shared" si="38"/>
        <v>0</v>
      </c>
      <c r="J2448" s="11">
        <f>1/(H2448*Utilities!$B$11)</f>
        <v>8</v>
      </c>
      <c r="K2448" s="11">
        <f>IF(B2448&lt;C2448,1,EXP(-1*(B2448-C2448)/(Utilities!$B$11*IterData!H2448)))</f>
        <v>1</v>
      </c>
    </row>
    <row r="2449" spans="8:11" x14ac:dyDescent="0.3">
      <c r="H2449">
        <v>0.5</v>
      </c>
      <c r="I2449" s="11">
        <f t="shared" si="38"/>
        <v>0</v>
      </c>
      <c r="J2449" s="11">
        <f>1/(H2449*Utilities!$B$11)</f>
        <v>8</v>
      </c>
      <c r="K2449" s="11">
        <f>IF(B2449&lt;C2449,1,EXP(-1*(B2449-C2449)/(Utilities!$B$11*IterData!H2449)))</f>
        <v>1</v>
      </c>
    </row>
    <row r="2450" spans="8:11" x14ac:dyDescent="0.3">
      <c r="H2450">
        <v>0.5</v>
      </c>
      <c r="I2450" s="11">
        <f t="shared" si="38"/>
        <v>0</v>
      </c>
      <c r="J2450" s="11">
        <f>1/(H2450*Utilities!$B$11)</f>
        <v>8</v>
      </c>
      <c r="K2450" s="11">
        <f>IF(B2450&lt;C2450,1,EXP(-1*(B2450-C2450)/(Utilities!$B$11*IterData!H2450)))</f>
        <v>1</v>
      </c>
    </row>
    <row r="2451" spans="8:11" x14ac:dyDescent="0.3">
      <c r="H2451">
        <v>0.5</v>
      </c>
      <c r="I2451" s="11">
        <f t="shared" si="38"/>
        <v>0</v>
      </c>
      <c r="J2451" s="11">
        <f>1/(H2451*Utilities!$B$11)</f>
        <v>8</v>
      </c>
      <c r="K2451" s="11">
        <f>IF(B2451&lt;C2451,1,EXP(-1*(B2451-C2451)/(Utilities!$B$11*IterData!H2451)))</f>
        <v>1</v>
      </c>
    </row>
    <row r="2452" spans="8:11" x14ac:dyDescent="0.3">
      <c r="H2452">
        <v>0.5</v>
      </c>
      <c r="I2452" s="11">
        <f t="shared" si="38"/>
        <v>0</v>
      </c>
      <c r="J2452" s="11">
        <f>1/(H2452*Utilities!$B$11)</f>
        <v>8</v>
      </c>
      <c r="K2452" s="11">
        <f>IF(B2452&lt;C2452,1,EXP(-1*(B2452-C2452)/(Utilities!$B$11*IterData!H2452)))</f>
        <v>1</v>
      </c>
    </row>
    <row r="2453" spans="8:11" x14ac:dyDescent="0.3">
      <c r="H2453">
        <v>0.5</v>
      </c>
      <c r="I2453" s="11">
        <f t="shared" si="38"/>
        <v>0</v>
      </c>
      <c r="J2453" s="11">
        <f>1/(H2453*Utilities!$B$11)</f>
        <v>8</v>
      </c>
      <c r="K2453" s="11">
        <f>IF(B2453&lt;C2453,1,EXP(-1*(B2453-C2453)/(Utilities!$B$11*IterData!H2453)))</f>
        <v>1</v>
      </c>
    </row>
    <row r="2454" spans="8:11" x14ac:dyDescent="0.3">
      <c r="H2454">
        <v>0.5</v>
      </c>
      <c r="I2454" s="11">
        <f t="shared" si="38"/>
        <v>0</v>
      </c>
      <c r="J2454" s="11">
        <f>1/(H2454*Utilities!$B$11)</f>
        <v>8</v>
      </c>
      <c r="K2454" s="11">
        <f>IF(B2454&lt;C2454,1,EXP(-1*(B2454-C2454)/(Utilities!$B$11*IterData!H2454)))</f>
        <v>1</v>
      </c>
    </row>
    <row r="2455" spans="8:11" x14ac:dyDescent="0.3">
      <c r="H2455">
        <v>0.5</v>
      </c>
      <c r="I2455" s="11">
        <f t="shared" si="38"/>
        <v>0</v>
      </c>
      <c r="J2455" s="11">
        <f>1/(H2455*Utilities!$B$11)</f>
        <v>8</v>
      </c>
      <c r="K2455" s="11">
        <f>IF(B2455&lt;C2455,1,EXP(-1*(B2455-C2455)/(Utilities!$B$11*IterData!H2455)))</f>
        <v>1</v>
      </c>
    </row>
    <row r="2456" spans="8:11" x14ac:dyDescent="0.3">
      <c r="H2456">
        <v>0.5</v>
      </c>
      <c r="I2456" s="11">
        <f t="shared" si="38"/>
        <v>0</v>
      </c>
      <c r="J2456" s="11">
        <f>1/(H2456*Utilities!$B$11)</f>
        <v>8</v>
      </c>
      <c r="K2456" s="11">
        <f>IF(B2456&lt;C2456,1,EXP(-1*(B2456-C2456)/(Utilities!$B$11*IterData!H2456)))</f>
        <v>1</v>
      </c>
    </row>
    <row r="2457" spans="8:11" x14ac:dyDescent="0.3">
      <c r="H2457">
        <v>0.5</v>
      </c>
      <c r="I2457" s="11">
        <f t="shared" si="38"/>
        <v>0</v>
      </c>
      <c r="J2457" s="11">
        <f>1/(H2457*Utilities!$B$11)</f>
        <v>8</v>
      </c>
      <c r="K2457" s="11">
        <f>IF(B2457&lt;C2457,1,EXP(-1*(B2457-C2457)/(Utilities!$B$11*IterData!H2457)))</f>
        <v>1</v>
      </c>
    </row>
    <row r="2458" spans="8:11" x14ac:dyDescent="0.3">
      <c r="H2458">
        <v>0.5</v>
      </c>
      <c r="I2458" s="11">
        <f t="shared" si="38"/>
        <v>0</v>
      </c>
      <c r="J2458" s="11">
        <f>1/(H2458*Utilities!$B$11)</f>
        <v>8</v>
      </c>
      <c r="K2458" s="11">
        <f>IF(B2458&lt;C2458,1,EXP(-1*(B2458-C2458)/(Utilities!$B$11*IterData!H2458)))</f>
        <v>1</v>
      </c>
    </row>
    <row r="2459" spans="8:11" x14ac:dyDescent="0.3">
      <c r="H2459">
        <v>0.5</v>
      </c>
      <c r="I2459" s="11">
        <f t="shared" si="38"/>
        <v>0</v>
      </c>
      <c r="J2459" s="11">
        <f>1/(H2459*Utilities!$B$11)</f>
        <v>8</v>
      </c>
      <c r="K2459" s="11">
        <f>IF(B2459&lt;C2459,1,EXP(-1*(B2459-C2459)/(Utilities!$B$11*IterData!H2459)))</f>
        <v>1</v>
      </c>
    </row>
    <row r="2460" spans="8:11" x14ac:dyDescent="0.3">
      <c r="H2460">
        <v>0.5</v>
      </c>
      <c r="I2460" s="11">
        <f t="shared" si="38"/>
        <v>0</v>
      </c>
      <c r="J2460" s="11">
        <f>1/(H2460*Utilities!$B$11)</f>
        <v>8</v>
      </c>
      <c r="K2460" s="11">
        <f>IF(B2460&lt;C2460,1,EXP(-1*(B2460-C2460)/(Utilities!$B$11*IterData!H2460)))</f>
        <v>1</v>
      </c>
    </row>
    <row r="2461" spans="8:11" x14ac:dyDescent="0.3">
      <c r="H2461">
        <v>0.5</v>
      </c>
      <c r="I2461" s="11">
        <f t="shared" si="38"/>
        <v>0</v>
      </c>
      <c r="J2461" s="11">
        <f>1/(H2461*Utilities!$B$11)</f>
        <v>8</v>
      </c>
      <c r="K2461" s="11">
        <f>IF(B2461&lt;C2461,1,EXP(-1*(B2461-C2461)/(Utilities!$B$11*IterData!H2461)))</f>
        <v>1</v>
      </c>
    </row>
    <row r="2462" spans="8:11" x14ac:dyDescent="0.3">
      <c r="H2462">
        <v>0.5</v>
      </c>
      <c r="I2462" s="11">
        <f t="shared" si="38"/>
        <v>0</v>
      </c>
      <c r="J2462" s="11">
        <f>1/(H2462*Utilities!$B$11)</f>
        <v>8</v>
      </c>
      <c r="K2462" s="11">
        <f>IF(B2462&lt;C2462,1,EXP(-1*(B2462-C2462)/(Utilities!$B$11*IterData!H2462)))</f>
        <v>1</v>
      </c>
    </row>
    <row r="2463" spans="8:11" x14ac:dyDescent="0.3">
      <c r="H2463">
        <v>0.5</v>
      </c>
      <c r="I2463" s="11">
        <f t="shared" si="38"/>
        <v>0</v>
      </c>
      <c r="J2463" s="11">
        <f>1/(H2463*Utilities!$B$11)</f>
        <v>8</v>
      </c>
      <c r="K2463" s="11">
        <f>IF(B2463&lt;C2463,1,EXP(-1*(B2463-C2463)/(Utilities!$B$11*IterData!H2463)))</f>
        <v>1</v>
      </c>
    </row>
    <row r="2464" spans="8:11" x14ac:dyDescent="0.3">
      <c r="H2464">
        <v>0.5</v>
      </c>
      <c r="I2464" s="11">
        <f t="shared" si="38"/>
        <v>0</v>
      </c>
      <c r="J2464" s="11">
        <f>1/(H2464*Utilities!$B$11)</f>
        <v>8</v>
      </c>
      <c r="K2464" s="11">
        <f>IF(B2464&lt;C2464,1,EXP(-1*(B2464-C2464)/(Utilities!$B$11*IterData!H2464)))</f>
        <v>1</v>
      </c>
    </row>
    <row r="2465" spans="8:11" x14ac:dyDescent="0.3">
      <c r="H2465">
        <v>0.5</v>
      </c>
      <c r="I2465" s="11">
        <f t="shared" si="38"/>
        <v>0</v>
      </c>
      <c r="J2465" s="11">
        <f>1/(H2465*Utilities!$B$11)</f>
        <v>8</v>
      </c>
      <c r="K2465" s="11">
        <f>IF(B2465&lt;C2465,1,EXP(-1*(B2465-C2465)/(Utilities!$B$11*IterData!H2465)))</f>
        <v>1</v>
      </c>
    </row>
    <row r="2466" spans="8:11" x14ac:dyDescent="0.3">
      <c r="H2466">
        <v>0.5</v>
      </c>
      <c r="I2466" s="11">
        <f t="shared" si="38"/>
        <v>0</v>
      </c>
      <c r="J2466" s="11">
        <f>1/(H2466*Utilities!$B$11)</f>
        <v>8</v>
      </c>
      <c r="K2466" s="11">
        <f>IF(B2466&lt;C2466,1,EXP(-1*(B2466-C2466)/(Utilities!$B$11*IterData!H2466)))</f>
        <v>1</v>
      </c>
    </row>
    <row r="2467" spans="8:11" x14ac:dyDescent="0.3">
      <c r="H2467">
        <v>0.5</v>
      </c>
      <c r="I2467" s="11">
        <f t="shared" si="38"/>
        <v>0</v>
      </c>
      <c r="J2467" s="11">
        <f>1/(H2467*Utilities!$B$11)</f>
        <v>8</v>
      </c>
      <c r="K2467" s="11">
        <f>IF(B2467&lt;C2467,1,EXP(-1*(B2467-C2467)/(Utilities!$B$11*IterData!H2467)))</f>
        <v>1</v>
      </c>
    </row>
    <row r="2468" spans="8:11" x14ac:dyDescent="0.3">
      <c r="H2468">
        <v>0.5</v>
      </c>
      <c r="I2468" s="11">
        <f t="shared" si="38"/>
        <v>0</v>
      </c>
      <c r="J2468" s="11">
        <f>1/(H2468*Utilities!$B$11)</f>
        <v>8</v>
      </c>
      <c r="K2468" s="11">
        <f>IF(B2468&lt;C2468,1,EXP(-1*(B2468-C2468)/(Utilities!$B$11*IterData!H2468)))</f>
        <v>1</v>
      </c>
    </row>
    <row r="2469" spans="8:11" x14ac:dyDescent="0.3">
      <c r="H2469">
        <v>0.5</v>
      </c>
      <c r="I2469" s="11">
        <f t="shared" si="38"/>
        <v>0</v>
      </c>
      <c r="J2469" s="11">
        <f>1/(H2469*Utilities!$B$11)</f>
        <v>8</v>
      </c>
      <c r="K2469" s="11">
        <f>IF(B2469&lt;C2469,1,EXP(-1*(B2469-C2469)/(Utilities!$B$11*IterData!H2469)))</f>
        <v>1</v>
      </c>
    </row>
    <row r="2470" spans="8:11" x14ac:dyDescent="0.3">
      <c r="H2470">
        <v>0.5</v>
      </c>
      <c r="I2470" s="11">
        <f t="shared" si="38"/>
        <v>0</v>
      </c>
      <c r="J2470" s="11">
        <f>1/(H2470*Utilities!$B$11)</f>
        <v>8</v>
      </c>
      <c r="K2470" s="11">
        <f>IF(B2470&lt;C2470,1,EXP(-1*(B2470-C2470)/(Utilities!$B$11*IterData!H2470)))</f>
        <v>1</v>
      </c>
    </row>
    <row r="2471" spans="8:11" x14ac:dyDescent="0.3">
      <c r="H2471">
        <v>0.5</v>
      </c>
      <c r="I2471" s="11">
        <f t="shared" si="38"/>
        <v>0</v>
      </c>
      <c r="J2471" s="11">
        <f>1/(H2471*Utilities!$B$11)</f>
        <v>8</v>
      </c>
      <c r="K2471" s="11">
        <f>IF(B2471&lt;C2471,1,EXP(-1*(B2471-C2471)/(Utilities!$B$11*IterData!H2471)))</f>
        <v>1</v>
      </c>
    </row>
    <row r="2472" spans="8:11" x14ac:dyDescent="0.3">
      <c r="H2472">
        <v>0.5</v>
      </c>
      <c r="I2472" s="11">
        <f t="shared" si="38"/>
        <v>0</v>
      </c>
      <c r="J2472" s="11">
        <f>1/(H2472*Utilities!$B$11)</f>
        <v>8</v>
      </c>
      <c r="K2472" s="11">
        <f>IF(B2472&lt;C2472,1,EXP(-1*(B2472-C2472)/(Utilities!$B$11*IterData!H2472)))</f>
        <v>1</v>
      </c>
    </row>
    <row r="2473" spans="8:11" x14ac:dyDescent="0.3">
      <c r="H2473">
        <v>0.5</v>
      </c>
      <c r="I2473" s="11">
        <f t="shared" si="38"/>
        <v>0</v>
      </c>
      <c r="J2473" s="11">
        <f>1/(H2473*Utilities!$B$11)</f>
        <v>8</v>
      </c>
      <c r="K2473" s="11">
        <f>IF(B2473&lt;C2473,1,EXP(-1*(B2473-C2473)/(Utilities!$B$11*IterData!H2473)))</f>
        <v>1</v>
      </c>
    </row>
    <row r="2474" spans="8:11" x14ac:dyDescent="0.3">
      <c r="H2474">
        <v>0.5</v>
      </c>
      <c r="I2474" s="11">
        <f t="shared" si="38"/>
        <v>0</v>
      </c>
      <c r="J2474" s="11">
        <f>1/(H2474*Utilities!$B$11)</f>
        <v>8</v>
      </c>
      <c r="K2474" s="11">
        <f>IF(B2474&lt;C2474,1,EXP(-1*(B2474-C2474)/(Utilities!$B$11*IterData!H2474)))</f>
        <v>1</v>
      </c>
    </row>
    <row r="2475" spans="8:11" x14ac:dyDescent="0.3">
      <c r="H2475">
        <v>0.5</v>
      </c>
      <c r="I2475" s="11">
        <f t="shared" si="38"/>
        <v>0</v>
      </c>
      <c r="J2475" s="11">
        <f>1/(H2475*Utilities!$B$11)</f>
        <v>8</v>
      </c>
      <c r="K2475" s="11">
        <f>IF(B2475&lt;C2475,1,EXP(-1*(B2475-C2475)/(Utilities!$B$11*IterData!H2475)))</f>
        <v>1</v>
      </c>
    </row>
    <row r="2476" spans="8:11" x14ac:dyDescent="0.3">
      <c r="H2476">
        <v>0.5</v>
      </c>
      <c r="I2476" s="11">
        <f t="shared" si="38"/>
        <v>0</v>
      </c>
      <c r="J2476" s="11">
        <f>1/(H2476*Utilities!$B$11)</f>
        <v>8</v>
      </c>
      <c r="K2476" s="11">
        <f>IF(B2476&lt;C2476,1,EXP(-1*(B2476-C2476)/(Utilities!$B$11*IterData!H2476)))</f>
        <v>1</v>
      </c>
    </row>
    <row r="2477" spans="8:11" x14ac:dyDescent="0.3">
      <c r="H2477">
        <v>0.5</v>
      </c>
      <c r="I2477" s="11">
        <f t="shared" si="38"/>
        <v>0</v>
      </c>
      <c r="J2477" s="11">
        <f>1/(H2477*Utilities!$B$11)</f>
        <v>8</v>
      </c>
      <c r="K2477" s="11">
        <f>IF(B2477&lt;C2477,1,EXP(-1*(B2477-C2477)/(Utilities!$B$11*IterData!H2477)))</f>
        <v>1</v>
      </c>
    </row>
    <row r="2478" spans="8:11" x14ac:dyDescent="0.3">
      <c r="H2478">
        <v>0.5</v>
      </c>
      <c r="I2478" s="11">
        <f t="shared" si="38"/>
        <v>0</v>
      </c>
      <c r="J2478" s="11">
        <f>1/(H2478*Utilities!$B$11)</f>
        <v>8</v>
      </c>
      <c r="K2478" s="11">
        <f>IF(B2478&lt;C2478,1,EXP(-1*(B2478-C2478)/(Utilities!$B$11*IterData!H2478)))</f>
        <v>1</v>
      </c>
    </row>
    <row r="2479" spans="8:11" x14ac:dyDescent="0.3">
      <c r="H2479">
        <v>0.5</v>
      </c>
      <c r="I2479" s="11">
        <f t="shared" si="38"/>
        <v>0</v>
      </c>
      <c r="J2479" s="11">
        <f>1/(H2479*Utilities!$B$11)</f>
        <v>8</v>
      </c>
      <c r="K2479" s="11">
        <f>IF(B2479&lt;C2479,1,EXP(-1*(B2479-C2479)/(Utilities!$B$11*IterData!H2479)))</f>
        <v>1</v>
      </c>
    </row>
    <row r="2480" spans="8:11" x14ac:dyDescent="0.3">
      <c r="H2480">
        <v>0.5</v>
      </c>
      <c r="I2480" s="11">
        <f t="shared" si="38"/>
        <v>0</v>
      </c>
      <c r="J2480" s="11">
        <f>1/(H2480*Utilities!$B$11)</f>
        <v>8</v>
      </c>
      <c r="K2480" s="11">
        <f>IF(B2480&lt;C2480,1,EXP(-1*(B2480-C2480)/(Utilities!$B$11*IterData!H2480)))</f>
        <v>1</v>
      </c>
    </row>
    <row r="2481" spans="8:11" x14ac:dyDescent="0.3">
      <c r="H2481">
        <v>0.5</v>
      </c>
      <c r="I2481" s="11">
        <f t="shared" si="38"/>
        <v>0</v>
      </c>
      <c r="J2481" s="11">
        <f>1/(H2481*Utilities!$B$11)</f>
        <v>8</v>
      </c>
      <c r="K2481" s="11">
        <f>IF(B2481&lt;C2481,1,EXP(-1*(B2481-C2481)/(Utilities!$B$11*IterData!H2481)))</f>
        <v>1</v>
      </c>
    </row>
    <row r="2482" spans="8:11" x14ac:dyDescent="0.3">
      <c r="H2482">
        <v>0.5</v>
      </c>
      <c r="I2482" s="11">
        <f t="shared" si="38"/>
        <v>0</v>
      </c>
      <c r="J2482" s="11">
        <f>1/(H2482*Utilities!$B$11)</f>
        <v>8</v>
      </c>
      <c r="K2482" s="11">
        <f>IF(B2482&lt;C2482,1,EXP(-1*(B2482-C2482)/(Utilities!$B$11*IterData!H2482)))</f>
        <v>1</v>
      </c>
    </row>
    <row r="2483" spans="8:11" x14ac:dyDescent="0.3">
      <c r="H2483">
        <v>0.5</v>
      </c>
      <c r="I2483" s="11">
        <f t="shared" si="38"/>
        <v>0</v>
      </c>
      <c r="J2483" s="11">
        <f>1/(H2483*Utilities!$B$11)</f>
        <v>8</v>
      </c>
      <c r="K2483" s="11">
        <f>IF(B2483&lt;C2483,1,EXP(-1*(B2483-C2483)/(Utilities!$B$11*IterData!H2483)))</f>
        <v>1</v>
      </c>
    </row>
    <row r="2484" spans="8:11" x14ac:dyDescent="0.3">
      <c r="H2484">
        <v>0.5</v>
      </c>
      <c r="I2484" s="11">
        <f t="shared" si="38"/>
        <v>0</v>
      </c>
      <c r="J2484" s="11">
        <f>1/(H2484*Utilities!$B$11)</f>
        <v>8</v>
      </c>
      <c r="K2484" s="11">
        <f>IF(B2484&lt;C2484,1,EXP(-1*(B2484-C2484)/(Utilities!$B$11*IterData!H2484)))</f>
        <v>1</v>
      </c>
    </row>
    <row r="2485" spans="8:11" x14ac:dyDescent="0.3">
      <c r="H2485">
        <v>0.5</v>
      </c>
      <c r="I2485" s="11">
        <f t="shared" si="38"/>
        <v>0</v>
      </c>
      <c r="J2485" s="11">
        <f>1/(H2485*Utilities!$B$11)</f>
        <v>8</v>
      </c>
      <c r="K2485" s="11">
        <f>IF(B2485&lt;C2485,1,EXP(-1*(B2485-C2485)/(Utilities!$B$11*IterData!H2485)))</f>
        <v>1</v>
      </c>
    </row>
    <row r="2486" spans="8:11" x14ac:dyDescent="0.3">
      <c r="H2486">
        <v>0.5</v>
      </c>
      <c r="I2486" s="11">
        <f t="shared" si="38"/>
        <v>0</v>
      </c>
      <c r="J2486" s="11">
        <f>1/(H2486*Utilities!$B$11)</f>
        <v>8</v>
      </c>
      <c r="K2486" s="11">
        <f>IF(B2486&lt;C2486,1,EXP(-1*(B2486-C2486)/(Utilities!$B$11*IterData!H2486)))</f>
        <v>1</v>
      </c>
    </row>
    <row r="2487" spans="8:11" x14ac:dyDescent="0.3">
      <c r="H2487">
        <v>0.5</v>
      </c>
      <c r="I2487" s="11">
        <f t="shared" si="38"/>
        <v>0</v>
      </c>
      <c r="J2487" s="11">
        <f>1/(H2487*Utilities!$B$11)</f>
        <v>8</v>
      </c>
      <c r="K2487" s="11">
        <f>IF(B2487&lt;C2487,1,EXP(-1*(B2487-C2487)/(Utilities!$B$11*IterData!H2487)))</f>
        <v>1</v>
      </c>
    </row>
    <row r="2488" spans="8:11" x14ac:dyDescent="0.3">
      <c r="H2488">
        <v>0.5</v>
      </c>
      <c r="I2488" s="11">
        <f t="shared" si="38"/>
        <v>0</v>
      </c>
      <c r="J2488" s="11">
        <f>1/(H2488*Utilities!$B$11)</f>
        <v>8</v>
      </c>
      <c r="K2488" s="11">
        <f>IF(B2488&lt;C2488,1,EXP(-1*(B2488-C2488)/(Utilities!$B$11*IterData!H2488)))</f>
        <v>1</v>
      </c>
    </row>
    <row r="2489" spans="8:11" x14ac:dyDescent="0.3">
      <c r="H2489">
        <v>0.5</v>
      </c>
      <c r="I2489" s="11">
        <f t="shared" si="38"/>
        <v>0</v>
      </c>
      <c r="J2489" s="11">
        <f>1/(H2489*Utilities!$B$11)</f>
        <v>8</v>
      </c>
      <c r="K2489" s="11">
        <f>IF(B2489&lt;C2489,1,EXP(-1*(B2489-C2489)/(Utilities!$B$11*IterData!H2489)))</f>
        <v>1</v>
      </c>
    </row>
    <row r="2490" spans="8:11" x14ac:dyDescent="0.3">
      <c r="H2490">
        <v>0.5</v>
      </c>
      <c r="I2490" s="11">
        <f t="shared" si="38"/>
        <v>0</v>
      </c>
      <c r="J2490" s="11">
        <f>1/(H2490*Utilities!$B$11)</f>
        <v>8</v>
      </c>
      <c r="K2490" s="11">
        <f>IF(B2490&lt;C2490,1,EXP(-1*(B2490-C2490)/(Utilities!$B$11*IterData!H2490)))</f>
        <v>1</v>
      </c>
    </row>
    <row r="2491" spans="8:11" x14ac:dyDescent="0.3">
      <c r="H2491">
        <v>0.5</v>
      </c>
      <c r="I2491" s="11">
        <f t="shared" si="38"/>
        <v>0</v>
      </c>
      <c r="J2491" s="11">
        <f>1/(H2491*Utilities!$B$11)</f>
        <v>8</v>
      </c>
      <c r="K2491" s="11">
        <f>IF(B2491&lt;C2491,1,EXP(-1*(B2491-C2491)/(Utilities!$B$11*IterData!H2491)))</f>
        <v>1</v>
      </c>
    </row>
    <row r="2492" spans="8:11" x14ac:dyDescent="0.3">
      <c r="H2492">
        <v>0.5</v>
      </c>
      <c r="I2492" s="11">
        <f t="shared" si="38"/>
        <v>0</v>
      </c>
      <c r="J2492" s="11">
        <f>1/(H2492*Utilities!$B$11)</f>
        <v>8</v>
      </c>
      <c r="K2492" s="11">
        <f>IF(B2492&lt;C2492,1,EXP(-1*(B2492-C2492)/(Utilities!$B$11*IterData!H2492)))</f>
        <v>1</v>
      </c>
    </row>
    <row r="2493" spans="8:11" x14ac:dyDescent="0.3">
      <c r="H2493">
        <v>0.5</v>
      </c>
      <c r="I2493" s="11">
        <f t="shared" si="38"/>
        <v>0</v>
      </c>
      <c r="J2493" s="11">
        <f>1/(H2493*Utilities!$B$11)</f>
        <v>8</v>
      </c>
      <c r="K2493" s="11">
        <f>IF(B2493&lt;C2493,1,EXP(-1*(B2493-C2493)/(Utilities!$B$11*IterData!H2493)))</f>
        <v>1</v>
      </c>
    </row>
    <row r="2494" spans="8:11" x14ac:dyDescent="0.3">
      <c r="H2494">
        <v>0.5</v>
      </c>
      <c r="I2494" s="11">
        <f t="shared" si="38"/>
        <v>0</v>
      </c>
      <c r="J2494" s="11">
        <f>1/(H2494*Utilities!$B$11)</f>
        <v>8</v>
      </c>
      <c r="K2494" s="11">
        <f>IF(B2494&lt;C2494,1,EXP(-1*(B2494-C2494)/(Utilities!$B$11*IterData!H2494)))</f>
        <v>1</v>
      </c>
    </row>
    <row r="2495" spans="8:11" x14ac:dyDescent="0.3">
      <c r="H2495">
        <v>0.5</v>
      </c>
      <c r="I2495" s="11">
        <f t="shared" si="38"/>
        <v>0</v>
      </c>
      <c r="J2495" s="11">
        <f>1/(H2495*Utilities!$B$11)</f>
        <v>8</v>
      </c>
      <c r="K2495" s="11">
        <f>IF(B2495&lt;C2495,1,EXP(-1*(B2495-C2495)/(Utilities!$B$11*IterData!H2495)))</f>
        <v>1</v>
      </c>
    </row>
    <row r="2496" spans="8:11" x14ac:dyDescent="0.3">
      <c r="H2496">
        <v>0.5</v>
      </c>
      <c r="I2496" s="11">
        <f t="shared" si="38"/>
        <v>0</v>
      </c>
      <c r="J2496" s="11">
        <f>1/(H2496*Utilities!$B$11)</f>
        <v>8</v>
      </c>
      <c r="K2496" s="11">
        <f>IF(B2496&lt;C2496,1,EXP(-1*(B2496-C2496)/(Utilities!$B$11*IterData!H2496)))</f>
        <v>1</v>
      </c>
    </row>
    <row r="2497" spans="8:11" x14ac:dyDescent="0.3">
      <c r="H2497">
        <v>0.5</v>
      </c>
      <c r="I2497" s="11">
        <f t="shared" si="38"/>
        <v>0</v>
      </c>
      <c r="J2497" s="11">
        <f>1/(H2497*Utilities!$B$11)</f>
        <v>8</v>
      </c>
      <c r="K2497" s="11">
        <f>IF(B2497&lt;C2497,1,EXP(-1*(B2497-C2497)/(Utilities!$B$11*IterData!H2497)))</f>
        <v>1</v>
      </c>
    </row>
    <row r="2498" spans="8:11" x14ac:dyDescent="0.3">
      <c r="H2498">
        <v>0.5</v>
      </c>
      <c r="I2498" s="11">
        <f t="shared" si="38"/>
        <v>0</v>
      </c>
      <c r="J2498" s="11">
        <f>1/(H2498*Utilities!$B$11)</f>
        <v>8</v>
      </c>
      <c r="K2498" s="11">
        <f>IF(B2498&lt;C2498,1,EXP(-1*(B2498-C2498)/(Utilities!$B$11*IterData!H2498)))</f>
        <v>1</v>
      </c>
    </row>
    <row r="2499" spans="8:11" x14ac:dyDescent="0.3">
      <c r="H2499">
        <v>0.5</v>
      </c>
      <c r="I2499" s="11">
        <f t="shared" ref="I2499:I2562" si="39">B2499-C2499</f>
        <v>0</v>
      </c>
      <c r="J2499" s="11">
        <f>1/(H2499*Utilities!$B$11)</f>
        <v>8</v>
      </c>
      <c r="K2499" s="11">
        <f>IF(B2499&lt;C2499,1,EXP(-1*(B2499-C2499)/(Utilities!$B$11*IterData!H2499)))</f>
        <v>1</v>
      </c>
    </row>
    <row r="2500" spans="8:11" x14ac:dyDescent="0.3">
      <c r="H2500">
        <v>0.5</v>
      </c>
      <c r="I2500" s="11">
        <f t="shared" si="39"/>
        <v>0</v>
      </c>
      <c r="J2500" s="11">
        <f>1/(H2500*Utilities!$B$11)</f>
        <v>8</v>
      </c>
      <c r="K2500" s="11">
        <f>IF(B2500&lt;C2500,1,EXP(-1*(B2500-C2500)/(Utilities!$B$11*IterData!H2500)))</f>
        <v>1</v>
      </c>
    </row>
    <row r="2501" spans="8:11" x14ac:dyDescent="0.3">
      <c r="H2501">
        <v>0.5</v>
      </c>
      <c r="I2501" s="11">
        <f t="shared" si="39"/>
        <v>0</v>
      </c>
      <c r="J2501" s="11">
        <f>1/(H2501*Utilities!$B$11)</f>
        <v>8</v>
      </c>
      <c r="K2501" s="11">
        <f>IF(B2501&lt;C2501,1,EXP(-1*(B2501-C2501)/(Utilities!$B$11*IterData!H2501)))</f>
        <v>1</v>
      </c>
    </row>
    <row r="2502" spans="8:11" x14ac:dyDescent="0.3">
      <c r="H2502">
        <v>0.5</v>
      </c>
      <c r="I2502" s="11">
        <f t="shared" si="39"/>
        <v>0</v>
      </c>
      <c r="J2502" s="11">
        <f>1/(H2502*Utilities!$B$11)</f>
        <v>8</v>
      </c>
      <c r="K2502" s="11">
        <f>IF(B2502&lt;C2502,1,EXP(-1*(B2502-C2502)/(Utilities!$B$11*IterData!H2502)))</f>
        <v>1</v>
      </c>
    </row>
    <row r="2503" spans="8:11" x14ac:dyDescent="0.3">
      <c r="H2503">
        <v>0.5</v>
      </c>
      <c r="I2503" s="11">
        <f t="shared" si="39"/>
        <v>0</v>
      </c>
      <c r="J2503" s="11">
        <f>1/(H2503*Utilities!$B$11)</f>
        <v>8</v>
      </c>
      <c r="K2503" s="11">
        <f>IF(B2503&lt;C2503,1,EXP(-1*(B2503-C2503)/(Utilities!$B$11*IterData!H2503)))</f>
        <v>1</v>
      </c>
    </row>
    <row r="2504" spans="8:11" x14ac:dyDescent="0.3">
      <c r="H2504">
        <v>0.5</v>
      </c>
      <c r="I2504" s="11">
        <f t="shared" si="39"/>
        <v>0</v>
      </c>
      <c r="J2504" s="11">
        <f>1/(H2504*Utilities!$B$11)</f>
        <v>8</v>
      </c>
      <c r="K2504" s="11">
        <f>IF(B2504&lt;C2504,1,EXP(-1*(B2504-C2504)/(Utilities!$B$11*IterData!H2504)))</f>
        <v>1</v>
      </c>
    </row>
    <row r="2505" spans="8:11" x14ac:dyDescent="0.3">
      <c r="H2505">
        <v>0.5</v>
      </c>
      <c r="I2505" s="11">
        <f t="shared" si="39"/>
        <v>0</v>
      </c>
      <c r="J2505" s="11">
        <f>1/(H2505*Utilities!$B$11)</f>
        <v>8</v>
      </c>
      <c r="K2505" s="11">
        <f>IF(B2505&lt;C2505,1,EXP(-1*(B2505-C2505)/(Utilities!$B$11*IterData!H2505)))</f>
        <v>1</v>
      </c>
    </row>
    <row r="2506" spans="8:11" x14ac:dyDescent="0.3">
      <c r="H2506">
        <v>0.5</v>
      </c>
      <c r="I2506" s="11">
        <f t="shared" si="39"/>
        <v>0</v>
      </c>
      <c r="J2506" s="11">
        <f>1/(H2506*Utilities!$B$11)</f>
        <v>8</v>
      </c>
      <c r="K2506" s="11">
        <f>IF(B2506&lt;C2506,1,EXP(-1*(B2506-C2506)/(Utilities!$B$11*IterData!H2506)))</f>
        <v>1</v>
      </c>
    </row>
    <row r="2507" spans="8:11" x14ac:dyDescent="0.3">
      <c r="H2507">
        <v>0.5</v>
      </c>
      <c r="I2507" s="11">
        <f t="shared" si="39"/>
        <v>0</v>
      </c>
      <c r="J2507" s="11">
        <f>1/(H2507*Utilities!$B$11)</f>
        <v>8</v>
      </c>
      <c r="K2507" s="11">
        <f>IF(B2507&lt;C2507,1,EXP(-1*(B2507-C2507)/(Utilities!$B$11*IterData!H2507)))</f>
        <v>1</v>
      </c>
    </row>
    <row r="2508" spans="8:11" x14ac:dyDescent="0.3">
      <c r="H2508">
        <v>0.5</v>
      </c>
      <c r="I2508" s="11">
        <f t="shared" si="39"/>
        <v>0</v>
      </c>
      <c r="J2508" s="11">
        <f>1/(H2508*Utilities!$B$11)</f>
        <v>8</v>
      </c>
      <c r="K2508" s="11">
        <f>IF(B2508&lt;C2508,1,EXP(-1*(B2508-C2508)/(Utilities!$B$11*IterData!H2508)))</f>
        <v>1</v>
      </c>
    </row>
    <row r="2509" spans="8:11" x14ac:dyDescent="0.3">
      <c r="H2509">
        <v>0.5</v>
      </c>
      <c r="I2509" s="11">
        <f t="shared" si="39"/>
        <v>0</v>
      </c>
      <c r="J2509" s="11">
        <f>1/(H2509*Utilities!$B$11)</f>
        <v>8</v>
      </c>
      <c r="K2509" s="11">
        <f>IF(B2509&lt;C2509,1,EXP(-1*(B2509-C2509)/(Utilities!$B$11*IterData!H2509)))</f>
        <v>1</v>
      </c>
    </row>
    <row r="2510" spans="8:11" x14ac:dyDescent="0.3">
      <c r="H2510">
        <v>0.5</v>
      </c>
      <c r="I2510" s="11">
        <f t="shared" si="39"/>
        <v>0</v>
      </c>
      <c r="J2510" s="11">
        <f>1/(H2510*Utilities!$B$11)</f>
        <v>8</v>
      </c>
      <c r="K2510" s="11">
        <f>IF(B2510&lt;C2510,1,EXP(-1*(B2510-C2510)/(Utilities!$B$11*IterData!H2510)))</f>
        <v>1</v>
      </c>
    </row>
    <row r="2511" spans="8:11" x14ac:dyDescent="0.3">
      <c r="H2511">
        <v>0.5</v>
      </c>
      <c r="I2511" s="11">
        <f t="shared" si="39"/>
        <v>0</v>
      </c>
      <c r="J2511" s="11">
        <f>1/(H2511*Utilities!$B$11)</f>
        <v>8</v>
      </c>
      <c r="K2511" s="11">
        <f>IF(B2511&lt;C2511,1,EXP(-1*(B2511-C2511)/(Utilities!$B$11*IterData!H2511)))</f>
        <v>1</v>
      </c>
    </row>
    <row r="2512" spans="8:11" x14ac:dyDescent="0.3">
      <c r="H2512">
        <v>0.5</v>
      </c>
      <c r="I2512" s="11">
        <f t="shared" si="39"/>
        <v>0</v>
      </c>
      <c r="J2512" s="11">
        <f>1/(H2512*Utilities!$B$11)</f>
        <v>8</v>
      </c>
      <c r="K2512" s="11">
        <f>IF(B2512&lt;C2512,1,EXP(-1*(B2512-C2512)/(Utilities!$B$11*IterData!H2512)))</f>
        <v>1</v>
      </c>
    </row>
    <row r="2513" spans="8:11" x14ac:dyDescent="0.3">
      <c r="H2513">
        <v>0.5</v>
      </c>
      <c r="I2513" s="11">
        <f t="shared" si="39"/>
        <v>0</v>
      </c>
      <c r="J2513" s="11">
        <f>1/(H2513*Utilities!$B$11)</f>
        <v>8</v>
      </c>
      <c r="K2513" s="11">
        <f>IF(B2513&lt;C2513,1,EXP(-1*(B2513-C2513)/(Utilities!$B$11*IterData!H2513)))</f>
        <v>1</v>
      </c>
    </row>
    <row r="2514" spans="8:11" x14ac:dyDescent="0.3">
      <c r="H2514">
        <v>0.5</v>
      </c>
      <c r="I2514" s="11">
        <f t="shared" si="39"/>
        <v>0</v>
      </c>
      <c r="J2514" s="11">
        <f>1/(H2514*Utilities!$B$11)</f>
        <v>8</v>
      </c>
      <c r="K2514" s="11">
        <f>IF(B2514&lt;C2514,1,EXP(-1*(B2514-C2514)/(Utilities!$B$11*IterData!H2514)))</f>
        <v>1</v>
      </c>
    </row>
    <row r="2515" spans="8:11" x14ac:dyDescent="0.3">
      <c r="H2515">
        <v>0.5</v>
      </c>
      <c r="I2515" s="11">
        <f t="shared" si="39"/>
        <v>0</v>
      </c>
      <c r="J2515" s="11">
        <f>1/(H2515*Utilities!$B$11)</f>
        <v>8</v>
      </c>
      <c r="K2515" s="11">
        <f>IF(B2515&lt;C2515,1,EXP(-1*(B2515-C2515)/(Utilities!$B$11*IterData!H2515)))</f>
        <v>1</v>
      </c>
    </row>
    <row r="2516" spans="8:11" x14ac:dyDescent="0.3">
      <c r="H2516">
        <v>0.5</v>
      </c>
      <c r="I2516" s="11">
        <f t="shared" si="39"/>
        <v>0</v>
      </c>
      <c r="J2516" s="11">
        <f>1/(H2516*Utilities!$B$11)</f>
        <v>8</v>
      </c>
      <c r="K2516" s="11">
        <f>IF(B2516&lt;C2516,1,EXP(-1*(B2516-C2516)/(Utilities!$B$11*IterData!H2516)))</f>
        <v>1</v>
      </c>
    </row>
    <row r="2517" spans="8:11" x14ac:dyDescent="0.3">
      <c r="H2517">
        <v>0.5</v>
      </c>
      <c r="I2517" s="11">
        <f t="shared" si="39"/>
        <v>0</v>
      </c>
      <c r="J2517" s="11">
        <f>1/(H2517*Utilities!$B$11)</f>
        <v>8</v>
      </c>
      <c r="K2517" s="11">
        <f>IF(B2517&lt;C2517,1,EXP(-1*(B2517-C2517)/(Utilities!$B$11*IterData!H2517)))</f>
        <v>1</v>
      </c>
    </row>
    <row r="2518" spans="8:11" x14ac:dyDescent="0.3">
      <c r="H2518">
        <v>0.5</v>
      </c>
      <c r="I2518" s="11">
        <f t="shared" si="39"/>
        <v>0</v>
      </c>
      <c r="J2518" s="11">
        <f>1/(H2518*Utilities!$B$11)</f>
        <v>8</v>
      </c>
      <c r="K2518" s="11">
        <f>IF(B2518&lt;C2518,1,EXP(-1*(B2518-C2518)/(Utilities!$B$11*IterData!H2518)))</f>
        <v>1</v>
      </c>
    </row>
    <row r="2519" spans="8:11" x14ac:dyDescent="0.3">
      <c r="H2519">
        <v>0.5</v>
      </c>
      <c r="I2519" s="11">
        <f t="shared" si="39"/>
        <v>0</v>
      </c>
      <c r="J2519" s="11">
        <f>1/(H2519*Utilities!$B$11)</f>
        <v>8</v>
      </c>
      <c r="K2519" s="11">
        <f>IF(B2519&lt;C2519,1,EXP(-1*(B2519-C2519)/(Utilities!$B$11*IterData!H2519)))</f>
        <v>1</v>
      </c>
    </row>
    <row r="2520" spans="8:11" x14ac:dyDescent="0.3">
      <c r="H2520">
        <v>0.5</v>
      </c>
      <c r="I2520" s="11">
        <f t="shared" si="39"/>
        <v>0</v>
      </c>
      <c r="J2520" s="11">
        <f>1/(H2520*Utilities!$B$11)</f>
        <v>8</v>
      </c>
      <c r="K2520" s="11">
        <f>IF(B2520&lt;C2520,1,EXP(-1*(B2520-C2520)/(Utilities!$B$11*IterData!H2520)))</f>
        <v>1</v>
      </c>
    </row>
    <row r="2521" spans="8:11" x14ac:dyDescent="0.3">
      <c r="H2521">
        <v>0.5</v>
      </c>
      <c r="I2521" s="11">
        <f t="shared" si="39"/>
        <v>0</v>
      </c>
      <c r="J2521" s="11">
        <f>1/(H2521*Utilities!$B$11)</f>
        <v>8</v>
      </c>
      <c r="K2521" s="11">
        <f>IF(B2521&lt;C2521,1,EXP(-1*(B2521-C2521)/(Utilities!$B$11*IterData!H2521)))</f>
        <v>1</v>
      </c>
    </row>
    <row r="2522" spans="8:11" x14ac:dyDescent="0.3">
      <c r="H2522">
        <v>0.5</v>
      </c>
      <c r="I2522" s="11">
        <f t="shared" si="39"/>
        <v>0</v>
      </c>
      <c r="J2522" s="11">
        <f>1/(H2522*Utilities!$B$11)</f>
        <v>8</v>
      </c>
      <c r="K2522" s="11">
        <f>IF(B2522&lt;C2522,1,EXP(-1*(B2522-C2522)/(Utilities!$B$11*IterData!H2522)))</f>
        <v>1</v>
      </c>
    </row>
    <row r="2523" spans="8:11" x14ac:dyDescent="0.3">
      <c r="H2523">
        <v>0.5</v>
      </c>
      <c r="I2523" s="11">
        <f t="shared" si="39"/>
        <v>0</v>
      </c>
      <c r="J2523" s="11">
        <f>1/(H2523*Utilities!$B$11)</f>
        <v>8</v>
      </c>
      <c r="K2523" s="11">
        <f>IF(B2523&lt;C2523,1,EXP(-1*(B2523-C2523)/(Utilities!$B$11*IterData!H2523)))</f>
        <v>1</v>
      </c>
    </row>
    <row r="2524" spans="8:11" x14ac:dyDescent="0.3">
      <c r="H2524">
        <v>0.5</v>
      </c>
      <c r="I2524" s="11">
        <f t="shared" si="39"/>
        <v>0</v>
      </c>
      <c r="J2524" s="11">
        <f>1/(H2524*Utilities!$B$11)</f>
        <v>8</v>
      </c>
      <c r="K2524" s="11">
        <f>IF(B2524&lt;C2524,1,EXP(-1*(B2524-C2524)/(Utilities!$B$11*IterData!H2524)))</f>
        <v>1</v>
      </c>
    </row>
    <row r="2525" spans="8:11" x14ac:dyDescent="0.3">
      <c r="H2525">
        <v>0.5</v>
      </c>
      <c r="I2525" s="11">
        <f t="shared" si="39"/>
        <v>0</v>
      </c>
      <c r="J2525" s="11">
        <f>1/(H2525*Utilities!$B$11)</f>
        <v>8</v>
      </c>
      <c r="K2525" s="11">
        <f>IF(B2525&lt;C2525,1,EXP(-1*(B2525-C2525)/(Utilities!$B$11*IterData!H2525)))</f>
        <v>1</v>
      </c>
    </row>
    <row r="2526" spans="8:11" x14ac:dyDescent="0.3">
      <c r="H2526">
        <v>0.5</v>
      </c>
      <c r="I2526" s="11">
        <f t="shared" si="39"/>
        <v>0</v>
      </c>
      <c r="J2526" s="11">
        <f>1/(H2526*Utilities!$B$11)</f>
        <v>8</v>
      </c>
      <c r="K2526" s="11">
        <f>IF(B2526&lt;C2526,1,EXP(-1*(B2526-C2526)/(Utilities!$B$11*IterData!H2526)))</f>
        <v>1</v>
      </c>
    </row>
    <row r="2527" spans="8:11" x14ac:dyDescent="0.3">
      <c r="H2527">
        <v>0.5</v>
      </c>
      <c r="I2527" s="11">
        <f t="shared" si="39"/>
        <v>0</v>
      </c>
      <c r="J2527" s="11">
        <f>1/(H2527*Utilities!$B$11)</f>
        <v>8</v>
      </c>
      <c r="K2527" s="11">
        <f>IF(B2527&lt;C2527,1,EXP(-1*(B2527-C2527)/(Utilities!$B$11*IterData!H2527)))</f>
        <v>1</v>
      </c>
    </row>
    <row r="2528" spans="8:11" x14ac:dyDescent="0.3">
      <c r="H2528">
        <v>0.5</v>
      </c>
      <c r="I2528" s="11">
        <f t="shared" si="39"/>
        <v>0</v>
      </c>
      <c r="J2528" s="11">
        <f>1/(H2528*Utilities!$B$11)</f>
        <v>8</v>
      </c>
      <c r="K2528" s="11">
        <f>IF(B2528&lt;C2528,1,EXP(-1*(B2528-C2528)/(Utilities!$B$11*IterData!H2528)))</f>
        <v>1</v>
      </c>
    </row>
    <row r="2529" spans="8:11" x14ac:dyDescent="0.3">
      <c r="H2529">
        <v>0.5</v>
      </c>
      <c r="I2529" s="11">
        <f t="shared" si="39"/>
        <v>0</v>
      </c>
      <c r="J2529" s="11">
        <f>1/(H2529*Utilities!$B$11)</f>
        <v>8</v>
      </c>
      <c r="K2529" s="11">
        <f>IF(B2529&lt;C2529,1,EXP(-1*(B2529-C2529)/(Utilities!$B$11*IterData!H2529)))</f>
        <v>1</v>
      </c>
    </row>
    <row r="2530" spans="8:11" x14ac:dyDescent="0.3">
      <c r="H2530">
        <v>0.5</v>
      </c>
      <c r="I2530" s="11">
        <f t="shared" si="39"/>
        <v>0</v>
      </c>
      <c r="J2530" s="11">
        <f>1/(H2530*Utilities!$B$11)</f>
        <v>8</v>
      </c>
      <c r="K2530" s="11">
        <f>IF(B2530&lt;C2530,1,EXP(-1*(B2530-C2530)/(Utilities!$B$11*IterData!H2530)))</f>
        <v>1</v>
      </c>
    </row>
    <row r="2531" spans="8:11" x14ac:dyDescent="0.3">
      <c r="H2531">
        <v>0.5</v>
      </c>
      <c r="I2531" s="11">
        <f t="shared" si="39"/>
        <v>0</v>
      </c>
      <c r="J2531" s="11">
        <f>1/(H2531*Utilities!$B$11)</f>
        <v>8</v>
      </c>
      <c r="K2531" s="11">
        <f>IF(B2531&lt;C2531,1,EXP(-1*(B2531-C2531)/(Utilities!$B$11*IterData!H2531)))</f>
        <v>1</v>
      </c>
    </row>
    <row r="2532" spans="8:11" x14ac:dyDescent="0.3">
      <c r="H2532">
        <v>0.5</v>
      </c>
      <c r="I2532" s="11">
        <f t="shared" si="39"/>
        <v>0</v>
      </c>
      <c r="J2532" s="11">
        <f>1/(H2532*Utilities!$B$11)</f>
        <v>8</v>
      </c>
      <c r="K2532" s="11">
        <f>IF(B2532&lt;C2532,1,EXP(-1*(B2532-C2532)/(Utilities!$B$11*IterData!H2532)))</f>
        <v>1</v>
      </c>
    </row>
    <row r="2533" spans="8:11" x14ac:dyDescent="0.3">
      <c r="H2533">
        <v>0.5</v>
      </c>
      <c r="I2533" s="11">
        <f t="shared" si="39"/>
        <v>0</v>
      </c>
      <c r="J2533" s="11">
        <f>1/(H2533*Utilities!$B$11)</f>
        <v>8</v>
      </c>
      <c r="K2533" s="11">
        <f>IF(B2533&lt;C2533,1,EXP(-1*(B2533-C2533)/(Utilities!$B$11*IterData!H2533)))</f>
        <v>1</v>
      </c>
    </row>
    <row r="2534" spans="8:11" x14ac:dyDescent="0.3">
      <c r="H2534">
        <v>0.5</v>
      </c>
      <c r="I2534" s="11">
        <f t="shared" si="39"/>
        <v>0</v>
      </c>
      <c r="J2534" s="11">
        <f>1/(H2534*Utilities!$B$11)</f>
        <v>8</v>
      </c>
      <c r="K2534" s="11">
        <f>IF(B2534&lt;C2534,1,EXP(-1*(B2534-C2534)/(Utilities!$B$11*IterData!H2534)))</f>
        <v>1</v>
      </c>
    </row>
    <row r="2535" spans="8:11" x14ac:dyDescent="0.3">
      <c r="H2535">
        <v>0.5</v>
      </c>
      <c r="I2535" s="11">
        <f t="shared" si="39"/>
        <v>0</v>
      </c>
      <c r="J2535" s="11">
        <f>1/(H2535*Utilities!$B$11)</f>
        <v>8</v>
      </c>
      <c r="K2535" s="11">
        <f>IF(B2535&lt;C2535,1,EXP(-1*(B2535-C2535)/(Utilities!$B$11*IterData!H2535)))</f>
        <v>1</v>
      </c>
    </row>
    <row r="2536" spans="8:11" x14ac:dyDescent="0.3">
      <c r="H2536">
        <v>0.5</v>
      </c>
      <c r="I2536" s="11">
        <f t="shared" si="39"/>
        <v>0</v>
      </c>
      <c r="J2536" s="11">
        <f>1/(H2536*Utilities!$B$11)</f>
        <v>8</v>
      </c>
      <c r="K2536" s="11">
        <f>IF(B2536&lt;C2536,1,EXP(-1*(B2536-C2536)/(Utilities!$B$11*IterData!H2536)))</f>
        <v>1</v>
      </c>
    </row>
    <row r="2537" spans="8:11" x14ac:dyDescent="0.3">
      <c r="H2537">
        <v>0.5</v>
      </c>
      <c r="I2537" s="11">
        <f t="shared" si="39"/>
        <v>0</v>
      </c>
      <c r="J2537" s="11">
        <f>1/(H2537*Utilities!$B$11)</f>
        <v>8</v>
      </c>
      <c r="K2537" s="11">
        <f>IF(B2537&lt;C2537,1,EXP(-1*(B2537-C2537)/(Utilities!$B$11*IterData!H2537)))</f>
        <v>1</v>
      </c>
    </row>
    <row r="2538" spans="8:11" x14ac:dyDescent="0.3">
      <c r="H2538">
        <v>0.5</v>
      </c>
      <c r="I2538" s="11">
        <f t="shared" si="39"/>
        <v>0</v>
      </c>
      <c r="J2538" s="11">
        <f>1/(H2538*Utilities!$B$11)</f>
        <v>8</v>
      </c>
      <c r="K2538" s="11">
        <f>IF(B2538&lt;C2538,1,EXP(-1*(B2538-C2538)/(Utilities!$B$11*IterData!H2538)))</f>
        <v>1</v>
      </c>
    </row>
    <row r="2539" spans="8:11" x14ac:dyDescent="0.3">
      <c r="H2539">
        <v>0.5</v>
      </c>
      <c r="I2539" s="11">
        <f t="shared" si="39"/>
        <v>0</v>
      </c>
      <c r="J2539" s="11">
        <f>1/(H2539*Utilities!$B$11)</f>
        <v>8</v>
      </c>
      <c r="K2539" s="11">
        <f>IF(B2539&lt;C2539,1,EXP(-1*(B2539-C2539)/(Utilities!$B$11*IterData!H2539)))</f>
        <v>1</v>
      </c>
    </row>
    <row r="2540" spans="8:11" x14ac:dyDescent="0.3">
      <c r="H2540">
        <v>0.5</v>
      </c>
      <c r="I2540" s="11">
        <f t="shared" si="39"/>
        <v>0</v>
      </c>
      <c r="J2540" s="11">
        <f>1/(H2540*Utilities!$B$11)</f>
        <v>8</v>
      </c>
      <c r="K2540" s="11">
        <f>IF(B2540&lt;C2540,1,EXP(-1*(B2540-C2540)/(Utilities!$B$11*IterData!H2540)))</f>
        <v>1</v>
      </c>
    </row>
    <row r="2541" spans="8:11" x14ac:dyDescent="0.3">
      <c r="H2541">
        <v>0.5</v>
      </c>
      <c r="I2541" s="11">
        <f t="shared" si="39"/>
        <v>0</v>
      </c>
      <c r="J2541" s="11">
        <f>1/(H2541*Utilities!$B$11)</f>
        <v>8</v>
      </c>
      <c r="K2541" s="11">
        <f>IF(B2541&lt;C2541,1,EXP(-1*(B2541-C2541)/(Utilities!$B$11*IterData!H2541)))</f>
        <v>1</v>
      </c>
    </row>
    <row r="2542" spans="8:11" x14ac:dyDescent="0.3">
      <c r="H2542">
        <v>0.5</v>
      </c>
      <c r="I2542" s="11">
        <f t="shared" si="39"/>
        <v>0</v>
      </c>
      <c r="J2542" s="11">
        <f>1/(H2542*Utilities!$B$11)</f>
        <v>8</v>
      </c>
      <c r="K2542" s="11">
        <f>IF(B2542&lt;C2542,1,EXP(-1*(B2542-C2542)/(Utilities!$B$11*IterData!H2542)))</f>
        <v>1</v>
      </c>
    </row>
    <row r="2543" spans="8:11" x14ac:dyDescent="0.3">
      <c r="H2543">
        <v>0.5</v>
      </c>
      <c r="I2543" s="11">
        <f t="shared" si="39"/>
        <v>0</v>
      </c>
      <c r="J2543" s="11">
        <f>1/(H2543*Utilities!$B$11)</f>
        <v>8</v>
      </c>
      <c r="K2543" s="11">
        <f>IF(B2543&lt;C2543,1,EXP(-1*(B2543-C2543)/(Utilities!$B$11*IterData!H2543)))</f>
        <v>1</v>
      </c>
    </row>
    <row r="2544" spans="8:11" x14ac:dyDescent="0.3">
      <c r="H2544">
        <v>0.5</v>
      </c>
      <c r="I2544" s="11">
        <f t="shared" si="39"/>
        <v>0</v>
      </c>
      <c r="J2544" s="11">
        <f>1/(H2544*Utilities!$B$11)</f>
        <v>8</v>
      </c>
      <c r="K2544" s="11">
        <f>IF(B2544&lt;C2544,1,EXP(-1*(B2544-C2544)/(Utilities!$B$11*IterData!H2544)))</f>
        <v>1</v>
      </c>
    </row>
    <row r="2545" spans="8:11" x14ac:dyDescent="0.3">
      <c r="H2545">
        <v>0.5</v>
      </c>
      <c r="I2545" s="11">
        <f t="shared" si="39"/>
        <v>0</v>
      </c>
      <c r="J2545" s="11">
        <f>1/(H2545*Utilities!$B$11)</f>
        <v>8</v>
      </c>
      <c r="K2545" s="11">
        <f>IF(B2545&lt;C2545,1,EXP(-1*(B2545-C2545)/(Utilities!$B$11*IterData!H2545)))</f>
        <v>1</v>
      </c>
    </row>
    <row r="2546" spans="8:11" x14ac:dyDescent="0.3">
      <c r="H2546">
        <v>0.5</v>
      </c>
      <c r="I2546" s="11">
        <f t="shared" si="39"/>
        <v>0</v>
      </c>
      <c r="J2546" s="11">
        <f>1/(H2546*Utilities!$B$11)</f>
        <v>8</v>
      </c>
      <c r="K2546" s="11">
        <f>IF(B2546&lt;C2546,1,EXP(-1*(B2546-C2546)/(Utilities!$B$11*IterData!H2546)))</f>
        <v>1</v>
      </c>
    </row>
    <row r="2547" spans="8:11" x14ac:dyDescent="0.3">
      <c r="H2547">
        <v>0.5</v>
      </c>
      <c r="I2547" s="11">
        <f t="shared" si="39"/>
        <v>0</v>
      </c>
      <c r="J2547" s="11">
        <f>1/(H2547*Utilities!$B$11)</f>
        <v>8</v>
      </c>
      <c r="K2547" s="11">
        <f>IF(B2547&lt;C2547,1,EXP(-1*(B2547-C2547)/(Utilities!$B$11*IterData!H2547)))</f>
        <v>1</v>
      </c>
    </row>
    <row r="2548" spans="8:11" x14ac:dyDescent="0.3">
      <c r="H2548">
        <v>0.5</v>
      </c>
      <c r="I2548" s="11">
        <f t="shared" si="39"/>
        <v>0</v>
      </c>
      <c r="J2548" s="11">
        <f>1/(H2548*Utilities!$B$11)</f>
        <v>8</v>
      </c>
      <c r="K2548" s="11">
        <f>IF(B2548&lt;C2548,1,EXP(-1*(B2548-C2548)/(Utilities!$B$11*IterData!H2548)))</f>
        <v>1</v>
      </c>
    </row>
    <row r="2549" spans="8:11" x14ac:dyDescent="0.3">
      <c r="H2549">
        <v>0.5</v>
      </c>
      <c r="I2549" s="11">
        <f t="shared" si="39"/>
        <v>0</v>
      </c>
      <c r="J2549" s="11">
        <f>1/(H2549*Utilities!$B$11)</f>
        <v>8</v>
      </c>
      <c r="K2549" s="11">
        <f>IF(B2549&lt;C2549,1,EXP(-1*(B2549-C2549)/(Utilities!$B$11*IterData!H2549)))</f>
        <v>1</v>
      </c>
    </row>
    <row r="2550" spans="8:11" x14ac:dyDescent="0.3">
      <c r="H2550">
        <v>0.5</v>
      </c>
      <c r="I2550" s="11">
        <f t="shared" si="39"/>
        <v>0</v>
      </c>
      <c r="J2550" s="11">
        <f>1/(H2550*Utilities!$B$11)</f>
        <v>8</v>
      </c>
      <c r="K2550" s="11">
        <f>IF(B2550&lt;C2550,1,EXP(-1*(B2550-C2550)/(Utilities!$B$11*IterData!H2550)))</f>
        <v>1</v>
      </c>
    </row>
    <row r="2551" spans="8:11" x14ac:dyDescent="0.3">
      <c r="H2551">
        <v>0.5</v>
      </c>
      <c r="I2551" s="11">
        <f t="shared" si="39"/>
        <v>0</v>
      </c>
      <c r="J2551" s="11">
        <f>1/(H2551*Utilities!$B$11)</f>
        <v>8</v>
      </c>
      <c r="K2551" s="11">
        <f>IF(B2551&lt;C2551,1,EXP(-1*(B2551-C2551)/(Utilities!$B$11*IterData!H2551)))</f>
        <v>1</v>
      </c>
    </row>
    <row r="2552" spans="8:11" x14ac:dyDescent="0.3">
      <c r="H2552">
        <v>0.5</v>
      </c>
      <c r="I2552" s="11">
        <f t="shared" si="39"/>
        <v>0</v>
      </c>
      <c r="J2552" s="11">
        <f>1/(H2552*Utilities!$B$11)</f>
        <v>8</v>
      </c>
      <c r="K2552" s="11">
        <f>IF(B2552&lt;C2552,1,EXP(-1*(B2552-C2552)/(Utilities!$B$11*IterData!H2552)))</f>
        <v>1</v>
      </c>
    </row>
    <row r="2553" spans="8:11" x14ac:dyDescent="0.3">
      <c r="H2553">
        <v>0.5</v>
      </c>
      <c r="I2553" s="11">
        <f t="shared" si="39"/>
        <v>0</v>
      </c>
      <c r="J2553" s="11">
        <f>1/(H2553*Utilities!$B$11)</f>
        <v>8</v>
      </c>
      <c r="K2553" s="11">
        <f>IF(B2553&lt;C2553,1,EXP(-1*(B2553-C2553)/(Utilities!$B$11*IterData!H2553)))</f>
        <v>1</v>
      </c>
    </row>
    <row r="2554" spans="8:11" x14ac:dyDescent="0.3">
      <c r="H2554">
        <v>0.5</v>
      </c>
      <c r="I2554" s="11">
        <f t="shared" si="39"/>
        <v>0</v>
      </c>
      <c r="J2554" s="11">
        <f>1/(H2554*Utilities!$B$11)</f>
        <v>8</v>
      </c>
      <c r="K2554" s="11">
        <f>IF(B2554&lt;C2554,1,EXP(-1*(B2554-C2554)/(Utilities!$B$11*IterData!H2554)))</f>
        <v>1</v>
      </c>
    </row>
    <row r="2555" spans="8:11" x14ac:dyDescent="0.3">
      <c r="H2555">
        <v>0.5</v>
      </c>
      <c r="I2555" s="11">
        <f t="shared" si="39"/>
        <v>0</v>
      </c>
      <c r="J2555" s="11">
        <f>1/(H2555*Utilities!$B$11)</f>
        <v>8</v>
      </c>
      <c r="K2555" s="11">
        <f>IF(B2555&lt;C2555,1,EXP(-1*(B2555-C2555)/(Utilities!$B$11*IterData!H2555)))</f>
        <v>1</v>
      </c>
    </row>
    <row r="2556" spans="8:11" x14ac:dyDescent="0.3">
      <c r="H2556">
        <v>0.5</v>
      </c>
      <c r="I2556" s="11">
        <f t="shared" si="39"/>
        <v>0</v>
      </c>
      <c r="J2556" s="11">
        <f>1/(H2556*Utilities!$B$11)</f>
        <v>8</v>
      </c>
      <c r="K2556" s="11">
        <f>IF(B2556&lt;C2556,1,EXP(-1*(B2556-C2556)/(Utilities!$B$11*IterData!H2556)))</f>
        <v>1</v>
      </c>
    </row>
    <row r="2557" spans="8:11" x14ac:dyDescent="0.3">
      <c r="H2557">
        <v>0.5</v>
      </c>
      <c r="I2557" s="11">
        <f t="shared" si="39"/>
        <v>0</v>
      </c>
      <c r="J2557" s="11">
        <f>1/(H2557*Utilities!$B$11)</f>
        <v>8</v>
      </c>
      <c r="K2557" s="11">
        <f>IF(B2557&lt;C2557,1,EXP(-1*(B2557-C2557)/(Utilities!$B$11*IterData!H2557)))</f>
        <v>1</v>
      </c>
    </row>
    <row r="2558" spans="8:11" x14ac:dyDescent="0.3">
      <c r="H2558">
        <v>0.5</v>
      </c>
      <c r="I2558" s="11">
        <f t="shared" si="39"/>
        <v>0</v>
      </c>
      <c r="J2558" s="11">
        <f>1/(H2558*Utilities!$B$11)</f>
        <v>8</v>
      </c>
      <c r="K2558" s="11">
        <f>IF(B2558&lt;C2558,1,EXP(-1*(B2558-C2558)/(Utilities!$B$11*IterData!H2558)))</f>
        <v>1</v>
      </c>
    </row>
    <row r="2559" spans="8:11" x14ac:dyDescent="0.3">
      <c r="H2559">
        <v>0.5</v>
      </c>
      <c r="I2559" s="11">
        <f t="shared" si="39"/>
        <v>0</v>
      </c>
      <c r="J2559" s="11">
        <f>1/(H2559*Utilities!$B$11)</f>
        <v>8</v>
      </c>
      <c r="K2559" s="11">
        <f>IF(B2559&lt;C2559,1,EXP(-1*(B2559-C2559)/(Utilities!$B$11*IterData!H2559)))</f>
        <v>1</v>
      </c>
    </row>
    <row r="2560" spans="8:11" x14ac:dyDescent="0.3">
      <c r="H2560">
        <v>0.5</v>
      </c>
      <c r="I2560" s="11">
        <f t="shared" si="39"/>
        <v>0</v>
      </c>
      <c r="J2560" s="11">
        <f>1/(H2560*Utilities!$B$11)</f>
        <v>8</v>
      </c>
      <c r="K2560" s="11">
        <f>IF(B2560&lt;C2560,1,EXP(-1*(B2560-C2560)/(Utilities!$B$11*IterData!H2560)))</f>
        <v>1</v>
      </c>
    </row>
    <row r="2561" spans="8:11" x14ac:dyDescent="0.3">
      <c r="H2561">
        <v>0.5</v>
      </c>
      <c r="I2561" s="11">
        <f t="shared" si="39"/>
        <v>0</v>
      </c>
      <c r="J2561" s="11">
        <f>1/(H2561*Utilities!$B$11)</f>
        <v>8</v>
      </c>
      <c r="K2561" s="11">
        <f>IF(B2561&lt;C2561,1,EXP(-1*(B2561-C2561)/(Utilities!$B$11*IterData!H2561)))</f>
        <v>1</v>
      </c>
    </row>
    <row r="2562" spans="8:11" x14ac:dyDescent="0.3">
      <c r="H2562">
        <v>0.5</v>
      </c>
      <c r="I2562" s="11">
        <f t="shared" si="39"/>
        <v>0</v>
      </c>
      <c r="J2562" s="11">
        <f>1/(H2562*Utilities!$B$11)</f>
        <v>8</v>
      </c>
      <c r="K2562" s="11">
        <f>IF(B2562&lt;C2562,1,EXP(-1*(B2562-C2562)/(Utilities!$B$11*IterData!H2562)))</f>
        <v>1</v>
      </c>
    </row>
    <row r="2563" spans="8:11" x14ac:dyDescent="0.3">
      <c r="H2563">
        <v>0.5</v>
      </c>
      <c r="I2563" s="11">
        <f t="shared" ref="I2563:I2626" si="40">B2563-C2563</f>
        <v>0</v>
      </c>
      <c r="J2563" s="11">
        <f>1/(H2563*Utilities!$B$11)</f>
        <v>8</v>
      </c>
      <c r="K2563" s="11">
        <f>IF(B2563&lt;C2563,1,EXP(-1*(B2563-C2563)/(Utilities!$B$11*IterData!H2563)))</f>
        <v>1</v>
      </c>
    </row>
    <row r="2564" spans="8:11" x14ac:dyDescent="0.3">
      <c r="H2564">
        <v>0.5</v>
      </c>
      <c r="I2564" s="11">
        <f t="shared" si="40"/>
        <v>0</v>
      </c>
      <c r="J2564" s="11">
        <f>1/(H2564*Utilities!$B$11)</f>
        <v>8</v>
      </c>
      <c r="K2564" s="11">
        <f>IF(B2564&lt;C2564,1,EXP(-1*(B2564-C2564)/(Utilities!$B$11*IterData!H2564)))</f>
        <v>1</v>
      </c>
    </row>
    <row r="2565" spans="8:11" x14ac:dyDescent="0.3">
      <c r="H2565">
        <v>0.5</v>
      </c>
      <c r="I2565" s="11">
        <f t="shared" si="40"/>
        <v>0</v>
      </c>
      <c r="J2565" s="11">
        <f>1/(H2565*Utilities!$B$11)</f>
        <v>8</v>
      </c>
      <c r="K2565" s="11">
        <f>IF(B2565&lt;C2565,1,EXP(-1*(B2565-C2565)/(Utilities!$B$11*IterData!H2565)))</f>
        <v>1</v>
      </c>
    </row>
    <row r="2566" spans="8:11" x14ac:dyDescent="0.3">
      <c r="H2566">
        <v>0.5</v>
      </c>
      <c r="I2566" s="11">
        <f t="shared" si="40"/>
        <v>0</v>
      </c>
      <c r="J2566" s="11">
        <f>1/(H2566*Utilities!$B$11)</f>
        <v>8</v>
      </c>
      <c r="K2566" s="11">
        <f>IF(B2566&lt;C2566,1,EXP(-1*(B2566-C2566)/(Utilities!$B$11*IterData!H2566)))</f>
        <v>1</v>
      </c>
    </row>
    <row r="2567" spans="8:11" x14ac:dyDescent="0.3">
      <c r="H2567">
        <v>0.5</v>
      </c>
      <c r="I2567" s="11">
        <f t="shared" si="40"/>
        <v>0</v>
      </c>
      <c r="J2567" s="11">
        <f>1/(H2567*Utilities!$B$11)</f>
        <v>8</v>
      </c>
      <c r="K2567" s="11">
        <f>IF(B2567&lt;C2567,1,EXP(-1*(B2567-C2567)/(Utilities!$B$11*IterData!H2567)))</f>
        <v>1</v>
      </c>
    </row>
    <row r="2568" spans="8:11" x14ac:dyDescent="0.3">
      <c r="H2568">
        <v>0.5</v>
      </c>
      <c r="I2568" s="11">
        <f t="shared" si="40"/>
        <v>0</v>
      </c>
      <c r="J2568" s="11">
        <f>1/(H2568*Utilities!$B$11)</f>
        <v>8</v>
      </c>
      <c r="K2568" s="11">
        <f>IF(B2568&lt;C2568,1,EXP(-1*(B2568-C2568)/(Utilities!$B$11*IterData!H2568)))</f>
        <v>1</v>
      </c>
    </row>
    <row r="2569" spans="8:11" x14ac:dyDescent="0.3">
      <c r="H2569">
        <v>0.5</v>
      </c>
      <c r="I2569" s="11">
        <f t="shared" si="40"/>
        <v>0</v>
      </c>
      <c r="J2569" s="11">
        <f>1/(H2569*Utilities!$B$11)</f>
        <v>8</v>
      </c>
      <c r="K2569" s="11">
        <f>IF(B2569&lt;C2569,1,EXP(-1*(B2569-C2569)/(Utilities!$B$11*IterData!H2569)))</f>
        <v>1</v>
      </c>
    </row>
    <row r="2570" spans="8:11" x14ac:dyDescent="0.3">
      <c r="H2570">
        <v>0.5</v>
      </c>
      <c r="I2570" s="11">
        <f t="shared" si="40"/>
        <v>0</v>
      </c>
      <c r="J2570" s="11">
        <f>1/(H2570*Utilities!$B$11)</f>
        <v>8</v>
      </c>
      <c r="K2570" s="11">
        <f>IF(B2570&lt;C2570,1,EXP(-1*(B2570-C2570)/(Utilities!$B$11*IterData!H2570)))</f>
        <v>1</v>
      </c>
    </row>
    <row r="2571" spans="8:11" x14ac:dyDescent="0.3">
      <c r="H2571">
        <v>0.5</v>
      </c>
      <c r="I2571" s="11">
        <f t="shared" si="40"/>
        <v>0</v>
      </c>
      <c r="J2571" s="11">
        <f>1/(H2571*Utilities!$B$11)</f>
        <v>8</v>
      </c>
      <c r="K2571" s="11">
        <f>IF(B2571&lt;C2571,1,EXP(-1*(B2571-C2571)/(Utilities!$B$11*IterData!H2571)))</f>
        <v>1</v>
      </c>
    </row>
    <row r="2572" spans="8:11" x14ac:dyDescent="0.3">
      <c r="H2572">
        <v>0.5</v>
      </c>
      <c r="I2572" s="11">
        <f t="shared" si="40"/>
        <v>0</v>
      </c>
      <c r="J2572" s="11">
        <f>1/(H2572*Utilities!$B$11)</f>
        <v>8</v>
      </c>
      <c r="K2572" s="11">
        <f>IF(B2572&lt;C2572,1,EXP(-1*(B2572-C2572)/(Utilities!$B$11*IterData!H2572)))</f>
        <v>1</v>
      </c>
    </row>
    <row r="2573" spans="8:11" x14ac:dyDescent="0.3">
      <c r="H2573">
        <v>0.5</v>
      </c>
      <c r="I2573" s="11">
        <f t="shared" si="40"/>
        <v>0</v>
      </c>
      <c r="J2573" s="11">
        <f>1/(H2573*Utilities!$B$11)</f>
        <v>8</v>
      </c>
      <c r="K2573" s="11">
        <f>IF(B2573&lt;C2573,1,EXP(-1*(B2573-C2573)/(Utilities!$B$11*IterData!H2573)))</f>
        <v>1</v>
      </c>
    </row>
    <row r="2574" spans="8:11" x14ac:dyDescent="0.3">
      <c r="H2574">
        <v>0.5</v>
      </c>
      <c r="I2574" s="11">
        <f t="shared" si="40"/>
        <v>0</v>
      </c>
      <c r="J2574" s="11">
        <f>1/(H2574*Utilities!$B$11)</f>
        <v>8</v>
      </c>
      <c r="K2574" s="11">
        <f>IF(B2574&lt;C2574,1,EXP(-1*(B2574-C2574)/(Utilities!$B$11*IterData!H2574)))</f>
        <v>1</v>
      </c>
    </row>
    <row r="2575" spans="8:11" x14ac:dyDescent="0.3">
      <c r="H2575">
        <v>0.5</v>
      </c>
      <c r="I2575" s="11">
        <f t="shared" si="40"/>
        <v>0</v>
      </c>
      <c r="J2575" s="11">
        <f>1/(H2575*Utilities!$B$11)</f>
        <v>8</v>
      </c>
      <c r="K2575" s="11">
        <f>IF(B2575&lt;C2575,1,EXP(-1*(B2575-C2575)/(Utilities!$B$11*IterData!H2575)))</f>
        <v>1</v>
      </c>
    </row>
    <row r="2576" spans="8:11" x14ac:dyDescent="0.3">
      <c r="H2576">
        <v>0.5</v>
      </c>
      <c r="I2576" s="11">
        <f t="shared" si="40"/>
        <v>0</v>
      </c>
      <c r="J2576" s="11">
        <f>1/(H2576*Utilities!$B$11)</f>
        <v>8</v>
      </c>
      <c r="K2576" s="11">
        <f>IF(B2576&lt;C2576,1,EXP(-1*(B2576-C2576)/(Utilities!$B$11*IterData!H2576)))</f>
        <v>1</v>
      </c>
    </row>
    <row r="2577" spans="8:11" x14ac:dyDescent="0.3">
      <c r="H2577">
        <v>0.5</v>
      </c>
      <c r="I2577" s="11">
        <f t="shared" si="40"/>
        <v>0</v>
      </c>
      <c r="J2577" s="11">
        <f>1/(H2577*Utilities!$B$11)</f>
        <v>8</v>
      </c>
      <c r="K2577" s="11">
        <f>IF(B2577&lt;C2577,1,EXP(-1*(B2577-C2577)/(Utilities!$B$11*IterData!H2577)))</f>
        <v>1</v>
      </c>
    </row>
    <row r="2578" spans="8:11" x14ac:dyDescent="0.3">
      <c r="H2578">
        <v>0.5</v>
      </c>
      <c r="I2578" s="11">
        <f t="shared" si="40"/>
        <v>0</v>
      </c>
      <c r="J2578" s="11">
        <f>1/(H2578*Utilities!$B$11)</f>
        <v>8</v>
      </c>
      <c r="K2578" s="11">
        <f>IF(B2578&lt;C2578,1,EXP(-1*(B2578-C2578)/(Utilities!$B$11*IterData!H2578)))</f>
        <v>1</v>
      </c>
    </row>
    <row r="2579" spans="8:11" x14ac:dyDescent="0.3">
      <c r="H2579">
        <v>0.5</v>
      </c>
      <c r="I2579" s="11">
        <f t="shared" si="40"/>
        <v>0</v>
      </c>
      <c r="J2579" s="11">
        <f>1/(H2579*Utilities!$B$11)</f>
        <v>8</v>
      </c>
      <c r="K2579" s="11">
        <f>IF(B2579&lt;C2579,1,EXP(-1*(B2579-C2579)/(Utilities!$B$11*IterData!H2579)))</f>
        <v>1</v>
      </c>
    </row>
    <row r="2580" spans="8:11" x14ac:dyDescent="0.3">
      <c r="H2580">
        <v>0.5</v>
      </c>
      <c r="I2580" s="11">
        <f t="shared" si="40"/>
        <v>0</v>
      </c>
      <c r="J2580" s="11">
        <f>1/(H2580*Utilities!$B$11)</f>
        <v>8</v>
      </c>
      <c r="K2580" s="11">
        <f>IF(B2580&lt;C2580,1,EXP(-1*(B2580-C2580)/(Utilities!$B$11*IterData!H2580)))</f>
        <v>1</v>
      </c>
    </row>
    <row r="2581" spans="8:11" x14ac:dyDescent="0.3">
      <c r="H2581">
        <v>0.5</v>
      </c>
      <c r="I2581" s="11">
        <f t="shared" si="40"/>
        <v>0</v>
      </c>
      <c r="J2581" s="11">
        <f>1/(H2581*Utilities!$B$11)</f>
        <v>8</v>
      </c>
      <c r="K2581" s="11">
        <f>IF(B2581&lt;C2581,1,EXP(-1*(B2581-C2581)/(Utilities!$B$11*IterData!H2581)))</f>
        <v>1</v>
      </c>
    </row>
    <row r="2582" spans="8:11" x14ac:dyDescent="0.3">
      <c r="H2582">
        <v>0.5</v>
      </c>
      <c r="I2582" s="11">
        <f t="shared" si="40"/>
        <v>0</v>
      </c>
      <c r="J2582" s="11">
        <f>1/(H2582*Utilities!$B$11)</f>
        <v>8</v>
      </c>
      <c r="K2582" s="11">
        <f>IF(B2582&lt;C2582,1,EXP(-1*(B2582-C2582)/(Utilities!$B$11*IterData!H2582)))</f>
        <v>1</v>
      </c>
    </row>
    <row r="2583" spans="8:11" x14ac:dyDescent="0.3">
      <c r="H2583">
        <v>0.5</v>
      </c>
      <c r="I2583" s="11">
        <f t="shared" si="40"/>
        <v>0</v>
      </c>
      <c r="J2583" s="11">
        <f>1/(H2583*Utilities!$B$11)</f>
        <v>8</v>
      </c>
      <c r="K2583" s="11">
        <f>IF(B2583&lt;C2583,1,EXP(-1*(B2583-C2583)/(Utilities!$B$11*IterData!H2583)))</f>
        <v>1</v>
      </c>
    </row>
    <row r="2584" spans="8:11" x14ac:dyDescent="0.3">
      <c r="H2584">
        <v>0.5</v>
      </c>
      <c r="I2584" s="11">
        <f t="shared" si="40"/>
        <v>0</v>
      </c>
      <c r="J2584" s="11">
        <f>1/(H2584*Utilities!$B$11)</f>
        <v>8</v>
      </c>
      <c r="K2584" s="11">
        <f>IF(B2584&lt;C2584,1,EXP(-1*(B2584-C2584)/(Utilities!$B$11*IterData!H2584)))</f>
        <v>1</v>
      </c>
    </row>
    <row r="2585" spans="8:11" x14ac:dyDescent="0.3">
      <c r="H2585">
        <v>0.5</v>
      </c>
      <c r="I2585" s="11">
        <f t="shared" si="40"/>
        <v>0</v>
      </c>
      <c r="J2585" s="11">
        <f>1/(H2585*Utilities!$B$11)</f>
        <v>8</v>
      </c>
      <c r="K2585" s="11">
        <f>IF(B2585&lt;C2585,1,EXP(-1*(B2585-C2585)/(Utilities!$B$11*IterData!H2585)))</f>
        <v>1</v>
      </c>
    </row>
    <row r="2586" spans="8:11" x14ac:dyDescent="0.3">
      <c r="H2586">
        <v>0.5</v>
      </c>
      <c r="I2586" s="11">
        <f t="shared" si="40"/>
        <v>0</v>
      </c>
      <c r="J2586" s="11">
        <f>1/(H2586*Utilities!$B$11)</f>
        <v>8</v>
      </c>
      <c r="K2586" s="11">
        <f>IF(B2586&lt;C2586,1,EXP(-1*(B2586-C2586)/(Utilities!$B$11*IterData!H2586)))</f>
        <v>1</v>
      </c>
    </row>
    <row r="2587" spans="8:11" x14ac:dyDescent="0.3">
      <c r="H2587">
        <v>0.5</v>
      </c>
      <c r="I2587" s="11">
        <f t="shared" si="40"/>
        <v>0</v>
      </c>
      <c r="J2587" s="11">
        <f>1/(H2587*Utilities!$B$11)</f>
        <v>8</v>
      </c>
      <c r="K2587" s="11">
        <f>IF(B2587&lt;C2587,1,EXP(-1*(B2587-C2587)/(Utilities!$B$11*IterData!H2587)))</f>
        <v>1</v>
      </c>
    </row>
    <row r="2588" spans="8:11" x14ac:dyDescent="0.3">
      <c r="H2588">
        <v>0.5</v>
      </c>
      <c r="I2588" s="11">
        <f t="shared" si="40"/>
        <v>0</v>
      </c>
      <c r="J2588" s="11">
        <f>1/(H2588*Utilities!$B$11)</f>
        <v>8</v>
      </c>
      <c r="K2588" s="11">
        <f>IF(B2588&lt;C2588,1,EXP(-1*(B2588-C2588)/(Utilities!$B$11*IterData!H2588)))</f>
        <v>1</v>
      </c>
    </row>
    <row r="2589" spans="8:11" x14ac:dyDescent="0.3">
      <c r="H2589">
        <v>0.5</v>
      </c>
      <c r="I2589" s="11">
        <f t="shared" si="40"/>
        <v>0</v>
      </c>
      <c r="J2589" s="11">
        <f>1/(H2589*Utilities!$B$11)</f>
        <v>8</v>
      </c>
      <c r="K2589" s="11">
        <f>IF(B2589&lt;C2589,1,EXP(-1*(B2589-C2589)/(Utilities!$B$11*IterData!H2589)))</f>
        <v>1</v>
      </c>
    </row>
    <row r="2590" spans="8:11" x14ac:dyDescent="0.3">
      <c r="H2590">
        <v>0.5</v>
      </c>
      <c r="I2590" s="11">
        <f t="shared" si="40"/>
        <v>0</v>
      </c>
      <c r="J2590" s="11">
        <f>1/(H2590*Utilities!$B$11)</f>
        <v>8</v>
      </c>
      <c r="K2590" s="11">
        <f>IF(B2590&lt;C2590,1,EXP(-1*(B2590-C2590)/(Utilities!$B$11*IterData!H2590)))</f>
        <v>1</v>
      </c>
    </row>
    <row r="2591" spans="8:11" x14ac:dyDescent="0.3">
      <c r="H2591">
        <v>0.5</v>
      </c>
      <c r="I2591" s="11">
        <f t="shared" si="40"/>
        <v>0</v>
      </c>
      <c r="J2591" s="11">
        <f>1/(H2591*Utilities!$B$11)</f>
        <v>8</v>
      </c>
      <c r="K2591" s="11">
        <f>IF(B2591&lt;C2591,1,EXP(-1*(B2591-C2591)/(Utilities!$B$11*IterData!H2591)))</f>
        <v>1</v>
      </c>
    </row>
    <row r="2592" spans="8:11" x14ac:dyDescent="0.3">
      <c r="H2592">
        <v>0.5</v>
      </c>
      <c r="I2592" s="11">
        <f t="shared" si="40"/>
        <v>0</v>
      </c>
      <c r="J2592" s="11">
        <f>1/(H2592*Utilities!$B$11)</f>
        <v>8</v>
      </c>
      <c r="K2592" s="11">
        <f>IF(B2592&lt;C2592,1,EXP(-1*(B2592-C2592)/(Utilities!$B$11*IterData!H2592)))</f>
        <v>1</v>
      </c>
    </row>
    <row r="2593" spans="8:11" x14ac:dyDescent="0.3">
      <c r="H2593">
        <v>0.5</v>
      </c>
      <c r="I2593" s="11">
        <f t="shared" si="40"/>
        <v>0</v>
      </c>
      <c r="J2593" s="11">
        <f>1/(H2593*Utilities!$B$11)</f>
        <v>8</v>
      </c>
      <c r="K2593" s="11">
        <f>IF(B2593&lt;C2593,1,EXP(-1*(B2593-C2593)/(Utilities!$B$11*IterData!H2593)))</f>
        <v>1</v>
      </c>
    </row>
    <row r="2594" spans="8:11" x14ac:dyDescent="0.3">
      <c r="H2594">
        <v>0.5</v>
      </c>
      <c r="I2594" s="11">
        <f t="shared" si="40"/>
        <v>0</v>
      </c>
      <c r="J2594" s="11">
        <f>1/(H2594*Utilities!$B$11)</f>
        <v>8</v>
      </c>
      <c r="K2594" s="11">
        <f>IF(B2594&lt;C2594,1,EXP(-1*(B2594-C2594)/(Utilities!$B$11*IterData!H2594)))</f>
        <v>1</v>
      </c>
    </row>
    <row r="2595" spans="8:11" x14ac:dyDescent="0.3">
      <c r="H2595">
        <v>0.5</v>
      </c>
      <c r="I2595" s="11">
        <f t="shared" si="40"/>
        <v>0</v>
      </c>
      <c r="J2595" s="11">
        <f>1/(H2595*Utilities!$B$11)</f>
        <v>8</v>
      </c>
      <c r="K2595" s="11">
        <f>IF(B2595&lt;C2595,1,EXP(-1*(B2595-C2595)/(Utilities!$B$11*IterData!H2595)))</f>
        <v>1</v>
      </c>
    </row>
    <row r="2596" spans="8:11" x14ac:dyDescent="0.3">
      <c r="H2596">
        <v>0.5</v>
      </c>
      <c r="I2596" s="11">
        <f t="shared" si="40"/>
        <v>0</v>
      </c>
      <c r="J2596" s="11">
        <f>1/(H2596*Utilities!$B$11)</f>
        <v>8</v>
      </c>
      <c r="K2596" s="11">
        <f>IF(B2596&lt;C2596,1,EXP(-1*(B2596-C2596)/(Utilities!$B$11*IterData!H2596)))</f>
        <v>1</v>
      </c>
    </row>
    <row r="2597" spans="8:11" x14ac:dyDescent="0.3">
      <c r="H2597">
        <v>0.5</v>
      </c>
      <c r="I2597" s="11">
        <f t="shared" si="40"/>
        <v>0</v>
      </c>
      <c r="J2597" s="11">
        <f>1/(H2597*Utilities!$B$11)</f>
        <v>8</v>
      </c>
      <c r="K2597" s="11">
        <f>IF(B2597&lt;C2597,1,EXP(-1*(B2597-C2597)/(Utilities!$B$11*IterData!H2597)))</f>
        <v>1</v>
      </c>
    </row>
    <row r="2598" spans="8:11" x14ac:dyDescent="0.3">
      <c r="H2598">
        <v>0.5</v>
      </c>
      <c r="I2598" s="11">
        <f t="shared" si="40"/>
        <v>0</v>
      </c>
      <c r="J2598" s="11">
        <f>1/(H2598*Utilities!$B$11)</f>
        <v>8</v>
      </c>
      <c r="K2598" s="11">
        <f>IF(B2598&lt;C2598,1,EXP(-1*(B2598-C2598)/(Utilities!$B$11*IterData!H2598)))</f>
        <v>1</v>
      </c>
    </row>
    <row r="2599" spans="8:11" x14ac:dyDescent="0.3">
      <c r="H2599">
        <v>0.5</v>
      </c>
      <c r="I2599" s="11">
        <f t="shared" si="40"/>
        <v>0</v>
      </c>
      <c r="J2599" s="11">
        <f>1/(H2599*Utilities!$B$11)</f>
        <v>8</v>
      </c>
      <c r="K2599" s="11">
        <f>IF(B2599&lt;C2599,1,EXP(-1*(B2599-C2599)/(Utilities!$B$11*IterData!H2599)))</f>
        <v>1</v>
      </c>
    </row>
    <row r="2600" spans="8:11" x14ac:dyDescent="0.3">
      <c r="H2600">
        <v>0.5</v>
      </c>
      <c r="I2600" s="11">
        <f t="shared" si="40"/>
        <v>0</v>
      </c>
      <c r="J2600" s="11">
        <f>1/(H2600*Utilities!$B$11)</f>
        <v>8</v>
      </c>
      <c r="K2600" s="11">
        <f>IF(B2600&lt;C2600,1,EXP(-1*(B2600-C2600)/(Utilities!$B$11*IterData!H2600)))</f>
        <v>1</v>
      </c>
    </row>
    <row r="2601" spans="8:11" x14ac:dyDescent="0.3">
      <c r="H2601">
        <v>0.5</v>
      </c>
      <c r="I2601" s="11">
        <f t="shared" si="40"/>
        <v>0</v>
      </c>
      <c r="J2601" s="11">
        <f>1/(H2601*Utilities!$B$11)</f>
        <v>8</v>
      </c>
      <c r="K2601" s="11">
        <f>IF(B2601&lt;C2601,1,EXP(-1*(B2601-C2601)/(Utilities!$B$11*IterData!H2601)))</f>
        <v>1</v>
      </c>
    </row>
    <row r="2602" spans="8:11" x14ac:dyDescent="0.3">
      <c r="H2602">
        <v>0.5</v>
      </c>
      <c r="I2602" s="11">
        <f t="shared" si="40"/>
        <v>0</v>
      </c>
      <c r="J2602" s="11">
        <f>1/(H2602*Utilities!$B$11)</f>
        <v>8</v>
      </c>
      <c r="K2602" s="11">
        <f>IF(B2602&lt;C2602,1,EXP(-1*(B2602-C2602)/(Utilities!$B$11*IterData!H2602)))</f>
        <v>1</v>
      </c>
    </row>
    <row r="2603" spans="8:11" x14ac:dyDescent="0.3">
      <c r="H2603">
        <v>0.5</v>
      </c>
      <c r="I2603" s="11">
        <f t="shared" si="40"/>
        <v>0</v>
      </c>
      <c r="J2603" s="11">
        <f>1/(H2603*Utilities!$B$11)</f>
        <v>8</v>
      </c>
      <c r="K2603" s="11">
        <f>IF(B2603&lt;C2603,1,EXP(-1*(B2603-C2603)/(Utilities!$B$11*IterData!H2603)))</f>
        <v>1</v>
      </c>
    </row>
    <row r="2604" spans="8:11" x14ac:dyDescent="0.3">
      <c r="H2604">
        <v>0.5</v>
      </c>
      <c r="I2604" s="11">
        <f t="shared" si="40"/>
        <v>0</v>
      </c>
      <c r="J2604" s="11">
        <f>1/(H2604*Utilities!$B$11)</f>
        <v>8</v>
      </c>
      <c r="K2604" s="11">
        <f>IF(B2604&lt;C2604,1,EXP(-1*(B2604-C2604)/(Utilities!$B$11*IterData!H2604)))</f>
        <v>1</v>
      </c>
    </row>
    <row r="2605" spans="8:11" x14ac:dyDescent="0.3">
      <c r="H2605">
        <v>0.5</v>
      </c>
      <c r="I2605" s="11">
        <f t="shared" si="40"/>
        <v>0</v>
      </c>
      <c r="J2605" s="11">
        <f>1/(H2605*Utilities!$B$11)</f>
        <v>8</v>
      </c>
      <c r="K2605" s="11">
        <f>IF(B2605&lt;C2605,1,EXP(-1*(B2605-C2605)/(Utilities!$B$11*IterData!H2605)))</f>
        <v>1</v>
      </c>
    </row>
    <row r="2606" spans="8:11" x14ac:dyDescent="0.3">
      <c r="H2606">
        <v>0.5</v>
      </c>
      <c r="I2606" s="11">
        <f t="shared" si="40"/>
        <v>0</v>
      </c>
      <c r="J2606" s="11">
        <f>1/(H2606*Utilities!$B$11)</f>
        <v>8</v>
      </c>
      <c r="K2606" s="11">
        <f>IF(B2606&lt;C2606,1,EXP(-1*(B2606-C2606)/(Utilities!$B$11*IterData!H2606)))</f>
        <v>1</v>
      </c>
    </row>
    <row r="2607" spans="8:11" x14ac:dyDescent="0.3">
      <c r="H2607">
        <v>0.5</v>
      </c>
      <c r="I2607" s="11">
        <f t="shared" si="40"/>
        <v>0</v>
      </c>
      <c r="J2607" s="11">
        <f>1/(H2607*Utilities!$B$11)</f>
        <v>8</v>
      </c>
      <c r="K2607" s="11">
        <f>IF(B2607&lt;C2607,1,EXP(-1*(B2607-C2607)/(Utilities!$B$11*IterData!H2607)))</f>
        <v>1</v>
      </c>
    </row>
    <row r="2608" spans="8:11" x14ac:dyDescent="0.3">
      <c r="H2608">
        <v>0.5</v>
      </c>
      <c r="I2608" s="11">
        <f t="shared" si="40"/>
        <v>0</v>
      </c>
      <c r="J2608" s="11">
        <f>1/(H2608*Utilities!$B$11)</f>
        <v>8</v>
      </c>
      <c r="K2608" s="11">
        <f>IF(B2608&lt;C2608,1,EXP(-1*(B2608-C2608)/(Utilities!$B$11*IterData!H2608)))</f>
        <v>1</v>
      </c>
    </row>
    <row r="2609" spans="8:11" x14ac:dyDescent="0.3">
      <c r="H2609">
        <v>0.5</v>
      </c>
      <c r="I2609" s="11">
        <f t="shared" si="40"/>
        <v>0</v>
      </c>
      <c r="J2609" s="11">
        <f>1/(H2609*Utilities!$B$11)</f>
        <v>8</v>
      </c>
      <c r="K2609" s="11">
        <f>IF(B2609&lt;C2609,1,EXP(-1*(B2609-C2609)/(Utilities!$B$11*IterData!H2609)))</f>
        <v>1</v>
      </c>
    </row>
    <row r="2610" spans="8:11" x14ac:dyDescent="0.3">
      <c r="H2610">
        <v>0.5</v>
      </c>
      <c r="I2610" s="11">
        <f t="shared" si="40"/>
        <v>0</v>
      </c>
      <c r="J2610" s="11">
        <f>1/(H2610*Utilities!$B$11)</f>
        <v>8</v>
      </c>
      <c r="K2610" s="11">
        <f>IF(B2610&lt;C2610,1,EXP(-1*(B2610-C2610)/(Utilities!$B$11*IterData!H2610)))</f>
        <v>1</v>
      </c>
    </row>
    <row r="2611" spans="8:11" x14ac:dyDescent="0.3">
      <c r="H2611">
        <v>0.5</v>
      </c>
      <c r="I2611" s="11">
        <f t="shared" si="40"/>
        <v>0</v>
      </c>
      <c r="J2611" s="11">
        <f>1/(H2611*Utilities!$B$11)</f>
        <v>8</v>
      </c>
      <c r="K2611" s="11">
        <f>IF(B2611&lt;C2611,1,EXP(-1*(B2611-C2611)/(Utilities!$B$11*IterData!H2611)))</f>
        <v>1</v>
      </c>
    </row>
    <row r="2612" spans="8:11" x14ac:dyDescent="0.3">
      <c r="H2612">
        <v>0.5</v>
      </c>
      <c r="I2612" s="11">
        <f t="shared" si="40"/>
        <v>0</v>
      </c>
      <c r="J2612" s="11">
        <f>1/(H2612*Utilities!$B$11)</f>
        <v>8</v>
      </c>
      <c r="K2612" s="11">
        <f>IF(B2612&lt;C2612,1,EXP(-1*(B2612-C2612)/(Utilities!$B$11*IterData!H2612)))</f>
        <v>1</v>
      </c>
    </row>
    <row r="2613" spans="8:11" x14ac:dyDescent="0.3">
      <c r="H2613">
        <v>0.5</v>
      </c>
      <c r="I2613" s="11">
        <f t="shared" si="40"/>
        <v>0</v>
      </c>
      <c r="J2613" s="11">
        <f>1/(H2613*Utilities!$B$11)</f>
        <v>8</v>
      </c>
      <c r="K2613" s="11">
        <f>IF(B2613&lt;C2613,1,EXP(-1*(B2613-C2613)/(Utilities!$B$11*IterData!H2613)))</f>
        <v>1</v>
      </c>
    </row>
    <row r="2614" spans="8:11" x14ac:dyDescent="0.3">
      <c r="H2614">
        <v>0.5</v>
      </c>
      <c r="I2614" s="11">
        <f t="shared" si="40"/>
        <v>0</v>
      </c>
      <c r="J2614" s="11">
        <f>1/(H2614*Utilities!$B$11)</f>
        <v>8</v>
      </c>
      <c r="K2614" s="11">
        <f>IF(B2614&lt;C2614,1,EXP(-1*(B2614-C2614)/(Utilities!$B$11*IterData!H2614)))</f>
        <v>1</v>
      </c>
    </row>
    <row r="2615" spans="8:11" x14ac:dyDescent="0.3">
      <c r="H2615">
        <v>0.5</v>
      </c>
      <c r="I2615" s="11">
        <f t="shared" si="40"/>
        <v>0</v>
      </c>
      <c r="J2615" s="11">
        <f>1/(H2615*Utilities!$B$11)</f>
        <v>8</v>
      </c>
      <c r="K2615" s="11">
        <f>IF(B2615&lt;C2615,1,EXP(-1*(B2615-C2615)/(Utilities!$B$11*IterData!H2615)))</f>
        <v>1</v>
      </c>
    </row>
    <row r="2616" spans="8:11" x14ac:dyDescent="0.3">
      <c r="H2616">
        <v>0.5</v>
      </c>
      <c r="I2616" s="11">
        <f t="shared" si="40"/>
        <v>0</v>
      </c>
      <c r="J2616" s="11">
        <f>1/(H2616*Utilities!$B$11)</f>
        <v>8</v>
      </c>
      <c r="K2616" s="11">
        <f>IF(B2616&lt;C2616,1,EXP(-1*(B2616-C2616)/(Utilities!$B$11*IterData!H2616)))</f>
        <v>1</v>
      </c>
    </row>
    <row r="2617" spans="8:11" x14ac:dyDescent="0.3">
      <c r="H2617">
        <v>0.5</v>
      </c>
      <c r="I2617" s="11">
        <f t="shared" si="40"/>
        <v>0</v>
      </c>
      <c r="J2617" s="11">
        <f>1/(H2617*Utilities!$B$11)</f>
        <v>8</v>
      </c>
      <c r="K2617" s="11">
        <f>IF(B2617&lt;C2617,1,EXP(-1*(B2617-C2617)/(Utilities!$B$11*IterData!H2617)))</f>
        <v>1</v>
      </c>
    </row>
    <row r="2618" spans="8:11" x14ac:dyDescent="0.3">
      <c r="H2618">
        <v>0.5</v>
      </c>
      <c r="I2618" s="11">
        <f t="shared" si="40"/>
        <v>0</v>
      </c>
      <c r="J2618" s="11">
        <f>1/(H2618*Utilities!$B$11)</f>
        <v>8</v>
      </c>
      <c r="K2618" s="11">
        <f>IF(B2618&lt;C2618,1,EXP(-1*(B2618-C2618)/(Utilities!$B$11*IterData!H2618)))</f>
        <v>1</v>
      </c>
    </row>
    <row r="2619" spans="8:11" x14ac:dyDescent="0.3">
      <c r="H2619">
        <v>0.5</v>
      </c>
      <c r="I2619" s="11">
        <f t="shared" si="40"/>
        <v>0</v>
      </c>
      <c r="J2619" s="11">
        <f>1/(H2619*Utilities!$B$11)</f>
        <v>8</v>
      </c>
      <c r="K2619" s="11">
        <f>IF(B2619&lt;C2619,1,EXP(-1*(B2619-C2619)/(Utilities!$B$11*IterData!H2619)))</f>
        <v>1</v>
      </c>
    </row>
    <row r="2620" spans="8:11" x14ac:dyDescent="0.3">
      <c r="H2620">
        <v>0.5</v>
      </c>
      <c r="I2620" s="11">
        <f t="shared" si="40"/>
        <v>0</v>
      </c>
      <c r="J2620" s="11">
        <f>1/(H2620*Utilities!$B$11)</f>
        <v>8</v>
      </c>
      <c r="K2620" s="11">
        <f>IF(B2620&lt;C2620,1,EXP(-1*(B2620-C2620)/(Utilities!$B$11*IterData!H2620)))</f>
        <v>1</v>
      </c>
    </row>
    <row r="2621" spans="8:11" x14ac:dyDescent="0.3">
      <c r="H2621">
        <v>0.5</v>
      </c>
      <c r="I2621" s="11">
        <f t="shared" si="40"/>
        <v>0</v>
      </c>
      <c r="J2621" s="11">
        <f>1/(H2621*Utilities!$B$11)</f>
        <v>8</v>
      </c>
      <c r="K2621" s="11">
        <f>IF(B2621&lt;C2621,1,EXP(-1*(B2621-C2621)/(Utilities!$B$11*IterData!H2621)))</f>
        <v>1</v>
      </c>
    </row>
    <row r="2622" spans="8:11" x14ac:dyDescent="0.3">
      <c r="H2622">
        <v>0.5</v>
      </c>
      <c r="I2622" s="11">
        <f t="shared" si="40"/>
        <v>0</v>
      </c>
      <c r="J2622" s="11">
        <f>1/(H2622*Utilities!$B$11)</f>
        <v>8</v>
      </c>
      <c r="K2622" s="11">
        <f>IF(B2622&lt;C2622,1,EXP(-1*(B2622-C2622)/(Utilities!$B$11*IterData!H2622)))</f>
        <v>1</v>
      </c>
    </row>
    <row r="2623" spans="8:11" x14ac:dyDescent="0.3">
      <c r="H2623">
        <v>0.5</v>
      </c>
      <c r="I2623" s="11">
        <f t="shared" si="40"/>
        <v>0</v>
      </c>
      <c r="J2623" s="11">
        <f>1/(H2623*Utilities!$B$11)</f>
        <v>8</v>
      </c>
      <c r="K2623" s="11">
        <f>IF(B2623&lt;C2623,1,EXP(-1*(B2623-C2623)/(Utilities!$B$11*IterData!H2623)))</f>
        <v>1</v>
      </c>
    </row>
    <row r="2624" spans="8:11" x14ac:dyDescent="0.3">
      <c r="H2624">
        <v>0.5</v>
      </c>
      <c r="I2624" s="11">
        <f t="shared" si="40"/>
        <v>0</v>
      </c>
      <c r="J2624" s="11">
        <f>1/(H2624*Utilities!$B$11)</f>
        <v>8</v>
      </c>
      <c r="K2624" s="11">
        <f>IF(B2624&lt;C2624,1,EXP(-1*(B2624-C2624)/(Utilities!$B$11*IterData!H2624)))</f>
        <v>1</v>
      </c>
    </row>
    <row r="2625" spans="8:11" x14ac:dyDescent="0.3">
      <c r="H2625">
        <v>0.5</v>
      </c>
      <c r="I2625" s="11">
        <f t="shared" si="40"/>
        <v>0</v>
      </c>
      <c r="J2625" s="11">
        <f>1/(H2625*Utilities!$B$11)</f>
        <v>8</v>
      </c>
      <c r="K2625" s="11">
        <f>IF(B2625&lt;C2625,1,EXP(-1*(B2625-C2625)/(Utilities!$B$11*IterData!H2625)))</f>
        <v>1</v>
      </c>
    </row>
    <row r="2626" spans="8:11" x14ac:dyDescent="0.3">
      <c r="H2626">
        <v>0.5</v>
      </c>
      <c r="I2626" s="11">
        <f t="shared" si="40"/>
        <v>0</v>
      </c>
      <c r="J2626" s="11">
        <f>1/(H2626*Utilities!$B$11)</f>
        <v>8</v>
      </c>
      <c r="K2626" s="11">
        <f>IF(B2626&lt;C2626,1,EXP(-1*(B2626-C2626)/(Utilities!$B$11*IterData!H2626)))</f>
        <v>1</v>
      </c>
    </row>
    <row r="2627" spans="8:11" x14ac:dyDescent="0.3">
      <c r="H2627">
        <v>0.5</v>
      </c>
      <c r="I2627" s="11">
        <f t="shared" ref="I2627:I2690" si="41">B2627-C2627</f>
        <v>0</v>
      </c>
      <c r="J2627" s="11">
        <f>1/(H2627*Utilities!$B$11)</f>
        <v>8</v>
      </c>
      <c r="K2627" s="11">
        <f>IF(B2627&lt;C2627,1,EXP(-1*(B2627-C2627)/(Utilities!$B$11*IterData!H2627)))</f>
        <v>1</v>
      </c>
    </row>
    <row r="2628" spans="8:11" x14ac:dyDescent="0.3">
      <c r="H2628">
        <v>0.5</v>
      </c>
      <c r="I2628" s="11">
        <f t="shared" si="41"/>
        <v>0</v>
      </c>
      <c r="J2628" s="11">
        <f>1/(H2628*Utilities!$B$11)</f>
        <v>8</v>
      </c>
      <c r="K2628" s="11">
        <f>IF(B2628&lt;C2628,1,EXP(-1*(B2628-C2628)/(Utilities!$B$11*IterData!H2628)))</f>
        <v>1</v>
      </c>
    </row>
    <row r="2629" spans="8:11" x14ac:dyDescent="0.3">
      <c r="H2629">
        <v>0.5</v>
      </c>
      <c r="I2629" s="11">
        <f t="shared" si="41"/>
        <v>0</v>
      </c>
      <c r="J2629" s="11">
        <f>1/(H2629*Utilities!$B$11)</f>
        <v>8</v>
      </c>
      <c r="K2629" s="11">
        <f>IF(B2629&lt;C2629,1,EXP(-1*(B2629-C2629)/(Utilities!$B$11*IterData!H2629)))</f>
        <v>1</v>
      </c>
    </row>
    <row r="2630" spans="8:11" x14ac:dyDescent="0.3">
      <c r="H2630">
        <v>0.5</v>
      </c>
      <c r="I2630" s="11">
        <f t="shared" si="41"/>
        <v>0</v>
      </c>
      <c r="J2630" s="11">
        <f>1/(H2630*Utilities!$B$11)</f>
        <v>8</v>
      </c>
      <c r="K2630" s="11">
        <f>IF(B2630&lt;C2630,1,EXP(-1*(B2630-C2630)/(Utilities!$B$11*IterData!H2630)))</f>
        <v>1</v>
      </c>
    </row>
    <row r="2631" spans="8:11" x14ac:dyDescent="0.3">
      <c r="H2631">
        <v>0.5</v>
      </c>
      <c r="I2631" s="11">
        <f t="shared" si="41"/>
        <v>0</v>
      </c>
      <c r="J2631" s="11">
        <f>1/(H2631*Utilities!$B$11)</f>
        <v>8</v>
      </c>
      <c r="K2631" s="11">
        <f>IF(B2631&lt;C2631,1,EXP(-1*(B2631-C2631)/(Utilities!$B$11*IterData!H2631)))</f>
        <v>1</v>
      </c>
    </row>
    <row r="2632" spans="8:11" x14ac:dyDescent="0.3">
      <c r="H2632">
        <v>0.5</v>
      </c>
      <c r="I2632" s="11">
        <f t="shared" si="41"/>
        <v>0</v>
      </c>
      <c r="J2632" s="11">
        <f>1/(H2632*Utilities!$B$11)</f>
        <v>8</v>
      </c>
      <c r="K2632" s="11">
        <f>IF(B2632&lt;C2632,1,EXP(-1*(B2632-C2632)/(Utilities!$B$11*IterData!H2632)))</f>
        <v>1</v>
      </c>
    </row>
    <row r="2633" spans="8:11" x14ac:dyDescent="0.3">
      <c r="H2633">
        <v>0.5</v>
      </c>
      <c r="I2633" s="11">
        <f t="shared" si="41"/>
        <v>0</v>
      </c>
      <c r="J2633" s="11">
        <f>1/(H2633*Utilities!$B$11)</f>
        <v>8</v>
      </c>
      <c r="K2633" s="11">
        <f>IF(B2633&lt;C2633,1,EXP(-1*(B2633-C2633)/(Utilities!$B$11*IterData!H2633)))</f>
        <v>1</v>
      </c>
    </row>
    <row r="2634" spans="8:11" x14ac:dyDescent="0.3">
      <c r="H2634">
        <v>0.5</v>
      </c>
      <c r="I2634" s="11">
        <f t="shared" si="41"/>
        <v>0</v>
      </c>
      <c r="J2634" s="11">
        <f>1/(H2634*Utilities!$B$11)</f>
        <v>8</v>
      </c>
      <c r="K2634" s="11">
        <f>IF(B2634&lt;C2634,1,EXP(-1*(B2634-C2634)/(Utilities!$B$11*IterData!H2634)))</f>
        <v>1</v>
      </c>
    </row>
    <row r="2635" spans="8:11" x14ac:dyDescent="0.3">
      <c r="H2635">
        <v>0.5</v>
      </c>
      <c r="I2635" s="11">
        <f t="shared" si="41"/>
        <v>0</v>
      </c>
      <c r="J2635" s="11">
        <f>1/(H2635*Utilities!$B$11)</f>
        <v>8</v>
      </c>
      <c r="K2635" s="11">
        <f>IF(B2635&lt;C2635,1,EXP(-1*(B2635-C2635)/(Utilities!$B$11*IterData!H2635)))</f>
        <v>1</v>
      </c>
    </row>
    <row r="2636" spans="8:11" x14ac:dyDescent="0.3">
      <c r="H2636">
        <v>0.5</v>
      </c>
      <c r="I2636" s="11">
        <f t="shared" si="41"/>
        <v>0</v>
      </c>
      <c r="J2636" s="11">
        <f>1/(H2636*Utilities!$B$11)</f>
        <v>8</v>
      </c>
      <c r="K2636" s="11">
        <f>IF(B2636&lt;C2636,1,EXP(-1*(B2636-C2636)/(Utilities!$B$11*IterData!H2636)))</f>
        <v>1</v>
      </c>
    </row>
    <row r="2637" spans="8:11" x14ac:dyDescent="0.3">
      <c r="H2637">
        <v>0.5</v>
      </c>
      <c r="I2637" s="11">
        <f t="shared" si="41"/>
        <v>0</v>
      </c>
      <c r="J2637" s="11">
        <f>1/(H2637*Utilities!$B$11)</f>
        <v>8</v>
      </c>
      <c r="K2637" s="11">
        <f>IF(B2637&lt;C2637,1,EXP(-1*(B2637-C2637)/(Utilities!$B$11*IterData!H2637)))</f>
        <v>1</v>
      </c>
    </row>
    <row r="2638" spans="8:11" x14ac:dyDescent="0.3">
      <c r="H2638">
        <v>0.5</v>
      </c>
      <c r="I2638" s="11">
        <f t="shared" si="41"/>
        <v>0</v>
      </c>
      <c r="J2638" s="11">
        <f>1/(H2638*Utilities!$B$11)</f>
        <v>8</v>
      </c>
      <c r="K2638" s="11">
        <f>IF(B2638&lt;C2638,1,EXP(-1*(B2638-C2638)/(Utilities!$B$11*IterData!H2638)))</f>
        <v>1</v>
      </c>
    </row>
    <row r="2639" spans="8:11" x14ac:dyDescent="0.3">
      <c r="H2639">
        <v>0.5</v>
      </c>
      <c r="I2639" s="11">
        <f t="shared" si="41"/>
        <v>0</v>
      </c>
      <c r="J2639" s="11">
        <f>1/(H2639*Utilities!$B$11)</f>
        <v>8</v>
      </c>
      <c r="K2639" s="11">
        <f>IF(B2639&lt;C2639,1,EXP(-1*(B2639-C2639)/(Utilities!$B$11*IterData!H2639)))</f>
        <v>1</v>
      </c>
    </row>
    <row r="2640" spans="8:11" x14ac:dyDescent="0.3">
      <c r="H2640">
        <v>0.5</v>
      </c>
      <c r="I2640" s="11">
        <f t="shared" si="41"/>
        <v>0</v>
      </c>
      <c r="J2640" s="11">
        <f>1/(H2640*Utilities!$B$11)</f>
        <v>8</v>
      </c>
      <c r="K2640" s="11">
        <f>IF(B2640&lt;C2640,1,EXP(-1*(B2640-C2640)/(Utilities!$B$11*IterData!H2640)))</f>
        <v>1</v>
      </c>
    </row>
    <row r="2641" spans="8:11" x14ac:dyDescent="0.3">
      <c r="H2641">
        <v>0.5</v>
      </c>
      <c r="I2641" s="11">
        <f t="shared" si="41"/>
        <v>0</v>
      </c>
      <c r="J2641" s="11">
        <f>1/(H2641*Utilities!$B$11)</f>
        <v>8</v>
      </c>
      <c r="K2641" s="11">
        <f>IF(B2641&lt;C2641,1,EXP(-1*(B2641-C2641)/(Utilities!$B$11*IterData!H2641)))</f>
        <v>1</v>
      </c>
    </row>
    <row r="2642" spans="8:11" x14ac:dyDescent="0.3">
      <c r="H2642">
        <v>0.5</v>
      </c>
      <c r="I2642" s="11">
        <f t="shared" si="41"/>
        <v>0</v>
      </c>
      <c r="J2642" s="11">
        <f>1/(H2642*Utilities!$B$11)</f>
        <v>8</v>
      </c>
      <c r="K2642" s="11">
        <f>IF(B2642&lt;C2642,1,EXP(-1*(B2642-C2642)/(Utilities!$B$11*IterData!H2642)))</f>
        <v>1</v>
      </c>
    </row>
    <row r="2643" spans="8:11" x14ac:dyDescent="0.3">
      <c r="H2643">
        <v>0.5</v>
      </c>
      <c r="I2643" s="11">
        <f t="shared" si="41"/>
        <v>0</v>
      </c>
      <c r="J2643" s="11">
        <f>1/(H2643*Utilities!$B$11)</f>
        <v>8</v>
      </c>
      <c r="K2643" s="11">
        <f>IF(B2643&lt;C2643,1,EXP(-1*(B2643-C2643)/(Utilities!$B$11*IterData!H2643)))</f>
        <v>1</v>
      </c>
    </row>
    <row r="2644" spans="8:11" x14ac:dyDescent="0.3">
      <c r="H2644">
        <v>0.5</v>
      </c>
      <c r="I2644" s="11">
        <f t="shared" si="41"/>
        <v>0</v>
      </c>
      <c r="J2644" s="11">
        <f>1/(H2644*Utilities!$B$11)</f>
        <v>8</v>
      </c>
      <c r="K2644" s="11">
        <f>IF(B2644&lt;C2644,1,EXP(-1*(B2644-C2644)/(Utilities!$B$11*IterData!H2644)))</f>
        <v>1</v>
      </c>
    </row>
    <row r="2645" spans="8:11" x14ac:dyDescent="0.3">
      <c r="H2645">
        <v>0.5</v>
      </c>
      <c r="I2645" s="11">
        <f t="shared" si="41"/>
        <v>0</v>
      </c>
      <c r="J2645" s="11">
        <f>1/(H2645*Utilities!$B$11)</f>
        <v>8</v>
      </c>
      <c r="K2645" s="11">
        <f>IF(B2645&lt;C2645,1,EXP(-1*(B2645-C2645)/(Utilities!$B$11*IterData!H2645)))</f>
        <v>1</v>
      </c>
    </row>
    <row r="2646" spans="8:11" x14ac:dyDescent="0.3">
      <c r="H2646">
        <v>0.5</v>
      </c>
      <c r="I2646" s="11">
        <f t="shared" si="41"/>
        <v>0</v>
      </c>
      <c r="J2646" s="11">
        <f>1/(H2646*Utilities!$B$11)</f>
        <v>8</v>
      </c>
      <c r="K2646" s="11">
        <f>IF(B2646&lt;C2646,1,EXP(-1*(B2646-C2646)/(Utilities!$B$11*IterData!H2646)))</f>
        <v>1</v>
      </c>
    </row>
    <row r="2647" spans="8:11" x14ac:dyDescent="0.3">
      <c r="H2647">
        <v>0.5</v>
      </c>
      <c r="I2647" s="11">
        <f t="shared" si="41"/>
        <v>0</v>
      </c>
      <c r="J2647" s="11">
        <f>1/(H2647*Utilities!$B$11)</f>
        <v>8</v>
      </c>
      <c r="K2647" s="11">
        <f>IF(B2647&lt;C2647,1,EXP(-1*(B2647-C2647)/(Utilities!$B$11*IterData!H2647)))</f>
        <v>1</v>
      </c>
    </row>
    <row r="2648" spans="8:11" x14ac:dyDescent="0.3">
      <c r="H2648">
        <v>0.5</v>
      </c>
      <c r="I2648" s="11">
        <f t="shared" si="41"/>
        <v>0</v>
      </c>
      <c r="J2648" s="11">
        <f>1/(H2648*Utilities!$B$11)</f>
        <v>8</v>
      </c>
      <c r="K2648" s="11">
        <f>IF(B2648&lt;C2648,1,EXP(-1*(B2648-C2648)/(Utilities!$B$11*IterData!H2648)))</f>
        <v>1</v>
      </c>
    </row>
    <row r="2649" spans="8:11" x14ac:dyDescent="0.3">
      <c r="H2649">
        <v>0.5</v>
      </c>
      <c r="I2649" s="11">
        <f t="shared" si="41"/>
        <v>0</v>
      </c>
      <c r="J2649" s="11">
        <f>1/(H2649*Utilities!$B$11)</f>
        <v>8</v>
      </c>
      <c r="K2649" s="11">
        <f>IF(B2649&lt;C2649,1,EXP(-1*(B2649-C2649)/(Utilities!$B$11*IterData!H2649)))</f>
        <v>1</v>
      </c>
    </row>
    <row r="2650" spans="8:11" x14ac:dyDescent="0.3">
      <c r="H2650">
        <v>0.5</v>
      </c>
      <c r="I2650" s="11">
        <f t="shared" si="41"/>
        <v>0</v>
      </c>
      <c r="J2650" s="11">
        <f>1/(H2650*Utilities!$B$11)</f>
        <v>8</v>
      </c>
      <c r="K2650" s="11">
        <f>IF(B2650&lt;C2650,1,EXP(-1*(B2650-C2650)/(Utilities!$B$11*IterData!H2650)))</f>
        <v>1</v>
      </c>
    </row>
    <row r="2651" spans="8:11" x14ac:dyDescent="0.3">
      <c r="H2651">
        <v>0.5</v>
      </c>
      <c r="I2651" s="11">
        <f t="shared" si="41"/>
        <v>0</v>
      </c>
      <c r="J2651" s="11">
        <f>1/(H2651*Utilities!$B$11)</f>
        <v>8</v>
      </c>
      <c r="K2651" s="11">
        <f>IF(B2651&lt;C2651,1,EXP(-1*(B2651-C2651)/(Utilities!$B$11*IterData!H2651)))</f>
        <v>1</v>
      </c>
    </row>
    <row r="2652" spans="8:11" x14ac:dyDescent="0.3">
      <c r="H2652">
        <v>0.5</v>
      </c>
      <c r="I2652" s="11">
        <f t="shared" si="41"/>
        <v>0</v>
      </c>
      <c r="J2652" s="11">
        <f>1/(H2652*Utilities!$B$11)</f>
        <v>8</v>
      </c>
      <c r="K2652" s="11">
        <f>IF(B2652&lt;C2652,1,EXP(-1*(B2652-C2652)/(Utilities!$B$11*IterData!H2652)))</f>
        <v>1</v>
      </c>
    </row>
    <row r="2653" spans="8:11" x14ac:dyDescent="0.3">
      <c r="H2653">
        <v>0.5</v>
      </c>
      <c r="I2653" s="11">
        <f t="shared" si="41"/>
        <v>0</v>
      </c>
      <c r="J2653" s="11">
        <f>1/(H2653*Utilities!$B$11)</f>
        <v>8</v>
      </c>
      <c r="K2653" s="11">
        <f>IF(B2653&lt;C2653,1,EXP(-1*(B2653-C2653)/(Utilities!$B$11*IterData!H2653)))</f>
        <v>1</v>
      </c>
    </row>
    <row r="2654" spans="8:11" x14ac:dyDescent="0.3">
      <c r="H2654">
        <v>0.5</v>
      </c>
      <c r="I2654" s="11">
        <f t="shared" si="41"/>
        <v>0</v>
      </c>
      <c r="J2654" s="11">
        <f>1/(H2654*Utilities!$B$11)</f>
        <v>8</v>
      </c>
      <c r="K2654" s="11">
        <f>IF(B2654&lt;C2654,1,EXP(-1*(B2654-C2654)/(Utilities!$B$11*IterData!H2654)))</f>
        <v>1</v>
      </c>
    </row>
    <row r="2655" spans="8:11" x14ac:dyDescent="0.3">
      <c r="H2655">
        <v>0.5</v>
      </c>
      <c r="I2655" s="11">
        <f t="shared" si="41"/>
        <v>0</v>
      </c>
      <c r="J2655" s="11">
        <f>1/(H2655*Utilities!$B$11)</f>
        <v>8</v>
      </c>
      <c r="K2655" s="11">
        <f>IF(B2655&lt;C2655,1,EXP(-1*(B2655-C2655)/(Utilities!$B$11*IterData!H2655)))</f>
        <v>1</v>
      </c>
    </row>
    <row r="2656" spans="8:11" x14ac:dyDescent="0.3">
      <c r="H2656">
        <v>0.5</v>
      </c>
      <c r="I2656" s="11">
        <f t="shared" si="41"/>
        <v>0</v>
      </c>
      <c r="J2656" s="11">
        <f>1/(H2656*Utilities!$B$11)</f>
        <v>8</v>
      </c>
      <c r="K2656" s="11">
        <f>IF(B2656&lt;C2656,1,EXP(-1*(B2656-C2656)/(Utilities!$B$11*IterData!H2656)))</f>
        <v>1</v>
      </c>
    </row>
    <row r="2657" spans="8:11" x14ac:dyDescent="0.3">
      <c r="H2657">
        <v>0.5</v>
      </c>
      <c r="I2657" s="11">
        <f t="shared" si="41"/>
        <v>0</v>
      </c>
      <c r="J2657" s="11">
        <f>1/(H2657*Utilities!$B$11)</f>
        <v>8</v>
      </c>
      <c r="K2657" s="11">
        <f>IF(B2657&lt;C2657,1,EXP(-1*(B2657-C2657)/(Utilities!$B$11*IterData!H2657)))</f>
        <v>1</v>
      </c>
    </row>
    <row r="2658" spans="8:11" x14ac:dyDescent="0.3">
      <c r="H2658">
        <v>0.5</v>
      </c>
      <c r="I2658" s="11">
        <f t="shared" si="41"/>
        <v>0</v>
      </c>
      <c r="J2658" s="11">
        <f>1/(H2658*Utilities!$B$11)</f>
        <v>8</v>
      </c>
      <c r="K2658" s="11">
        <f>IF(B2658&lt;C2658,1,EXP(-1*(B2658-C2658)/(Utilities!$B$11*IterData!H2658)))</f>
        <v>1</v>
      </c>
    </row>
    <row r="2659" spans="8:11" x14ac:dyDescent="0.3">
      <c r="H2659">
        <v>0.5</v>
      </c>
      <c r="I2659" s="11">
        <f t="shared" si="41"/>
        <v>0</v>
      </c>
      <c r="J2659" s="11">
        <f>1/(H2659*Utilities!$B$11)</f>
        <v>8</v>
      </c>
      <c r="K2659" s="11">
        <f>IF(B2659&lt;C2659,1,EXP(-1*(B2659-C2659)/(Utilities!$B$11*IterData!H2659)))</f>
        <v>1</v>
      </c>
    </row>
    <row r="2660" spans="8:11" x14ac:dyDescent="0.3">
      <c r="H2660">
        <v>0.5</v>
      </c>
      <c r="I2660" s="11">
        <f t="shared" si="41"/>
        <v>0</v>
      </c>
      <c r="J2660" s="11">
        <f>1/(H2660*Utilities!$B$11)</f>
        <v>8</v>
      </c>
      <c r="K2660" s="11">
        <f>IF(B2660&lt;C2660,1,EXP(-1*(B2660-C2660)/(Utilities!$B$11*IterData!H2660)))</f>
        <v>1</v>
      </c>
    </row>
    <row r="2661" spans="8:11" x14ac:dyDescent="0.3">
      <c r="H2661">
        <v>0.5</v>
      </c>
      <c r="I2661" s="11">
        <f t="shared" si="41"/>
        <v>0</v>
      </c>
      <c r="J2661" s="11">
        <f>1/(H2661*Utilities!$B$11)</f>
        <v>8</v>
      </c>
      <c r="K2661" s="11">
        <f>IF(B2661&lt;C2661,1,EXP(-1*(B2661-C2661)/(Utilities!$B$11*IterData!H2661)))</f>
        <v>1</v>
      </c>
    </row>
    <row r="2662" spans="8:11" x14ac:dyDescent="0.3">
      <c r="H2662">
        <v>0.5</v>
      </c>
      <c r="I2662" s="11">
        <f t="shared" si="41"/>
        <v>0</v>
      </c>
      <c r="J2662" s="11">
        <f>1/(H2662*Utilities!$B$11)</f>
        <v>8</v>
      </c>
      <c r="K2662" s="11">
        <f>IF(B2662&lt;C2662,1,EXP(-1*(B2662-C2662)/(Utilities!$B$11*IterData!H2662)))</f>
        <v>1</v>
      </c>
    </row>
    <row r="2663" spans="8:11" x14ac:dyDescent="0.3">
      <c r="H2663">
        <v>0.5</v>
      </c>
      <c r="I2663" s="11">
        <f t="shared" si="41"/>
        <v>0</v>
      </c>
      <c r="J2663" s="11">
        <f>1/(H2663*Utilities!$B$11)</f>
        <v>8</v>
      </c>
      <c r="K2663" s="11">
        <f>IF(B2663&lt;C2663,1,EXP(-1*(B2663-C2663)/(Utilities!$B$11*IterData!H2663)))</f>
        <v>1</v>
      </c>
    </row>
    <row r="2664" spans="8:11" x14ac:dyDescent="0.3">
      <c r="H2664">
        <v>0.5</v>
      </c>
      <c r="I2664" s="11">
        <f t="shared" si="41"/>
        <v>0</v>
      </c>
      <c r="J2664" s="11">
        <f>1/(H2664*Utilities!$B$11)</f>
        <v>8</v>
      </c>
      <c r="K2664" s="11">
        <f>IF(B2664&lt;C2664,1,EXP(-1*(B2664-C2664)/(Utilities!$B$11*IterData!H2664)))</f>
        <v>1</v>
      </c>
    </row>
    <row r="2665" spans="8:11" x14ac:dyDescent="0.3">
      <c r="H2665">
        <v>0.5</v>
      </c>
      <c r="I2665" s="11">
        <f t="shared" si="41"/>
        <v>0</v>
      </c>
      <c r="J2665" s="11">
        <f>1/(H2665*Utilities!$B$11)</f>
        <v>8</v>
      </c>
      <c r="K2665" s="11">
        <f>IF(B2665&lt;C2665,1,EXP(-1*(B2665-C2665)/(Utilities!$B$11*IterData!H2665)))</f>
        <v>1</v>
      </c>
    </row>
    <row r="2666" spans="8:11" x14ac:dyDescent="0.3">
      <c r="H2666">
        <v>0.5</v>
      </c>
      <c r="I2666" s="11">
        <f t="shared" si="41"/>
        <v>0</v>
      </c>
      <c r="J2666" s="11">
        <f>1/(H2666*Utilities!$B$11)</f>
        <v>8</v>
      </c>
      <c r="K2666" s="11">
        <f>IF(B2666&lt;C2666,1,EXP(-1*(B2666-C2666)/(Utilities!$B$11*IterData!H2666)))</f>
        <v>1</v>
      </c>
    </row>
    <row r="2667" spans="8:11" x14ac:dyDescent="0.3">
      <c r="H2667">
        <v>0.5</v>
      </c>
      <c r="I2667" s="11">
        <f t="shared" si="41"/>
        <v>0</v>
      </c>
      <c r="J2667" s="11">
        <f>1/(H2667*Utilities!$B$11)</f>
        <v>8</v>
      </c>
      <c r="K2667" s="11">
        <f>IF(B2667&lt;C2667,1,EXP(-1*(B2667-C2667)/(Utilities!$B$11*IterData!H2667)))</f>
        <v>1</v>
      </c>
    </row>
    <row r="2668" spans="8:11" x14ac:dyDescent="0.3">
      <c r="H2668">
        <v>0.5</v>
      </c>
      <c r="I2668" s="11">
        <f t="shared" si="41"/>
        <v>0</v>
      </c>
      <c r="J2668" s="11">
        <f>1/(H2668*Utilities!$B$11)</f>
        <v>8</v>
      </c>
      <c r="K2668" s="11">
        <f>IF(B2668&lt;C2668,1,EXP(-1*(B2668-C2668)/(Utilities!$B$11*IterData!H2668)))</f>
        <v>1</v>
      </c>
    </row>
    <row r="2669" spans="8:11" x14ac:dyDescent="0.3">
      <c r="H2669">
        <v>0.5</v>
      </c>
      <c r="I2669" s="11">
        <f t="shared" si="41"/>
        <v>0</v>
      </c>
      <c r="J2669" s="11">
        <f>1/(H2669*Utilities!$B$11)</f>
        <v>8</v>
      </c>
      <c r="K2669" s="11">
        <f>IF(B2669&lt;C2669,1,EXP(-1*(B2669-C2669)/(Utilities!$B$11*IterData!H2669)))</f>
        <v>1</v>
      </c>
    </row>
    <row r="2670" spans="8:11" x14ac:dyDescent="0.3">
      <c r="H2670">
        <v>0.5</v>
      </c>
      <c r="I2670" s="11">
        <f t="shared" si="41"/>
        <v>0</v>
      </c>
      <c r="J2670" s="11">
        <f>1/(H2670*Utilities!$B$11)</f>
        <v>8</v>
      </c>
      <c r="K2670" s="11">
        <f>IF(B2670&lt;C2670,1,EXP(-1*(B2670-C2670)/(Utilities!$B$11*IterData!H2670)))</f>
        <v>1</v>
      </c>
    </row>
    <row r="2671" spans="8:11" x14ac:dyDescent="0.3">
      <c r="H2671">
        <v>0.5</v>
      </c>
      <c r="I2671" s="11">
        <f t="shared" si="41"/>
        <v>0</v>
      </c>
      <c r="J2671" s="11">
        <f>1/(H2671*Utilities!$B$11)</f>
        <v>8</v>
      </c>
      <c r="K2671" s="11">
        <f>IF(B2671&lt;C2671,1,EXP(-1*(B2671-C2671)/(Utilities!$B$11*IterData!H2671)))</f>
        <v>1</v>
      </c>
    </row>
    <row r="2672" spans="8:11" x14ac:dyDescent="0.3">
      <c r="H2672">
        <v>0.5</v>
      </c>
      <c r="I2672" s="11">
        <f t="shared" si="41"/>
        <v>0</v>
      </c>
      <c r="J2672" s="11">
        <f>1/(H2672*Utilities!$B$11)</f>
        <v>8</v>
      </c>
      <c r="K2672" s="11">
        <f>IF(B2672&lt;C2672,1,EXP(-1*(B2672-C2672)/(Utilities!$B$11*IterData!H2672)))</f>
        <v>1</v>
      </c>
    </row>
    <row r="2673" spans="8:11" x14ac:dyDescent="0.3">
      <c r="H2673">
        <v>0.5</v>
      </c>
      <c r="I2673" s="11">
        <f t="shared" si="41"/>
        <v>0</v>
      </c>
      <c r="J2673" s="11">
        <f>1/(H2673*Utilities!$B$11)</f>
        <v>8</v>
      </c>
      <c r="K2673" s="11">
        <f>IF(B2673&lt;C2673,1,EXP(-1*(B2673-C2673)/(Utilities!$B$11*IterData!H2673)))</f>
        <v>1</v>
      </c>
    </row>
    <row r="2674" spans="8:11" x14ac:dyDescent="0.3">
      <c r="H2674">
        <v>0.5</v>
      </c>
      <c r="I2674" s="11">
        <f t="shared" si="41"/>
        <v>0</v>
      </c>
      <c r="J2674" s="11">
        <f>1/(H2674*Utilities!$B$11)</f>
        <v>8</v>
      </c>
      <c r="K2674" s="11">
        <f>IF(B2674&lt;C2674,1,EXP(-1*(B2674-C2674)/(Utilities!$B$11*IterData!H2674)))</f>
        <v>1</v>
      </c>
    </row>
    <row r="2675" spans="8:11" x14ac:dyDescent="0.3">
      <c r="H2675">
        <v>0.5</v>
      </c>
      <c r="I2675" s="11">
        <f t="shared" si="41"/>
        <v>0</v>
      </c>
      <c r="J2675" s="11">
        <f>1/(H2675*Utilities!$B$11)</f>
        <v>8</v>
      </c>
      <c r="K2675" s="11">
        <f>IF(B2675&lt;C2675,1,EXP(-1*(B2675-C2675)/(Utilities!$B$11*IterData!H2675)))</f>
        <v>1</v>
      </c>
    </row>
    <row r="2676" spans="8:11" x14ac:dyDescent="0.3">
      <c r="H2676">
        <v>0.5</v>
      </c>
      <c r="I2676" s="11">
        <f t="shared" si="41"/>
        <v>0</v>
      </c>
      <c r="J2676" s="11">
        <f>1/(H2676*Utilities!$B$11)</f>
        <v>8</v>
      </c>
      <c r="K2676" s="11">
        <f>IF(B2676&lt;C2676,1,EXP(-1*(B2676-C2676)/(Utilities!$B$11*IterData!H2676)))</f>
        <v>1</v>
      </c>
    </row>
    <row r="2677" spans="8:11" x14ac:dyDescent="0.3">
      <c r="H2677">
        <v>0.5</v>
      </c>
      <c r="I2677" s="11">
        <f t="shared" si="41"/>
        <v>0</v>
      </c>
      <c r="J2677" s="11">
        <f>1/(H2677*Utilities!$B$11)</f>
        <v>8</v>
      </c>
      <c r="K2677" s="11">
        <f>IF(B2677&lt;C2677,1,EXP(-1*(B2677-C2677)/(Utilities!$B$11*IterData!H2677)))</f>
        <v>1</v>
      </c>
    </row>
    <row r="2678" spans="8:11" x14ac:dyDescent="0.3">
      <c r="H2678">
        <v>0.5</v>
      </c>
      <c r="I2678" s="11">
        <f t="shared" si="41"/>
        <v>0</v>
      </c>
      <c r="J2678" s="11">
        <f>1/(H2678*Utilities!$B$11)</f>
        <v>8</v>
      </c>
      <c r="K2678" s="11">
        <f>IF(B2678&lt;C2678,1,EXP(-1*(B2678-C2678)/(Utilities!$B$11*IterData!H2678)))</f>
        <v>1</v>
      </c>
    </row>
    <row r="2679" spans="8:11" x14ac:dyDescent="0.3">
      <c r="H2679">
        <v>0.5</v>
      </c>
      <c r="I2679" s="11">
        <f t="shared" si="41"/>
        <v>0</v>
      </c>
      <c r="J2679" s="11">
        <f>1/(H2679*Utilities!$B$11)</f>
        <v>8</v>
      </c>
      <c r="K2679" s="11">
        <f>IF(B2679&lt;C2679,1,EXP(-1*(B2679-C2679)/(Utilities!$B$11*IterData!H2679)))</f>
        <v>1</v>
      </c>
    </row>
    <row r="2680" spans="8:11" x14ac:dyDescent="0.3">
      <c r="H2680">
        <v>0.5</v>
      </c>
      <c r="I2680" s="11">
        <f t="shared" si="41"/>
        <v>0</v>
      </c>
      <c r="J2680" s="11">
        <f>1/(H2680*Utilities!$B$11)</f>
        <v>8</v>
      </c>
      <c r="K2680" s="11">
        <f>IF(B2680&lt;C2680,1,EXP(-1*(B2680-C2680)/(Utilities!$B$11*IterData!H2680)))</f>
        <v>1</v>
      </c>
    </row>
    <row r="2681" spans="8:11" x14ac:dyDescent="0.3">
      <c r="H2681">
        <v>0.5</v>
      </c>
      <c r="I2681" s="11">
        <f t="shared" si="41"/>
        <v>0</v>
      </c>
      <c r="J2681" s="11">
        <f>1/(H2681*Utilities!$B$11)</f>
        <v>8</v>
      </c>
      <c r="K2681" s="11">
        <f>IF(B2681&lt;C2681,1,EXP(-1*(B2681-C2681)/(Utilities!$B$11*IterData!H2681)))</f>
        <v>1</v>
      </c>
    </row>
    <row r="2682" spans="8:11" x14ac:dyDescent="0.3">
      <c r="H2682">
        <v>0.5</v>
      </c>
      <c r="I2682" s="11">
        <f t="shared" si="41"/>
        <v>0</v>
      </c>
      <c r="J2682" s="11">
        <f>1/(H2682*Utilities!$B$11)</f>
        <v>8</v>
      </c>
      <c r="K2682" s="11">
        <f>IF(B2682&lt;C2682,1,EXP(-1*(B2682-C2682)/(Utilities!$B$11*IterData!H2682)))</f>
        <v>1</v>
      </c>
    </row>
    <row r="2683" spans="8:11" x14ac:dyDescent="0.3">
      <c r="H2683">
        <v>0.5</v>
      </c>
      <c r="I2683" s="11">
        <f t="shared" si="41"/>
        <v>0</v>
      </c>
      <c r="J2683" s="11">
        <f>1/(H2683*Utilities!$B$11)</f>
        <v>8</v>
      </c>
      <c r="K2683" s="11">
        <f>IF(B2683&lt;C2683,1,EXP(-1*(B2683-C2683)/(Utilities!$B$11*IterData!H2683)))</f>
        <v>1</v>
      </c>
    </row>
    <row r="2684" spans="8:11" x14ac:dyDescent="0.3">
      <c r="H2684">
        <v>0.5</v>
      </c>
      <c r="I2684" s="11">
        <f t="shared" si="41"/>
        <v>0</v>
      </c>
      <c r="J2684" s="11">
        <f>1/(H2684*Utilities!$B$11)</f>
        <v>8</v>
      </c>
      <c r="K2684" s="11">
        <f>IF(B2684&lt;C2684,1,EXP(-1*(B2684-C2684)/(Utilities!$B$11*IterData!H2684)))</f>
        <v>1</v>
      </c>
    </row>
    <row r="2685" spans="8:11" x14ac:dyDescent="0.3">
      <c r="H2685">
        <v>0.5</v>
      </c>
      <c r="I2685" s="11">
        <f t="shared" si="41"/>
        <v>0</v>
      </c>
      <c r="J2685" s="11">
        <f>1/(H2685*Utilities!$B$11)</f>
        <v>8</v>
      </c>
      <c r="K2685" s="11">
        <f>IF(B2685&lt;C2685,1,EXP(-1*(B2685-C2685)/(Utilities!$B$11*IterData!H2685)))</f>
        <v>1</v>
      </c>
    </row>
    <row r="2686" spans="8:11" x14ac:dyDescent="0.3">
      <c r="H2686">
        <v>0.5</v>
      </c>
      <c r="I2686" s="11">
        <f t="shared" si="41"/>
        <v>0</v>
      </c>
      <c r="J2686" s="11">
        <f>1/(H2686*Utilities!$B$11)</f>
        <v>8</v>
      </c>
      <c r="K2686" s="11">
        <f>IF(B2686&lt;C2686,1,EXP(-1*(B2686-C2686)/(Utilities!$B$11*IterData!H2686)))</f>
        <v>1</v>
      </c>
    </row>
    <row r="2687" spans="8:11" x14ac:dyDescent="0.3">
      <c r="H2687">
        <v>0.5</v>
      </c>
      <c r="I2687" s="11">
        <f t="shared" si="41"/>
        <v>0</v>
      </c>
      <c r="J2687" s="11">
        <f>1/(H2687*Utilities!$B$11)</f>
        <v>8</v>
      </c>
      <c r="K2687" s="11">
        <f>IF(B2687&lt;C2687,1,EXP(-1*(B2687-C2687)/(Utilities!$B$11*IterData!H2687)))</f>
        <v>1</v>
      </c>
    </row>
    <row r="2688" spans="8:11" x14ac:dyDescent="0.3">
      <c r="H2688">
        <v>0.5</v>
      </c>
      <c r="I2688" s="11">
        <f t="shared" si="41"/>
        <v>0</v>
      </c>
      <c r="J2688" s="11">
        <f>1/(H2688*Utilities!$B$11)</f>
        <v>8</v>
      </c>
      <c r="K2688" s="11">
        <f>IF(B2688&lt;C2688,1,EXP(-1*(B2688-C2688)/(Utilities!$B$11*IterData!H2688)))</f>
        <v>1</v>
      </c>
    </row>
    <row r="2689" spans="8:11" x14ac:dyDescent="0.3">
      <c r="H2689">
        <v>0.5</v>
      </c>
      <c r="I2689" s="11">
        <f t="shared" si="41"/>
        <v>0</v>
      </c>
      <c r="J2689" s="11">
        <f>1/(H2689*Utilities!$B$11)</f>
        <v>8</v>
      </c>
      <c r="K2689" s="11">
        <f>IF(B2689&lt;C2689,1,EXP(-1*(B2689-C2689)/(Utilities!$B$11*IterData!H2689)))</f>
        <v>1</v>
      </c>
    </row>
    <row r="2690" spans="8:11" x14ac:dyDescent="0.3">
      <c r="H2690">
        <v>0.5</v>
      </c>
      <c r="I2690" s="11">
        <f t="shared" si="41"/>
        <v>0</v>
      </c>
      <c r="J2690" s="11">
        <f>1/(H2690*Utilities!$B$11)</f>
        <v>8</v>
      </c>
      <c r="K2690" s="11">
        <f>IF(B2690&lt;C2690,1,EXP(-1*(B2690-C2690)/(Utilities!$B$11*IterData!H2690)))</f>
        <v>1</v>
      </c>
    </row>
    <row r="2691" spans="8:11" x14ac:dyDescent="0.3">
      <c r="H2691">
        <v>0.5</v>
      </c>
      <c r="I2691" s="11">
        <f t="shared" ref="I2691:I2754" si="42">B2691-C2691</f>
        <v>0</v>
      </c>
      <c r="J2691" s="11">
        <f>1/(H2691*Utilities!$B$11)</f>
        <v>8</v>
      </c>
      <c r="K2691" s="11">
        <f>IF(B2691&lt;C2691,1,EXP(-1*(B2691-C2691)/(Utilities!$B$11*IterData!H2691)))</f>
        <v>1</v>
      </c>
    </row>
    <row r="2692" spans="8:11" x14ac:dyDescent="0.3">
      <c r="H2692">
        <v>0.5</v>
      </c>
      <c r="I2692" s="11">
        <f t="shared" si="42"/>
        <v>0</v>
      </c>
      <c r="J2692" s="11">
        <f>1/(H2692*Utilities!$B$11)</f>
        <v>8</v>
      </c>
      <c r="K2692" s="11">
        <f>IF(B2692&lt;C2692,1,EXP(-1*(B2692-C2692)/(Utilities!$B$11*IterData!H2692)))</f>
        <v>1</v>
      </c>
    </row>
    <row r="2693" spans="8:11" x14ac:dyDescent="0.3">
      <c r="H2693">
        <v>0.5</v>
      </c>
      <c r="I2693" s="11">
        <f t="shared" si="42"/>
        <v>0</v>
      </c>
      <c r="J2693" s="11">
        <f>1/(H2693*Utilities!$B$11)</f>
        <v>8</v>
      </c>
      <c r="K2693" s="11">
        <f>IF(B2693&lt;C2693,1,EXP(-1*(B2693-C2693)/(Utilities!$B$11*IterData!H2693)))</f>
        <v>1</v>
      </c>
    </row>
    <row r="2694" spans="8:11" x14ac:dyDescent="0.3">
      <c r="H2694">
        <v>0.5</v>
      </c>
      <c r="I2694" s="11">
        <f t="shared" si="42"/>
        <v>0</v>
      </c>
      <c r="J2694" s="11">
        <f>1/(H2694*Utilities!$B$11)</f>
        <v>8</v>
      </c>
      <c r="K2694" s="11">
        <f>IF(B2694&lt;C2694,1,EXP(-1*(B2694-C2694)/(Utilities!$B$11*IterData!H2694)))</f>
        <v>1</v>
      </c>
    </row>
    <row r="2695" spans="8:11" x14ac:dyDescent="0.3">
      <c r="H2695">
        <v>0.5</v>
      </c>
      <c r="I2695" s="11">
        <f t="shared" si="42"/>
        <v>0</v>
      </c>
      <c r="J2695" s="11">
        <f>1/(H2695*Utilities!$B$11)</f>
        <v>8</v>
      </c>
      <c r="K2695" s="11">
        <f>IF(B2695&lt;C2695,1,EXP(-1*(B2695-C2695)/(Utilities!$B$11*IterData!H2695)))</f>
        <v>1</v>
      </c>
    </row>
    <row r="2696" spans="8:11" x14ac:dyDescent="0.3">
      <c r="H2696">
        <v>0.5</v>
      </c>
      <c r="I2696" s="11">
        <f t="shared" si="42"/>
        <v>0</v>
      </c>
      <c r="J2696" s="11">
        <f>1/(H2696*Utilities!$B$11)</f>
        <v>8</v>
      </c>
      <c r="K2696" s="11">
        <f>IF(B2696&lt;C2696,1,EXP(-1*(B2696-C2696)/(Utilities!$B$11*IterData!H2696)))</f>
        <v>1</v>
      </c>
    </row>
    <row r="2697" spans="8:11" x14ac:dyDescent="0.3">
      <c r="H2697">
        <v>0.5</v>
      </c>
      <c r="I2697" s="11">
        <f t="shared" si="42"/>
        <v>0</v>
      </c>
      <c r="J2697" s="11">
        <f>1/(H2697*Utilities!$B$11)</f>
        <v>8</v>
      </c>
      <c r="K2697" s="11">
        <f>IF(B2697&lt;C2697,1,EXP(-1*(B2697-C2697)/(Utilities!$B$11*IterData!H2697)))</f>
        <v>1</v>
      </c>
    </row>
    <row r="2698" spans="8:11" x14ac:dyDescent="0.3">
      <c r="H2698">
        <v>0.5</v>
      </c>
      <c r="I2698" s="11">
        <f t="shared" si="42"/>
        <v>0</v>
      </c>
      <c r="J2698" s="11">
        <f>1/(H2698*Utilities!$B$11)</f>
        <v>8</v>
      </c>
      <c r="K2698" s="11">
        <f>IF(B2698&lt;C2698,1,EXP(-1*(B2698-C2698)/(Utilities!$B$11*IterData!H2698)))</f>
        <v>1</v>
      </c>
    </row>
    <row r="2699" spans="8:11" x14ac:dyDescent="0.3">
      <c r="H2699">
        <v>0.5</v>
      </c>
      <c r="I2699" s="11">
        <f t="shared" si="42"/>
        <v>0</v>
      </c>
      <c r="J2699" s="11">
        <f>1/(H2699*Utilities!$B$11)</f>
        <v>8</v>
      </c>
      <c r="K2699" s="11">
        <f>IF(B2699&lt;C2699,1,EXP(-1*(B2699-C2699)/(Utilities!$B$11*IterData!H2699)))</f>
        <v>1</v>
      </c>
    </row>
    <row r="2700" spans="8:11" x14ac:dyDescent="0.3">
      <c r="H2700">
        <v>0.5</v>
      </c>
      <c r="I2700" s="11">
        <f t="shared" si="42"/>
        <v>0</v>
      </c>
      <c r="J2700" s="11">
        <f>1/(H2700*Utilities!$B$11)</f>
        <v>8</v>
      </c>
      <c r="K2700" s="11">
        <f>IF(B2700&lt;C2700,1,EXP(-1*(B2700-C2700)/(Utilities!$B$11*IterData!H2700)))</f>
        <v>1</v>
      </c>
    </row>
    <row r="2701" spans="8:11" x14ac:dyDescent="0.3">
      <c r="H2701">
        <v>0.5</v>
      </c>
      <c r="I2701" s="11">
        <f t="shared" si="42"/>
        <v>0</v>
      </c>
      <c r="J2701" s="11">
        <f>1/(H2701*Utilities!$B$11)</f>
        <v>8</v>
      </c>
      <c r="K2701" s="11">
        <f>IF(B2701&lt;C2701,1,EXP(-1*(B2701-C2701)/(Utilities!$B$11*IterData!H2701)))</f>
        <v>1</v>
      </c>
    </row>
    <row r="2702" spans="8:11" x14ac:dyDescent="0.3">
      <c r="H2702">
        <v>0.5</v>
      </c>
      <c r="I2702" s="11">
        <f t="shared" si="42"/>
        <v>0</v>
      </c>
      <c r="J2702" s="11">
        <f>1/(H2702*Utilities!$B$11)</f>
        <v>8</v>
      </c>
      <c r="K2702" s="11">
        <f>IF(B2702&lt;C2702,1,EXP(-1*(B2702-C2702)/(Utilities!$B$11*IterData!H2702)))</f>
        <v>1</v>
      </c>
    </row>
    <row r="2703" spans="8:11" x14ac:dyDescent="0.3">
      <c r="H2703">
        <v>0.5</v>
      </c>
      <c r="I2703" s="11">
        <f t="shared" si="42"/>
        <v>0</v>
      </c>
      <c r="J2703" s="11">
        <f>1/(H2703*Utilities!$B$11)</f>
        <v>8</v>
      </c>
      <c r="K2703" s="11">
        <f>IF(B2703&lt;C2703,1,EXP(-1*(B2703-C2703)/(Utilities!$B$11*IterData!H2703)))</f>
        <v>1</v>
      </c>
    </row>
    <row r="2704" spans="8:11" x14ac:dyDescent="0.3">
      <c r="H2704">
        <v>0.5</v>
      </c>
      <c r="I2704" s="11">
        <f t="shared" si="42"/>
        <v>0</v>
      </c>
      <c r="J2704" s="11">
        <f>1/(H2704*Utilities!$B$11)</f>
        <v>8</v>
      </c>
      <c r="K2704" s="11">
        <f>IF(B2704&lt;C2704,1,EXP(-1*(B2704-C2704)/(Utilities!$B$11*IterData!H2704)))</f>
        <v>1</v>
      </c>
    </row>
    <row r="2705" spans="8:11" x14ac:dyDescent="0.3">
      <c r="H2705">
        <v>0.5</v>
      </c>
      <c r="I2705" s="11">
        <f t="shared" si="42"/>
        <v>0</v>
      </c>
      <c r="J2705" s="11">
        <f>1/(H2705*Utilities!$B$11)</f>
        <v>8</v>
      </c>
      <c r="K2705" s="11">
        <f>IF(B2705&lt;C2705,1,EXP(-1*(B2705-C2705)/(Utilities!$B$11*IterData!H2705)))</f>
        <v>1</v>
      </c>
    </row>
    <row r="2706" spans="8:11" x14ac:dyDescent="0.3">
      <c r="H2706">
        <v>0.5</v>
      </c>
      <c r="I2706" s="11">
        <f t="shared" si="42"/>
        <v>0</v>
      </c>
      <c r="J2706" s="11">
        <f>1/(H2706*Utilities!$B$11)</f>
        <v>8</v>
      </c>
      <c r="K2706" s="11">
        <f>IF(B2706&lt;C2706,1,EXP(-1*(B2706-C2706)/(Utilities!$B$11*IterData!H2706)))</f>
        <v>1</v>
      </c>
    </row>
    <row r="2707" spans="8:11" x14ac:dyDescent="0.3">
      <c r="H2707">
        <v>0.5</v>
      </c>
      <c r="I2707" s="11">
        <f t="shared" si="42"/>
        <v>0</v>
      </c>
      <c r="J2707" s="11">
        <f>1/(H2707*Utilities!$B$11)</f>
        <v>8</v>
      </c>
      <c r="K2707" s="11">
        <f>IF(B2707&lt;C2707,1,EXP(-1*(B2707-C2707)/(Utilities!$B$11*IterData!H2707)))</f>
        <v>1</v>
      </c>
    </row>
    <row r="2708" spans="8:11" x14ac:dyDescent="0.3">
      <c r="H2708">
        <v>0.5</v>
      </c>
      <c r="I2708" s="11">
        <f t="shared" si="42"/>
        <v>0</v>
      </c>
      <c r="J2708" s="11">
        <f>1/(H2708*Utilities!$B$11)</f>
        <v>8</v>
      </c>
      <c r="K2708" s="11">
        <f>IF(B2708&lt;C2708,1,EXP(-1*(B2708-C2708)/(Utilities!$B$11*IterData!H2708)))</f>
        <v>1</v>
      </c>
    </row>
    <row r="2709" spans="8:11" x14ac:dyDescent="0.3">
      <c r="H2709">
        <v>0.5</v>
      </c>
      <c r="I2709" s="11">
        <f t="shared" si="42"/>
        <v>0</v>
      </c>
      <c r="J2709" s="11">
        <f>1/(H2709*Utilities!$B$11)</f>
        <v>8</v>
      </c>
      <c r="K2709" s="11">
        <f>IF(B2709&lt;C2709,1,EXP(-1*(B2709-C2709)/(Utilities!$B$11*IterData!H2709)))</f>
        <v>1</v>
      </c>
    </row>
    <row r="2710" spans="8:11" x14ac:dyDescent="0.3">
      <c r="H2710">
        <v>0.5</v>
      </c>
      <c r="I2710" s="11">
        <f t="shared" si="42"/>
        <v>0</v>
      </c>
      <c r="J2710" s="11">
        <f>1/(H2710*Utilities!$B$11)</f>
        <v>8</v>
      </c>
      <c r="K2710" s="11">
        <f>IF(B2710&lt;C2710,1,EXP(-1*(B2710-C2710)/(Utilities!$B$11*IterData!H2710)))</f>
        <v>1</v>
      </c>
    </row>
    <row r="2711" spans="8:11" x14ac:dyDescent="0.3">
      <c r="H2711">
        <v>0.5</v>
      </c>
      <c r="I2711" s="11">
        <f t="shared" si="42"/>
        <v>0</v>
      </c>
      <c r="J2711" s="11">
        <f>1/(H2711*Utilities!$B$11)</f>
        <v>8</v>
      </c>
      <c r="K2711" s="11">
        <f>IF(B2711&lt;C2711,1,EXP(-1*(B2711-C2711)/(Utilities!$B$11*IterData!H2711)))</f>
        <v>1</v>
      </c>
    </row>
    <row r="2712" spans="8:11" x14ac:dyDescent="0.3">
      <c r="H2712">
        <v>0.5</v>
      </c>
      <c r="I2712" s="11">
        <f t="shared" si="42"/>
        <v>0</v>
      </c>
      <c r="J2712" s="11">
        <f>1/(H2712*Utilities!$B$11)</f>
        <v>8</v>
      </c>
      <c r="K2712" s="11">
        <f>IF(B2712&lt;C2712,1,EXP(-1*(B2712-C2712)/(Utilities!$B$11*IterData!H2712)))</f>
        <v>1</v>
      </c>
    </row>
    <row r="2713" spans="8:11" x14ac:dyDescent="0.3">
      <c r="H2713">
        <v>0.5</v>
      </c>
      <c r="I2713" s="11">
        <f t="shared" si="42"/>
        <v>0</v>
      </c>
      <c r="J2713" s="11">
        <f>1/(H2713*Utilities!$B$11)</f>
        <v>8</v>
      </c>
      <c r="K2713" s="11">
        <f>IF(B2713&lt;C2713,1,EXP(-1*(B2713-C2713)/(Utilities!$B$11*IterData!H2713)))</f>
        <v>1</v>
      </c>
    </row>
    <row r="2714" spans="8:11" x14ac:dyDescent="0.3">
      <c r="H2714">
        <v>0.5</v>
      </c>
      <c r="I2714" s="11">
        <f t="shared" si="42"/>
        <v>0</v>
      </c>
      <c r="J2714" s="11">
        <f>1/(H2714*Utilities!$B$11)</f>
        <v>8</v>
      </c>
      <c r="K2714" s="11">
        <f>IF(B2714&lt;C2714,1,EXP(-1*(B2714-C2714)/(Utilities!$B$11*IterData!H2714)))</f>
        <v>1</v>
      </c>
    </row>
    <row r="2715" spans="8:11" x14ac:dyDescent="0.3">
      <c r="H2715">
        <v>0.5</v>
      </c>
      <c r="I2715" s="11">
        <f t="shared" si="42"/>
        <v>0</v>
      </c>
      <c r="J2715" s="11">
        <f>1/(H2715*Utilities!$B$11)</f>
        <v>8</v>
      </c>
      <c r="K2715" s="11">
        <f>IF(B2715&lt;C2715,1,EXP(-1*(B2715-C2715)/(Utilities!$B$11*IterData!H2715)))</f>
        <v>1</v>
      </c>
    </row>
    <row r="2716" spans="8:11" x14ac:dyDescent="0.3">
      <c r="H2716">
        <v>0.5</v>
      </c>
      <c r="I2716" s="11">
        <f t="shared" si="42"/>
        <v>0</v>
      </c>
      <c r="J2716" s="11">
        <f>1/(H2716*Utilities!$B$11)</f>
        <v>8</v>
      </c>
      <c r="K2716" s="11">
        <f>IF(B2716&lt;C2716,1,EXP(-1*(B2716-C2716)/(Utilities!$B$11*IterData!H2716)))</f>
        <v>1</v>
      </c>
    </row>
    <row r="2717" spans="8:11" x14ac:dyDescent="0.3">
      <c r="H2717">
        <v>0.5</v>
      </c>
      <c r="I2717" s="11">
        <f t="shared" si="42"/>
        <v>0</v>
      </c>
      <c r="J2717" s="11">
        <f>1/(H2717*Utilities!$B$11)</f>
        <v>8</v>
      </c>
      <c r="K2717" s="11">
        <f>IF(B2717&lt;C2717,1,EXP(-1*(B2717-C2717)/(Utilities!$B$11*IterData!H2717)))</f>
        <v>1</v>
      </c>
    </row>
    <row r="2718" spans="8:11" x14ac:dyDescent="0.3">
      <c r="H2718">
        <v>0.5</v>
      </c>
      <c r="I2718" s="11">
        <f t="shared" si="42"/>
        <v>0</v>
      </c>
      <c r="J2718" s="11">
        <f>1/(H2718*Utilities!$B$11)</f>
        <v>8</v>
      </c>
      <c r="K2718" s="11">
        <f>IF(B2718&lt;C2718,1,EXP(-1*(B2718-C2718)/(Utilities!$B$11*IterData!H2718)))</f>
        <v>1</v>
      </c>
    </row>
    <row r="2719" spans="8:11" x14ac:dyDescent="0.3">
      <c r="H2719">
        <v>0.5</v>
      </c>
      <c r="I2719" s="11">
        <f t="shared" si="42"/>
        <v>0</v>
      </c>
      <c r="J2719" s="11">
        <f>1/(H2719*Utilities!$B$11)</f>
        <v>8</v>
      </c>
      <c r="K2719" s="11">
        <f>IF(B2719&lt;C2719,1,EXP(-1*(B2719-C2719)/(Utilities!$B$11*IterData!H2719)))</f>
        <v>1</v>
      </c>
    </row>
    <row r="2720" spans="8:11" x14ac:dyDescent="0.3">
      <c r="H2720">
        <v>0.5</v>
      </c>
      <c r="I2720" s="11">
        <f t="shared" si="42"/>
        <v>0</v>
      </c>
      <c r="J2720" s="11">
        <f>1/(H2720*Utilities!$B$11)</f>
        <v>8</v>
      </c>
      <c r="K2720" s="11">
        <f>IF(B2720&lt;C2720,1,EXP(-1*(B2720-C2720)/(Utilities!$B$11*IterData!H2720)))</f>
        <v>1</v>
      </c>
    </row>
    <row r="2721" spans="8:11" x14ac:dyDescent="0.3">
      <c r="H2721">
        <v>0.5</v>
      </c>
      <c r="I2721" s="11">
        <f t="shared" si="42"/>
        <v>0</v>
      </c>
      <c r="J2721" s="11">
        <f>1/(H2721*Utilities!$B$11)</f>
        <v>8</v>
      </c>
      <c r="K2721" s="11">
        <f>IF(B2721&lt;C2721,1,EXP(-1*(B2721-C2721)/(Utilities!$B$11*IterData!H2721)))</f>
        <v>1</v>
      </c>
    </row>
    <row r="2722" spans="8:11" x14ac:dyDescent="0.3">
      <c r="H2722">
        <v>0.5</v>
      </c>
      <c r="I2722" s="11">
        <f t="shared" si="42"/>
        <v>0</v>
      </c>
      <c r="J2722" s="11">
        <f>1/(H2722*Utilities!$B$11)</f>
        <v>8</v>
      </c>
      <c r="K2722" s="11">
        <f>IF(B2722&lt;C2722,1,EXP(-1*(B2722-C2722)/(Utilities!$B$11*IterData!H2722)))</f>
        <v>1</v>
      </c>
    </row>
    <row r="2723" spans="8:11" x14ac:dyDescent="0.3">
      <c r="H2723">
        <v>0.5</v>
      </c>
      <c r="I2723" s="11">
        <f t="shared" si="42"/>
        <v>0</v>
      </c>
      <c r="J2723" s="11">
        <f>1/(H2723*Utilities!$B$11)</f>
        <v>8</v>
      </c>
      <c r="K2723" s="11">
        <f>IF(B2723&lt;C2723,1,EXP(-1*(B2723-C2723)/(Utilities!$B$11*IterData!H2723)))</f>
        <v>1</v>
      </c>
    </row>
    <row r="2724" spans="8:11" x14ac:dyDescent="0.3">
      <c r="H2724">
        <v>0.5</v>
      </c>
      <c r="I2724" s="11">
        <f t="shared" si="42"/>
        <v>0</v>
      </c>
      <c r="J2724" s="11">
        <f>1/(H2724*Utilities!$B$11)</f>
        <v>8</v>
      </c>
      <c r="K2724" s="11">
        <f>IF(B2724&lt;C2724,1,EXP(-1*(B2724-C2724)/(Utilities!$B$11*IterData!H2724)))</f>
        <v>1</v>
      </c>
    </row>
    <row r="2725" spans="8:11" x14ac:dyDescent="0.3">
      <c r="H2725">
        <v>0.5</v>
      </c>
      <c r="I2725" s="11">
        <f t="shared" si="42"/>
        <v>0</v>
      </c>
      <c r="J2725" s="11">
        <f>1/(H2725*Utilities!$B$11)</f>
        <v>8</v>
      </c>
      <c r="K2725" s="11">
        <f>IF(B2725&lt;C2725,1,EXP(-1*(B2725-C2725)/(Utilities!$B$11*IterData!H2725)))</f>
        <v>1</v>
      </c>
    </row>
    <row r="2726" spans="8:11" x14ac:dyDescent="0.3">
      <c r="H2726">
        <v>0.5</v>
      </c>
      <c r="I2726" s="11">
        <f t="shared" si="42"/>
        <v>0</v>
      </c>
      <c r="J2726" s="11">
        <f>1/(H2726*Utilities!$B$11)</f>
        <v>8</v>
      </c>
      <c r="K2726" s="11">
        <f>IF(B2726&lt;C2726,1,EXP(-1*(B2726-C2726)/(Utilities!$B$11*IterData!H2726)))</f>
        <v>1</v>
      </c>
    </row>
    <row r="2727" spans="8:11" x14ac:dyDescent="0.3">
      <c r="H2727">
        <v>0.5</v>
      </c>
      <c r="I2727" s="11">
        <f t="shared" si="42"/>
        <v>0</v>
      </c>
      <c r="J2727" s="11">
        <f>1/(H2727*Utilities!$B$11)</f>
        <v>8</v>
      </c>
      <c r="K2727" s="11">
        <f>IF(B2727&lt;C2727,1,EXP(-1*(B2727-C2727)/(Utilities!$B$11*IterData!H2727)))</f>
        <v>1</v>
      </c>
    </row>
    <row r="2728" spans="8:11" x14ac:dyDescent="0.3">
      <c r="H2728">
        <v>0.5</v>
      </c>
      <c r="I2728" s="11">
        <f t="shared" si="42"/>
        <v>0</v>
      </c>
      <c r="J2728" s="11">
        <f>1/(H2728*Utilities!$B$11)</f>
        <v>8</v>
      </c>
      <c r="K2728" s="11">
        <f>IF(B2728&lt;C2728,1,EXP(-1*(B2728-C2728)/(Utilities!$B$11*IterData!H2728)))</f>
        <v>1</v>
      </c>
    </row>
    <row r="2729" spans="8:11" x14ac:dyDescent="0.3">
      <c r="H2729">
        <v>0.5</v>
      </c>
      <c r="I2729" s="11">
        <f t="shared" si="42"/>
        <v>0</v>
      </c>
      <c r="J2729" s="11">
        <f>1/(H2729*Utilities!$B$11)</f>
        <v>8</v>
      </c>
      <c r="K2729" s="11">
        <f>IF(B2729&lt;C2729,1,EXP(-1*(B2729-C2729)/(Utilities!$B$11*IterData!H2729)))</f>
        <v>1</v>
      </c>
    </row>
    <row r="2730" spans="8:11" x14ac:dyDescent="0.3">
      <c r="H2730">
        <v>0.5</v>
      </c>
      <c r="I2730" s="11">
        <f t="shared" si="42"/>
        <v>0</v>
      </c>
      <c r="J2730" s="11">
        <f>1/(H2730*Utilities!$B$11)</f>
        <v>8</v>
      </c>
      <c r="K2730" s="11">
        <f>IF(B2730&lt;C2730,1,EXP(-1*(B2730-C2730)/(Utilities!$B$11*IterData!H2730)))</f>
        <v>1</v>
      </c>
    </row>
    <row r="2731" spans="8:11" x14ac:dyDescent="0.3">
      <c r="H2731">
        <v>0.5</v>
      </c>
      <c r="I2731" s="11">
        <f t="shared" si="42"/>
        <v>0</v>
      </c>
      <c r="J2731" s="11">
        <f>1/(H2731*Utilities!$B$11)</f>
        <v>8</v>
      </c>
      <c r="K2731" s="11">
        <f>IF(B2731&lt;C2731,1,EXP(-1*(B2731-C2731)/(Utilities!$B$11*IterData!H2731)))</f>
        <v>1</v>
      </c>
    </row>
    <row r="2732" spans="8:11" x14ac:dyDescent="0.3">
      <c r="H2732">
        <v>0.5</v>
      </c>
      <c r="I2732" s="11">
        <f t="shared" si="42"/>
        <v>0</v>
      </c>
      <c r="J2732" s="11">
        <f>1/(H2732*Utilities!$B$11)</f>
        <v>8</v>
      </c>
      <c r="K2732" s="11">
        <f>IF(B2732&lt;C2732,1,EXP(-1*(B2732-C2732)/(Utilities!$B$11*IterData!H2732)))</f>
        <v>1</v>
      </c>
    </row>
    <row r="2733" spans="8:11" x14ac:dyDescent="0.3">
      <c r="H2733">
        <v>0.5</v>
      </c>
      <c r="I2733" s="11">
        <f t="shared" si="42"/>
        <v>0</v>
      </c>
      <c r="J2733" s="11">
        <f>1/(H2733*Utilities!$B$11)</f>
        <v>8</v>
      </c>
      <c r="K2733" s="11">
        <f>IF(B2733&lt;C2733,1,EXP(-1*(B2733-C2733)/(Utilities!$B$11*IterData!H2733)))</f>
        <v>1</v>
      </c>
    </row>
    <row r="2734" spans="8:11" x14ac:dyDescent="0.3">
      <c r="H2734">
        <v>0.5</v>
      </c>
      <c r="I2734" s="11">
        <f t="shared" si="42"/>
        <v>0</v>
      </c>
      <c r="J2734" s="11">
        <f>1/(H2734*Utilities!$B$11)</f>
        <v>8</v>
      </c>
      <c r="K2734" s="11">
        <f>IF(B2734&lt;C2734,1,EXP(-1*(B2734-C2734)/(Utilities!$B$11*IterData!H2734)))</f>
        <v>1</v>
      </c>
    </row>
    <row r="2735" spans="8:11" x14ac:dyDescent="0.3">
      <c r="H2735">
        <v>0.5</v>
      </c>
      <c r="I2735" s="11">
        <f t="shared" si="42"/>
        <v>0</v>
      </c>
      <c r="J2735" s="11">
        <f>1/(H2735*Utilities!$B$11)</f>
        <v>8</v>
      </c>
      <c r="K2735" s="11">
        <f>IF(B2735&lt;C2735,1,EXP(-1*(B2735-C2735)/(Utilities!$B$11*IterData!H2735)))</f>
        <v>1</v>
      </c>
    </row>
    <row r="2736" spans="8:11" x14ac:dyDescent="0.3">
      <c r="H2736">
        <v>0.5</v>
      </c>
      <c r="I2736" s="11">
        <f t="shared" si="42"/>
        <v>0</v>
      </c>
      <c r="J2736" s="11">
        <f>1/(H2736*Utilities!$B$11)</f>
        <v>8</v>
      </c>
      <c r="K2736" s="11">
        <f>IF(B2736&lt;C2736,1,EXP(-1*(B2736-C2736)/(Utilities!$B$11*IterData!H2736)))</f>
        <v>1</v>
      </c>
    </row>
    <row r="2737" spans="8:11" x14ac:dyDescent="0.3">
      <c r="H2737">
        <v>0.5</v>
      </c>
      <c r="I2737" s="11">
        <f t="shared" si="42"/>
        <v>0</v>
      </c>
      <c r="J2737" s="11">
        <f>1/(H2737*Utilities!$B$11)</f>
        <v>8</v>
      </c>
      <c r="K2737" s="11">
        <f>IF(B2737&lt;C2737,1,EXP(-1*(B2737-C2737)/(Utilities!$B$11*IterData!H2737)))</f>
        <v>1</v>
      </c>
    </row>
    <row r="2738" spans="8:11" x14ac:dyDescent="0.3">
      <c r="H2738">
        <v>0.5</v>
      </c>
      <c r="I2738" s="11">
        <f t="shared" si="42"/>
        <v>0</v>
      </c>
      <c r="J2738" s="11">
        <f>1/(H2738*Utilities!$B$11)</f>
        <v>8</v>
      </c>
      <c r="K2738" s="11">
        <f>IF(B2738&lt;C2738,1,EXP(-1*(B2738-C2738)/(Utilities!$B$11*IterData!H2738)))</f>
        <v>1</v>
      </c>
    </row>
    <row r="2739" spans="8:11" x14ac:dyDescent="0.3">
      <c r="H2739">
        <v>0.5</v>
      </c>
      <c r="I2739" s="11">
        <f t="shared" si="42"/>
        <v>0</v>
      </c>
      <c r="J2739" s="11">
        <f>1/(H2739*Utilities!$B$11)</f>
        <v>8</v>
      </c>
      <c r="K2739" s="11">
        <f>IF(B2739&lt;C2739,1,EXP(-1*(B2739-C2739)/(Utilities!$B$11*IterData!H2739)))</f>
        <v>1</v>
      </c>
    </row>
    <row r="2740" spans="8:11" x14ac:dyDescent="0.3">
      <c r="H2740">
        <v>0.5</v>
      </c>
      <c r="I2740" s="11">
        <f t="shared" si="42"/>
        <v>0</v>
      </c>
      <c r="J2740" s="11">
        <f>1/(H2740*Utilities!$B$11)</f>
        <v>8</v>
      </c>
      <c r="K2740" s="11">
        <f>IF(B2740&lt;C2740,1,EXP(-1*(B2740-C2740)/(Utilities!$B$11*IterData!H2740)))</f>
        <v>1</v>
      </c>
    </row>
    <row r="2741" spans="8:11" x14ac:dyDescent="0.3">
      <c r="H2741">
        <v>0.5</v>
      </c>
      <c r="I2741" s="11">
        <f t="shared" si="42"/>
        <v>0</v>
      </c>
      <c r="J2741" s="11">
        <f>1/(H2741*Utilities!$B$11)</f>
        <v>8</v>
      </c>
      <c r="K2741" s="11">
        <f>IF(B2741&lt;C2741,1,EXP(-1*(B2741-C2741)/(Utilities!$B$11*IterData!H2741)))</f>
        <v>1</v>
      </c>
    </row>
    <row r="2742" spans="8:11" x14ac:dyDescent="0.3">
      <c r="H2742">
        <v>0.5</v>
      </c>
      <c r="I2742" s="11">
        <f t="shared" si="42"/>
        <v>0</v>
      </c>
      <c r="J2742" s="11">
        <f>1/(H2742*Utilities!$B$11)</f>
        <v>8</v>
      </c>
      <c r="K2742" s="11">
        <f>IF(B2742&lt;C2742,1,EXP(-1*(B2742-C2742)/(Utilities!$B$11*IterData!H2742)))</f>
        <v>1</v>
      </c>
    </row>
    <row r="2743" spans="8:11" x14ac:dyDescent="0.3">
      <c r="H2743">
        <v>0.5</v>
      </c>
      <c r="I2743" s="11">
        <f t="shared" si="42"/>
        <v>0</v>
      </c>
      <c r="J2743" s="11">
        <f>1/(H2743*Utilities!$B$11)</f>
        <v>8</v>
      </c>
      <c r="K2743" s="11">
        <f>IF(B2743&lt;C2743,1,EXP(-1*(B2743-C2743)/(Utilities!$B$11*IterData!H2743)))</f>
        <v>1</v>
      </c>
    </row>
    <row r="2744" spans="8:11" x14ac:dyDescent="0.3">
      <c r="H2744">
        <v>0.5</v>
      </c>
      <c r="I2744" s="11">
        <f t="shared" si="42"/>
        <v>0</v>
      </c>
      <c r="J2744" s="11">
        <f>1/(H2744*Utilities!$B$11)</f>
        <v>8</v>
      </c>
      <c r="K2744" s="11">
        <f>IF(B2744&lt;C2744,1,EXP(-1*(B2744-C2744)/(Utilities!$B$11*IterData!H2744)))</f>
        <v>1</v>
      </c>
    </row>
    <row r="2745" spans="8:11" x14ac:dyDescent="0.3">
      <c r="H2745">
        <v>0.5</v>
      </c>
      <c r="I2745" s="11">
        <f t="shared" si="42"/>
        <v>0</v>
      </c>
      <c r="J2745" s="11">
        <f>1/(H2745*Utilities!$B$11)</f>
        <v>8</v>
      </c>
      <c r="K2745" s="11">
        <f>IF(B2745&lt;C2745,1,EXP(-1*(B2745-C2745)/(Utilities!$B$11*IterData!H2745)))</f>
        <v>1</v>
      </c>
    </row>
    <row r="2746" spans="8:11" x14ac:dyDescent="0.3">
      <c r="H2746">
        <v>0.5</v>
      </c>
      <c r="I2746" s="11">
        <f t="shared" si="42"/>
        <v>0</v>
      </c>
      <c r="J2746" s="11">
        <f>1/(H2746*Utilities!$B$11)</f>
        <v>8</v>
      </c>
      <c r="K2746" s="11">
        <f>IF(B2746&lt;C2746,1,EXP(-1*(B2746-C2746)/(Utilities!$B$11*IterData!H2746)))</f>
        <v>1</v>
      </c>
    </row>
    <row r="2747" spans="8:11" x14ac:dyDescent="0.3">
      <c r="H2747">
        <v>0.5</v>
      </c>
      <c r="I2747" s="11">
        <f t="shared" si="42"/>
        <v>0</v>
      </c>
      <c r="J2747" s="11">
        <f>1/(H2747*Utilities!$B$11)</f>
        <v>8</v>
      </c>
      <c r="K2747" s="11">
        <f>IF(B2747&lt;C2747,1,EXP(-1*(B2747-C2747)/(Utilities!$B$11*IterData!H2747)))</f>
        <v>1</v>
      </c>
    </row>
    <row r="2748" spans="8:11" x14ac:dyDescent="0.3">
      <c r="H2748">
        <v>0.5</v>
      </c>
      <c r="I2748" s="11">
        <f t="shared" si="42"/>
        <v>0</v>
      </c>
      <c r="J2748" s="11">
        <f>1/(H2748*Utilities!$B$11)</f>
        <v>8</v>
      </c>
      <c r="K2748" s="11">
        <f>IF(B2748&lt;C2748,1,EXP(-1*(B2748-C2748)/(Utilities!$B$11*IterData!H2748)))</f>
        <v>1</v>
      </c>
    </row>
    <row r="2749" spans="8:11" x14ac:dyDescent="0.3">
      <c r="H2749">
        <v>0.5</v>
      </c>
      <c r="I2749" s="11">
        <f t="shared" si="42"/>
        <v>0</v>
      </c>
      <c r="J2749" s="11">
        <f>1/(H2749*Utilities!$B$11)</f>
        <v>8</v>
      </c>
      <c r="K2749" s="11">
        <f>IF(B2749&lt;C2749,1,EXP(-1*(B2749-C2749)/(Utilities!$B$11*IterData!H2749)))</f>
        <v>1</v>
      </c>
    </row>
    <row r="2750" spans="8:11" x14ac:dyDescent="0.3">
      <c r="H2750">
        <v>0.5</v>
      </c>
      <c r="I2750" s="11">
        <f t="shared" si="42"/>
        <v>0</v>
      </c>
      <c r="J2750" s="11">
        <f>1/(H2750*Utilities!$B$11)</f>
        <v>8</v>
      </c>
      <c r="K2750" s="11">
        <f>IF(B2750&lt;C2750,1,EXP(-1*(B2750-C2750)/(Utilities!$B$11*IterData!H2750)))</f>
        <v>1</v>
      </c>
    </row>
    <row r="2751" spans="8:11" x14ac:dyDescent="0.3">
      <c r="H2751">
        <v>0.5</v>
      </c>
      <c r="I2751" s="11">
        <f t="shared" si="42"/>
        <v>0</v>
      </c>
      <c r="J2751" s="11">
        <f>1/(H2751*Utilities!$B$11)</f>
        <v>8</v>
      </c>
      <c r="K2751" s="11">
        <f>IF(B2751&lt;C2751,1,EXP(-1*(B2751-C2751)/(Utilities!$B$11*IterData!H2751)))</f>
        <v>1</v>
      </c>
    </row>
    <row r="2752" spans="8:11" x14ac:dyDescent="0.3">
      <c r="H2752">
        <v>0.5</v>
      </c>
      <c r="I2752" s="11">
        <f t="shared" si="42"/>
        <v>0</v>
      </c>
      <c r="J2752" s="11">
        <f>1/(H2752*Utilities!$B$11)</f>
        <v>8</v>
      </c>
      <c r="K2752" s="11">
        <f>IF(B2752&lt;C2752,1,EXP(-1*(B2752-C2752)/(Utilities!$B$11*IterData!H2752)))</f>
        <v>1</v>
      </c>
    </row>
    <row r="2753" spans="8:11" x14ac:dyDescent="0.3">
      <c r="H2753">
        <v>0.5</v>
      </c>
      <c r="I2753" s="11">
        <f t="shared" si="42"/>
        <v>0</v>
      </c>
      <c r="J2753" s="11">
        <f>1/(H2753*Utilities!$B$11)</f>
        <v>8</v>
      </c>
      <c r="K2753" s="11">
        <f>IF(B2753&lt;C2753,1,EXP(-1*(B2753-C2753)/(Utilities!$B$11*IterData!H2753)))</f>
        <v>1</v>
      </c>
    </row>
    <row r="2754" spans="8:11" x14ac:dyDescent="0.3">
      <c r="H2754">
        <v>0.5</v>
      </c>
      <c r="I2754" s="11">
        <f t="shared" si="42"/>
        <v>0</v>
      </c>
      <c r="J2754" s="11">
        <f>1/(H2754*Utilities!$B$11)</f>
        <v>8</v>
      </c>
      <c r="K2754" s="11">
        <f>IF(B2754&lt;C2754,1,EXP(-1*(B2754-C2754)/(Utilities!$B$11*IterData!H2754)))</f>
        <v>1</v>
      </c>
    </row>
    <row r="2755" spans="8:11" x14ac:dyDescent="0.3">
      <c r="H2755">
        <v>0.5</v>
      </c>
      <c r="I2755" s="11">
        <f t="shared" ref="I2755:I2818" si="43">B2755-C2755</f>
        <v>0</v>
      </c>
      <c r="J2755" s="11">
        <f>1/(H2755*Utilities!$B$11)</f>
        <v>8</v>
      </c>
      <c r="K2755" s="11">
        <f>IF(B2755&lt;C2755,1,EXP(-1*(B2755-C2755)/(Utilities!$B$11*IterData!H2755)))</f>
        <v>1</v>
      </c>
    </row>
    <row r="2756" spans="8:11" x14ac:dyDescent="0.3">
      <c r="H2756">
        <v>0.5</v>
      </c>
      <c r="I2756" s="11">
        <f t="shared" si="43"/>
        <v>0</v>
      </c>
      <c r="J2756" s="11">
        <f>1/(H2756*Utilities!$B$11)</f>
        <v>8</v>
      </c>
      <c r="K2756" s="11">
        <f>IF(B2756&lt;C2756,1,EXP(-1*(B2756-C2756)/(Utilities!$B$11*IterData!H2756)))</f>
        <v>1</v>
      </c>
    </row>
    <row r="2757" spans="8:11" x14ac:dyDescent="0.3">
      <c r="H2757">
        <v>0.5</v>
      </c>
      <c r="I2757" s="11">
        <f t="shared" si="43"/>
        <v>0</v>
      </c>
      <c r="J2757" s="11">
        <f>1/(H2757*Utilities!$B$11)</f>
        <v>8</v>
      </c>
      <c r="K2757" s="11">
        <f>IF(B2757&lt;C2757,1,EXP(-1*(B2757-C2757)/(Utilities!$B$11*IterData!H2757)))</f>
        <v>1</v>
      </c>
    </row>
    <row r="2758" spans="8:11" x14ac:dyDescent="0.3">
      <c r="H2758">
        <v>0.5</v>
      </c>
      <c r="I2758" s="11">
        <f t="shared" si="43"/>
        <v>0</v>
      </c>
      <c r="J2758" s="11">
        <f>1/(H2758*Utilities!$B$11)</f>
        <v>8</v>
      </c>
      <c r="K2758" s="11">
        <f>IF(B2758&lt;C2758,1,EXP(-1*(B2758-C2758)/(Utilities!$B$11*IterData!H2758)))</f>
        <v>1</v>
      </c>
    </row>
    <row r="2759" spans="8:11" x14ac:dyDescent="0.3">
      <c r="H2759">
        <v>0.5</v>
      </c>
      <c r="I2759" s="11">
        <f t="shared" si="43"/>
        <v>0</v>
      </c>
      <c r="J2759" s="11">
        <f>1/(H2759*Utilities!$B$11)</f>
        <v>8</v>
      </c>
      <c r="K2759" s="11">
        <f>IF(B2759&lt;C2759,1,EXP(-1*(B2759-C2759)/(Utilities!$B$11*IterData!H2759)))</f>
        <v>1</v>
      </c>
    </row>
    <row r="2760" spans="8:11" x14ac:dyDescent="0.3">
      <c r="H2760">
        <v>0.5</v>
      </c>
      <c r="I2760" s="11">
        <f t="shared" si="43"/>
        <v>0</v>
      </c>
      <c r="J2760" s="11">
        <f>1/(H2760*Utilities!$B$11)</f>
        <v>8</v>
      </c>
      <c r="K2760" s="11">
        <f>IF(B2760&lt;C2760,1,EXP(-1*(B2760-C2760)/(Utilities!$B$11*IterData!H2760)))</f>
        <v>1</v>
      </c>
    </row>
    <row r="2761" spans="8:11" x14ac:dyDescent="0.3">
      <c r="H2761">
        <v>0.5</v>
      </c>
      <c r="I2761" s="11">
        <f t="shared" si="43"/>
        <v>0</v>
      </c>
      <c r="J2761" s="11">
        <f>1/(H2761*Utilities!$B$11)</f>
        <v>8</v>
      </c>
      <c r="K2761" s="11">
        <f>IF(B2761&lt;C2761,1,EXP(-1*(B2761-C2761)/(Utilities!$B$11*IterData!H2761)))</f>
        <v>1</v>
      </c>
    </row>
    <row r="2762" spans="8:11" x14ac:dyDescent="0.3">
      <c r="H2762">
        <v>0.5</v>
      </c>
      <c r="I2762" s="11">
        <f t="shared" si="43"/>
        <v>0</v>
      </c>
      <c r="J2762" s="11">
        <f>1/(H2762*Utilities!$B$11)</f>
        <v>8</v>
      </c>
      <c r="K2762" s="11">
        <f>IF(B2762&lt;C2762,1,EXP(-1*(B2762-C2762)/(Utilities!$B$11*IterData!H2762)))</f>
        <v>1</v>
      </c>
    </row>
    <row r="2763" spans="8:11" x14ac:dyDescent="0.3">
      <c r="H2763">
        <v>0.5</v>
      </c>
      <c r="I2763" s="11">
        <f t="shared" si="43"/>
        <v>0</v>
      </c>
      <c r="J2763" s="11">
        <f>1/(H2763*Utilities!$B$11)</f>
        <v>8</v>
      </c>
      <c r="K2763" s="11">
        <f>IF(B2763&lt;C2763,1,EXP(-1*(B2763-C2763)/(Utilities!$B$11*IterData!H2763)))</f>
        <v>1</v>
      </c>
    </row>
    <row r="2764" spans="8:11" x14ac:dyDescent="0.3">
      <c r="H2764">
        <v>0.5</v>
      </c>
      <c r="I2764" s="11">
        <f t="shared" si="43"/>
        <v>0</v>
      </c>
      <c r="J2764" s="11">
        <f>1/(H2764*Utilities!$B$11)</f>
        <v>8</v>
      </c>
      <c r="K2764" s="11">
        <f>IF(B2764&lt;C2764,1,EXP(-1*(B2764-C2764)/(Utilities!$B$11*IterData!H2764)))</f>
        <v>1</v>
      </c>
    </row>
    <row r="2765" spans="8:11" x14ac:dyDescent="0.3">
      <c r="H2765">
        <v>0.5</v>
      </c>
      <c r="I2765" s="11">
        <f t="shared" si="43"/>
        <v>0</v>
      </c>
      <c r="J2765" s="11">
        <f>1/(H2765*Utilities!$B$11)</f>
        <v>8</v>
      </c>
      <c r="K2765" s="11">
        <f>IF(B2765&lt;C2765,1,EXP(-1*(B2765-C2765)/(Utilities!$B$11*IterData!H2765)))</f>
        <v>1</v>
      </c>
    </row>
    <row r="2766" spans="8:11" x14ac:dyDescent="0.3">
      <c r="H2766">
        <v>0.5</v>
      </c>
      <c r="I2766" s="11">
        <f t="shared" si="43"/>
        <v>0</v>
      </c>
      <c r="J2766" s="11">
        <f>1/(H2766*Utilities!$B$11)</f>
        <v>8</v>
      </c>
      <c r="K2766" s="11">
        <f>IF(B2766&lt;C2766,1,EXP(-1*(B2766-C2766)/(Utilities!$B$11*IterData!H2766)))</f>
        <v>1</v>
      </c>
    </row>
    <row r="2767" spans="8:11" x14ac:dyDescent="0.3">
      <c r="H2767">
        <v>0.5</v>
      </c>
      <c r="I2767" s="11">
        <f t="shared" si="43"/>
        <v>0</v>
      </c>
      <c r="J2767" s="11">
        <f>1/(H2767*Utilities!$B$11)</f>
        <v>8</v>
      </c>
      <c r="K2767" s="11">
        <f>IF(B2767&lt;C2767,1,EXP(-1*(B2767-C2767)/(Utilities!$B$11*IterData!H2767)))</f>
        <v>1</v>
      </c>
    </row>
    <row r="2768" spans="8:11" x14ac:dyDescent="0.3">
      <c r="H2768">
        <v>0.5</v>
      </c>
      <c r="I2768" s="11">
        <f t="shared" si="43"/>
        <v>0</v>
      </c>
      <c r="J2768" s="11">
        <f>1/(H2768*Utilities!$B$11)</f>
        <v>8</v>
      </c>
      <c r="K2768" s="11">
        <f>IF(B2768&lt;C2768,1,EXP(-1*(B2768-C2768)/(Utilities!$B$11*IterData!H2768)))</f>
        <v>1</v>
      </c>
    </row>
    <row r="2769" spans="8:11" x14ac:dyDescent="0.3">
      <c r="H2769">
        <v>0.5</v>
      </c>
      <c r="I2769" s="11">
        <f t="shared" si="43"/>
        <v>0</v>
      </c>
      <c r="J2769" s="11">
        <f>1/(H2769*Utilities!$B$11)</f>
        <v>8</v>
      </c>
      <c r="K2769" s="11">
        <f>IF(B2769&lt;C2769,1,EXP(-1*(B2769-C2769)/(Utilities!$B$11*IterData!H2769)))</f>
        <v>1</v>
      </c>
    </row>
    <row r="2770" spans="8:11" x14ac:dyDescent="0.3">
      <c r="H2770">
        <v>0.5</v>
      </c>
      <c r="I2770" s="11">
        <f t="shared" si="43"/>
        <v>0</v>
      </c>
      <c r="J2770" s="11">
        <f>1/(H2770*Utilities!$B$11)</f>
        <v>8</v>
      </c>
      <c r="K2770" s="11">
        <f>IF(B2770&lt;C2770,1,EXP(-1*(B2770-C2770)/(Utilities!$B$11*IterData!H2770)))</f>
        <v>1</v>
      </c>
    </row>
    <row r="2771" spans="8:11" x14ac:dyDescent="0.3">
      <c r="H2771">
        <v>0.5</v>
      </c>
      <c r="I2771" s="11">
        <f t="shared" si="43"/>
        <v>0</v>
      </c>
      <c r="J2771" s="11">
        <f>1/(H2771*Utilities!$B$11)</f>
        <v>8</v>
      </c>
      <c r="K2771" s="11">
        <f>IF(B2771&lt;C2771,1,EXP(-1*(B2771-C2771)/(Utilities!$B$11*IterData!H2771)))</f>
        <v>1</v>
      </c>
    </row>
    <row r="2772" spans="8:11" x14ac:dyDescent="0.3">
      <c r="H2772">
        <v>0.5</v>
      </c>
      <c r="I2772" s="11">
        <f t="shared" si="43"/>
        <v>0</v>
      </c>
      <c r="J2772" s="11">
        <f>1/(H2772*Utilities!$B$11)</f>
        <v>8</v>
      </c>
      <c r="K2772" s="11">
        <f>IF(B2772&lt;C2772,1,EXP(-1*(B2772-C2772)/(Utilities!$B$11*IterData!H2772)))</f>
        <v>1</v>
      </c>
    </row>
    <row r="2773" spans="8:11" x14ac:dyDescent="0.3">
      <c r="H2773">
        <v>0.5</v>
      </c>
      <c r="I2773" s="11">
        <f t="shared" si="43"/>
        <v>0</v>
      </c>
      <c r="J2773" s="11">
        <f>1/(H2773*Utilities!$B$11)</f>
        <v>8</v>
      </c>
      <c r="K2773" s="11">
        <f>IF(B2773&lt;C2773,1,EXP(-1*(B2773-C2773)/(Utilities!$B$11*IterData!H2773)))</f>
        <v>1</v>
      </c>
    </row>
    <row r="2774" spans="8:11" x14ac:dyDescent="0.3">
      <c r="H2774">
        <v>0.5</v>
      </c>
      <c r="I2774" s="11">
        <f t="shared" si="43"/>
        <v>0</v>
      </c>
      <c r="J2774" s="11">
        <f>1/(H2774*Utilities!$B$11)</f>
        <v>8</v>
      </c>
      <c r="K2774" s="11">
        <f>IF(B2774&lt;C2774,1,EXP(-1*(B2774-C2774)/(Utilities!$B$11*IterData!H2774)))</f>
        <v>1</v>
      </c>
    </row>
    <row r="2775" spans="8:11" x14ac:dyDescent="0.3">
      <c r="H2775">
        <v>0.5</v>
      </c>
      <c r="I2775" s="11">
        <f t="shared" si="43"/>
        <v>0</v>
      </c>
      <c r="J2775" s="11">
        <f>1/(H2775*Utilities!$B$11)</f>
        <v>8</v>
      </c>
      <c r="K2775" s="11">
        <f>IF(B2775&lt;C2775,1,EXP(-1*(B2775-C2775)/(Utilities!$B$11*IterData!H2775)))</f>
        <v>1</v>
      </c>
    </row>
    <row r="2776" spans="8:11" x14ac:dyDescent="0.3">
      <c r="H2776">
        <v>0.5</v>
      </c>
      <c r="I2776" s="11">
        <f t="shared" si="43"/>
        <v>0</v>
      </c>
      <c r="J2776" s="11">
        <f>1/(H2776*Utilities!$B$11)</f>
        <v>8</v>
      </c>
      <c r="K2776" s="11">
        <f>IF(B2776&lt;C2776,1,EXP(-1*(B2776-C2776)/(Utilities!$B$11*IterData!H2776)))</f>
        <v>1</v>
      </c>
    </row>
    <row r="2777" spans="8:11" x14ac:dyDescent="0.3">
      <c r="H2777">
        <v>0.5</v>
      </c>
      <c r="I2777" s="11">
        <f t="shared" si="43"/>
        <v>0</v>
      </c>
      <c r="J2777" s="11">
        <f>1/(H2777*Utilities!$B$11)</f>
        <v>8</v>
      </c>
      <c r="K2777" s="11">
        <f>IF(B2777&lt;C2777,1,EXP(-1*(B2777-C2777)/(Utilities!$B$11*IterData!H2777)))</f>
        <v>1</v>
      </c>
    </row>
    <row r="2778" spans="8:11" x14ac:dyDescent="0.3">
      <c r="H2778">
        <v>0.5</v>
      </c>
      <c r="I2778" s="11">
        <f t="shared" si="43"/>
        <v>0</v>
      </c>
      <c r="J2778" s="11">
        <f>1/(H2778*Utilities!$B$11)</f>
        <v>8</v>
      </c>
      <c r="K2778" s="11">
        <f>IF(B2778&lt;C2778,1,EXP(-1*(B2778-C2778)/(Utilities!$B$11*IterData!H2778)))</f>
        <v>1</v>
      </c>
    </row>
    <row r="2779" spans="8:11" x14ac:dyDescent="0.3">
      <c r="H2779">
        <v>0.5</v>
      </c>
      <c r="I2779" s="11">
        <f t="shared" si="43"/>
        <v>0</v>
      </c>
      <c r="J2779" s="11">
        <f>1/(H2779*Utilities!$B$11)</f>
        <v>8</v>
      </c>
      <c r="K2779" s="11">
        <f>IF(B2779&lt;C2779,1,EXP(-1*(B2779-C2779)/(Utilities!$B$11*IterData!H2779)))</f>
        <v>1</v>
      </c>
    </row>
    <row r="2780" spans="8:11" x14ac:dyDescent="0.3">
      <c r="H2780">
        <v>0.5</v>
      </c>
      <c r="I2780" s="11">
        <f t="shared" si="43"/>
        <v>0</v>
      </c>
      <c r="J2780" s="11">
        <f>1/(H2780*Utilities!$B$11)</f>
        <v>8</v>
      </c>
      <c r="K2780" s="11">
        <f>IF(B2780&lt;C2780,1,EXP(-1*(B2780-C2780)/(Utilities!$B$11*IterData!H2780)))</f>
        <v>1</v>
      </c>
    </row>
    <row r="2781" spans="8:11" x14ac:dyDescent="0.3">
      <c r="H2781">
        <v>0.5</v>
      </c>
      <c r="I2781" s="11">
        <f t="shared" si="43"/>
        <v>0</v>
      </c>
      <c r="J2781" s="11">
        <f>1/(H2781*Utilities!$B$11)</f>
        <v>8</v>
      </c>
      <c r="K2781" s="11">
        <f>IF(B2781&lt;C2781,1,EXP(-1*(B2781-C2781)/(Utilities!$B$11*IterData!H2781)))</f>
        <v>1</v>
      </c>
    </row>
    <row r="2782" spans="8:11" x14ac:dyDescent="0.3">
      <c r="H2782">
        <v>0.5</v>
      </c>
      <c r="I2782" s="11">
        <f t="shared" si="43"/>
        <v>0</v>
      </c>
      <c r="J2782" s="11">
        <f>1/(H2782*Utilities!$B$11)</f>
        <v>8</v>
      </c>
      <c r="K2782" s="11">
        <f>IF(B2782&lt;C2782,1,EXP(-1*(B2782-C2782)/(Utilities!$B$11*IterData!H2782)))</f>
        <v>1</v>
      </c>
    </row>
    <row r="2783" spans="8:11" x14ac:dyDescent="0.3">
      <c r="H2783">
        <v>0.5</v>
      </c>
      <c r="I2783" s="11">
        <f t="shared" si="43"/>
        <v>0</v>
      </c>
      <c r="J2783" s="11">
        <f>1/(H2783*Utilities!$B$11)</f>
        <v>8</v>
      </c>
      <c r="K2783" s="11">
        <f>IF(B2783&lt;C2783,1,EXP(-1*(B2783-C2783)/(Utilities!$B$11*IterData!H2783)))</f>
        <v>1</v>
      </c>
    </row>
    <row r="2784" spans="8:11" x14ac:dyDescent="0.3">
      <c r="H2784">
        <v>0.5</v>
      </c>
      <c r="I2784" s="11">
        <f t="shared" si="43"/>
        <v>0</v>
      </c>
      <c r="J2784" s="11">
        <f>1/(H2784*Utilities!$B$11)</f>
        <v>8</v>
      </c>
      <c r="K2784" s="11">
        <f>IF(B2784&lt;C2784,1,EXP(-1*(B2784-C2784)/(Utilities!$B$11*IterData!H2784)))</f>
        <v>1</v>
      </c>
    </row>
    <row r="2785" spans="8:11" x14ac:dyDescent="0.3">
      <c r="H2785">
        <v>0.5</v>
      </c>
      <c r="I2785" s="11">
        <f t="shared" si="43"/>
        <v>0</v>
      </c>
      <c r="J2785" s="11">
        <f>1/(H2785*Utilities!$B$11)</f>
        <v>8</v>
      </c>
      <c r="K2785" s="11">
        <f>IF(B2785&lt;C2785,1,EXP(-1*(B2785-C2785)/(Utilities!$B$11*IterData!H2785)))</f>
        <v>1</v>
      </c>
    </row>
    <row r="2786" spans="8:11" x14ac:dyDescent="0.3">
      <c r="H2786">
        <v>0.5</v>
      </c>
      <c r="I2786" s="11">
        <f t="shared" si="43"/>
        <v>0</v>
      </c>
      <c r="J2786" s="11">
        <f>1/(H2786*Utilities!$B$11)</f>
        <v>8</v>
      </c>
      <c r="K2786" s="11">
        <f>IF(B2786&lt;C2786,1,EXP(-1*(B2786-C2786)/(Utilities!$B$11*IterData!H2786)))</f>
        <v>1</v>
      </c>
    </row>
    <row r="2787" spans="8:11" x14ac:dyDescent="0.3">
      <c r="H2787">
        <v>0.5</v>
      </c>
      <c r="I2787" s="11">
        <f t="shared" si="43"/>
        <v>0</v>
      </c>
      <c r="J2787" s="11">
        <f>1/(H2787*Utilities!$B$11)</f>
        <v>8</v>
      </c>
      <c r="K2787" s="11">
        <f>IF(B2787&lt;C2787,1,EXP(-1*(B2787-C2787)/(Utilities!$B$11*IterData!H2787)))</f>
        <v>1</v>
      </c>
    </row>
    <row r="2788" spans="8:11" x14ac:dyDescent="0.3">
      <c r="H2788">
        <v>0.5</v>
      </c>
      <c r="I2788" s="11">
        <f t="shared" si="43"/>
        <v>0</v>
      </c>
      <c r="J2788" s="11">
        <f>1/(H2788*Utilities!$B$11)</f>
        <v>8</v>
      </c>
      <c r="K2788" s="11">
        <f>IF(B2788&lt;C2788,1,EXP(-1*(B2788-C2788)/(Utilities!$B$11*IterData!H2788)))</f>
        <v>1</v>
      </c>
    </row>
    <row r="2789" spans="8:11" x14ac:dyDescent="0.3">
      <c r="H2789">
        <v>0.5</v>
      </c>
      <c r="I2789" s="11">
        <f t="shared" si="43"/>
        <v>0</v>
      </c>
      <c r="J2789" s="11">
        <f>1/(H2789*Utilities!$B$11)</f>
        <v>8</v>
      </c>
      <c r="K2789" s="11">
        <f>IF(B2789&lt;C2789,1,EXP(-1*(B2789-C2789)/(Utilities!$B$11*IterData!H2789)))</f>
        <v>1</v>
      </c>
    </row>
    <row r="2790" spans="8:11" x14ac:dyDescent="0.3">
      <c r="H2790">
        <v>0.5</v>
      </c>
      <c r="I2790" s="11">
        <f t="shared" si="43"/>
        <v>0</v>
      </c>
      <c r="J2790" s="11">
        <f>1/(H2790*Utilities!$B$11)</f>
        <v>8</v>
      </c>
      <c r="K2790" s="11">
        <f>IF(B2790&lt;C2790,1,EXP(-1*(B2790-C2790)/(Utilities!$B$11*IterData!H2790)))</f>
        <v>1</v>
      </c>
    </row>
    <row r="2791" spans="8:11" x14ac:dyDescent="0.3">
      <c r="H2791">
        <v>0.5</v>
      </c>
      <c r="I2791" s="11">
        <f t="shared" si="43"/>
        <v>0</v>
      </c>
      <c r="J2791" s="11">
        <f>1/(H2791*Utilities!$B$11)</f>
        <v>8</v>
      </c>
      <c r="K2791" s="11">
        <f>IF(B2791&lt;C2791,1,EXP(-1*(B2791-C2791)/(Utilities!$B$11*IterData!H2791)))</f>
        <v>1</v>
      </c>
    </row>
    <row r="2792" spans="8:11" x14ac:dyDescent="0.3">
      <c r="H2792">
        <v>0.5</v>
      </c>
      <c r="I2792" s="11">
        <f t="shared" si="43"/>
        <v>0</v>
      </c>
      <c r="J2792" s="11">
        <f>1/(H2792*Utilities!$B$11)</f>
        <v>8</v>
      </c>
      <c r="K2792" s="11">
        <f>IF(B2792&lt;C2792,1,EXP(-1*(B2792-C2792)/(Utilities!$B$11*IterData!H2792)))</f>
        <v>1</v>
      </c>
    </row>
    <row r="2793" spans="8:11" x14ac:dyDescent="0.3">
      <c r="H2793">
        <v>0.5</v>
      </c>
      <c r="I2793" s="11">
        <f t="shared" si="43"/>
        <v>0</v>
      </c>
      <c r="J2793" s="11">
        <f>1/(H2793*Utilities!$B$11)</f>
        <v>8</v>
      </c>
      <c r="K2793" s="11">
        <f>IF(B2793&lt;C2793,1,EXP(-1*(B2793-C2793)/(Utilities!$B$11*IterData!H2793)))</f>
        <v>1</v>
      </c>
    </row>
    <row r="2794" spans="8:11" x14ac:dyDescent="0.3">
      <c r="H2794">
        <v>0.5</v>
      </c>
      <c r="I2794" s="11">
        <f t="shared" si="43"/>
        <v>0</v>
      </c>
      <c r="J2794" s="11">
        <f>1/(H2794*Utilities!$B$11)</f>
        <v>8</v>
      </c>
      <c r="K2794" s="11">
        <f>IF(B2794&lt;C2794,1,EXP(-1*(B2794-C2794)/(Utilities!$B$11*IterData!H2794)))</f>
        <v>1</v>
      </c>
    </row>
    <row r="2795" spans="8:11" x14ac:dyDescent="0.3">
      <c r="H2795">
        <v>0.5</v>
      </c>
      <c r="I2795" s="11">
        <f t="shared" si="43"/>
        <v>0</v>
      </c>
      <c r="J2795" s="11">
        <f>1/(H2795*Utilities!$B$11)</f>
        <v>8</v>
      </c>
      <c r="K2795" s="11">
        <f>IF(B2795&lt;C2795,1,EXP(-1*(B2795-C2795)/(Utilities!$B$11*IterData!H2795)))</f>
        <v>1</v>
      </c>
    </row>
    <row r="2796" spans="8:11" x14ac:dyDescent="0.3">
      <c r="H2796">
        <v>0.5</v>
      </c>
      <c r="I2796" s="11">
        <f t="shared" si="43"/>
        <v>0</v>
      </c>
      <c r="J2796" s="11">
        <f>1/(H2796*Utilities!$B$11)</f>
        <v>8</v>
      </c>
      <c r="K2796" s="11">
        <f>IF(B2796&lt;C2796,1,EXP(-1*(B2796-C2796)/(Utilities!$B$11*IterData!H2796)))</f>
        <v>1</v>
      </c>
    </row>
    <row r="2797" spans="8:11" x14ac:dyDescent="0.3">
      <c r="H2797">
        <v>0.5</v>
      </c>
      <c r="I2797" s="11">
        <f t="shared" si="43"/>
        <v>0</v>
      </c>
      <c r="J2797" s="11">
        <f>1/(H2797*Utilities!$B$11)</f>
        <v>8</v>
      </c>
      <c r="K2797" s="11">
        <f>IF(B2797&lt;C2797,1,EXP(-1*(B2797-C2797)/(Utilities!$B$11*IterData!H2797)))</f>
        <v>1</v>
      </c>
    </row>
    <row r="2798" spans="8:11" x14ac:dyDescent="0.3">
      <c r="H2798">
        <v>0.5</v>
      </c>
      <c r="I2798" s="11">
        <f t="shared" si="43"/>
        <v>0</v>
      </c>
      <c r="J2798" s="11">
        <f>1/(H2798*Utilities!$B$11)</f>
        <v>8</v>
      </c>
      <c r="K2798" s="11">
        <f>IF(B2798&lt;C2798,1,EXP(-1*(B2798-C2798)/(Utilities!$B$11*IterData!H2798)))</f>
        <v>1</v>
      </c>
    </row>
    <row r="2799" spans="8:11" x14ac:dyDescent="0.3">
      <c r="H2799">
        <v>0.5</v>
      </c>
      <c r="I2799" s="11">
        <f t="shared" si="43"/>
        <v>0</v>
      </c>
      <c r="J2799" s="11">
        <f>1/(H2799*Utilities!$B$11)</f>
        <v>8</v>
      </c>
      <c r="K2799" s="11">
        <f>IF(B2799&lt;C2799,1,EXP(-1*(B2799-C2799)/(Utilities!$B$11*IterData!H2799)))</f>
        <v>1</v>
      </c>
    </row>
    <row r="2800" spans="8:11" x14ac:dyDescent="0.3">
      <c r="H2800">
        <v>0.5</v>
      </c>
      <c r="I2800" s="11">
        <f t="shared" si="43"/>
        <v>0</v>
      </c>
      <c r="J2800" s="11">
        <f>1/(H2800*Utilities!$B$11)</f>
        <v>8</v>
      </c>
      <c r="K2800" s="11">
        <f>IF(B2800&lt;C2800,1,EXP(-1*(B2800-C2800)/(Utilities!$B$11*IterData!H2800)))</f>
        <v>1</v>
      </c>
    </row>
    <row r="2801" spans="8:11" x14ac:dyDescent="0.3">
      <c r="H2801">
        <v>0.5</v>
      </c>
      <c r="I2801" s="11">
        <f t="shared" si="43"/>
        <v>0</v>
      </c>
      <c r="J2801" s="11">
        <f>1/(H2801*Utilities!$B$11)</f>
        <v>8</v>
      </c>
      <c r="K2801" s="11">
        <f>IF(B2801&lt;C2801,1,EXP(-1*(B2801-C2801)/(Utilities!$B$11*IterData!H2801)))</f>
        <v>1</v>
      </c>
    </row>
    <row r="2802" spans="8:11" x14ac:dyDescent="0.3">
      <c r="H2802">
        <v>0.5</v>
      </c>
      <c r="I2802" s="11">
        <f t="shared" si="43"/>
        <v>0</v>
      </c>
      <c r="J2802" s="11">
        <f>1/(H2802*Utilities!$B$11)</f>
        <v>8</v>
      </c>
      <c r="K2802" s="11">
        <f>IF(B2802&lt;C2802,1,EXP(-1*(B2802-C2802)/(Utilities!$B$11*IterData!H2802)))</f>
        <v>1</v>
      </c>
    </row>
    <row r="2803" spans="8:11" x14ac:dyDescent="0.3">
      <c r="H2803">
        <v>0.5</v>
      </c>
      <c r="I2803" s="11">
        <f t="shared" si="43"/>
        <v>0</v>
      </c>
      <c r="J2803" s="11">
        <f>1/(H2803*Utilities!$B$11)</f>
        <v>8</v>
      </c>
      <c r="K2803" s="11">
        <f>IF(B2803&lt;C2803,1,EXP(-1*(B2803-C2803)/(Utilities!$B$11*IterData!H2803)))</f>
        <v>1</v>
      </c>
    </row>
    <row r="2804" spans="8:11" x14ac:dyDescent="0.3">
      <c r="H2804">
        <v>0.5</v>
      </c>
      <c r="I2804" s="11">
        <f t="shared" si="43"/>
        <v>0</v>
      </c>
      <c r="J2804" s="11">
        <f>1/(H2804*Utilities!$B$11)</f>
        <v>8</v>
      </c>
      <c r="K2804" s="11">
        <f>IF(B2804&lt;C2804,1,EXP(-1*(B2804-C2804)/(Utilities!$B$11*IterData!H2804)))</f>
        <v>1</v>
      </c>
    </row>
    <row r="2805" spans="8:11" x14ac:dyDescent="0.3">
      <c r="H2805">
        <v>0.5</v>
      </c>
      <c r="I2805" s="11">
        <f t="shared" si="43"/>
        <v>0</v>
      </c>
      <c r="J2805" s="11">
        <f>1/(H2805*Utilities!$B$11)</f>
        <v>8</v>
      </c>
      <c r="K2805" s="11">
        <f>IF(B2805&lt;C2805,1,EXP(-1*(B2805-C2805)/(Utilities!$B$11*IterData!H2805)))</f>
        <v>1</v>
      </c>
    </row>
    <row r="2806" spans="8:11" x14ac:dyDescent="0.3">
      <c r="H2806">
        <v>0.5</v>
      </c>
      <c r="I2806" s="11">
        <f t="shared" si="43"/>
        <v>0</v>
      </c>
      <c r="J2806" s="11">
        <f>1/(H2806*Utilities!$B$11)</f>
        <v>8</v>
      </c>
      <c r="K2806" s="11">
        <f>IF(B2806&lt;C2806,1,EXP(-1*(B2806-C2806)/(Utilities!$B$11*IterData!H2806)))</f>
        <v>1</v>
      </c>
    </row>
    <row r="2807" spans="8:11" x14ac:dyDescent="0.3">
      <c r="H2807">
        <v>0.5</v>
      </c>
      <c r="I2807" s="11">
        <f t="shared" si="43"/>
        <v>0</v>
      </c>
      <c r="J2807" s="11">
        <f>1/(H2807*Utilities!$B$11)</f>
        <v>8</v>
      </c>
      <c r="K2807" s="11">
        <f>IF(B2807&lt;C2807,1,EXP(-1*(B2807-C2807)/(Utilities!$B$11*IterData!H2807)))</f>
        <v>1</v>
      </c>
    </row>
    <row r="2808" spans="8:11" x14ac:dyDescent="0.3">
      <c r="H2808">
        <v>0.5</v>
      </c>
      <c r="I2808" s="11">
        <f t="shared" si="43"/>
        <v>0</v>
      </c>
      <c r="J2808" s="11">
        <f>1/(H2808*Utilities!$B$11)</f>
        <v>8</v>
      </c>
      <c r="K2808" s="11">
        <f>IF(B2808&lt;C2808,1,EXP(-1*(B2808-C2808)/(Utilities!$B$11*IterData!H2808)))</f>
        <v>1</v>
      </c>
    </row>
    <row r="2809" spans="8:11" x14ac:dyDescent="0.3">
      <c r="H2809">
        <v>0.5</v>
      </c>
      <c r="I2809" s="11">
        <f t="shared" si="43"/>
        <v>0</v>
      </c>
      <c r="J2809" s="11">
        <f>1/(H2809*Utilities!$B$11)</f>
        <v>8</v>
      </c>
      <c r="K2809" s="11">
        <f>IF(B2809&lt;C2809,1,EXP(-1*(B2809-C2809)/(Utilities!$B$11*IterData!H2809)))</f>
        <v>1</v>
      </c>
    </row>
    <row r="2810" spans="8:11" x14ac:dyDescent="0.3">
      <c r="H2810">
        <v>0.5</v>
      </c>
      <c r="I2810" s="11">
        <f t="shared" si="43"/>
        <v>0</v>
      </c>
      <c r="J2810" s="11">
        <f>1/(H2810*Utilities!$B$11)</f>
        <v>8</v>
      </c>
      <c r="K2810" s="11">
        <f>IF(B2810&lt;C2810,1,EXP(-1*(B2810-C2810)/(Utilities!$B$11*IterData!H2810)))</f>
        <v>1</v>
      </c>
    </row>
    <row r="2811" spans="8:11" x14ac:dyDescent="0.3">
      <c r="H2811">
        <v>0.5</v>
      </c>
      <c r="I2811" s="11">
        <f t="shared" si="43"/>
        <v>0</v>
      </c>
      <c r="J2811" s="11">
        <f>1/(H2811*Utilities!$B$11)</f>
        <v>8</v>
      </c>
      <c r="K2811" s="11">
        <f>IF(B2811&lt;C2811,1,EXP(-1*(B2811-C2811)/(Utilities!$B$11*IterData!H2811)))</f>
        <v>1</v>
      </c>
    </row>
    <row r="2812" spans="8:11" x14ac:dyDescent="0.3">
      <c r="H2812">
        <v>0.5</v>
      </c>
      <c r="I2812" s="11">
        <f t="shared" si="43"/>
        <v>0</v>
      </c>
      <c r="J2812" s="11">
        <f>1/(H2812*Utilities!$B$11)</f>
        <v>8</v>
      </c>
      <c r="K2812" s="11">
        <f>IF(B2812&lt;C2812,1,EXP(-1*(B2812-C2812)/(Utilities!$B$11*IterData!H2812)))</f>
        <v>1</v>
      </c>
    </row>
    <row r="2813" spans="8:11" x14ac:dyDescent="0.3">
      <c r="H2813">
        <v>0.5</v>
      </c>
      <c r="I2813" s="11">
        <f t="shared" si="43"/>
        <v>0</v>
      </c>
      <c r="J2813" s="11">
        <f>1/(H2813*Utilities!$B$11)</f>
        <v>8</v>
      </c>
      <c r="K2813" s="11">
        <f>IF(B2813&lt;C2813,1,EXP(-1*(B2813-C2813)/(Utilities!$B$11*IterData!H2813)))</f>
        <v>1</v>
      </c>
    </row>
    <row r="2814" spans="8:11" x14ac:dyDescent="0.3">
      <c r="H2814">
        <v>0.5</v>
      </c>
      <c r="I2814" s="11">
        <f t="shared" si="43"/>
        <v>0</v>
      </c>
      <c r="J2814" s="11">
        <f>1/(H2814*Utilities!$B$11)</f>
        <v>8</v>
      </c>
      <c r="K2814" s="11">
        <f>IF(B2814&lt;C2814,1,EXP(-1*(B2814-C2814)/(Utilities!$B$11*IterData!H2814)))</f>
        <v>1</v>
      </c>
    </row>
    <row r="2815" spans="8:11" x14ac:dyDescent="0.3">
      <c r="H2815">
        <v>0.5</v>
      </c>
      <c r="I2815" s="11">
        <f t="shared" si="43"/>
        <v>0</v>
      </c>
      <c r="J2815" s="11">
        <f>1/(H2815*Utilities!$B$11)</f>
        <v>8</v>
      </c>
      <c r="K2815" s="11">
        <f>IF(B2815&lt;C2815,1,EXP(-1*(B2815-C2815)/(Utilities!$B$11*IterData!H2815)))</f>
        <v>1</v>
      </c>
    </row>
    <row r="2816" spans="8:11" x14ac:dyDescent="0.3">
      <c r="H2816">
        <v>0.5</v>
      </c>
      <c r="I2816" s="11">
        <f t="shared" si="43"/>
        <v>0</v>
      </c>
      <c r="J2816" s="11">
        <f>1/(H2816*Utilities!$B$11)</f>
        <v>8</v>
      </c>
      <c r="K2816" s="11">
        <f>IF(B2816&lt;C2816,1,EXP(-1*(B2816-C2816)/(Utilities!$B$11*IterData!H2816)))</f>
        <v>1</v>
      </c>
    </row>
    <row r="2817" spans="8:11" x14ac:dyDescent="0.3">
      <c r="H2817">
        <v>0.5</v>
      </c>
      <c r="I2817" s="11">
        <f t="shared" si="43"/>
        <v>0</v>
      </c>
      <c r="J2817" s="11">
        <f>1/(H2817*Utilities!$B$11)</f>
        <v>8</v>
      </c>
      <c r="K2817" s="11">
        <f>IF(B2817&lt;C2817,1,EXP(-1*(B2817-C2817)/(Utilities!$B$11*IterData!H2817)))</f>
        <v>1</v>
      </c>
    </row>
    <row r="2818" spans="8:11" x14ac:dyDescent="0.3">
      <c r="H2818">
        <v>0.5</v>
      </c>
      <c r="I2818" s="11">
        <f t="shared" si="43"/>
        <v>0</v>
      </c>
      <c r="J2818" s="11">
        <f>1/(H2818*Utilities!$B$11)</f>
        <v>8</v>
      </c>
      <c r="K2818" s="11">
        <f>IF(B2818&lt;C2818,1,EXP(-1*(B2818-C2818)/(Utilities!$B$11*IterData!H2818)))</f>
        <v>1</v>
      </c>
    </row>
    <row r="2819" spans="8:11" x14ac:dyDescent="0.3">
      <c r="H2819">
        <v>0.5</v>
      </c>
      <c r="I2819" s="11">
        <f t="shared" ref="I2819:I2882" si="44">B2819-C2819</f>
        <v>0</v>
      </c>
      <c r="J2819" s="11">
        <f>1/(H2819*Utilities!$B$11)</f>
        <v>8</v>
      </c>
      <c r="K2819" s="11">
        <f>IF(B2819&lt;C2819,1,EXP(-1*(B2819-C2819)/(Utilities!$B$11*IterData!H2819)))</f>
        <v>1</v>
      </c>
    </row>
    <row r="2820" spans="8:11" x14ac:dyDescent="0.3">
      <c r="H2820">
        <v>0.5</v>
      </c>
      <c r="I2820" s="11">
        <f t="shared" si="44"/>
        <v>0</v>
      </c>
      <c r="J2820" s="11">
        <f>1/(H2820*Utilities!$B$11)</f>
        <v>8</v>
      </c>
      <c r="K2820" s="11">
        <f>IF(B2820&lt;C2820,1,EXP(-1*(B2820-C2820)/(Utilities!$B$11*IterData!H2820)))</f>
        <v>1</v>
      </c>
    </row>
    <row r="2821" spans="8:11" x14ac:dyDescent="0.3">
      <c r="H2821">
        <v>0.5</v>
      </c>
      <c r="I2821" s="11">
        <f t="shared" si="44"/>
        <v>0</v>
      </c>
      <c r="J2821" s="11">
        <f>1/(H2821*Utilities!$B$11)</f>
        <v>8</v>
      </c>
      <c r="K2821" s="11">
        <f>IF(B2821&lt;C2821,1,EXP(-1*(B2821-C2821)/(Utilities!$B$11*IterData!H2821)))</f>
        <v>1</v>
      </c>
    </row>
    <row r="2822" spans="8:11" x14ac:dyDescent="0.3">
      <c r="H2822">
        <v>0.5</v>
      </c>
      <c r="I2822" s="11">
        <f t="shared" si="44"/>
        <v>0</v>
      </c>
      <c r="J2822" s="11">
        <f>1/(H2822*Utilities!$B$11)</f>
        <v>8</v>
      </c>
      <c r="K2822" s="11">
        <f>IF(B2822&lt;C2822,1,EXP(-1*(B2822-C2822)/(Utilities!$B$11*IterData!H2822)))</f>
        <v>1</v>
      </c>
    </row>
    <row r="2823" spans="8:11" x14ac:dyDescent="0.3">
      <c r="H2823">
        <v>0.5</v>
      </c>
      <c r="I2823" s="11">
        <f t="shared" si="44"/>
        <v>0</v>
      </c>
      <c r="J2823" s="11">
        <f>1/(H2823*Utilities!$B$11)</f>
        <v>8</v>
      </c>
      <c r="K2823" s="11">
        <f>IF(B2823&lt;C2823,1,EXP(-1*(B2823-C2823)/(Utilities!$B$11*IterData!H2823)))</f>
        <v>1</v>
      </c>
    </row>
    <row r="2824" spans="8:11" x14ac:dyDescent="0.3">
      <c r="H2824">
        <v>0.5</v>
      </c>
      <c r="I2824" s="11">
        <f t="shared" si="44"/>
        <v>0</v>
      </c>
      <c r="J2824" s="11">
        <f>1/(H2824*Utilities!$B$11)</f>
        <v>8</v>
      </c>
      <c r="K2824" s="11">
        <f>IF(B2824&lt;C2824,1,EXP(-1*(B2824-C2824)/(Utilities!$B$11*IterData!H2824)))</f>
        <v>1</v>
      </c>
    </row>
    <row r="2825" spans="8:11" x14ac:dyDescent="0.3">
      <c r="H2825">
        <v>0.5</v>
      </c>
      <c r="I2825" s="11">
        <f t="shared" si="44"/>
        <v>0</v>
      </c>
      <c r="J2825" s="11">
        <f>1/(H2825*Utilities!$B$11)</f>
        <v>8</v>
      </c>
      <c r="K2825" s="11">
        <f>IF(B2825&lt;C2825,1,EXP(-1*(B2825-C2825)/(Utilities!$B$11*IterData!H2825)))</f>
        <v>1</v>
      </c>
    </row>
    <row r="2826" spans="8:11" x14ac:dyDescent="0.3">
      <c r="H2826">
        <v>0.5</v>
      </c>
      <c r="I2826" s="11">
        <f t="shared" si="44"/>
        <v>0</v>
      </c>
      <c r="J2826" s="11">
        <f>1/(H2826*Utilities!$B$11)</f>
        <v>8</v>
      </c>
      <c r="K2826" s="11">
        <f>IF(B2826&lt;C2826,1,EXP(-1*(B2826-C2826)/(Utilities!$B$11*IterData!H2826)))</f>
        <v>1</v>
      </c>
    </row>
    <row r="2827" spans="8:11" x14ac:dyDescent="0.3">
      <c r="H2827">
        <v>0.5</v>
      </c>
      <c r="I2827" s="11">
        <f t="shared" si="44"/>
        <v>0</v>
      </c>
      <c r="J2827" s="11">
        <f>1/(H2827*Utilities!$B$11)</f>
        <v>8</v>
      </c>
      <c r="K2827" s="11">
        <f>IF(B2827&lt;C2827,1,EXP(-1*(B2827-C2827)/(Utilities!$B$11*IterData!H2827)))</f>
        <v>1</v>
      </c>
    </row>
    <row r="2828" spans="8:11" x14ac:dyDescent="0.3">
      <c r="H2828">
        <v>0.5</v>
      </c>
      <c r="I2828" s="11">
        <f t="shared" si="44"/>
        <v>0</v>
      </c>
      <c r="J2828" s="11">
        <f>1/(H2828*Utilities!$B$11)</f>
        <v>8</v>
      </c>
      <c r="K2828" s="11">
        <f>IF(B2828&lt;C2828,1,EXP(-1*(B2828-C2828)/(Utilities!$B$11*IterData!H2828)))</f>
        <v>1</v>
      </c>
    </row>
    <row r="2829" spans="8:11" x14ac:dyDescent="0.3">
      <c r="H2829">
        <v>0.5</v>
      </c>
      <c r="I2829" s="11">
        <f t="shared" si="44"/>
        <v>0</v>
      </c>
      <c r="J2829" s="11">
        <f>1/(H2829*Utilities!$B$11)</f>
        <v>8</v>
      </c>
      <c r="K2829" s="11">
        <f>IF(B2829&lt;C2829,1,EXP(-1*(B2829-C2829)/(Utilities!$B$11*IterData!H2829)))</f>
        <v>1</v>
      </c>
    </row>
    <row r="2830" spans="8:11" x14ac:dyDescent="0.3">
      <c r="H2830">
        <v>0.5</v>
      </c>
      <c r="I2830" s="11">
        <f t="shared" si="44"/>
        <v>0</v>
      </c>
      <c r="J2830" s="11">
        <f>1/(H2830*Utilities!$B$11)</f>
        <v>8</v>
      </c>
      <c r="K2830" s="11">
        <f>IF(B2830&lt;C2830,1,EXP(-1*(B2830-C2830)/(Utilities!$B$11*IterData!H2830)))</f>
        <v>1</v>
      </c>
    </row>
    <row r="2831" spans="8:11" x14ac:dyDescent="0.3">
      <c r="H2831">
        <v>0.5</v>
      </c>
      <c r="I2831" s="11">
        <f t="shared" si="44"/>
        <v>0</v>
      </c>
      <c r="J2831" s="11">
        <f>1/(H2831*Utilities!$B$11)</f>
        <v>8</v>
      </c>
      <c r="K2831" s="11">
        <f>IF(B2831&lt;C2831,1,EXP(-1*(B2831-C2831)/(Utilities!$B$11*IterData!H2831)))</f>
        <v>1</v>
      </c>
    </row>
    <row r="2832" spans="8:11" x14ac:dyDescent="0.3">
      <c r="H2832">
        <v>0.5</v>
      </c>
      <c r="I2832" s="11">
        <f t="shared" si="44"/>
        <v>0</v>
      </c>
      <c r="J2832" s="11">
        <f>1/(H2832*Utilities!$B$11)</f>
        <v>8</v>
      </c>
      <c r="K2832" s="11">
        <f>IF(B2832&lt;C2832,1,EXP(-1*(B2832-C2832)/(Utilities!$B$11*IterData!H2832)))</f>
        <v>1</v>
      </c>
    </row>
    <row r="2833" spans="8:11" x14ac:dyDescent="0.3">
      <c r="H2833">
        <v>0.5</v>
      </c>
      <c r="I2833" s="11">
        <f t="shared" si="44"/>
        <v>0</v>
      </c>
      <c r="J2833" s="11">
        <f>1/(H2833*Utilities!$B$11)</f>
        <v>8</v>
      </c>
      <c r="K2833" s="11">
        <f>IF(B2833&lt;C2833,1,EXP(-1*(B2833-C2833)/(Utilities!$B$11*IterData!H2833)))</f>
        <v>1</v>
      </c>
    </row>
    <row r="2834" spans="8:11" x14ac:dyDescent="0.3">
      <c r="H2834">
        <v>0.5</v>
      </c>
      <c r="I2834" s="11">
        <f t="shared" si="44"/>
        <v>0</v>
      </c>
      <c r="J2834" s="11">
        <f>1/(H2834*Utilities!$B$11)</f>
        <v>8</v>
      </c>
      <c r="K2834" s="11">
        <f>IF(B2834&lt;C2834,1,EXP(-1*(B2834-C2834)/(Utilities!$B$11*IterData!H2834)))</f>
        <v>1</v>
      </c>
    </row>
    <row r="2835" spans="8:11" x14ac:dyDescent="0.3">
      <c r="H2835">
        <v>0.5</v>
      </c>
      <c r="I2835" s="11">
        <f t="shared" si="44"/>
        <v>0</v>
      </c>
      <c r="J2835" s="11">
        <f>1/(H2835*Utilities!$B$11)</f>
        <v>8</v>
      </c>
      <c r="K2835" s="11">
        <f>IF(B2835&lt;C2835,1,EXP(-1*(B2835-C2835)/(Utilities!$B$11*IterData!H2835)))</f>
        <v>1</v>
      </c>
    </row>
    <row r="2836" spans="8:11" x14ac:dyDescent="0.3">
      <c r="H2836">
        <v>0.5</v>
      </c>
      <c r="I2836" s="11">
        <f t="shared" si="44"/>
        <v>0</v>
      </c>
      <c r="J2836" s="11">
        <f>1/(H2836*Utilities!$B$11)</f>
        <v>8</v>
      </c>
      <c r="K2836" s="11">
        <f>IF(B2836&lt;C2836,1,EXP(-1*(B2836-C2836)/(Utilities!$B$11*IterData!H2836)))</f>
        <v>1</v>
      </c>
    </row>
    <row r="2837" spans="8:11" x14ac:dyDescent="0.3">
      <c r="H2837">
        <v>0.5</v>
      </c>
      <c r="I2837" s="11">
        <f t="shared" si="44"/>
        <v>0</v>
      </c>
      <c r="J2837" s="11">
        <f>1/(H2837*Utilities!$B$11)</f>
        <v>8</v>
      </c>
      <c r="K2837" s="11">
        <f>IF(B2837&lt;C2837,1,EXP(-1*(B2837-C2837)/(Utilities!$B$11*IterData!H2837)))</f>
        <v>1</v>
      </c>
    </row>
    <row r="2838" spans="8:11" x14ac:dyDescent="0.3">
      <c r="H2838">
        <v>0.5</v>
      </c>
      <c r="I2838" s="11">
        <f t="shared" si="44"/>
        <v>0</v>
      </c>
      <c r="J2838" s="11">
        <f>1/(H2838*Utilities!$B$11)</f>
        <v>8</v>
      </c>
      <c r="K2838" s="11">
        <f>IF(B2838&lt;C2838,1,EXP(-1*(B2838-C2838)/(Utilities!$B$11*IterData!H2838)))</f>
        <v>1</v>
      </c>
    </row>
    <row r="2839" spans="8:11" x14ac:dyDescent="0.3">
      <c r="H2839">
        <v>0.5</v>
      </c>
      <c r="I2839" s="11">
        <f t="shared" si="44"/>
        <v>0</v>
      </c>
      <c r="J2839" s="11">
        <f>1/(H2839*Utilities!$B$11)</f>
        <v>8</v>
      </c>
      <c r="K2839" s="11">
        <f>IF(B2839&lt;C2839,1,EXP(-1*(B2839-C2839)/(Utilities!$B$11*IterData!H2839)))</f>
        <v>1</v>
      </c>
    </row>
    <row r="2840" spans="8:11" x14ac:dyDescent="0.3">
      <c r="H2840">
        <v>0.5</v>
      </c>
      <c r="I2840" s="11">
        <f t="shared" si="44"/>
        <v>0</v>
      </c>
      <c r="J2840" s="11">
        <f>1/(H2840*Utilities!$B$11)</f>
        <v>8</v>
      </c>
      <c r="K2840" s="11">
        <f>IF(B2840&lt;C2840,1,EXP(-1*(B2840-C2840)/(Utilities!$B$11*IterData!H2840)))</f>
        <v>1</v>
      </c>
    </row>
    <row r="2841" spans="8:11" x14ac:dyDescent="0.3">
      <c r="H2841">
        <v>0.5</v>
      </c>
      <c r="I2841" s="11">
        <f t="shared" si="44"/>
        <v>0</v>
      </c>
      <c r="J2841" s="11">
        <f>1/(H2841*Utilities!$B$11)</f>
        <v>8</v>
      </c>
      <c r="K2841" s="11">
        <f>IF(B2841&lt;C2841,1,EXP(-1*(B2841-C2841)/(Utilities!$B$11*IterData!H2841)))</f>
        <v>1</v>
      </c>
    </row>
    <row r="2842" spans="8:11" x14ac:dyDescent="0.3">
      <c r="H2842">
        <v>0.5</v>
      </c>
      <c r="I2842" s="11">
        <f t="shared" si="44"/>
        <v>0</v>
      </c>
      <c r="J2842" s="11">
        <f>1/(H2842*Utilities!$B$11)</f>
        <v>8</v>
      </c>
      <c r="K2842" s="11">
        <f>IF(B2842&lt;C2842,1,EXP(-1*(B2842-C2842)/(Utilities!$B$11*IterData!H2842)))</f>
        <v>1</v>
      </c>
    </row>
    <row r="2843" spans="8:11" x14ac:dyDescent="0.3">
      <c r="H2843">
        <v>0.5</v>
      </c>
      <c r="I2843" s="11">
        <f t="shared" si="44"/>
        <v>0</v>
      </c>
      <c r="J2843" s="11">
        <f>1/(H2843*Utilities!$B$11)</f>
        <v>8</v>
      </c>
      <c r="K2843" s="11">
        <f>IF(B2843&lt;C2843,1,EXP(-1*(B2843-C2843)/(Utilities!$B$11*IterData!H2843)))</f>
        <v>1</v>
      </c>
    </row>
    <row r="2844" spans="8:11" x14ac:dyDescent="0.3">
      <c r="H2844">
        <v>0.5</v>
      </c>
      <c r="I2844" s="11">
        <f t="shared" si="44"/>
        <v>0</v>
      </c>
      <c r="J2844" s="11">
        <f>1/(H2844*Utilities!$B$11)</f>
        <v>8</v>
      </c>
      <c r="K2844" s="11">
        <f>IF(B2844&lt;C2844,1,EXP(-1*(B2844-C2844)/(Utilities!$B$11*IterData!H2844)))</f>
        <v>1</v>
      </c>
    </row>
    <row r="2845" spans="8:11" x14ac:dyDescent="0.3">
      <c r="H2845">
        <v>0.5</v>
      </c>
      <c r="I2845" s="11">
        <f t="shared" si="44"/>
        <v>0</v>
      </c>
      <c r="J2845" s="11">
        <f>1/(H2845*Utilities!$B$11)</f>
        <v>8</v>
      </c>
      <c r="K2845" s="11">
        <f>IF(B2845&lt;C2845,1,EXP(-1*(B2845-C2845)/(Utilities!$B$11*IterData!H2845)))</f>
        <v>1</v>
      </c>
    </row>
    <row r="2846" spans="8:11" x14ac:dyDescent="0.3">
      <c r="H2846">
        <v>0.5</v>
      </c>
      <c r="I2846" s="11">
        <f t="shared" si="44"/>
        <v>0</v>
      </c>
      <c r="J2846" s="11">
        <f>1/(H2846*Utilities!$B$11)</f>
        <v>8</v>
      </c>
      <c r="K2846" s="11">
        <f>IF(B2846&lt;C2846,1,EXP(-1*(B2846-C2846)/(Utilities!$B$11*IterData!H2846)))</f>
        <v>1</v>
      </c>
    </row>
    <row r="2847" spans="8:11" x14ac:dyDescent="0.3">
      <c r="H2847">
        <v>0.5</v>
      </c>
      <c r="I2847" s="11">
        <f t="shared" si="44"/>
        <v>0</v>
      </c>
      <c r="J2847" s="11">
        <f>1/(H2847*Utilities!$B$11)</f>
        <v>8</v>
      </c>
      <c r="K2847" s="11">
        <f>IF(B2847&lt;C2847,1,EXP(-1*(B2847-C2847)/(Utilities!$B$11*IterData!H2847)))</f>
        <v>1</v>
      </c>
    </row>
    <row r="2848" spans="8:11" x14ac:dyDescent="0.3">
      <c r="H2848">
        <v>0.5</v>
      </c>
      <c r="I2848" s="11">
        <f t="shared" si="44"/>
        <v>0</v>
      </c>
      <c r="J2848" s="11">
        <f>1/(H2848*Utilities!$B$11)</f>
        <v>8</v>
      </c>
      <c r="K2848" s="11">
        <f>IF(B2848&lt;C2848,1,EXP(-1*(B2848-C2848)/(Utilities!$B$11*IterData!H2848)))</f>
        <v>1</v>
      </c>
    </row>
    <row r="2849" spans="8:11" x14ac:dyDescent="0.3">
      <c r="H2849">
        <v>0.5</v>
      </c>
      <c r="I2849" s="11">
        <f t="shared" si="44"/>
        <v>0</v>
      </c>
      <c r="J2849" s="11">
        <f>1/(H2849*Utilities!$B$11)</f>
        <v>8</v>
      </c>
      <c r="K2849" s="11">
        <f>IF(B2849&lt;C2849,1,EXP(-1*(B2849-C2849)/(Utilities!$B$11*IterData!H2849)))</f>
        <v>1</v>
      </c>
    </row>
    <row r="2850" spans="8:11" x14ac:dyDescent="0.3">
      <c r="H2850">
        <v>0.5</v>
      </c>
      <c r="I2850" s="11">
        <f t="shared" si="44"/>
        <v>0</v>
      </c>
      <c r="J2850" s="11">
        <f>1/(H2850*Utilities!$B$11)</f>
        <v>8</v>
      </c>
      <c r="K2850" s="11">
        <f>IF(B2850&lt;C2850,1,EXP(-1*(B2850-C2850)/(Utilities!$B$11*IterData!H2850)))</f>
        <v>1</v>
      </c>
    </row>
    <row r="2851" spans="8:11" x14ac:dyDescent="0.3">
      <c r="H2851">
        <v>0.5</v>
      </c>
      <c r="I2851" s="11">
        <f t="shared" si="44"/>
        <v>0</v>
      </c>
      <c r="J2851" s="11">
        <f>1/(H2851*Utilities!$B$11)</f>
        <v>8</v>
      </c>
      <c r="K2851" s="11">
        <f>IF(B2851&lt;C2851,1,EXP(-1*(B2851-C2851)/(Utilities!$B$11*IterData!H2851)))</f>
        <v>1</v>
      </c>
    </row>
    <row r="2852" spans="8:11" x14ac:dyDescent="0.3">
      <c r="H2852">
        <v>0.5</v>
      </c>
      <c r="I2852" s="11">
        <f t="shared" si="44"/>
        <v>0</v>
      </c>
      <c r="J2852" s="11">
        <f>1/(H2852*Utilities!$B$11)</f>
        <v>8</v>
      </c>
      <c r="K2852" s="11">
        <f>IF(B2852&lt;C2852,1,EXP(-1*(B2852-C2852)/(Utilities!$B$11*IterData!H2852)))</f>
        <v>1</v>
      </c>
    </row>
    <row r="2853" spans="8:11" x14ac:dyDescent="0.3">
      <c r="H2853">
        <v>0.5</v>
      </c>
      <c r="I2853" s="11">
        <f t="shared" si="44"/>
        <v>0</v>
      </c>
      <c r="J2853" s="11">
        <f>1/(H2853*Utilities!$B$11)</f>
        <v>8</v>
      </c>
      <c r="K2853" s="11">
        <f>IF(B2853&lt;C2853,1,EXP(-1*(B2853-C2853)/(Utilities!$B$11*IterData!H2853)))</f>
        <v>1</v>
      </c>
    </row>
    <row r="2854" spans="8:11" x14ac:dyDescent="0.3">
      <c r="H2854">
        <v>0.5</v>
      </c>
      <c r="I2854" s="11">
        <f t="shared" si="44"/>
        <v>0</v>
      </c>
      <c r="J2854" s="11">
        <f>1/(H2854*Utilities!$B$11)</f>
        <v>8</v>
      </c>
      <c r="K2854" s="11">
        <f>IF(B2854&lt;C2854,1,EXP(-1*(B2854-C2854)/(Utilities!$B$11*IterData!H2854)))</f>
        <v>1</v>
      </c>
    </row>
    <row r="2855" spans="8:11" x14ac:dyDescent="0.3">
      <c r="H2855">
        <v>0.5</v>
      </c>
      <c r="I2855" s="11">
        <f t="shared" si="44"/>
        <v>0</v>
      </c>
      <c r="J2855" s="11">
        <f>1/(H2855*Utilities!$B$11)</f>
        <v>8</v>
      </c>
      <c r="K2855" s="11">
        <f>IF(B2855&lt;C2855,1,EXP(-1*(B2855-C2855)/(Utilities!$B$11*IterData!H2855)))</f>
        <v>1</v>
      </c>
    </row>
    <row r="2856" spans="8:11" x14ac:dyDescent="0.3">
      <c r="H2856">
        <v>0.5</v>
      </c>
      <c r="I2856" s="11">
        <f t="shared" si="44"/>
        <v>0</v>
      </c>
      <c r="J2856" s="11">
        <f>1/(H2856*Utilities!$B$11)</f>
        <v>8</v>
      </c>
      <c r="K2856" s="11">
        <f>IF(B2856&lt;C2856,1,EXP(-1*(B2856-C2856)/(Utilities!$B$11*IterData!H2856)))</f>
        <v>1</v>
      </c>
    </row>
    <row r="2857" spans="8:11" x14ac:dyDescent="0.3">
      <c r="H2857">
        <v>0.5</v>
      </c>
      <c r="I2857" s="11">
        <f t="shared" si="44"/>
        <v>0</v>
      </c>
      <c r="J2857" s="11">
        <f>1/(H2857*Utilities!$B$11)</f>
        <v>8</v>
      </c>
      <c r="K2857" s="11">
        <f>IF(B2857&lt;C2857,1,EXP(-1*(B2857-C2857)/(Utilities!$B$11*IterData!H2857)))</f>
        <v>1</v>
      </c>
    </row>
    <row r="2858" spans="8:11" x14ac:dyDescent="0.3">
      <c r="H2858">
        <v>0.5</v>
      </c>
      <c r="I2858" s="11">
        <f t="shared" si="44"/>
        <v>0</v>
      </c>
      <c r="J2858" s="11">
        <f>1/(H2858*Utilities!$B$11)</f>
        <v>8</v>
      </c>
      <c r="K2858" s="11">
        <f>IF(B2858&lt;C2858,1,EXP(-1*(B2858-C2858)/(Utilities!$B$11*IterData!H2858)))</f>
        <v>1</v>
      </c>
    </row>
    <row r="2859" spans="8:11" x14ac:dyDescent="0.3">
      <c r="H2859">
        <v>0.5</v>
      </c>
      <c r="I2859" s="11">
        <f t="shared" si="44"/>
        <v>0</v>
      </c>
      <c r="J2859" s="11">
        <f>1/(H2859*Utilities!$B$11)</f>
        <v>8</v>
      </c>
      <c r="K2859" s="11">
        <f>IF(B2859&lt;C2859,1,EXP(-1*(B2859-C2859)/(Utilities!$B$11*IterData!H2859)))</f>
        <v>1</v>
      </c>
    </row>
    <row r="2860" spans="8:11" x14ac:dyDescent="0.3">
      <c r="H2860">
        <v>0.5</v>
      </c>
      <c r="I2860" s="11">
        <f t="shared" si="44"/>
        <v>0</v>
      </c>
      <c r="J2860" s="11">
        <f>1/(H2860*Utilities!$B$11)</f>
        <v>8</v>
      </c>
      <c r="K2860" s="11">
        <f>IF(B2860&lt;C2860,1,EXP(-1*(B2860-C2860)/(Utilities!$B$11*IterData!H2860)))</f>
        <v>1</v>
      </c>
    </row>
    <row r="2861" spans="8:11" x14ac:dyDescent="0.3">
      <c r="H2861">
        <v>0.5</v>
      </c>
      <c r="I2861" s="11">
        <f t="shared" si="44"/>
        <v>0</v>
      </c>
      <c r="J2861" s="11">
        <f>1/(H2861*Utilities!$B$11)</f>
        <v>8</v>
      </c>
      <c r="K2861" s="11">
        <f>IF(B2861&lt;C2861,1,EXP(-1*(B2861-C2861)/(Utilities!$B$11*IterData!H2861)))</f>
        <v>1</v>
      </c>
    </row>
    <row r="2862" spans="8:11" x14ac:dyDescent="0.3">
      <c r="H2862">
        <v>0.5</v>
      </c>
      <c r="I2862" s="11">
        <f t="shared" si="44"/>
        <v>0</v>
      </c>
      <c r="J2862" s="11">
        <f>1/(H2862*Utilities!$B$11)</f>
        <v>8</v>
      </c>
      <c r="K2862" s="11">
        <f>IF(B2862&lt;C2862,1,EXP(-1*(B2862-C2862)/(Utilities!$B$11*IterData!H2862)))</f>
        <v>1</v>
      </c>
    </row>
    <row r="2863" spans="8:11" x14ac:dyDescent="0.3">
      <c r="H2863">
        <v>0.5</v>
      </c>
      <c r="I2863" s="11">
        <f t="shared" si="44"/>
        <v>0</v>
      </c>
      <c r="J2863" s="11">
        <f>1/(H2863*Utilities!$B$11)</f>
        <v>8</v>
      </c>
      <c r="K2863" s="11">
        <f>IF(B2863&lt;C2863,1,EXP(-1*(B2863-C2863)/(Utilities!$B$11*IterData!H2863)))</f>
        <v>1</v>
      </c>
    </row>
    <row r="2864" spans="8:11" x14ac:dyDescent="0.3">
      <c r="H2864">
        <v>0.5</v>
      </c>
      <c r="I2864" s="11">
        <f t="shared" si="44"/>
        <v>0</v>
      </c>
      <c r="J2864" s="11">
        <f>1/(H2864*Utilities!$B$11)</f>
        <v>8</v>
      </c>
      <c r="K2864" s="11">
        <f>IF(B2864&lt;C2864,1,EXP(-1*(B2864-C2864)/(Utilities!$B$11*IterData!H2864)))</f>
        <v>1</v>
      </c>
    </row>
    <row r="2865" spans="8:11" x14ac:dyDescent="0.3">
      <c r="H2865">
        <v>0.5</v>
      </c>
      <c r="I2865" s="11">
        <f t="shared" si="44"/>
        <v>0</v>
      </c>
      <c r="J2865" s="11">
        <f>1/(H2865*Utilities!$B$11)</f>
        <v>8</v>
      </c>
      <c r="K2865" s="11">
        <f>IF(B2865&lt;C2865,1,EXP(-1*(B2865-C2865)/(Utilities!$B$11*IterData!H2865)))</f>
        <v>1</v>
      </c>
    </row>
    <row r="2866" spans="8:11" x14ac:dyDescent="0.3">
      <c r="H2866">
        <v>0.5</v>
      </c>
      <c r="I2866" s="11">
        <f t="shared" si="44"/>
        <v>0</v>
      </c>
      <c r="J2866" s="11">
        <f>1/(H2866*Utilities!$B$11)</f>
        <v>8</v>
      </c>
      <c r="K2866" s="11">
        <f>IF(B2866&lt;C2866,1,EXP(-1*(B2866-C2866)/(Utilities!$B$11*IterData!H2866)))</f>
        <v>1</v>
      </c>
    </row>
    <row r="2867" spans="8:11" x14ac:dyDescent="0.3">
      <c r="H2867">
        <v>0.5</v>
      </c>
      <c r="I2867" s="11">
        <f t="shared" si="44"/>
        <v>0</v>
      </c>
      <c r="J2867" s="11">
        <f>1/(H2867*Utilities!$B$11)</f>
        <v>8</v>
      </c>
      <c r="K2867" s="11">
        <f>IF(B2867&lt;C2867,1,EXP(-1*(B2867-C2867)/(Utilities!$B$11*IterData!H2867)))</f>
        <v>1</v>
      </c>
    </row>
    <row r="2868" spans="8:11" x14ac:dyDescent="0.3">
      <c r="H2868">
        <v>0.5</v>
      </c>
      <c r="I2868" s="11">
        <f t="shared" si="44"/>
        <v>0</v>
      </c>
      <c r="J2868" s="11">
        <f>1/(H2868*Utilities!$B$11)</f>
        <v>8</v>
      </c>
      <c r="K2868" s="11">
        <f>IF(B2868&lt;C2868,1,EXP(-1*(B2868-C2868)/(Utilities!$B$11*IterData!H2868)))</f>
        <v>1</v>
      </c>
    </row>
    <row r="2869" spans="8:11" x14ac:dyDescent="0.3">
      <c r="H2869">
        <v>0.5</v>
      </c>
      <c r="I2869" s="11">
        <f t="shared" si="44"/>
        <v>0</v>
      </c>
      <c r="J2869" s="11">
        <f>1/(H2869*Utilities!$B$11)</f>
        <v>8</v>
      </c>
      <c r="K2869" s="11">
        <f>IF(B2869&lt;C2869,1,EXP(-1*(B2869-C2869)/(Utilities!$B$11*IterData!H2869)))</f>
        <v>1</v>
      </c>
    </row>
    <row r="2870" spans="8:11" x14ac:dyDescent="0.3">
      <c r="H2870">
        <v>0.5</v>
      </c>
      <c r="I2870" s="11">
        <f t="shared" si="44"/>
        <v>0</v>
      </c>
      <c r="J2870" s="11">
        <f>1/(H2870*Utilities!$B$11)</f>
        <v>8</v>
      </c>
      <c r="K2870" s="11">
        <f>IF(B2870&lt;C2870,1,EXP(-1*(B2870-C2870)/(Utilities!$B$11*IterData!H2870)))</f>
        <v>1</v>
      </c>
    </row>
    <row r="2871" spans="8:11" x14ac:dyDescent="0.3">
      <c r="H2871">
        <v>0.5</v>
      </c>
      <c r="I2871" s="11">
        <f t="shared" si="44"/>
        <v>0</v>
      </c>
      <c r="J2871" s="11">
        <f>1/(H2871*Utilities!$B$11)</f>
        <v>8</v>
      </c>
      <c r="K2871" s="11">
        <f>IF(B2871&lt;C2871,1,EXP(-1*(B2871-C2871)/(Utilities!$B$11*IterData!H2871)))</f>
        <v>1</v>
      </c>
    </row>
    <row r="2872" spans="8:11" x14ac:dyDescent="0.3">
      <c r="H2872">
        <v>0.5</v>
      </c>
      <c r="I2872" s="11">
        <f t="shared" si="44"/>
        <v>0</v>
      </c>
      <c r="J2872" s="11">
        <f>1/(H2872*Utilities!$B$11)</f>
        <v>8</v>
      </c>
      <c r="K2872" s="11">
        <f>IF(B2872&lt;C2872,1,EXP(-1*(B2872-C2872)/(Utilities!$B$11*IterData!H2872)))</f>
        <v>1</v>
      </c>
    </row>
    <row r="2873" spans="8:11" x14ac:dyDescent="0.3">
      <c r="H2873">
        <v>0.5</v>
      </c>
      <c r="I2873" s="11">
        <f t="shared" si="44"/>
        <v>0</v>
      </c>
      <c r="J2873" s="11">
        <f>1/(H2873*Utilities!$B$11)</f>
        <v>8</v>
      </c>
      <c r="K2873" s="11">
        <f>IF(B2873&lt;C2873,1,EXP(-1*(B2873-C2873)/(Utilities!$B$11*IterData!H2873)))</f>
        <v>1</v>
      </c>
    </row>
    <row r="2874" spans="8:11" x14ac:dyDescent="0.3">
      <c r="H2874">
        <v>0.5</v>
      </c>
      <c r="I2874" s="11">
        <f t="shared" si="44"/>
        <v>0</v>
      </c>
      <c r="J2874" s="11">
        <f>1/(H2874*Utilities!$B$11)</f>
        <v>8</v>
      </c>
      <c r="K2874" s="11">
        <f>IF(B2874&lt;C2874,1,EXP(-1*(B2874-C2874)/(Utilities!$B$11*IterData!H2874)))</f>
        <v>1</v>
      </c>
    </row>
    <row r="2875" spans="8:11" x14ac:dyDescent="0.3">
      <c r="H2875">
        <v>0.5</v>
      </c>
      <c r="I2875" s="11">
        <f t="shared" si="44"/>
        <v>0</v>
      </c>
      <c r="J2875" s="11">
        <f>1/(H2875*Utilities!$B$11)</f>
        <v>8</v>
      </c>
      <c r="K2875" s="11">
        <f>IF(B2875&lt;C2875,1,EXP(-1*(B2875-C2875)/(Utilities!$B$11*IterData!H2875)))</f>
        <v>1</v>
      </c>
    </row>
    <row r="2876" spans="8:11" x14ac:dyDescent="0.3">
      <c r="H2876">
        <v>0.5</v>
      </c>
      <c r="I2876" s="11">
        <f t="shared" si="44"/>
        <v>0</v>
      </c>
      <c r="J2876" s="11">
        <f>1/(H2876*Utilities!$B$11)</f>
        <v>8</v>
      </c>
      <c r="K2876" s="11">
        <f>IF(B2876&lt;C2876,1,EXP(-1*(B2876-C2876)/(Utilities!$B$11*IterData!H2876)))</f>
        <v>1</v>
      </c>
    </row>
    <row r="2877" spans="8:11" x14ac:dyDescent="0.3">
      <c r="H2877">
        <v>0.5</v>
      </c>
      <c r="I2877" s="11">
        <f t="shared" si="44"/>
        <v>0</v>
      </c>
      <c r="J2877" s="11">
        <f>1/(H2877*Utilities!$B$11)</f>
        <v>8</v>
      </c>
      <c r="K2877" s="11">
        <f>IF(B2877&lt;C2877,1,EXP(-1*(B2877-C2877)/(Utilities!$B$11*IterData!H2877)))</f>
        <v>1</v>
      </c>
    </row>
    <row r="2878" spans="8:11" x14ac:dyDescent="0.3">
      <c r="H2878">
        <v>0.5</v>
      </c>
      <c r="I2878" s="11">
        <f t="shared" si="44"/>
        <v>0</v>
      </c>
      <c r="J2878" s="11">
        <f>1/(H2878*Utilities!$B$11)</f>
        <v>8</v>
      </c>
      <c r="K2878" s="11">
        <f>IF(B2878&lt;C2878,1,EXP(-1*(B2878-C2878)/(Utilities!$B$11*IterData!H2878)))</f>
        <v>1</v>
      </c>
    </row>
    <row r="2879" spans="8:11" x14ac:dyDescent="0.3">
      <c r="H2879">
        <v>0.5</v>
      </c>
      <c r="I2879" s="11">
        <f t="shared" si="44"/>
        <v>0</v>
      </c>
      <c r="J2879" s="11">
        <f>1/(H2879*Utilities!$B$11)</f>
        <v>8</v>
      </c>
      <c r="K2879" s="11">
        <f>IF(B2879&lt;C2879,1,EXP(-1*(B2879-C2879)/(Utilities!$B$11*IterData!H2879)))</f>
        <v>1</v>
      </c>
    </row>
    <row r="2880" spans="8:11" x14ac:dyDescent="0.3">
      <c r="H2880">
        <v>0.5</v>
      </c>
      <c r="I2880" s="11">
        <f t="shared" si="44"/>
        <v>0</v>
      </c>
      <c r="J2880" s="11">
        <f>1/(H2880*Utilities!$B$11)</f>
        <v>8</v>
      </c>
      <c r="K2880" s="11">
        <f>IF(B2880&lt;C2880,1,EXP(-1*(B2880-C2880)/(Utilities!$B$11*IterData!H2880)))</f>
        <v>1</v>
      </c>
    </row>
    <row r="2881" spans="8:11" x14ac:dyDescent="0.3">
      <c r="H2881">
        <v>0.5</v>
      </c>
      <c r="I2881" s="11">
        <f t="shared" si="44"/>
        <v>0</v>
      </c>
      <c r="J2881" s="11">
        <f>1/(H2881*Utilities!$B$11)</f>
        <v>8</v>
      </c>
      <c r="K2881" s="11">
        <f>IF(B2881&lt;C2881,1,EXP(-1*(B2881-C2881)/(Utilities!$B$11*IterData!H2881)))</f>
        <v>1</v>
      </c>
    </row>
    <row r="2882" spans="8:11" x14ac:dyDescent="0.3">
      <c r="H2882">
        <v>0.5</v>
      </c>
      <c r="I2882" s="11">
        <f t="shared" si="44"/>
        <v>0</v>
      </c>
      <c r="J2882" s="11">
        <f>1/(H2882*Utilities!$B$11)</f>
        <v>8</v>
      </c>
      <c r="K2882" s="11">
        <f>IF(B2882&lt;C2882,1,EXP(-1*(B2882-C2882)/(Utilities!$B$11*IterData!H2882)))</f>
        <v>1</v>
      </c>
    </row>
    <row r="2883" spans="8:11" x14ac:dyDescent="0.3">
      <c r="H2883">
        <v>0.5</v>
      </c>
      <c r="I2883" s="11">
        <f t="shared" ref="I2883:I2946" si="45">B2883-C2883</f>
        <v>0</v>
      </c>
      <c r="J2883" s="11">
        <f>1/(H2883*Utilities!$B$11)</f>
        <v>8</v>
      </c>
      <c r="K2883" s="11">
        <f>IF(B2883&lt;C2883,1,EXP(-1*(B2883-C2883)/(Utilities!$B$11*IterData!H2883)))</f>
        <v>1</v>
      </c>
    </row>
    <row r="2884" spans="8:11" x14ac:dyDescent="0.3">
      <c r="H2884">
        <v>0.5</v>
      </c>
      <c r="I2884" s="11">
        <f t="shared" si="45"/>
        <v>0</v>
      </c>
      <c r="J2884" s="11">
        <f>1/(H2884*Utilities!$B$11)</f>
        <v>8</v>
      </c>
      <c r="K2884" s="11">
        <f>IF(B2884&lt;C2884,1,EXP(-1*(B2884-C2884)/(Utilities!$B$11*IterData!H2884)))</f>
        <v>1</v>
      </c>
    </row>
    <row r="2885" spans="8:11" x14ac:dyDescent="0.3">
      <c r="H2885">
        <v>0.5</v>
      </c>
      <c r="I2885" s="11">
        <f t="shared" si="45"/>
        <v>0</v>
      </c>
      <c r="J2885" s="11">
        <f>1/(H2885*Utilities!$B$11)</f>
        <v>8</v>
      </c>
      <c r="K2885" s="11">
        <f>IF(B2885&lt;C2885,1,EXP(-1*(B2885-C2885)/(Utilities!$B$11*IterData!H2885)))</f>
        <v>1</v>
      </c>
    </row>
    <row r="2886" spans="8:11" x14ac:dyDescent="0.3">
      <c r="H2886">
        <v>0.5</v>
      </c>
      <c r="I2886" s="11">
        <f t="shared" si="45"/>
        <v>0</v>
      </c>
      <c r="J2886" s="11">
        <f>1/(H2886*Utilities!$B$11)</f>
        <v>8</v>
      </c>
      <c r="K2886" s="11">
        <f>IF(B2886&lt;C2886,1,EXP(-1*(B2886-C2886)/(Utilities!$B$11*IterData!H2886)))</f>
        <v>1</v>
      </c>
    </row>
    <row r="2887" spans="8:11" x14ac:dyDescent="0.3">
      <c r="H2887">
        <v>0.5</v>
      </c>
      <c r="I2887" s="11">
        <f t="shared" si="45"/>
        <v>0</v>
      </c>
      <c r="J2887" s="11">
        <f>1/(H2887*Utilities!$B$11)</f>
        <v>8</v>
      </c>
      <c r="K2887" s="11">
        <f>IF(B2887&lt;C2887,1,EXP(-1*(B2887-C2887)/(Utilities!$B$11*IterData!H2887)))</f>
        <v>1</v>
      </c>
    </row>
    <row r="2888" spans="8:11" x14ac:dyDescent="0.3">
      <c r="H2888">
        <v>0.5</v>
      </c>
      <c r="I2888" s="11">
        <f t="shared" si="45"/>
        <v>0</v>
      </c>
      <c r="J2888" s="11">
        <f>1/(H2888*Utilities!$B$11)</f>
        <v>8</v>
      </c>
      <c r="K2888" s="11">
        <f>IF(B2888&lt;C2888,1,EXP(-1*(B2888-C2888)/(Utilities!$B$11*IterData!H2888)))</f>
        <v>1</v>
      </c>
    </row>
    <row r="2889" spans="8:11" x14ac:dyDescent="0.3">
      <c r="H2889">
        <v>0.5</v>
      </c>
      <c r="I2889" s="11">
        <f t="shared" si="45"/>
        <v>0</v>
      </c>
      <c r="J2889" s="11">
        <f>1/(H2889*Utilities!$B$11)</f>
        <v>8</v>
      </c>
      <c r="K2889" s="11">
        <f>IF(B2889&lt;C2889,1,EXP(-1*(B2889-C2889)/(Utilities!$B$11*IterData!H2889)))</f>
        <v>1</v>
      </c>
    </row>
    <row r="2890" spans="8:11" x14ac:dyDescent="0.3">
      <c r="H2890">
        <v>0.5</v>
      </c>
      <c r="I2890" s="11">
        <f t="shared" si="45"/>
        <v>0</v>
      </c>
      <c r="J2890" s="11">
        <f>1/(H2890*Utilities!$B$11)</f>
        <v>8</v>
      </c>
      <c r="K2890" s="11">
        <f>IF(B2890&lt;C2890,1,EXP(-1*(B2890-C2890)/(Utilities!$B$11*IterData!H2890)))</f>
        <v>1</v>
      </c>
    </row>
    <row r="2891" spans="8:11" x14ac:dyDescent="0.3">
      <c r="H2891">
        <v>0.5</v>
      </c>
      <c r="I2891" s="11">
        <f t="shared" si="45"/>
        <v>0</v>
      </c>
      <c r="J2891" s="11">
        <f>1/(H2891*Utilities!$B$11)</f>
        <v>8</v>
      </c>
      <c r="K2891" s="11">
        <f>IF(B2891&lt;C2891,1,EXP(-1*(B2891-C2891)/(Utilities!$B$11*IterData!H2891)))</f>
        <v>1</v>
      </c>
    </row>
    <row r="2892" spans="8:11" x14ac:dyDescent="0.3">
      <c r="H2892">
        <v>0.5</v>
      </c>
      <c r="I2892" s="11">
        <f t="shared" si="45"/>
        <v>0</v>
      </c>
      <c r="J2892" s="11">
        <f>1/(H2892*Utilities!$B$11)</f>
        <v>8</v>
      </c>
      <c r="K2892" s="11">
        <f>IF(B2892&lt;C2892,1,EXP(-1*(B2892-C2892)/(Utilities!$B$11*IterData!H2892)))</f>
        <v>1</v>
      </c>
    </row>
    <row r="2893" spans="8:11" x14ac:dyDescent="0.3">
      <c r="H2893">
        <v>0.5</v>
      </c>
      <c r="I2893" s="11">
        <f t="shared" si="45"/>
        <v>0</v>
      </c>
      <c r="J2893" s="11">
        <f>1/(H2893*Utilities!$B$11)</f>
        <v>8</v>
      </c>
      <c r="K2893" s="11">
        <f>IF(B2893&lt;C2893,1,EXP(-1*(B2893-C2893)/(Utilities!$B$11*IterData!H2893)))</f>
        <v>1</v>
      </c>
    </row>
    <row r="2894" spans="8:11" x14ac:dyDescent="0.3">
      <c r="H2894">
        <v>0.5</v>
      </c>
      <c r="I2894" s="11">
        <f t="shared" si="45"/>
        <v>0</v>
      </c>
      <c r="J2894" s="11">
        <f>1/(H2894*Utilities!$B$11)</f>
        <v>8</v>
      </c>
      <c r="K2894" s="11">
        <f>IF(B2894&lt;C2894,1,EXP(-1*(B2894-C2894)/(Utilities!$B$11*IterData!H2894)))</f>
        <v>1</v>
      </c>
    </row>
    <row r="2895" spans="8:11" x14ac:dyDescent="0.3">
      <c r="H2895">
        <v>0.5</v>
      </c>
      <c r="I2895" s="11">
        <f t="shared" si="45"/>
        <v>0</v>
      </c>
      <c r="J2895" s="11">
        <f>1/(H2895*Utilities!$B$11)</f>
        <v>8</v>
      </c>
      <c r="K2895" s="11">
        <f>IF(B2895&lt;C2895,1,EXP(-1*(B2895-C2895)/(Utilities!$B$11*IterData!H2895)))</f>
        <v>1</v>
      </c>
    </row>
    <row r="2896" spans="8:11" x14ac:dyDescent="0.3">
      <c r="H2896">
        <v>0.5</v>
      </c>
      <c r="I2896" s="11">
        <f t="shared" si="45"/>
        <v>0</v>
      </c>
      <c r="J2896" s="11">
        <f>1/(H2896*Utilities!$B$11)</f>
        <v>8</v>
      </c>
      <c r="K2896" s="11">
        <f>IF(B2896&lt;C2896,1,EXP(-1*(B2896-C2896)/(Utilities!$B$11*IterData!H2896)))</f>
        <v>1</v>
      </c>
    </row>
    <row r="2897" spans="8:11" x14ac:dyDescent="0.3">
      <c r="H2897">
        <v>0.5</v>
      </c>
      <c r="I2897" s="11">
        <f t="shared" si="45"/>
        <v>0</v>
      </c>
      <c r="J2897" s="11">
        <f>1/(H2897*Utilities!$B$11)</f>
        <v>8</v>
      </c>
      <c r="K2897" s="11">
        <f>IF(B2897&lt;C2897,1,EXP(-1*(B2897-C2897)/(Utilities!$B$11*IterData!H2897)))</f>
        <v>1</v>
      </c>
    </row>
    <row r="2898" spans="8:11" x14ac:dyDescent="0.3">
      <c r="H2898">
        <v>0.5</v>
      </c>
      <c r="I2898" s="11">
        <f t="shared" si="45"/>
        <v>0</v>
      </c>
      <c r="J2898" s="11">
        <f>1/(H2898*Utilities!$B$11)</f>
        <v>8</v>
      </c>
      <c r="K2898" s="11">
        <f>IF(B2898&lt;C2898,1,EXP(-1*(B2898-C2898)/(Utilities!$B$11*IterData!H2898)))</f>
        <v>1</v>
      </c>
    </row>
    <row r="2899" spans="8:11" x14ac:dyDescent="0.3">
      <c r="H2899">
        <v>0.5</v>
      </c>
      <c r="I2899" s="11">
        <f t="shared" si="45"/>
        <v>0</v>
      </c>
      <c r="J2899" s="11">
        <f>1/(H2899*Utilities!$B$11)</f>
        <v>8</v>
      </c>
      <c r="K2899" s="11">
        <f>IF(B2899&lt;C2899,1,EXP(-1*(B2899-C2899)/(Utilities!$B$11*IterData!H2899)))</f>
        <v>1</v>
      </c>
    </row>
    <row r="2900" spans="8:11" x14ac:dyDescent="0.3">
      <c r="H2900">
        <v>0.5</v>
      </c>
      <c r="I2900" s="11">
        <f t="shared" si="45"/>
        <v>0</v>
      </c>
      <c r="J2900" s="11">
        <f>1/(H2900*Utilities!$B$11)</f>
        <v>8</v>
      </c>
      <c r="K2900" s="11">
        <f>IF(B2900&lt;C2900,1,EXP(-1*(B2900-C2900)/(Utilities!$B$11*IterData!H2900)))</f>
        <v>1</v>
      </c>
    </row>
    <row r="2901" spans="8:11" x14ac:dyDescent="0.3">
      <c r="H2901">
        <v>0.5</v>
      </c>
      <c r="I2901" s="11">
        <f t="shared" si="45"/>
        <v>0</v>
      </c>
      <c r="J2901" s="11">
        <f>1/(H2901*Utilities!$B$11)</f>
        <v>8</v>
      </c>
      <c r="K2901" s="11">
        <f>IF(B2901&lt;C2901,1,EXP(-1*(B2901-C2901)/(Utilities!$B$11*IterData!H2901)))</f>
        <v>1</v>
      </c>
    </row>
    <row r="2902" spans="8:11" x14ac:dyDescent="0.3">
      <c r="H2902">
        <v>0.5</v>
      </c>
      <c r="I2902" s="11">
        <f t="shared" si="45"/>
        <v>0</v>
      </c>
      <c r="J2902" s="11">
        <f>1/(H2902*Utilities!$B$11)</f>
        <v>8</v>
      </c>
      <c r="K2902" s="11">
        <f>IF(B2902&lt;C2902,1,EXP(-1*(B2902-C2902)/(Utilities!$B$11*IterData!H2902)))</f>
        <v>1</v>
      </c>
    </row>
    <row r="2903" spans="8:11" x14ac:dyDescent="0.3">
      <c r="H2903">
        <v>0.5</v>
      </c>
      <c r="I2903" s="11">
        <f t="shared" si="45"/>
        <v>0</v>
      </c>
      <c r="J2903" s="11">
        <f>1/(H2903*Utilities!$B$11)</f>
        <v>8</v>
      </c>
      <c r="K2903" s="11">
        <f>IF(B2903&lt;C2903,1,EXP(-1*(B2903-C2903)/(Utilities!$B$11*IterData!H2903)))</f>
        <v>1</v>
      </c>
    </row>
    <row r="2904" spans="8:11" x14ac:dyDescent="0.3">
      <c r="H2904">
        <v>0.5</v>
      </c>
      <c r="I2904" s="11">
        <f t="shared" si="45"/>
        <v>0</v>
      </c>
      <c r="J2904" s="11">
        <f>1/(H2904*Utilities!$B$11)</f>
        <v>8</v>
      </c>
      <c r="K2904" s="11">
        <f>IF(B2904&lt;C2904,1,EXP(-1*(B2904-C2904)/(Utilities!$B$11*IterData!H2904)))</f>
        <v>1</v>
      </c>
    </row>
    <row r="2905" spans="8:11" x14ac:dyDescent="0.3">
      <c r="H2905">
        <v>0.5</v>
      </c>
      <c r="I2905" s="11">
        <f t="shared" si="45"/>
        <v>0</v>
      </c>
      <c r="J2905" s="11">
        <f>1/(H2905*Utilities!$B$11)</f>
        <v>8</v>
      </c>
      <c r="K2905" s="11">
        <f>IF(B2905&lt;C2905,1,EXP(-1*(B2905-C2905)/(Utilities!$B$11*IterData!H2905)))</f>
        <v>1</v>
      </c>
    </row>
    <row r="2906" spans="8:11" x14ac:dyDescent="0.3">
      <c r="H2906">
        <v>0.5</v>
      </c>
      <c r="I2906" s="11">
        <f t="shared" si="45"/>
        <v>0</v>
      </c>
      <c r="J2906" s="11">
        <f>1/(H2906*Utilities!$B$11)</f>
        <v>8</v>
      </c>
      <c r="K2906" s="11">
        <f>IF(B2906&lt;C2906,1,EXP(-1*(B2906-C2906)/(Utilities!$B$11*IterData!H2906)))</f>
        <v>1</v>
      </c>
    </row>
    <row r="2907" spans="8:11" x14ac:dyDescent="0.3">
      <c r="H2907">
        <v>0.5</v>
      </c>
      <c r="I2907" s="11">
        <f t="shared" si="45"/>
        <v>0</v>
      </c>
      <c r="J2907" s="11">
        <f>1/(H2907*Utilities!$B$11)</f>
        <v>8</v>
      </c>
      <c r="K2907" s="11">
        <f>IF(B2907&lt;C2907,1,EXP(-1*(B2907-C2907)/(Utilities!$B$11*IterData!H2907)))</f>
        <v>1</v>
      </c>
    </row>
    <row r="2908" spans="8:11" x14ac:dyDescent="0.3">
      <c r="H2908">
        <v>0.5</v>
      </c>
      <c r="I2908" s="11">
        <f t="shared" si="45"/>
        <v>0</v>
      </c>
      <c r="J2908" s="11">
        <f>1/(H2908*Utilities!$B$11)</f>
        <v>8</v>
      </c>
      <c r="K2908" s="11">
        <f>IF(B2908&lt;C2908,1,EXP(-1*(B2908-C2908)/(Utilities!$B$11*IterData!H2908)))</f>
        <v>1</v>
      </c>
    </row>
    <row r="2909" spans="8:11" x14ac:dyDescent="0.3">
      <c r="H2909">
        <v>0.5</v>
      </c>
      <c r="I2909" s="11">
        <f t="shared" si="45"/>
        <v>0</v>
      </c>
      <c r="J2909" s="11">
        <f>1/(H2909*Utilities!$B$11)</f>
        <v>8</v>
      </c>
      <c r="K2909" s="11">
        <f>IF(B2909&lt;C2909,1,EXP(-1*(B2909-C2909)/(Utilities!$B$11*IterData!H2909)))</f>
        <v>1</v>
      </c>
    </row>
    <row r="2910" spans="8:11" x14ac:dyDescent="0.3">
      <c r="H2910">
        <v>0.5</v>
      </c>
      <c r="I2910" s="11">
        <f t="shared" si="45"/>
        <v>0</v>
      </c>
      <c r="J2910" s="11">
        <f>1/(H2910*Utilities!$B$11)</f>
        <v>8</v>
      </c>
      <c r="K2910" s="11">
        <f>IF(B2910&lt;C2910,1,EXP(-1*(B2910-C2910)/(Utilities!$B$11*IterData!H2910)))</f>
        <v>1</v>
      </c>
    </row>
    <row r="2911" spans="8:11" x14ac:dyDescent="0.3">
      <c r="H2911">
        <v>0.5</v>
      </c>
      <c r="I2911" s="11">
        <f t="shared" si="45"/>
        <v>0</v>
      </c>
      <c r="J2911" s="11">
        <f>1/(H2911*Utilities!$B$11)</f>
        <v>8</v>
      </c>
      <c r="K2911" s="11">
        <f>IF(B2911&lt;C2911,1,EXP(-1*(B2911-C2911)/(Utilities!$B$11*IterData!H2911)))</f>
        <v>1</v>
      </c>
    </row>
    <row r="2912" spans="8:11" x14ac:dyDescent="0.3">
      <c r="H2912">
        <v>0.5</v>
      </c>
      <c r="I2912" s="11">
        <f t="shared" si="45"/>
        <v>0</v>
      </c>
      <c r="J2912" s="11">
        <f>1/(H2912*Utilities!$B$11)</f>
        <v>8</v>
      </c>
      <c r="K2912" s="11">
        <f>IF(B2912&lt;C2912,1,EXP(-1*(B2912-C2912)/(Utilities!$B$11*IterData!H2912)))</f>
        <v>1</v>
      </c>
    </row>
    <row r="2913" spans="8:11" x14ac:dyDescent="0.3">
      <c r="H2913">
        <v>0.5</v>
      </c>
      <c r="I2913" s="11">
        <f t="shared" si="45"/>
        <v>0</v>
      </c>
      <c r="J2913" s="11">
        <f>1/(H2913*Utilities!$B$11)</f>
        <v>8</v>
      </c>
      <c r="K2913" s="11">
        <f>IF(B2913&lt;C2913,1,EXP(-1*(B2913-C2913)/(Utilities!$B$11*IterData!H2913)))</f>
        <v>1</v>
      </c>
    </row>
    <row r="2914" spans="8:11" x14ac:dyDescent="0.3">
      <c r="H2914">
        <v>0.5</v>
      </c>
      <c r="I2914" s="11">
        <f t="shared" si="45"/>
        <v>0</v>
      </c>
      <c r="J2914" s="11">
        <f>1/(H2914*Utilities!$B$11)</f>
        <v>8</v>
      </c>
      <c r="K2914" s="11">
        <f>IF(B2914&lt;C2914,1,EXP(-1*(B2914-C2914)/(Utilities!$B$11*IterData!H2914)))</f>
        <v>1</v>
      </c>
    </row>
    <row r="2915" spans="8:11" x14ac:dyDescent="0.3">
      <c r="H2915">
        <v>0.5</v>
      </c>
      <c r="I2915" s="11">
        <f t="shared" si="45"/>
        <v>0</v>
      </c>
      <c r="J2915" s="11">
        <f>1/(H2915*Utilities!$B$11)</f>
        <v>8</v>
      </c>
      <c r="K2915" s="11">
        <f>IF(B2915&lt;C2915,1,EXP(-1*(B2915-C2915)/(Utilities!$B$11*IterData!H2915)))</f>
        <v>1</v>
      </c>
    </row>
    <row r="2916" spans="8:11" x14ac:dyDescent="0.3">
      <c r="H2916">
        <v>0.5</v>
      </c>
      <c r="I2916" s="11">
        <f t="shared" si="45"/>
        <v>0</v>
      </c>
      <c r="J2916" s="11">
        <f>1/(H2916*Utilities!$B$11)</f>
        <v>8</v>
      </c>
      <c r="K2916" s="11">
        <f>IF(B2916&lt;C2916,1,EXP(-1*(B2916-C2916)/(Utilities!$B$11*IterData!H2916)))</f>
        <v>1</v>
      </c>
    </row>
    <row r="2917" spans="8:11" x14ac:dyDescent="0.3">
      <c r="H2917">
        <v>0.5</v>
      </c>
      <c r="I2917" s="11">
        <f t="shared" si="45"/>
        <v>0</v>
      </c>
      <c r="J2917" s="11">
        <f>1/(H2917*Utilities!$B$11)</f>
        <v>8</v>
      </c>
      <c r="K2917" s="11">
        <f>IF(B2917&lt;C2917,1,EXP(-1*(B2917-C2917)/(Utilities!$B$11*IterData!H2917)))</f>
        <v>1</v>
      </c>
    </row>
    <row r="2918" spans="8:11" x14ac:dyDescent="0.3">
      <c r="H2918">
        <v>0.5</v>
      </c>
      <c r="I2918" s="11">
        <f t="shared" si="45"/>
        <v>0</v>
      </c>
      <c r="J2918" s="11">
        <f>1/(H2918*Utilities!$B$11)</f>
        <v>8</v>
      </c>
      <c r="K2918" s="11">
        <f>IF(B2918&lt;C2918,1,EXP(-1*(B2918-C2918)/(Utilities!$B$11*IterData!H2918)))</f>
        <v>1</v>
      </c>
    </row>
    <row r="2919" spans="8:11" x14ac:dyDescent="0.3">
      <c r="H2919">
        <v>0.5</v>
      </c>
      <c r="I2919" s="11">
        <f t="shared" si="45"/>
        <v>0</v>
      </c>
      <c r="J2919" s="11">
        <f>1/(H2919*Utilities!$B$11)</f>
        <v>8</v>
      </c>
      <c r="K2919" s="11">
        <f>IF(B2919&lt;C2919,1,EXP(-1*(B2919-C2919)/(Utilities!$B$11*IterData!H2919)))</f>
        <v>1</v>
      </c>
    </row>
    <row r="2920" spans="8:11" x14ac:dyDescent="0.3">
      <c r="H2920">
        <v>0.5</v>
      </c>
      <c r="I2920" s="11">
        <f t="shared" si="45"/>
        <v>0</v>
      </c>
      <c r="J2920" s="11">
        <f>1/(H2920*Utilities!$B$11)</f>
        <v>8</v>
      </c>
      <c r="K2920" s="11">
        <f>IF(B2920&lt;C2920,1,EXP(-1*(B2920-C2920)/(Utilities!$B$11*IterData!H2920)))</f>
        <v>1</v>
      </c>
    </row>
    <row r="2921" spans="8:11" x14ac:dyDescent="0.3">
      <c r="H2921">
        <v>0.5</v>
      </c>
      <c r="I2921" s="11">
        <f t="shared" si="45"/>
        <v>0</v>
      </c>
      <c r="J2921" s="11">
        <f>1/(H2921*Utilities!$B$11)</f>
        <v>8</v>
      </c>
      <c r="K2921" s="11">
        <f>IF(B2921&lt;C2921,1,EXP(-1*(B2921-C2921)/(Utilities!$B$11*IterData!H2921)))</f>
        <v>1</v>
      </c>
    </row>
    <row r="2922" spans="8:11" x14ac:dyDescent="0.3">
      <c r="H2922">
        <v>0.5</v>
      </c>
      <c r="I2922" s="11">
        <f t="shared" si="45"/>
        <v>0</v>
      </c>
      <c r="J2922" s="11">
        <f>1/(H2922*Utilities!$B$11)</f>
        <v>8</v>
      </c>
      <c r="K2922" s="11">
        <f>IF(B2922&lt;C2922,1,EXP(-1*(B2922-C2922)/(Utilities!$B$11*IterData!H2922)))</f>
        <v>1</v>
      </c>
    </row>
    <row r="2923" spans="8:11" x14ac:dyDescent="0.3">
      <c r="H2923">
        <v>0.5</v>
      </c>
      <c r="I2923" s="11">
        <f t="shared" si="45"/>
        <v>0</v>
      </c>
      <c r="J2923" s="11">
        <f>1/(H2923*Utilities!$B$11)</f>
        <v>8</v>
      </c>
      <c r="K2923" s="11">
        <f>IF(B2923&lt;C2923,1,EXP(-1*(B2923-C2923)/(Utilities!$B$11*IterData!H2923)))</f>
        <v>1</v>
      </c>
    </row>
    <row r="2924" spans="8:11" x14ac:dyDescent="0.3">
      <c r="H2924">
        <v>0.5</v>
      </c>
      <c r="I2924" s="11">
        <f t="shared" si="45"/>
        <v>0</v>
      </c>
      <c r="J2924" s="11">
        <f>1/(H2924*Utilities!$B$11)</f>
        <v>8</v>
      </c>
      <c r="K2924" s="11">
        <f>IF(B2924&lt;C2924,1,EXP(-1*(B2924-C2924)/(Utilities!$B$11*IterData!H2924)))</f>
        <v>1</v>
      </c>
    </row>
    <row r="2925" spans="8:11" x14ac:dyDescent="0.3">
      <c r="H2925">
        <v>0.5</v>
      </c>
      <c r="I2925" s="11">
        <f t="shared" si="45"/>
        <v>0</v>
      </c>
      <c r="J2925" s="11">
        <f>1/(H2925*Utilities!$B$11)</f>
        <v>8</v>
      </c>
      <c r="K2925" s="11">
        <f>IF(B2925&lt;C2925,1,EXP(-1*(B2925-C2925)/(Utilities!$B$11*IterData!H2925)))</f>
        <v>1</v>
      </c>
    </row>
    <row r="2926" spans="8:11" x14ac:dyDescent="0.3">
      <c r="H2926">
        <v>0.5</v>
      </c>
      <c r="I2926" s="11">
        <f t="shared" si="45"/>
        <v>0</v>
      </c>
      <c r="J2926" s="11">
        <f>1/(H2926*Utilities!$B$11)</f>
        <v>8</v>
      </c>
      <c r="K2926" s="11">
        <f>IF(B2926&lt;C2926,1,EXP(-1*(B2926-C2926)/(Utilities!$B$11*IterData!H2926)))</f>
        <v>1</v>
      </c>
    </row>
    <row r="2927" spans="8:11" x14ac:dyDescent="0.3">
      <c r="H2927">
        <v>0.5</v>
      </c>
      <c r="I2927" s="11">
        <f t="shared" si="45"/>
        <v>0</v>
      </c>
      <c r="J2927" s="11">
        <f>1/(H2927*Utilities!$B$11)</f>
        <v>8</v>
      </c>
      <c r="K2927" s="11">
        <f>IF(B2927&lt;C2927,1,EXP(-1*(B2927-C2927)/(Utilities!$B$11*IterData!H2927)))</f>
        <v>1</v>
      </c>
    </row>
    <row r="2928" spans="8:11" x14ac:dyDescent="0.3">
      <c r="H2928">
        <v>0.5</v>
      </c>
      <c r="I2928" s="11">
        <f t="shared" si="45"/>
        <v>0</v>
      </c>
      <c r="J2928" s="11">
        <f>1/(H2928*Utilities!$B$11)</f>
        <v>8</v>
      </c>
      <c r="K2928" s="11">
        <f>IF(B2928&lt;C2928,1,EXP(-1*(B2928-C2928)/(Utilities!$B$11*IterData!H2928)))</f>
        <v>1</v>
      </c>
    </row>
    <row r="2929" spans="8:11" x14ac:dyDescent="0.3">
      <c r="H2929">
        <v>0.5</v>
      </c>
      <c r="I2929" s="11">
        <f t="shared" si="45"/>
        <v>0</v>
      </c>
      <c r="J2929" s="11">
        <f>1/(H2929*Utilities!$B$11)</f>
        <v>8</v>
      </c>
      <c r="K2929" s="11">
        <f>IF(B2929&lt;C2929,1,EXP(-1*(B2929-C2929)/(Utilities!$B$11*IterData!H2929)))</f>
        <v>1</v>
      </c>
    </row>
    <row r="2930" spans="8:11" x14ac:dyDescent="0.3">
      <c r="H2930">
        <v>0.5</v>
      </c>
      <c r="I2930" s="11">
        <f t="shared" si="45"/>
        <v>0</v>
      </c>
      <c r="J2930" s="11">
        <f>1/(H2930*Utilities!$B$11)</f>
        <v>8</v>
      </c>
      <c r="K2930" s="11">
        <f>IF(B2930&lt;C2930,1,EXP(-1*(B2930-C2930)/(Utilities!$B$11*IterData!H2930)))</f>
        <v>1</v>
      </c>
    </row>
    <row r="2931" spans="8:11" x14ac:dyDescent="0.3">
      <c r="H2931">
        <v>0.5</v>
      </c>
      <c r="I2931" s="11">
        <f t="shared" si="45"/>
        <v>0</v>
      </c>
      <c r="J2931" s="11">
        <f>1/(H2931*Utilities!$B$11)</f>
        <v>8</v>
      </c>
      <c r="K2931" s="11">
        <f>IF(B2931&lt;C2931,1,EXP(-1*(B2931-C2931)/(Utilities!$B$11*IterData!H2931)))</f>
        <v>1</v>
      </c>
    </row>
    <row r="2932" spans="8:11" x14ac:dyDescent="0.3">
      <c r="H2932">
        <v>0.5</v>
      </c>
      <c r="I2932" s="11">
        <f t="shared" si="45"/>
        <v>0</v>
      </c>
      <c r="J2932" s="11">
        <f>1/(H2932*Utilities!$B$11)</f>
        <v>8</v>
      </c>
      <c r="K2932" s="11">
        <f>IF(B2932&lt;C2932,1,EXP(-1*(B2932-C2932)/(Utilities!$B$11*IterData!H2932)))</f>
        <v>1</v>
      </c>
    </row>
    <row r="2933" spans="8:11" x14ac:dyDescent="0.3">
      <c r="H2933">
        <v>0.5</v>
      </c>
      <c r="I2933" s="11">
        <f t="shared" si="45"/>
        <v>0</v>
      </c>
      <c r="J2933" s="11">
        <f>1/(H2933*Utilities!$B$11)</f>
        <v>8</v>
      </c>
      <c r="K2933" s="11">
        <f>IF(B2933&lt;C2933,1,EXP(-1*(B2933-C2933)/(Utilities!$B$11*IterData!H2933)))</f>
        <v>1</v>
      </c>
    </row>
    <row r="2934" spans="8:11" x14ac:dyDescent="0.3">
      <c r="H2934">
        <v>0.5</v>
      </c>
      <c r="I2934" s="11">
        <f t="shared" si="45"/>
        <v>0</v>
      </c>
      <c r="J2934" s="11">
        <f>1/(H2934*Utilities!$B$11)</f>
        <v>8</v>
      </c>
      <c r="K2934" s="11">
        <f>IF(B2934&lt;C2934,1,EXP(-1*(B2934-C2934)/(Utilities!$B$11*IterData!H2934)))</f>
        <v>1</v>
      </c>
    </row>
    <row r="2935" spans="8:11" x14ac:dyDescent="0.3">
      <c r="H2935">
        <v>0.5</v>
      </c>
      <c r="I2935" s="11">
        <f t="shared" si="45"/>
        <v>0</v>
      </c>
      <c r="J2935" s="11">
        <f>1/(H2935*Utilities!$B$11)</f>
        <v>8</v>
      </c>
      <c r="K2935" s="11">
        <f>IF(B2935&lt;C2935,1,EXP(-1*(B2935-C2935)/(Utilities!$B$11*IterData!H2935)))</f>
        <v>1</v>
      </c>
    </row>
    <row r="2936" spans="8:11" x14ac:dyDescent="0.3">
      <c r="H2936">
        <v>0.5</v>
      </c>
      <c r="I2936" s="11">
        <f t="shared" si="45"/>
        <v>0</v>
      </c>
      <c r="J2936" s="11">
        <f>1/(H2936*Utilities!$B$11)</f>
        <v>8</v>
      </c>
      <c r="K2936" s="11">
        <f>IF(B2936&lt;C2936,1,EXP(-1*(B2936-C2936)/(Utilities!$B$11*IterData!H2936)))</f>
        <v>1</v>
      </c>
    </row>
    <row r="2937" spans="8:11" x14ac:dyDescent="0.3">
      <c r="H2937">
        <v>0.5</v>
      </c>
      <c r="I2937" s="11">
        <f t="shared" si="45"/>
        <v>0</v>
      </c>
      <c r="J2937" s="11">
        <f>1/(H2937*Utilities!$B$11)</f>
        <v>8</v>
      </c>
      <c r="K2937" s="11">
        <f>IF(B2937&lt;C2937,1,EXP(-1*(B2937-C2937)/(Utilities!$B$11*IterData!H2937)))</f>
        <v>1</v>
      </c>
    </row>
    <row r="2938" spans="8:11" x14ac:dyDescent="0.3">
      <c r="H2938">
        <v>0.5</v>
      </c>
      <c r="I2938" s="11">
        <f t="shared" si="45"/>
        <v>0</v>
      </c>
      <c r="J2938" s="11">
        <f>1/(H2938*Utilities!$B$11)</f>
        <v>8</v>
      </c>
      <c r="K2938" s="11">
        <f>IF(B2938&lt;C2938,1,EXP(-1*(B2938-C2938)/(Utilities!$B$11*IterData!H2938)))</f>
        <v>1</v>
      </c>
    </row>
    <row r="2939" spans="8:11" x14ac:dyDescent="0.3">
      <c r="H2939">
        <v>0.5</v>
      </c>
      <c r="I2939" s="11">
        <f t="shared" si="45"/>
        <v>0</v>
      </c>
      <c r="J2939" s="11">
        <f>1/(H2939*Utilities!$B$11)</f>
        <v>8</v>
      </c>
      <c r="K2939" s="11">
        <f>IF(B2939&lt;C2939,1,EXP(-1*(B2939-C2939)/(Utilities!$B$11*IterData!H2939)))</f>
        <v>1</v>
      </c>
    </row>
    <row r="2940" spans="8:11" x14ac:dyDescent="0.3">
      <c r="H2940">
        <v>0.5</v>
      </c>
      <c r="I2940" s="11">
        <f t="shared" si="45"/>
        <v>0</v>
      </c>
      <c r="J2940" s="11">
        <f>1/(H2940*Utilities!$B$11)</f>
        <v>8</v>
      </c>
      <c r="K2940" s="11">
        <f>IF(B2940&lt;C2940,1,EXP(-1*(B2940-C2940)/(Utilities!$B$11*IterData!H2940)))</f>
        <v>1</v>
      </c>
    </row>
    <row r="2941" spans="8:11" x14ac:dyDescent="0.3">
      <c r="H2941">
        <v>0.5</v>
      </c>
      <c r="I2941" s="11">
        <f t="shared" si="45"/>
        <v>0</v>
      </c>
      <c r="J2941" s="11">
        <f>1/(H2941*Utilities!$B$11)</f>
        <v>8</v>
      </c>
      <c r="K2941" s="11">
        <f>IF(B2941&lt;C2941,1,EXP(-1*(B2941-C2941)/(Utilities!$B$11*IterData!H2941)))</f>
        <v>1</v>
      </c>
    </row>
    <row r="2942" spans="8:11" x14ac:dyDescent="0.3">
      <c r="H2942">
        <v>0.5</v>
      </c>
      <c r="I2942" s="11">
        <f t="shared" si="45"/>
        <v>0</v>
      </c>
      <c r="J2942" s="11">
        <f>1/(H2942*Utilities!$B$11)</f>
        <v>8</v>
      </c>
      <c r="K2942" s="11">
        <f>IF(B2942&lt;C2942,1,EXP(-1*(B2942-C2942)/(Utilities!$B$11*IterData!H2942)))</f>
        <v>1</v>
      </c>
    </row>
    <row r="2943" spans="8:11" x14ac:dyDescent="0.3">
      <c r="H2943">
        <v>0.5</v>
      </c>
      <c r="I2943" s="11">
        <f t="shared" si="45"/>
        <v>0</v>
      </c>
      <c r="J2943" s="11">
        <f>1/(H2943*Utilities!$B$11)</f>
        <v>8</v>
      </c>
      <c r="K2943" s="11">
        <f>IF(B2943&lt;C2943,1,EXP(-1*(B2943-C2943)/(Utilities!$B$11*IterData!H2943)))</f>
        <v>1</v>
      </c>
    </row>
    <row r="2944" spans="8:11" x14ac:dyDescent="0.3">
      <c r="H2944">
        <v>0.5</v>
      </c>
      <c r="I2944" s="11">
        <f t="shared" si="45"/>
        <v>0</v>
      </c>
      <c r="J2944" s="11">
        <f>1/(H2944*Utilities!$B$11)</f>
        <v>8</v>
      </c>
      <c r="K2944" s="11">
        <f>IF(B2944&lt;C2944,1,EXP(-1*(B2944-C2944)/(Utilities!$B$11*IterData!H2944)))</f>
        <v>1</v>
      </c>
    </row>
    <row r="2945" spans="8:11" x14ac:dyDescent="0.3">
      <c r="H2945">
        <v>0.5</v>
      </c>
      <c r="I2945" s="11">
        <f t="shared" si="45"/>
        <v>0</v>
      </c>
      <c r="J2945" s="11">
        <f>1/(H2945*Utilities!$B$11)</f>
        <v>8</v>
      </c>
      <c r="K2945" s="11">
        <f>IF(B2945&lt;C2945,1,EXP(-1*(B2945-C2945)/(Utilities!$B$11*IterData!H2945)))</f>
        <v>1</v>
      </c>
    </row>
    <row r="2946" spans="8:11" x14ac:dyDescent="0.3">
      <c r="H2946">
        <v>0.5</v>
      </c>
      <c r="I2946" s="11">
        <f t="shared" si="45"/>
        <v>0</v>
      </c>
      <c r="J2946" s="11">
        <f>1/(H2946*Utilities!$B$11)</f>
        <v>8</v>
      </c>
      <c r="K2946" s="11">
        <f>IF(B2946&lt;C2946,1,EXP(-1*(B2946-C2946)/(Utilities!$B$11*IterData!H2946)))</f>
        <v>1</v>
      </c>
    </row>
    <row r="2947" spans="8:11" x14ac:dyDescent="0.3">
      <c r="H2947">
        <v>0.5</v>
      </c>
      <c r="I2947" s="11">
        <f t="shared" ref="I2947:I3010" si="46">B2947-C2947</f>
        <v>0</v>
      </c>
      <c r="J2947" s="11">
        <f>1/(H2947*Utilities!$B$11)</f>
        <v>8</v>
      </c>
      <c r="K2947" s="11">
        <f>IF(B2947&lt;C2947,1,EXP(-1*(B2947-C2947)/(Utilities!$B$11*IterData!H2947)))</f>
        <v>1</v>
      </c>
    </row>
    <row r="2948" spans="8:11" x14ac:dyDescent="0.3">
      <c r="H2948">
        <v>0.5</v>
      </c>
      <c r="I2948" s="11">
        <f t="shared" si="46"/>
        <v>0</v>
      </c>
      <c r="J2948" s="11">
        <f>1/(H2948*Utilities!$B$11)</f>
        <v>8</v>
      </c>
      <c r="K2948" s="11">
        <f>IF(B2948&lt;C2948,1,EXP(-1*(B2948-C2948)/(Utilities!$B$11*IterData!H2948)))</f>
        <v>1</v>
      </c>
    </row>
    <row r="2949" spans="8:11" x14ac:dyDescent="0.3">
      <c r="H2949">
        <v>0.5</v>
      </c>
      <c r="I2949" s="11">
        <f t="shared" si="46"/>
        <v>0</v>
      </c>
      <c r="J2949" s="11">
        <f>1/(H2949*Utilities!$B$11)</f>
        <v>8</v>
      </c>
      <c r="K2949" s="11">
        <f>IF(B2949&lt;C2949,1,EXP(-1*(B2949-C2949)/(Utilities!$B$11*IterData!H2949)))</f>
        <v>1</v>
      </c>
    </row>
    <row r="2950" spans="8:11" x14ac:dyDescent="0.3">
      <c r="H2950">
        <v>0.5</v>
      </c>
      <c r="I2950" s="11">
        <f t="shared" si="46"/>
        <v>0</v>
      </c>
      <c r="J2950" s="11">
        <f>1/(H2950*Utilities!$B$11)</f>
        <v>8</v>
      </c>
      <c r="K2950" s="11">
        <f>IF(B2950&lt;C2950,1,EXP(-1*(B2950-C2950)/(Utilities!$B$11*IterData!H2950)))</f>
        <v>1</v>
      </c>
    </row>
    <row r="2951" spans="8:11" x14ac:dyDescent="0.3">
      <c r="H2951">
        <v>0.5</v>
      </c>
      <c r="I2951" s="11">
        <f t="shared" si="46"/>
        <v>0</v>
      </c>
      <c r="J2951" s="11">
        <f>1/(H2951*Utilities!$B$11)</f>
        <v>8</v>
      </c>
      <c r="K2951" s="11">
        <f>IF(B2951&lt;C2951,1,EXP(-1*(B2951-C2951)/(Utilities!$B$11*IterData!H2951)))</f>
        <v>1</v>
      </c>
    </row>
    <row r="2952" spans="8:11" x14ac:dyDescent="0.3">
      <c r="H2952">
        <v>0.5</v>
      </c>
      <c r="I2952" s="11">
        <f t="shared" si="46"/>
        <v>0</v>
      </c>
      <c r="J2952" s="11">
        <f>1/(H2952*Utilities!$B$11)</f>
        <v>8</v>
      </c>
      <c r="K2952" s="11">
        <f>IF(B2952&lt;C2952,1,EXP(-1*(B2952-C2952)/(Utilities!$B$11*IterData!H2952)))</f>
        <v>1</v>
      </c>
    </row>
    <row r="2953" spans="8:11" x14ac:dyDescent="0.3">
      <c r="H2953">
        <v>0.5</v>
      </c>
      <c r="I2953" s="11">
        <f t="shared" si="46"/>
        <v>0</v>
      </c>
      <c r="J2953" s="11">
        <f>1/(H2953*Utilities!$B$11)</f>
        <v>8</v>
      </c>
      <c r="K2953" s="11">
        <f>IF(B2953&lt;C2953,1,EXP(-1*(B2953-C2953)/(Utilities!$B$11*IterData!H2953)))</f>
        <v>1</v>
      </c>
    </row>
    <row r="2954" spans="8:11" x14ac:dyDescent="0.3">
      <c r="H2954">
        <v>0.5</v>
      </c>
      <c r="I2954" s="11">
        <f t="shared" si="46"/>
        <v>0</v>
      </c>
      <c r="J2954" s="11">
        <f>1/(H2954*Utilities!$B$11)</f>
        <v>8</v>
      </c>
      <c r="K2954" s="11">
        <f>IF(B2954&lt;C2954,1,EXP(-1*(B2954-C2954)/(Utilities!$B$11*IterData!H2954)))</f>
        <v>1</v>
      </c>
    </row>
    <row r="2955" spans="8:11" x14ac:dyDescent="0.3">
      <c r="H2955">
        <v>0.5</v>
      </c>
      <c r="I2955" s="11">
        <f t="shared" si="46"/>
        <v>0</v>
      </c>
      <c r="J2955" s="11">
        <f>1/(H2955*Utilities!$B$11)</f>
        <v>8</v>
      </c>
      <c r="K2955" s="11">
        <f>IF(B2955&lt;C2955,1,EXP(-1*(B2955-C2955)/(Utilities!$B$11*IterData!H2955)))</f>
        <v>1</v>
      </c>
    </row>
    <row r="2956" spans="8:11" x14ac:dyDescent="0.3">
      <c r="H2956">
        <v>0.5</v>
      </c>
      <c r="I2956" s="11">
        <f t="shared" si="46"/>
        <v>0</v>
      </c>
      <c r="J2956" s="11">
        <f>1/(H2956*Utilities!$B$11)</f>
        <v>8</v>
      </c>
      <c r="K2956" s="11">
        <f>IF(B2956&lt;C2956,1,EXP(-1*(B2956-C2956)/(Utilities!$B$11*IterData!H2956)))</f>
        <v>1</v>
      </c>
    </row>
    <row r="2957" spans="8:11" x14ac:dyDescent="0.3">
      <c r="H2957">
        <v>0.5</v>
      </c>
      <c r="I2957" s="11">
        <f t="shared" si="46"/>
        <v>0</v>
      </c>
      <c r="J2957" s="11">
        <f>1/(H2957*Utilities!$B$11)</f>
        <v>8</v>
      </c>
      <c r="K2957" s="11">
        <f>IF(B2957&lt;C2957,1,EXP(-1*(B2957-C2957)/(Utilities!$B$11*IterData!H2957)))</f>
        <v>1</v>
      </c>
    </row>
    <row r="2958" spans="8:11" x14ac:dyDescent="0.3">
      <c r="H2958">
        <v>0.5</v>
      </c>
      <c r="I2958" s="11">
        <f t="shared" si="46"/>
        <v>0</v>
      </c>
      <c r="J2958" s="11">
        <f>1/(H2958*Utilities!$B$11)</f>
        <v>8</v>
      </c>
      <c r="K2958" s="11">
        <f>IF(B2958&lt;C2958,1,EXP(-1*(B2958-C2958)/(Utilities!$B$11*IterData!H2958)))</f>
        <v>1</v>
      </c>
    </row>
    <row r="2959" spans="8:11" x14ac:dyDescent="0.3">
      <c r="H2959">
        <v>0.5</v>
      </c>
      <c r="I2959" s="11">
        <f t="shared" si="46"/>
        <v>0</v>
      </c>
      <c r="J2959" s="11">
        <f>1/(H2959*Utilities!$B$11)</f>
        <v>8</v>
      </c>
      <c r="K2959" s="11">
        <f>IF(B2959&lt;C2959,1,EXP(-1*(B2959-C2959)/(Utilities!$B$11*IterData!H2959)))</f>
        <v>1</v>
      </c>
    </row>
    <row r="2960" spans="8:11" x14ac:dyDescent="0.3">
      <c r="H2960">
        <v>0.5</v>
      </c>
      <c r="I2960" s="11">
        <f t="shared" si="46"/>
        <v>0</v>
      </c>
      <c r="J2960" s="11">
        <f>1/(H2960*Utilities!$B$11)</f>
        <v>8</v>
      </c>
      <c r="K2960" s="11">
        <f>IF(B2960&lt;C2960,1,EXP(-1*(B2960-C2960)/(Utilities!$B$11*IterData!H2960)))</f>
        <v>1</v>
      </c>
    </row>
    <row r="2961" spans="8:11" x14ac:dyDescent="0.3">
      <c r="H2961">
        <v>0.5</v>
      </c>
      <c r="I2961" s="11">
        <f t="shared" si="46"/>
        <v>0</v>
      </c>
      <c r="J2961" s="11">
        <f>1/(H2961*Utilities!$B$11)</f>
        <v>8</v>
      </c>
      <c r="K2961" s="11">
        <f>IF(B2961&lt;C2961,1,EXP(-1*(B2961-C2961)/(Utilities!$B$11*IterData!H2961)))</f>
        <v>1</v>
      </c>
    </row>
    <row r="2962" spans="8:11" x14ac:dyDescent="0.3">
      <c r="H2962">
        <v>0.5</v>
      </c>
      <c r="I2962" s="11">
        <f t="shared" si="46"/>
        <v>0</v>
      </c>
      <c r="J2962" s="11">
        <f>1/(H2962*Utilities!$B$11)</f>
        <v>8</v>
      </c>
      <c r="K2962" s="11">
        <f>IF(B2962&lt;C2962,1,EXP(-1*(B2962-C2962)/(Utilities!$B$11*IterData!H2962)))</f>
        <v>1</v>
      </c>
    </row>
    <row r="2963" spans="8:11" x14ac:dyDescent="0.3">
      <c r="H2963">
        <v>0.5</v>
      </c>
      <c r="I2963" s="11">
        <f t="shared" si="46"/>
        <v>0</v>
      </c>
      <c r="J2963" s="11">
        <f>1/(H2963*Utilities!$B$11)</f>
        <v>8</v>
      </c>
      <c r="K2963" s="11">
        <f>IF(B2963&lt;C2963,1,EXP(-1*(B2963-C2963)/(Utilities!$B$11*IterData!H2963)))</f>
        <v>1</v>
      </c>
    </row>
    <row r="2964" spans="8:11" x14ac:dyDescent="0.3">
      <c r="H2964">
        <v>0.5</v>
      </c>
      <c r="I2964" s="11">
        <f t="shared" si="46"/>
        <v>0</v>
      </c>
      <c r="J2964" s="11">
        <f>1/(H2964*Utilities!$B$11)</f>
        <v>8</v>
      </c>
      <c r="K2964" s="11">
        <f>IF(B2964&lt;C2964,1,EXP(-1*(B2964-C2964)/(Utilities!$B$11*IterData!H2964)))</f>
        <v>1</v>
      </c>
    </row>
    <row r="2965" spans="8:11" x14ac:dyDescent="0.3">
      <c r="H2965">
        <v>0.5</v>
      </c>
      <c r="I2965" s="11">
        <f t="shared" si="46"/>
        <v>0</v>
      </c>
      <c r="J2965" s="11">
        <f>1/(H2965*Utilities!$B$11)</f>
        <v>8</v>
      </c>
      <c r="K2965" s="11">
        <f>IF(B2965&lt;C2965,1,EXP(-1*(B2965-C2965)/(Utilities!$B$11*IterData!H2965)))</f>
        <v>1</v>
      </c>
    </row>
    <row r="2966" spans="8:11" x14ac:dyDescent="0.3">
      <c r="H2966">
        <v>0.5</v>
      </c>
      <c r="I2966" s="11">
        <f t="shared" si="46"/>
        <v>0</v>
      </c>
      <c r="J2966" s="11">
        <f>1/(H2966*Utilities!$B$11)</f>
        <v>8</v>
      </c>
      <c r="K2966" s="11">
        <f>IF(B2966&lt;C2966,1,EXP(-1*(B2966-C2966)/(Utilities!$B$11*IterData!H2966)))</f>
        <v>1</v>
      </c>
    </row>
    <row r="2967" spans="8:11" x14ac:dyDescent="0.3">
      <c r="H2967">
        <v>0.5</v>
      </c>
      <c r="I2967" s="11">
        <f t="shared" si="46"/>
        <v>0</v>
      </c>
      <c r="J2967" s="11">
        <f>1/(H2967*Utilities!$B$11)</f>
        <v>8</v>
      </c>
      <c r="K2967" s="11">
        <f>IF(B2967&lt;C2967,1,EXP(-1*(B2967-C2967)/(Utilities!$B$11*IterData!H2967)))</f>
        <v>1</v>
      </c>
    </row>
    <row r="2968" spans="8:11" x14ac:dyDescent="0.3">
      <c r="H2968">
        <v>0.5</v>
      </c>
      <c r="I2968" s="11">
        <f t="shared" si="46"/>
        <v>0</v>
      </c>
      <c r="J2968" s="11">
        <f>1/(H2968*Utilities!$B$11)</f>
        <v>8</v>
      </c>
      <c r="K2968" s="11">
        <f>IF(B2968&lt;C2968,1,EXP(-1*(B2968-C2968)/(Utilities!$B$11*IterData!H2968)))</f>
        <v>1</v>
      </c>
    </row>
    <row r="2969" spans="8:11" x14ac:dyDescent="0.3">
      <c r="H2969">
        <v>0.5</v>
      </c>
      <c r="I2969" s="11">
        <f t="shared" si="46"/>
        <v>0</v>
      </c>
      <c r="J2969" s="11">
        <f>1/(H2969*Utilities!$B$11)</f>
        <v>8</v>
      </c>
      <c r="K2969" s="11">
        <f>IF(B2969&lt;C2969,1,EXP(-1*(B2969-C2969)/(Utilities!$B$11*IterData!H2969)))</f>
        <v>1</v>
      </c>
    </row>
    <row r="2970" spans="8:11" x14ac:dyDescent="0.3">
      <c r="H2970">
        <v>0.5</v>
      </c>
      <c r="I2970" s="11">
        <f t="shared" si="46"/>
        <v>0</v>
      </c>
      <c r="J2970" s="11">
        <f>1/(H2970*Utilities!$B$11)</f>
        <v>8</v>
      </c>
      <c r="K2970" s="11">
        <f>IF(B2970&lt;C2970,1,EXP(-1*(B2970-C2970)/(Utilities!$B$11*IterData!H2970)))</f>
        <v>1</v>
      </c>
    </row>
    <row r="2971" spans="8:11" x14ac:dyDescent="0.3">
      <c r="H2971">
        <v>0.5</v>
      </c>
      <c r="I2971" s="11">
        <f t="shared" si="46"/>
        <v>0</v>
      </c>
      <c r="J2971" s="11">
        <f>1/(H2971*Utilities!$B$11)</f>
        <v>8</v>
      </c>
      <c r="K2971" s="11">
        <f>IF(B2971&lt;C2971,1,EXP(-1*(B2971-C2971)/(Utilities!$B$11*IterData!H2971)))</f>
        <v>1</v>
      </c>
    </row>
    <row r="2972" spans="8:11" x14ac:dyDescent="0.3">
      <c r="H2972">
        <v>0.5</v>
      </c>
      <c r="I2972" s="11">
        <f t="shared" si="46"/>
        <v>0</v>
      </c>
      <c r="J2972" s="11">
        <f>1/(H2972*Utilities!$B$11)</f>
        <v>8</v>
      </c>
      <c r="K2972" s="11">
        <f>IF(B2972&lt;C2972,1,EXP(-1*(B2972-C2972)/(Utilities!$B$11*IterData!H2972)))</f>
        <v>1</v>
      </c>
    </row>
    <row r="2973" spans="8:11" x14ac:dyDescent="0.3">
      <c r="H2973">
        <v>0.5</v>
      </c>
      <c r="I2973" s="11">
        <f t="shared" si="46"/>
        <v>0</v>
      </c>
      <c r="J2973" s="11">
        <f>1/(H2973*Utilities!$B$11)</f>
        <v>8</v>
      </c>
      <c r="K2973" s="11">
        <f>IF(B2973&lt;C2973,1,EXP(-1*(B2973-C2973)/(Utilities!$B$11*IterData!H2973)))</f>
        <v>1</v>
      </c>
    </row>
    <row r="2974" spans="8:11" x14ac:dyDescent="0.3">
      <c r="H2974">
        <v>0.5</v>
      </c>
      <c r="I2974" s="11">
        <f t="shared" si="46"/>
        <v>0</v>
      </c>
      <c r="J2974" s="11">
        <f>1/(H2974*Utilities!$B$11)</f>
        <v>8</v>
      </c>
      <c r="K2974" s="11">
        <f>IF(B2974&lt;C2974,1,EXP(-1*(B2974-C2974)/(Utilities!$B$11*IterData!H2974)))</f>
        <v>1</v>
      </c>
    </row>
    <row r="2975" spans="8:11" x14ac:dyDescent="0.3">
      <c r="H2975">
        <v>0.5</v>
      </c>
      <c r="I2975" s="11">
        <f t="shared" si="46"/>
        <v>0</v>
      </c>
      <c r="J2975" s="11">
        <f>1/(H2975*Utilities!$B$11)</f>
        <v>8</v>
      </c>
      <c r="K2975" s="11">
        <f>IF(B2975&lt;C2975,1,EXP(-1*(B2975-C2975)/(Utilities!$B$11*IterData!H2975)))</f>
        <v>1</v>
      </c>
    </row>
    <row r="2976" spans="8:11" x14ac:dyDescent="0.3">
      <c r="H2976">
        <v>0.5</v>
      </c>
      <c r="I2976" s="11">
        <f t="shared" si="46"/>
        <v>0</v>
      </c>
      <c r="J2976" s="11">
        <f>1/(H2976*Utilities!$B$11)</f>
        <v>8</v>
      </c>
      <c r="K2976" s="11">
        <f>IF(B2976&lt;C2976,1,EXP(-1*(B2976-C2976)/(Utilities!$B$11*IterData!H2976)))</f>
        <v>1</v>
      </c>
    </row>
    <row r="2977" spans="8:11" x14ac:dyDescent="0.3">
      <c r="H2977">
        <v>0.5</v>
      </c>
      <c r="I2977" s="11">
        <f t="shared" si="46"/>
        <v>0</v>
      </c>
      <c r="J2977" s="11">
        <f>1/(H2977*Utilities!$B$11)</f>
        <v>8</v>
      </c>
      <c r="K2977" s="11">
        <f>IF(B2977&lt;C2977,1,EXP(-1*(B2977-C2977)/(Utilities!$B$11*IterData!H2977)))</f>
        <v>1</v>
      </c>
    </row>
    <row r="2978" spans="8:11" x14ac:dyDescent="0.3">
      <c r="H2978">
        <v>0.5</v>
      </c>
      <c r="I2978" s="11">
        <f t="shared" si="46"/>
        <v>0</v>
      </c>
      <c r="J2978" s="11">
        <f>1/(H2978*Utilities!$B$11)</f>
        <v>8</v>
      </c>
      <c r="K2978" s="11">
        <f>IF(B2978&lt;C2978,1,EXP(-1*(B2978-C2978)/(Utilities!$B$11*IterData!H2978)))</f>
        <v>1</v>
      </c>
    </row>
    <row r="2979" spans="8:11" x14ac:dyDescent="0.3">
      <c r="H2979">
        <v>0.5</v>
      </c>
      <c r="I2979" s="11">
        <f t="shared" si="46"/>
        <v>0</v>
      </c>
      <c r="J2979" s="11">
        <f>1/(H2979*Utilities!$B$11)</f>
        <v>8</v>
      </c>
      <c r="K2979" s="11">
        <f>IF(B2979&lt;C2979,1,EXP(-1*(B2979-C2979)/(Utilities!$B$11*IterData!H2979)))</f>
        <v>1</v>
      </c>
    </row>
    <row r="2980" spans="8:11" x14ac:dyDescent="0.3">
      <c r="H2980">
        <v>0.5</v>
      </c>
      <c r="I2980" s="11">
        <f t="shared" si="46"/>
        <v>0</v>
      </c>
      <c r="J2980" s="11">
        <f>1/(H2980*Utilities!$B$11)</f>
        <v>8</v>
      </c>
      <c r="K2980" s="11">
        <f>IF(B2980&lt;C2980,1,EXP(-1*(B2980-C2980)/(Utilities!$B$11*IterData!H2980)))</f>
        <v>1</v>
      </c>
    </row>
    <row r="2981" spans="8:11" x14ac:dyDescent="0.3">
      <c r="H2981">
        <v>0.5</v>
      </c>
      <c r="I2981" s="11">
        <f t="shared" si="46"/>
        <v>0</v>
      </c>
      <c r="J2981" s="11">
        <f>1/(H2981*Utilities!$B$11)</f>
        <v>8</v>
      </c>
      <c r="K2981" s="11">
        <f>IF(B2981&lt;C2981,1,EXP(-1*(B2981-C2981)/(Utilities!$B$11*IterData!H2981)))</f>
        <v>1</v>
      </c>
    </row>
    <row r="2982" spans="8:11" x14ac:dyDescent="0.3">
      <c r="H2982">
        <v>0.5</v>
      </c>
      <c r="I2982" s="11">
        <f t="shared" si="46"/>
        <v>0</v>
      </c>
      <c r="J2982" s="11">
        <f>1/(H2982*Utilities!$B$11)</f>
        <v>8</v>
      </c>
      <c r="K2982" s="11">
        <f>IF(B2982&lt;C2982,1,EXP(-1*(B2982-C2982)/(Utilities!$B$11*IterData!H2982)))</f>
        <v>1</v>
      </c>
    </row>
    <row r="2983" spans="8:11" x14ac:dyDescent="0.3">
      <c r="H2983">
        <v>0.5</v>
      </c>
      <c r="I2983" s="11">
        <f t="shared" si="46"/>
        <v>0</v>
      </c>
      <c r="J2983" s="11">
        <f>1/(H2983*Utilities!$B$11)</f>
        <v>8</v>
      </c>
      <c r="K2983" s="11">
        <f>IF(B2983&lt;C2983,1,EXP(-1*(B2983-C2983)/(Utilities!$B$11*IterData!H2983)))</f>
        <v>1</v>
      </c>
    </row>
    <row r="2984" spans="8:11" x14ac:dyDescent="0.3">
      <c r="H2984">
        <v>0.5</v>
      </c>
      <c r="I2984" s="11">
        <f t="shared" si="46"/>
        <v>0</v>
      </c>
      <c r="J2984" s="11">
        <f>1/(H2984*Utilities!$B$11)</f>
        <v>8</v>
      </c>
      <c r="K2984" s="11">
        <f>IF(B2984&lt;C2984,1,EXP(-1*(B2984-C2984)/(Utilities!$B$11*IterData!H2984)))</f>
        <v>1</v>
      </c>
    </row>
    <row r="2985" spans="8:11" x14ac:dyDescent="0.3">
      <c r="H2985">
        <v>0.5</v>
      </c>
      <c r="I2985" s="11">
        <f t="shared" si="46"/>
        <v>0</v>
      </c>
      <c r="J2985" s="11">
        <f>1/(H2985*Utilities!$B$11)</f>
        <v>8</v>
      </c>
      <c r="K2985" s="11">
        <f>IF(B2985&lt;C2985,1,EXP(-1*(B2985-C2985)/(Utilities!$B$11*IterData!H2985)))</f>
        <v>1</v>
      </c>
    </row>
    <row r="2986" spans="8:11" x14ac:dyDescent="0.3">
      <c r="H2986">
        <v>0.5</v>
      </c>
      <c r="I2986" s="11">
        <f t="shared" si="46"/>
        <v>0</v>
      </c>
      <c r="J2986" s="11">
        <f>1/(H2986*Utilities!$B$11)</f>
        <v>8</v>
      </c>
      <c r="K2986" s="11">
        <f>IF(B2986&lt;C2986,1,EXP(-1*(B2986-C2986)/(Utilities!$B$11*IterData!H2986)))</f>
        <v>1</v>
      </c>
    </row>
    <row r="2987" spans="8:11" x14ac:dyDescent="0.3">
      <c r="H2987">
        <v>0.5</v>
      </c>
      <c r="I2987" s="11">
        <f t="shared" si="46"/>
        <v>0</v>
      </c>
      <c r="J2987" s="11">
        <f>1/(H2987*Utilities!$B$11)</f>
        <v>8</v>
      </c>
      <c r="K2987" s="11">
        <f>IF(B2987&lt;C2987,1,EXP(-1*(B2987-C2987)/(Utilities!$B$11*IterData!H2987)))</f>
        <v>1</v>
      </c>
    </row>
    <row r="2988" spans="8:11" x14ac:dyDescent="0.3">
      <c r="H2988">
        <v>0.5</v>
      </c>
      <c r="I2988" s="11">
        <f t="shared" si="46"/>
        <v>0</v>
      </c>
      <c r="J2988" s="11">
        <f>1/(H2988*Utilities!$B$11)</f>
        <v>8</v>
      </c>
      <c r="K2988" s="11">
        <f>IF(B2988&lt;C2988,1,EXP(-1*(B2988-C2988)/(Utilities!$B$11*IterData!H2988)))</f>
        <v>1</v>
      </c>
    </row>
    <row r="2989" spans="8:11" x14ac:dyDescent="0.3">
      <c r="H2989">
        <v>0.5</v>
      </c>
      <c r="I2989" s="11">
        <f t="shared" si="46"/>
        <v>0</v>
      </c>
      <c r="J2989" s="11">
        <f>1/(H2989*Utilities!$B$11)</f>
        <v>8</v>
      </c>
      <c r="K2989" s="11">
        <f>IF(B2989&lt;C2989,1,EXP(-1*(B2989-C2989)/(Utilities!$B$11*IterData!H2989)))</f>
        <v>1</v>
      </c>
    </row>
    <row r="2990" spans="8:11" x14ac:dyDescent="0.3">
      <c r="H2990">
        <v>0.5</v>
      </c>
      <c r="I2990" s="11">
        <f t="shared" si="46"/>
        <v>0</v>
      </c>
      <c r="J2990" s="11">
        <f>1/(H2990*Utilities!$B$11)</f>
        <v>8</v>
      </c>
      <c r="K2990" s="11">
        <f>IF(B2990&lt;C2990,1,EXP(-1*(B2990-C2990)/(Utilities!$B$11*IterData!H2990)))</f>
        <v>1</v>
      </c>
    </row>
    <row r="2991" spans="8:11" x14ac:dyDescent="0.3">
      <c r="H2991">
        <v>0.5</v>
      </c>
      <c r="I2991" s="11">
        <f t="shared" si="46"/>
        <v>0</v>
      </c>
      <c r="J2991" s="11">
        <f>1/(H2991*Utilities!$B$11)</f>
        <v>8</v>
      </c>
      <c r="K2991" s="11">
        <f>IF(B2991&lt;C2991,1,EXP(-1*(B2991-C2991)/(Utilities!$B$11*IterData!H2991)))</f>
        <v>1</v>
      </c>
    </row>
    <row r="2992" spans="8:11" x14ac:dyDescent="0.3">
      <c r="H2992">
        <v>0.5</v>
      </c>
      <c r="I2992" s="11">
        <f t="shared" si="46"/>
        <v>0</v>
      </c>
      <c r="J2992" s="11">
        <f>1/(H2992*Utilities!$B$11)</f>
        <v>8</v>
      </c>
      <c r="K2992" s="11">
        <f>IF(B2992&lt;C2992,1,EXP(-1*(B2992-C2992)/(Utilities!$B$11*IterData!H2992)))</f>
        <v>1</v>
      </c>
    </row>
    <row r="2993" spans="8:11" x14ac:dyDescent="0.3">
      <c r="H2993">
        <v>0.5</v>
      </c>
      <c r="I2993" s="11">
        <f t="shared" si="46"/>
        <v>0</v>
      </c>
      <c r="J2993" s="11">
        <f>1/(H2993*Utilities!$B$11)</f>
        <v>8</v>
      </c>
      <c r="K2993" s="11">
        <f>IF(B2993&lt;C2993,1,EXP(-1*(B2993-C2993)/(Utilities!$B$11*IterData!H2993)))</f>
        <v>1</v>
      </c>
    </row>
    <row r="2994" spans="8:11" x14ac:dyDescent="0.3">
      <c r="H2994">
        <v>0.5</v>
      </c>
      <c r="I2994" s="11">
        <f t="shared" si="46"/>
        <v>0</v>
      </c>
      <c r="J2994" s="11">
        <f>1/(H2994*Utilities!$B$11)</f>
        <v>8</v>
      </c>
      <c r="K2994" s="11">
        <f>IF(B2994&lt;C2994,1,EXP(-1*(B2994-C2994)/(Utilities!$B$11*IterData!H2994)))</f>
        <v>1</v>
      </c>
    </row>
    <row r="2995" spans="8:11" x14ac:dyDescent="0.3">
      <c r="H2995">
        <v>0.5</v>
      </c>
      <c r="I2995" s="11">
        <f t="shared" si="46"/>
        <v>0</v>
      </c>
      <c r="J2995" s="11">
        <f>1/(H2995*Utilities!$B$11)</f>
        <v>8</v>
      </c>
      <c r="K2995" s="11">
        <f>IF(B2995&lt;C2995,1,EXP(-1*(B2995-C2995)/(Utilities!$B$11*IterData!H2995)))</f>
        <v>1</v>
      </c>
    </row>
    <row r="2996" spans="8:11" x14ac:dyDescent="0.3">
      <c r="H2996">
        <v>0.5</v>
      </c>
      <c r="I2996" s="11">
        <f t="shared" si="46"/>
        <v>0</v>
      </c>
      <c r="J2996" s="11">
        <f>1/(H2996*Utilities!$B$11)</f>
        <v>8</v>
      </c>
      <c r="K2996" s="11">
        <f>IF(B2996&lt;C2996,1,EXP(-1*(B2996-C2996)/(Utilities!$B$11*IterData!H2996)))</f>
        <v>1</v>
      </c>
    </row>
    <row r="2997" spans="8:11" x14ac:dyDescent="0.3">
      <c r="H2997">
        <v>0.5</v>
      </c>
      <c r="I2997" s="11">
        <f t="shared" si="46"/>
        <v>0</v>
      </c>
      <c r="J2997" s="11">
        <f>1/(H2997*Utilities!$B$11)</f>
        <v>8</v>
      </c>
      <c r="K2997" s="11">
        <f>IF(B2997&lt;C2997,1,EXP(-1*(B2997-C2997)/(Utilities!$B$11*IterData!H2997)))</f>
        <v>1</v>
      </c>
    </row>
    <row r="2998" spans="8:11" x14ac:dyDescent="0.3">
      <c r="H2998">
        <v>0.5</v>
      </c>
      <c r="I2998" s="11">
        <f t="shared" si="46"/>
        <v>0</v>
      </c>
      <c r="J2998" s="11">
        <f>1/(H2998*Utilities!$B$11)</f>
        <v>8</v>
      </c>
      <c r="K2998" s="11">
        <f>IF(B2998&lt;C2998,1,EXP(-1*(B2998-C2998)/(Utilities!$B$11*IterData!H2998)))</f>
        <v>1</v>
      </c>
    </row>
    <row r="2999" spans="8:11" x14ac:dyDescent="0.3">
      <c r="H2999">
        <v>0.5</v>
      </c>
      <c r="I2999" s="11">
        <f t="shared" si="46"/>
        <v>0</v>
      </c>
      <c r="J2999" s="11">
        <f>1/(H2999*Utilities!$B$11)</f>
        <v>8</v>
      </c>
      <c r="K2999" s="11">
        <f>IF(B2999&lt;C2999,1,EXP(-1*(B2999-C2999)/(Utilities!$B$11*IterData!H2999)))</f>
        <v>1</v>
      </c>
    </row>
    <row r="3000" spans="8:11" x14ac:dyDescent="0.3">
      <c r="H3000">
        <v>0.5</v>
      </c>
      <c r="I3000" s="11">
        <f t="shared" si="46"/>
        <v>0</v>
      </c>
      <c r="J3000" s="11">
        <f>1/(H3000*Utilities!$B$11)</f>
        <v>8</v>
      </c>
      <c r="K3000" s="11">
        <f>IF(B3000&lt;C3000,1,EXP(-1*(B3000-C3000)/(Utilities!$B$11*IterData!H3000)))</f>
        <v>1</v>
      </c>
    </row>
    <row r="3001" spans="8:11" x14ac:dyDescent="0.3">
      <c r="H3001">
        <v>0.5</v>
      </c>
      <c r="I3001" s="11">
        <f t="shared" si="46"/>
        <v>0</v>
      </c>
      <c r="J3001" s="11">
        <f>1/(H3001*Utilities!$B$11)</f>
        <v>8</v>
      </c>
      <c r="K3001" s="11">
        <f>IF(B3001&lt;C3001,1,EXP(-1*(B3001-C3001)/(Utilities!$B$11*IterData!H3001)))</f>
        <v>1</v>
      </c>
    </row>
    <row r="3002" spans="8:11" x14ac:dyDescent="0.3">
      <c r="H3002">
        <v>0.5</v>
      </c>
      <c r="I3002" s="11">
        <f t="shared" si="46"/>
        <v>0</v>
      </c>
      <c r="J3002" s="11">
        <f>1/(H3002*Utilities!$B$11)</f>
        <v>8</v>
      </c>
      <c r="K3002" s="11">
        <f>IF(B3002&lt;C3002,1,EXP(-1*(B3002-C3002)/(Utilities!$B$11*IterData!H3002)))</f>
        <v>1</v>
      </c>
    </row>
    <row r="3003" spans="8:11" x14ac:dyDescent="0.3">
      <c r="H3003">
        <v>0.5</v>
      </c>
      <c r="I3003" s="11">
        <f t="shared" si="46"/>
        <v>0</v>
      </c>
      <c r="J3003" s="11">
        <f>1/(H3003*Utilities!$B$11)</f>
        <v>8</v>
      </c>
      <c r="K3003" s="11">
        <f>IF(B3003&lt;C3003,1,EXP(-1*(B3003-C3003)/(Utilities!$B$11*IterData!H3003)))</f>
        <v>1</v>
      </c>
    </row>
    <row r="3004" spans="8:11" x14ac:dyDescent="0.3">
      <c r="H3004">
        <v>0.5</v>
      </c>
      <c r="I3004" s="11">
        <f t="shared" si="46"/>
        <v>0</v>
      </c>
      <c r="J3004" s="11">
        <f>1/(H3004*Utilities!$B$11)</f>
        <v>8</v>
      </c>
      <c r="K3004" s="11">
        <f>IF(B3004&lt;C3004,1,EXP(-1*(B3004-C3004)/(Utilities!$B$11*IterData!H3004)))</f>
        <v>1</v>
      </c>
    </row>
    <row r="3005" spans="8:11" x14ac:dyDescent="0.3">
      <c r="H3005">
        <v>0.5</v>
      </c>
      <c r="I3005" s="11">
        <f t="shared" si="46"/>
        <v>0</v>
      </c>
      <c r="J3005" s="11">
        <f>1/(H3005*Utilities!$B$11)</f>
        <v>8</v>
      </c>
      <c r="K3005" s="11">
        <f>IF(B3005&lt;C3005,1,EXP(-1*(B3005-C3005)/(Utilities!$B$11*IterData!H3005)))</f>
        <v>1</v>
      </c>
    </row>
    <row r="3006" spans="8:11" x14ac:dyDescent="0.3">
      <c r="H3006">
        <v>0.5</v>
      </c>
      <c r="I3006" s="11">
        <f t="shared" si="46"/>
        <v>0</v>
      </c>
      <c r="J3006" s="11">
        <f>1/(H3006*Utilities!$B$11)</f>
        <v>8</v>
      </c>
      <c r="K3006" s="11">
        <f>IF(B3006&lt;C3006,1,EXP(-1*(B3006-C3006)/(Utilities!$B$11*IterData!H3006)))</f>
        <v>1</v>
      </c>
    </row>
    <row r="3007" spans="8:11" x14ac:dyDescent="0.3">
      <c r="H3007">
        <v>0.5</v>
      </c>
      <c r="I3007" s="11">
        <f t="shared" si="46"/>
        <v>0</v>
      </c>
      <c r="J3007" s="11">
        <f>1/(H3007*Utilities!$B$11)</f>
        <v>8</v>
      </c>
      <c r="K3007" s="11">
        <f>IF(B3007&lt;C3007,1,EXP(-1*(B3007-C3007)/(Utilities!$B$11*IterData!H3007)))</f>
        <v>1</v>
      </c>
    </row>
    <row r="3008" spans="8:11" x14ac:dyDescent="0.3">
      <c r="H3008">
        <v>0.5</v>
      </c>
      <c r="I3008" s="11">
        <f t="shared" si="46"/>
        <v>0</v>
      </c>
      <c r="J3008" s="11">
        <f>1/(H3008*Utilities!$B$11)</f>
        <v>8</v>
      </c>
      <c r="K3008" s="11">
        <f>IF(B3008&lt;C3008,1,EXP(-1*(B3008-C3008)/(Utilities!$B$11*IterData!H3008)))</f>
        <v>1</v>
      </c>
    </row>
    <row r="3009" spans="8:11" x14ac:dyDescent="0.3">
      <c r="H3009">
        <v>0.5</v>
      </c>
      <c r="I3009" s="11">
        <f t="shared" si="46"/>
        <v>0</v>
      </c>
      <c r="J3009" s="11">
        <f>1/(H3009*Utilities!$B$11)</f>
        <v>8</v>
      </c>
      <c r="K3009" s="11">
        <f>IF(B3009&lt;C3009,1,EXP(-1*(B3009-C3009)/(Utilities!$B$11*IterData!H3009)))</f>
        <v>1</v>
      </c>
    </row>
    <row r="3010" spans="8:11" x14ac:dyDescent="0.3">
      <c r="H3010">
        <v>0.5</v>
      </c>
      <c r="I3010" s="11">
        <f t="shared" si="46"/>
        <v>0</v>
      </c>
      <c r="J3010" s="11">
        <f>1/(H3010*Utilities!$B$11)</f>
        <v>8</v>
      </c>
      <c r="K3010" s="11">
        <f>IF(B3010&lt;C3010,1,EXP(-1*(B3010-C3010)/(Utilities!$B$11*IterData!H3010)))</f>
        <v>1</v>
      </c>
    </row>
    <row r="3011" spans="8:11" x14ac:dyDescent="0.3">
      <c r="H3011">
        <v>0.5</v>
      </c>
      <c r="I3011" s="11">
        <f t="shared" ref="I3011:I3074" si="47">B3011-C3011</f>
        <v>0</v>
      </c>
      <c r="J3011" s="11">
        <f>1/(H3011*Utilities!$B$11)</f>
        <v>8</v>
      </c>
      <c r="K3011" s="11">
        <f>IF(B3011&lt;C3011,1,EXP(-1*(B3011-C3011)/(Utilities!$B$11*IterData!H3011)))</f>
        <v>1</v>
      </c>
    </row>
    <row r="3012" spans="8:11" x14ac:dyDescent="0.3">
      <c r="H3012">
        <v>0.5</v>
      </c>
      <c r="I3012" s="11">
        <f t="shared" si="47"/>
        <v>0</v>
      </c>
      <c r="J3012" s="11">
        <f>1/(H3012*Utilities!$B$11)</f>
        <v>8</v>
      </c>
      <c r="K3012" s="11">
        <f>IF(B3012&lt;C3012,1,EXP(-1*(B3012-C3012)/(Utilities!$B$11*IterData!H3012)))</f>
        <v>1</v>
      </c>
    </row>
    <row r="3013" spans="8:11" x14ac:dyDescent="0.3">
      <c r="H3013">
        <v>0.5</v>
      </c>
      <c r="I3013" s="11">
        <f t="shared" si="47"/>
        <v>0</v>
      </c>
      <c r="J3013" s="11">
        <f>1/(H3013*Utilities!$B$11)</f>
        <v>8</v>
      </c>
      <c r="K3013" s="11">
        <f>IF(B3013&lt;C3013,1,EXP(-1*(B3013-C3013)/(Utilities!$B$11*IterData!H3013)))</f>
        <v>1</v>
      </c>
    </row>
    <row r="3014" spans="8:11" x14ac:dyDescent="0.3">
      <c r="H3014">
        <v>0.5</v>
      </c>
      <c r="I3014" s="11">
        <f t="shared" si="47"/>
        <v>0</v>
      </c>
      <c r="J3014" s="11">
        <f>1/(H3014*Utilities!$B$11)</f>
        <v>8</v>
      </c>
      <c r="K3014" s="11">
        <f>IF(B3014&lt;C3014,1,EXP(-1*(B3014-C3014)/(Utilities!$B$11*IterData!H3014)))</f>
        <v>1</v>
      </c>
    </row>
    <row r="3015" spans="8:11" x14ac:dyDescent="0.3">
      <c r="H3015">
        <v>0.5</v>
      </c>
      <c r="I3015" s="11">
        <f t="shared" si="47"/>
        <v>0</v>
      </c>
      <c r="J3015" s="11">
        <f>1/(H3015*Utilities!$B$11)</f>
        <v>8</v>
      </c>
      <c r="K3015" s="11">
        <f>IF(B3015&lt;C3015,1,EXP(-1*(B3015-C3015)/(Utilities!$B$11*IterData!H3015)))</f>
        <v>1</v>
      </c>
    </row>
    <row r="3016" spans="8:11" x14ac:dyDescent="0.3">
      <c r="H3016">
        <v>0.5</v>
      </c>
      <c r="I3016" s="11">
        <f t="shared" si="47"/>
        <v>0</v>
      </c>
      <c r="J3016" s="11">
        <f>1/(H3016*Utilities!$B$11)</f>
        <v>8</v>
      </c>
      <c r="K3016" s="11">
        <f>IF(B3016&lt;C3016,1,EXP(-1*(B3016-C3016)/(Utilities!$B$11*IterData!H3016)))</f>
        <v>1</v>
      </c>
    </row>
    <row r="3017" spans="8:11" x14ac:dyDescent="0.3">
      <c r="H3017">
        <v>0.5</v>
      </c>
      <c r="I3017" s="11">
        <f t="shared" si="47"/>
        <v>0</v>
      </c>
      <c r="J3017" s="11">
        <f>1/(H3017*Utilities!$B$11)</f>
        <v>8</v>
      </c>
      <c r="K3017" s="11">
        <f>IF(B3017&lt;C3017,1,EXP(-1*(B3017-C3017)/(Utilities!$B$11*IterData!H3017)))</f>
        <v>1</v>
      </c>
    </row>
    <row r="3018" spans="8:11" x14ac:dyDescent="0.3">
      <c r="H3018">
        <v>0.5</v>
      </c>
      <c r="I3018" s="11">
        <f t="shared" si="47"/>
        <v>0</v>
      </c>
      <c r="J3018" s="11">
        <f>1/(H3018*Utilities!$B$11)</f>
        <v>8</v>
      </c>
      <c r="K3018" s="11">
        <f>IF(B3018&lt;C3018,1,EXP(-1*(B3018-C3018)/(Utilities!$B$11*IterData!H3018)))</f>
        <v>1</v>
      </c>
    </row>
    <row r="3019" spans="8:11" x14ac:dyDescent="0.3">
      <c r="H3019">
        <v>0.5</v>
      </c>
      <c r="I3019" s="11">
        <f t="shared" si="47"/>
        <v>0</v>
      </c>
      <c r="J3019" s="11">
        <f>1/(H3019*Utilities!$B$11)</f>
        <v>8</v>
      </c>
      <c r="K3019" s="11">
        <f>IF(B3019&lt;C3019,1,EXP(-1*(B3019-C3019)/(Utilities!$B$11*IterData!H3019)))</f>
        <v>1</v>
      </c>
    </row>
    <row r="3020" spans="8:11" x14ac:dyDescent="0.3">
      <c r="H3020">
        <v>0.5</v>
      </c>
      <c r="I3020" s="11">
        <f t="shared" si="47"/>
        <v>0</v>
      </c>
      <c r="J3020" s="11">
        <f>1/(H3020*Utilities!$B$11)</f>
        <v>8</v>
      </c>
      <c r="K3020" s="11">
        <f>IF(B3020&lt;C3020,1,EXP(-1*(B3020-C3020)/(Utilities!$B$11*IterData!H3020)))</f>
        <v>1</v>
      </c>
    </row>
    <row r="3021" spans="8:11" x14ac:dyDescent="0.3">
      <c r="H3021">
        <v>0.5</v>
      </c>
      <c r="I3021" s="11">
        <f t="shared" si="47"/>
        <v>0</v>
      </c>
      <c r="J3021" s="11">
        <f>1/(H3021*Utilities!$B$11)</f>
        <v>8</v>
      </c>
      <c r="K3021" s="11">
        <f>IF(B3021&lt;C3021,1,EXP(-1*(B3021-C3021)/(Utilities!$B$11*IterData!H3021)))</f>
        <v>1</v>
      </c>
    </row>
    <row r="3022" spans="8:11" x14ac:dyDescent="0.3">
      <c r="H3022">
        <v>0.5</v>
      </c>
      <c r="I3022" s="11">
        <f t="shared" si="47"/>
        <v>0</v>
      </c>
      <c r="J3022" s="11">
        <f>1/(H3022*Utilities!$B$11)</f>
        <v>8</v>
      </c>
      <c r="K3022" s="11">
        <f>IF(B3022&lt;C3022,1,EXP(-1*(B3022-C3022)/(Utilities!$B$11*IterData!H3022)))</f>
        <v>1</v>
      </c>
    </row>
    <row r="3023" spans="8:11" x14ac:dyDescent="0.3">
      <c r="H3023">
        <v>0.5</v>
      </c>
      <c r="I3023" s="11">
        <f t="shared" si="47"/>
        <v>0</v>
      </c>
      <c r="J3023" s="11">
        <f>1/(H3023*Utilities!$B$11)</f>
        <v>8</v>
      </c>
      <c r="K3023" s="11">
        <f>IF(B3023&lt;C3023,1,EXP(-1*(B3023-C3023)/(Utilities!$B$11*IterData!H3023)))</f>
        <v>1</v>
      </c>
    </row>
    <row r="3024" spans="8:11" x14ac:dyDescent="0.3">
      <c r="H3024">
        <v>0.5</v>
      </c>
      <c r="I3024" s="11">
        <f t="shared" si="47"/>
        <v>0</v>
      </c>
      <c r="J3024" s="11">
        <f>1/(H3024*Utilities!$B$11)</f>
        <v>8</v>
      </c>
      <c r="K3024" s="11">
        <f>IF(B3024&lt;C3024,1,EXP(-1*(B3024-C3024)/(Utilities!$B$11*IterData!H3024)))</f>
        <v>1</v>
      </c>
    </row>
    <row r="3025" spans="8:11" x14ac:dyDescent="0.3">
      <c r="H3025">
        <v>0.5</v>
      </c>
      <c r="I3025" s="11">
        <f t="shared" si="47"/>
        <v>0</v>
      </c>
      <c r="J3025" s="11">
        <f>1/(H3025*Utilities!$B$11)</f>
        <v>8</v>
      </c>
      <c r="K3025" s="11">
        <f>IF(B3025&lt;C3025,1,EXP(-1*(B3025-C3025)/(Utilities!$B$11*IterData!H3025)))</f>
        <v>1</v>
      </c>
    </row>
    <row r="3026" spans="8:11" x14ac:dyDescent="0.3">
      <c r="H3026">
        <v>0.5</v>
      </c>
      <c r="I3026" s="11">
        <f t="shared" si="47"/>
        <v>0</v>
      </c>
      <c r="J3026" s="11">
        <f>1/(H3026*Utilities!$B$11)</f>
        <v>8</v>
      </c>
      <c r="K3026" s="11">
        <f>IF(B3026&lt;C3026,1,EXP(-1*(B3026-C3026)/(Utilities!$B$11*IterData!H3026)))</f>
        <v>1</v>
      </c>
    </row>
    <row r="3027" spans="8:11" x14ac:dyDescent="0.3">
      <c r="H3027">
        <v>0.5</v>
      </c>
      <c r="I3027" s="11">
        <f t="shared" si="47"/>
        <v>0</v>
      </c>
      <c r="J3027" s="11">
        <f>1/(H3027*Utilities!$B$11)</f>
        <v>8</v>
      </c>
      <c r="K3027" s="11">
        <f>IF(B3027&lt;C3027,1,EXP(-1*(B3027-C3027)/(Utilities!$B$11*IterData!H3027)))</f>
        <v>1</v>
      </c>
    </row>
    <row r="3028" spans="8:11" x14ac:dyDescent="0.3">
      <c r="H3028">
        <v>0.5</v>
      </c>
      <c r="I3028" s="11">
        <f t="shared" si="47"/>
        <v>0</v>
      </c>
      <c r="J3028" s="11">
        <f>1/(H3028*Utilities!$B$11)</f>
        <v>8</v>
      </c>
      <c r="K3028" s="11">
        <f>IF(B3028&lt;C3028,1,EXP(-1*(B3028-C3028)/(Utilities!$B$11*IterData!H3028)))</f>
        <v>1</v>
      </c>
    </row>
    <row r="3029" spans="8:11" x14ac:dyDescent="0.3">
      <c r="H3029">
        <v>0.5</v>
      </c>
      <c r="I3029" s="11">
        <f t="shared" si="47"/>
        <v>0</v>
      </c>
      <c r="J3029" s="11">
        <f>1/(H3029*Utilities!$B$11)</f>
        <v>8</v>
      </c>
      <c r="K3029" s="11">
        <f>IF(B3029&lt;C3029,1,EXP(-1*(B3029-C3029)/(Utilities!$B$11*IterData!H3029)))</f>
        <v>1</v>
      </c>
    </row>
    <row r="3030" spans="8:11" x14ac:dyDescent="0.3">
      <c r="H3030">
        <v>0.5</v>
      </c>
      <c r="I3030" s="11">
        <f t="shared" si="47"/>
        <v>0</v>
      </c>
      <c r="J3030" s="11">
        <f>1/(H3030*Utilities!$B$11)</f>
        <v>8</v>
      </c>
      <c r="K3030" s="11">
        <f>IF(B3030&lt;C3030,1,EXP(-1*(B3030-C3030)/(Utilities!$B$11*IterData!H3030)))</f>
        <v>1</v>
      </c>
    </row>
    <row r="3031" spans="8:11" x14ac:dyDescent="0.3">
      <c r="H3031">
        <v>0.5</v>
      </c>
      <c r="I3031" s="11">
        <f t="shared" si="47"/>
        <v>0</v>
      </c>
      <c r="J3031" s="11">
        <f>1/(H3031*Utilities!$B$11)</f>
        <v>8</v>
      </c>
      <c r="K3031" s="11">
        <f>IF(B3031&lt;C3031,1,EXP(-1*(B3031-C3031)/(Utilities!$B$11*IterData!H3031)))</f>
        <v>1</v>
      </c>
    </row>
    <row r="3032" spans="8:11" x14ac:dyDescent="0.3">
      <c r="H3032">
        <v>0.5</v>
      </c>
      <c r="I3032" s="11">
        <f t="shared" si="47"/>
        <v>0</v>
      </c>
      <c r="J3032" s="11">
        <f>1/(H3032*Utilities!$B$11)</f>
        <v>8</v>
      </c>
      <c r="K3032" s="11">
        <f>IF(B3032&lt;C3032,1,EXP(-1*(B3032-C3032)/(Utilities!$B$11*IterData!H3032)))</f>
        <v>1</v>
      </c>
    </row>
    <row r="3033" spans="8:11" x14ac:dyDescent="0.3">
      <c r="H3033">
        <v>0.5</v>
      </c>
      <c r="I3033" s="11">
        <f t="shared" si="47"/>
        <v>0</v>
      </c>
      <c r="J3033" s="11">
        <f>1/(H3033*Utilities!$B$11)</f>
        <v>8</v>
      </c>
      <c r="K3033" s="11">
        <f>IF(B3033&lt;C3033,1,EXP(-1*(B3033-C3033)/(Utilities!$B$11*IterData!H3033)))</f>
        <v>1</v>
      </c>
    </row>
    <row r="3034" spans="8:11" x14ac:dyDescent="0.3">
      <c r="H3034">
        <v>0.5</v>
      </c>
      <c r="I3034" s="11">
        <f t="shared" si="47"/>
        <v>0</v>
      </c>
      <c r="J3034" s="11">
        <f>1/(H3034*Utilities!$B$11)</f>
        <v>8</v>
      </c>
      <c r="K3034" s="11">
        <f>IF(B3034&lt;C3034,1,EXP(-1*(B3034-C3034)/(Utilities!$B$11*IterData!H3034)))</f>
        <v>1</v>
      </c>
    </row>
    <row r="3035" spans="8:11" x14ac:dyDescent="0.3">
      <c r="H3035">
        <v>0.5</v>
      </c>
      <c r="I3035" s="11">
        <f t="shared" si="47"/>
        <v>0</v>
      </c>
      <c r="J3035" s="11">
        <f>1/(H3035*Utilities!$B$11)</f>
        <v>8</v>
      </c>
      <c r="K3035" s="11">
        <f>IF(B3035&lt;C3035,1,EXP(-1*(B3035-C3035)/(Utilities!$B$11*IterData!H3035)))</f>
        <v>1</v>
      </c>
    </row>
    <row r="3036" spans="8:11" x14ac:dyDescent="0.3">
      <c r="H3036">
        <v>0.5</v>
      </c>
      <c r="I3036" s="11">
        <f t="shared" si="47"/>
        <v>0</v>
      </c>
      <c r="J3036" s="11">
        <f>1/(H3036*Utilities!$B$11)</f>
        <v>8</v>
      </c>
      <c r="K3036" s="11">
        <f>IF(B3036&lt;C3036,1,EXP(-1*(B3036-C3036)/(Utilities!$B$11*IterData!H3036)))</f>
        <v>1</v>
      </c>
    </row>
    <row r="3037" spans="8:11" x14ac:dyDescent="0.3">
      <c r="H3037">
        <v>0.5</v>
      </c>
      <c r="I3037" s="11">
        <f t="shared" si="47"/>
        <v>0</v>
      </c>
      <c r="J3037" s="11">
        <f>1/(H3037*Utilities!$B$11)</f>
        <v>8</v>
      </c>
      <c r="K3037" s="11">
        <f>IF(B3037&lt;C3037,1,EXP(-1*(B3037-C3037)/(Utilities!$B$11*IterData!H3037)))</f>
        <v>1</v>
      </c>
    </row>
    <row r="3038" spans="8:11" x14ac:dyDescent="0.3">
      <c r="H3038">
        <v>0.5</v>
      </c>
      <c r="I3038" s="11">
        <f t="shared" si="47"/>
        <v>0</v>
      </c>
      <c r="J3038" s="11">
        <f>1/(H3038*Utilities!$B$11)</f>
        <v>8</v>
      </c>
      <c r="K3038" s="11">
        <f>IF(B3038&lt;C3038,1,EXP(-1*(B3038-C3038)/(Utilities!$B$11*IterData!H3038)))</f>
        <v>1</v>
      </c>
    </row>
    <row r="3039" spans="8:11" x14ac:dyDescent="0.3">
      <c r="H3039">
        <v>0.5</v>
      </c>
      <c r="I3039" s="11">
        <f t="shared" si="47"/>
        <v>0</v>
      </c>
      <c r="J3039" s="11">
        <f>1/(H3039*Utilities!$B$11)</f>
        <v>8</v>
      </c>
      <c r="K3039" s="11">
        <f>IF(B3039&lt;C3039,1,EXP(-1*(B3039-C3039)/(Utilities!$B$11*IterData!H3039)))</f>
        <v>1</v>
      </c>
    </row>
    <row r="3040" spans="8:11" x14ac:dyDescent="0.3">
      <c r="H3040">
        <v>0.5</v>
      </c>
      <c r="I3040" s="11">
        <f t="shared" si="47"/>
        <v>0</v>
      </c>
      <c r="J3040" s="11">
        <f>1/(H3040*Utilities!$B$11)</f>
        <v>8</v>
      </c>
      <c r="K3040" s="11">
        <f>IF(B3040&lt;C3040,1,EXP(-1*(B3040-C3040)/(Utilities!$B$11*IterData!H3040)))</f>
        <v>1</v>
      </c>
    </row>
    <row r="3041" spans="8:11" x14ac:dyDescent="0.3">
      <c r="H3041">
        <v>0.5</v>
      </c>
      <c r="I3041" s="11">
        <f t="shared" si="47"/>
        <v>0</v>
      </c>
      <c r="J3041" s="11">
        <f>1/(H3041*Utilities!$B$11)</f>
        <v>8</v>
      </c>
      <c r="K3041" s="11">
        <f>IF(B3041&lt;C3041,1,EXP(-1*(B3041-C3041)/(Utilities!$B$11*IterData!H3041)))</f>
        <v>1</v>
      </c>
    </row>
    <row r="3042" spans="8:11" x14ac:dyDescent="0.3">
      <c r="H3042">
        <v>0.5</v>
      </c>
      <c r="I3042" s="11">
        <f t="shared" si="47"/>
        <v>0</v>
      </c>
      <c r="J3042" s="11">
        <f>1/(H3042*Utilities!$B$11)</f>
        <v>8</v>
      </c>
      <c r="K3042" s="11">
        <f>IF(B3042&lt;C3042,1,EXP(-1*(B3042-C3042)/(Utilities!$B$11*IterData!H3042)))</f>
        <v>1</v>
      </c>
    </row>
    <row r="3043" spans="8:11" x14ac:dyDescent="0.3">
      <c r="H3043">
        <v>0.5</v>
      </c>
      <c r="I3043" s="11">
        <f t="shared" si="47"/>
        <v>0</v>
      </c>
      <c r="J3043" s="11">
        <f>1/(H3043*Utilities!$B$11)</f>
        <v>8</v>
      </c>
      <c r="K3043" s="11">
        <f>IF(B3043&lt;C3043,1,EXP(-1*(B3043-C3043)/(Utilities!$B$11*IterData!H3043)))</f>
        <v>1</v>
      </c>
    </row>
    <row r="3044" spans="8:11" x14ac:dyDescent="0.3">
      <c r="H3044">
        <v>0.5</v>
      </c>
      <c r="I3044" s="11">
        <f t="shared" si="47"/>
        <v>0</v>
      </c>
      <c r="J3044" s="11">
        <f>1/(H3044*Utilities!$B$11)</f>
        <v>8</v>
      </c>
      <c r="K3044" s="11">
        <f>IF(B3044&lt;C3044,1,EXP(-1*(B3044-C3044)/(Utilities!$B$11*IterData!H3044)))</f>
        <v>1</v>
      </c>
    </row>
    <row r="3045" spans="8:11" x14ac:dyDescent="0.3">
      <c r="H3045">
        <v>0.5</v>
      </c>
      <c r="I3045" s="11">
        <f t="shared" si="47"/>
        <v>0</v>
      </c>
      <c r="J3045" s="11">
        <f>1/(H3045*Utilities!$B$11)</f>
        <v>8</v>
      </c>
      <c r="K3045" s="11">
        <f>IF(B3045&lt;C3045,1,EXP(-1*(B3045-C3045)/(Utilities!$B$11*IterData!H3045)))</f>
        <v>1</v>
      </c>
    </row>
    <row r="3046" spans="8:11" x14ac:dyDescent="0.3">
      <c r="H3046">
        <v>0.5</v>
      </c>
      <c r="I3046" s="11">
        <f t="shared" si="47"/>
        <v>0</v>
      </c>
      <c r="J3046" s="11">
        <f>1/(H3046*Utilities!$B$11)</f>
        <v>8</v>
      </c>
      <c r="K3046" s="11">
        <f>IF(B3046&lt;C3046,1,EXP(-1*(B3046-C3046)/(Utilities!$B$11*IterData!H3046)))</f>
        <v>1</v>
      </c>
    </row>
    <row r="3047" spans="8:11" x14ac:dyDescent="0.3">
      <c r="H3047">
        <v>0.5</v>
      </c>
      <c r="I3047" s="11">
        <f t="shared" si="47"/>
        <v>0</v>
      </c>
      <c r="J3047" s="11">
        <f>1/(H3047*Utilities!$B$11)</f>
        <v>8</v>
      </c>
      <c r="K3047" s="11">
        <f>IF(B3047&lt;C3047,1,EXP(-1*(B3047-C3047)/(Utilities!$B$11*IterData!H3047)))</f>
        <v>1</v>
      </c>
    </row>
    <row r="3048" spans="8:11" x14ac:dyDescent="0.3">
      <c r="H3048">
        <v>0.5</v>
      </c>
      <c r="I3048" s="11">
        <f t="shared" si="47"/>
        <v>0</v>
      </c>
      <c r="J3048" s="11">
        <f>1/(H3048*Utilities!$B$11)</f>
        <v>8</v>
      </c>
      <c r="K3048" s="11">
        <f>IF(B3048&lt;C3048,1,EXP(-1*(B3048-C3048)/(Utilities!$B$11*IterData!H3048)))</f>
        <v>1</v>
      </c>
    </row>
    <row r="3049" spans="8:11" x14ac:dyDescent="0.3">
      <c r="H3049">
        <v>0.5</v>
      </c>
      <c r="I3049" s="11">
        <f t="shared" si="47"/>
        <v>0</v>
      </c>
      <c r="J3049" s="11">
        <f>1/(H3049*Utilities!$B$11)</f>
        <v>8</v>
      </c>
      <c r="K3049" s="11">
        <f>IF(B3049&lt;C3049,1,EXP(-1*(B3049-C3049)/(Utilities!$B$11*IterData!H3049)))</f>
        <v>1</v>
      </c>
    </row>
    <row r="3050" spans="8:11" x14ac:dyDescent="0.3">
      <c r="H3050">
        <v>0.5</v>
      </c>
      <c r="I3050" s="11">
        <f t="shared" si="47"/>
        <v>0</v>
      </c>
      <c r="J3050" s="11">
        <f>1/(H3050*Utilities!$B$11)</f>
        <v>8</v>
      </c>
      <c r="K3050" s="11">
        <f>IF(B3050&lt;C3050,1,EXP(-1*(B3050-C3050)/(Utilities!$B$11*IterData!H3050)))</f>
        <v>1</v>
      </c>
    </row>
    <row r="3051" spans="8:11" x14ac:dyDescent="0.3">
      <c r="H3051">
        <v>0.5</v>
      </c>
      <c r="I3051" s="11">
        <f t="shared" si="47"/>
        <v>0</v>
      </c>
      <c r="J3051" s="11">
        <f>1/(H3051*Utilities!$B$11)</f>
        <v>8</v>
      </c>
      <c r="K3051" s="11">
        <f>IF(B3051&lt;C3051,1,EXP(-1*(B3051-C3051)/(Utilities!$B$11*IterData!H3051)))</f>
        <v>1</v>
      </c>
    </row>
    <row r="3052" spans="8:11" x14ac:dyDescent="0.3">
      <c r="H3052">
        <v>0.5</v>
      </c>
      <c r="I3052" s="11">
        <f t="shared" si="47"/>
        <v>0</v>
      </c>
      <c r="J3052" s="11">
        <f>1/(H3052*Utilities!$B$11)</f>
        <v>8</v>
      </c>
      <c r="K3052" s="11">
        <f>IF(B3052&lt;C3052,1,EXP(-1*(B3052-C3052)/(Utilities!$B$11*IterData!H3052)))</f>
        <v>1</v>
      </c>
    </row>
    <row r="3053" spans="8:11" x14ac:dyDescent="0.3">
      <c r="H3053">
        <v>0.5</v>
      </c>
      <c r="I3053" s="11">
        <f t="shared" si="47"/>
        <v>0</v>
      </c>
      <c r="J3053" s="11">
        <f>1/(H3053*Utilities!$B$11)</f>
        <v>8</v>
      </c>
      <c r="K3053" s="11">
        <f>IF(B3053&lt;C3053,1,EXP(-1*(B3053-C3053)/(Utilities!$B$11*IterData!H3053)))</f>
        <v>1</v>
      </c>
    </row>
    <row r="3054" spans="8:11" x14ac:dyDescent="0.3">
      <c r="H3054">
        <v>0.5</v>
      </c>
      <c r="I3054" s="11">
        <f t="shared" si="47"/>
        <v>0</v>
      </c>
      <c r="J3054" s="11">
        <f>1/(H3054*Utilities!$B$11)</f>
        <v>8</v>
      </c>
      <c r="K3054" s="11">
        <f>IF(B3054&lt;C3054,1,EXP(-1*(B3054-C3054)/(Utilities!$B$11*IterData!H3054)))</f>
        <v>1</v>
      </c>
    </row>
    <row r="3055" spans="8:11" x14ac:dyDescent="0.3">
      <c r="H3055">
        <v>0.5</v>
      </c>
      <c r="I3055" s="11">
        <f t="shared" si="47"/>
        <v>0</v>
      </c>
      <c r="J3055" s="11">
        <f>1/(H3055*Utilities!$B$11)</f>
        <v>8</v>
      </c>
      <c r="K3055" s="11">
        <f>IF(B3055&lt;C3055,1,EXP(-1*(B3055-C3055)/(Utilities!$B$11*IterData!H3055)))</f>
        <v>1</v>
      </c>
    </row>
    <row r="3056" spans="8:11" x14ac:dyDescent="0.3">
      <c r="H3056">
        <v>0.5</v>
      </c>
      <c r="I3056" s="11">
        <f t="shared" si="47"/>
        <v>0</v>
      </c>
      <c r="J3056" s="11">
        <f>1/(H3056*Utilities!$B$11)</f>
        <v>8</v>
      </c>
      <c r="K3056" s="11">
        <f>IF(B3056&lt;C3056,1,EXP(-1*(B3056-C3056)/(Utilities!$B$11*IterData!H3056)))</f>
        <v>1</v>
      </c>
    </row>
    <row r="3057" spans="8:11" x14ac:dyDescent="0.3">
      <c r="H3057">
        <v>0.5</v>
      </c>
      <c r="I3057" s="11">
        <f t="shared" si="47"/>
        <v>0</v>
      </c>
      <c r="J3057" s="11">
        <f>1/(H3057*Utilities!$B$11)</f>
        <v>8</v>
      </c>
      <c r="K3057" s="11">
        <f>IF(B3057&lt;C3057,1,EXP(-1*(B3057-C3057)/(Utilities!$B$11*IterData!H3057)))</f>
        <v>1</v>
      </c>
    </row>
    <row r="3058" spans="8:11" x14ac:dyDescent="0.3">
      <c r="H3058">
        <v>0.5</v>
      </c>
      <c r="I3058" s="11">
        <f t="shared" si="47"/>
        <v>0</v>
      </c>
      <c r="J3058" s="11">
        <f>1/(H3058*Utilities!$B$11)</f>
        <v>8</v>
      </c>
      <c r="K3058" s="11">
        <f>IF(B3058&lt;C3058,1,EXP(-1*(B3058-C3058)/(Utilities!$B$11*IterData!H3058)))</f>
        <v>1</v>
      </c>
    </row>
    <row r="3059" spans="8:11" x14ac:dyDescent="0.3">
      <c r="H3059">
        <v>0.5</v>
      </c>
      <c r="I3059" s="11">
        <f t="shared" si="47"/>
        <v>0</v>
      </c>
      <c r="J3059" s="11">
        <f>1/(H3059*Utilities!$B$11)</f>
        <v>8</v>
      </c>
      <c r="K3059" s="11">
        <f>IF(B3059&lt;C3059,1,EXP(-1*(B3059-C3059)/(Utilities!$B$11*IterData!H3059)))</f>
        <v>1</v>
      </c>
    </row>
    <row r="3060" spans="8:11" x14ac:dyDescent="0.3">
      <c r="H3060">
        <v>0.5</v>
      </c>
      <c r="I3060" s="11">
        <f t="shared" si="47"/>
        <v>0</v>
      </c>
      <c r="J3060" s="11">
        <f>1/(H3060*Utilities!$B$11)</f>
        <v>8</v>
      </c>
      <c r="K3060" s="11">
        <f>IF(B3060&lt;C3060,1,EXP(-1*(B3060-C3060)/(Utilities!$B$11*IterData!H3060)))</f>
        <v>1</v>
      </c>
    </row>
    <row r="3061" spans="8:11" x14ac:dyDescent="0.3">
      <c r="H3061">
        <v>0.5</v>
      </c>
      <c r="I3061" s="11">
        <f t="shared" si="47"/>
        <v>0</v>
      </c>
      <c r="J3061" s="11">
        <f>1/(H3061*Utilities!$B$11)</f>
        <v>8</v>
      </c>
      <c r="K3061" s="11">
        <f>IF(B3061&lt;C3061,1,EXP(-1*(B3061-C3061)/(Utilities!$B$11*IterData!H3061)))</f>
        <v>1</v>
      </c>
    </row>
    <row r="3062" spans="8:11" x14ac:dyDescent="0.3">
      <c r="H3062">
        <v>0.5</v>
      </c>
      <c r="I3062" s="11">
        <f t="shared" si="47"/>
        <v>0</v>
      </c>
      <c r="J3062" s="11">
        <f>1/(H3062*Utilities!$B$11)</f>
        <v>8</v>
      </c>
      <c r="K3062" s="11">
        <f>IF(B3062&lt;C3062,1,EXP(-1*(B3062-C3062)/(Utilities!$B$11*IterData!H3062)))</f>
        <v>1</v>
      </c>
    </row>
    <row r="3063" spans="8:11" x14ac:dyDescent="0.3">
      <c r="H3063">
        <v>0.5</v>
      </c>
      <c r="I3063" s="11">
        <f t="shared" si="47"/>
        <v>0</v>
      </c>
      <c r="J3063" s="11">
        <f>1/(H3063*Utilities!$B$11)</f>
        <v>8</v>
      </c>
      <c r="K3063" s="11">
        <f>IF(B3063&lt;C3063,1,EXP(-1*(B3063-C3063)/(Utilities!$B$11*IterData!H3063)))</f>
        <v>1</v>
      </c>
    </row>
    <row r="3064" spans="8:11" x14ac:dyDescent="0.3">
      <c r="H3064">
        <v>0.5</v>
      </c>
      <c r="I3064" s="11">
        <f t="shared" si="47"/>
        <v>0</v>
      </c>
      <c r="J3064" s="11">
        <f>1/(H3064*Utilities!$B$11)</f>
        <v>8</v>
      </c>
      <c r="K3064" s="11">
        <f>IF(B3064&lt;C3064,1,EXP(-1*(B3064-C3064)/(Utilities!$B$11*IterData!H3064)))</f>
        <v>1</v>
      </c>
    </row>
    <row r="3065" spans="8:11" x14ac:dyDescent="0.3">
      <c r="H3065">
        <v>0.5</v>
      </c>
      <c r="I3065" s="11">
        <f t="shared" si="47"/>
        <v>0</v>
      </c>
      <c r="J3065" s="11">
        <f>1/(H3065*Utilities!$B$11)</f>
        <v>8</v>
      </c>
      <c r="K3065" s="11">
        <f>IF(B3065&lt;C3065,1,EXP(-1*(B3065-C3065)/(Utilities!$B$11*IterData!H3065)))</f>
        <v>1</v>
      </c>
    </row>
    <row r="3066" spans="8:11" x14ac:dyDescent="0.3">
      <c r="H3066">
        <v>0.5</v>
      </c>
      <c r="I3066" s="11">
        <f t="shared" si="47"/>
        <v>0</v>
      </c>
      <c r="J3066" s="11">
        <f>1/(H3066*Utilities!$B$11)</f>
        <v>8</v>
      </c>
      <c r="K3066" s="11">
        <f>IF(B3066&lt;C3066,1,EXP(-1*(B3066-C3066)/(Utilities!$B$11*IterData!H3066)))</f>
        <v>1</v>
      </c>
    </row>
    <row r="3067" spans="8:11" x14ac:dyDescent="0.3">
      <c r="H3067">
        <v>0.5</v>
      </c>
      <c r="I3067" s="11">
        <f t="shared" si="47"/>
        <v>0</v>
      </c>
      <c r="J3067" s="11">
        <f>1/(H3067*Utilities!$B$11)</f>
        <v>8</v>
      </c>
      <c r="K3067" s="11">
        <f>IF(B3067&lt;C3067,1,EXP(-1*(B3067-C3067)/(Utilities!$B$11*IterData!H3067)))</f>
        <v>1</v>
      </c>
    </row>
    <row r="3068" spans="8:11" x14ac:dyDescent="0.3">
      <c r="H3068">
        <v>0.5</v>
      </c>
      <c r="I3068" s="11">
        <f t="shared" si="47"/>
        <v>0</v>
      </c>
      <c r="J3068" s="11">
        <f>1/(H3068*Utilities!$B$11)</f>
        <v>8</v>
      </c>
      <c r="K3068" s="11">
        <f>IF(B3068&lt;C3068,1,EXP(-1*(B3068-C3068)/(Utilities!$B$11*IterData!H3068)))</f>
        <v>1</v>
      </c>
    </row>
    <row r="3069" spans="8:11" x14ac:dyDescent="0.3">
      <c r="H3069">
        <v>0.5</v>
      </c>
      <c r="I3069" s="11">
        <f t="shared" si="47"/>
        <v>0</v>
      </c>
      <c r="J3069" s="11">
        <f>1/(H3069*Utilities!$B$11)</f>
        <v>8</v>
      </c>
      <c r="K3069" s="11">
        <f>IF(B3069&lt;C3069,1,EXP(-1*(B3069-C3069)/(Utilities!$B$11*IterData!H3069)))</f>
        <v>1</v>
      </c>
    </row>
    <row r="3070" spans="8:11" x14ac:dyDescent="0.3">
      <c r="H3070">
        <v>0.5</v>
      </c>
      <c r="I3070" s="11">
        <f t="shared" si="47"/>
        <v>0</v>
      </c>
      <c r="J3070" s="11">
        <f>1/(H3070*Utilities!$B$11)</f>
        <v>8</v>
      </c>
      <c r="K3070" s="11">
        <f>IF(B3070&lt;C3070,1,EXP(-1*(B3070-C3070)/(Utilities!$B$11*IterData!H3070)))</f>
        <v>1</v>
      </c>
    </row>
    <row r="3071" spans="8:11" x14ac:dyDescent="0.3">
      <c r="H3071">
        <v>0.5</v>
      </c>
      <c r="I3071" s="11">
        <f t="shared" si="47"/>
        <v>0</v>
      </c>
      <c r="J3071" s="11">
        <f>1/(H3071*Utilities!$B$11)</f>
        <v>8</v>
      </c>
      <c r="K3071" s="11">
        <f>IF(B3071&lt;C3071,1,EXP(-1*(B3071-C3071)/(Utilities!$B$11*IterData!H3071)))</f>
        <v>1</v>
      </c>
    </row>
    <row r="3072" spans="8:11" x14ac:dyDescent="0.3">
      <c r="H3072">
        <v>0.5</v>
      </c>
      <c r="I3072" s="11">
        <f t="shared" si="47"/>
        <v>0</v>
      </c>
      <c r="J3072" s="11">
        <f>1/(H3072*Utilities!$B$11)</f>
        <v>8</v>
      </c>
      <c r="K3072" s="11">
        <f>IF(B3072&lt;C3072,1,EXP(-1*(B3072-C3072)/(Utilities!$B$11*IterData!H3072)))</f>
        <v>1</v>
      </c>
    </row>
    <row r="3073" spans="8:11" x14ac:dyDescent="0.3">
      <c r="H3073">
        <v>0.5</v>
      </c>
      <c r="I3073" s="11">
        <f t="shared" si="47"/>
        <v>0</v>
      </c>
      <c r="J3073" s="11">
        <f>1/(H3073*Utilities!$B$11)</f>
        <v>8</v>
      </c>
      <c r="K3073" s="11">
        <f>IF(B3073&lt;C3073,1,EXP(-1*(B3073-C3073)/(Utilities!$B$11*IterData!H3073)))</f>
        <v>1</v>
      </c>
    </row>
    <row r="3074" spans="8:11" x14ac:dyDescent="0.3">
      <c r="H3074">
        <v>0.5</v>
      </c>
      <c r="I3074" s="11">
        <f t="shared" si="47"/>
        <v>0</v>
      </c>
      <c r="J3074" s="11">
        <f>1/(H3074*Utilities!$B$11)</f>
        <v>8</v>
      </c>
      <c r="K3074" s="11">
        <f>IF(B3074&lt;C3074,1,EXP(-1*(B3074-C3074)/(Utilities!$B$11*IterData!H3074)))</f>
        <v>1</v>
      </c>
    </row>
    <row r="3075" spans="8:11" x14ac:dyDescent="0.3">
      <c r="H3075">
        <v>0.5</v>
      </c>
      <c r="I3075" s="11">
        <f t="shared" ref="I3075:I3138" si="48">B3075-C3075</f>
        <v>0</v>
      </c>
      <c r="J3075" s="11">
        <f>1/(H3075*Utilities!$B$11)</f>
        <v>8</v>
      </c>
      <c r="K3075" s="11">
        <f>IF(B3075&lt;C3075,1,EXP(-1*(B3075-C3075)/(Utilities!$B$11*IterData!H3075)))</f>
        <v>1</v>
      </c>
    </row>
    <row r="3076" spans="8:11" x14ac:dyDescent="0.3">
      <c r="H3076">
        <v>0.5</v>
      </c>
      <c r="I3076" s="11">
        <f t="shared" si="48"/>
        <v>0</v>
      </c>
      <c r="J3076" s="11">
        <f>1/(H3076*Utilities!$B$11)</f>
        <v>8</v>
      </c>
      <c r="K3076" s="11">
        <f>IF(B3076&lt;C3076,1,EXP(-1*(B3076-C3076)/(Utilities!$B$11*IterData!H3076)))</f>
        <v>1</v>
      </c>
    </row>
    <row r="3077" spans="8:11" x14ac:dyDescent="0.3">
      <c r="H3077">
        <v>0.5</v>
      </c>
      <c r="I3077" s="11">
        <f t="shared" si="48"/>
        <v>0</v>
      </c>
      <c r="J3077" s="11">
        <f>1/(H3077*Utilities!$B$11)</f>
        <v>8</v>
      </c>
      <c r="K3077" s="11">
        <f>IF(B3077&lt;C3077,1,EXP(-1*(B3077-C3077)/(Utilities!$B$11*IterData!H3077)))</f>
        <v>1</v>
      </c>
    </row>
    <row r="3078" spans="8:11" x14ac:dyDescent="0.3">
      <c r="H3078">
        <v>0.5</v>
      </c>
      <c r="I3078" s="11">
        <f t="shared" si="48"/>
        <v>0</v>
      </c>
      <c r="J3078" s="11">
        <f>1/(H3078*Utilities!$B$11)</f>
        <v>8</v>
      </c>
      <c r="K3078" s="11">
        <f>IF(B3078&lt;C3078,1,EXP(-1*(B3078-C3078)/(Utilities!$B$11*IterData!H3078)))</f>
        <v>1</v>
      </c>
    </row>
    <row r="3079" spans="8:11" x14ac:dyDescent="0.3">
      <c r="H3079">
        <v>0.5</v>
      </c>
      <c r="I3079" s="11">
        <f t="shared" si="48"/>
        <v>0</v>
      </c>
      <c r="J3079" s="11">
        <f>1/(H3079*Utilities!$B$11)</f>
        <v>8</v>
      </c>
      <c r="K3079" s="11">
        <f>IF(B3079&lt;C3079,1,EXP(-1*(B3079-C3079)/(Utilities!$B$11*IterData!H3079)))</f>
        <v>1</v>
      </c>
    </row>
    <row r="3080" spans="8:11" x14ac:dyDescent="0.3">
      <c r="H3080">
        <v>0.5</v>
      </c>
      <c r="I3080" s="11">
        <f t="shared" si="48"/>
        <v>0</v>
      </c>
      <c r="J3080" s="11">
        <f>1/(H3080*Utilities!$B$11)</f>
        <v>8</v>
      </c>
      <c r="K3080" s="11">
        <f>IF(B3080&lt;C3080,1,EXP(-1*(B3080-C3080)/(Utilities!$B$11*IterData!H3080)))</f>
        <v>1</v>
      </c>
    </row>
    <row r="3081" spans="8:11" x14ac:dyDescent="0.3">
      <c r="H3081">
        <v>0.5</v>
      </c>
      <c r="I3081" s="11">
        <f t="shared" si="48"/>
        <v>0</v>
      </c>
      <c r="J3081" s="11">
        <f>1/(H3081*Utilities!$B$11)</f>
        <v>8</v>
      </c>
      <c r="K3081" s="11">
        <f>IF(B3081&lt;C3081,1,EXP(-1*(B3081-C3081)/(Utilities!$B$11*IterData!H3081)))</f>
        <v>1</v>
      </c>
    </row>
    <row r="3082" spans="8:11" x14ac:dyDescent="0.3">
      <c r="H3082">
        <v>0.5</v>
      </c>
      <c r="I3082" s="11">
        <f t="shared" si="48"/>
        <v>0</v>
      </c>
      <c r="J3082" s="11">
        <f>1/(H3082*Utilities!$B$11)</f>
        <v>8</v>
      </c>
      <c r="K3082" s="11">
        <f>IF(B3082&lt;C3082,1,EXP(-1*(B3082-C3082)/(Utilities!$B$11*IterData!H3082)))</f>
        <v>1</v>
      </c>
    </row>
    <row r="3083" spans="8:11" x14ac:dyDescent="0.3">
      <c r="H3083">
        <v>0.5</v>
      </c>
      <c r="I3083" s="11">
        <f t="shared" si="48"/>
        <v>0</v>
      </c>
      <c r="J3083" s="11">
        <f>1/(H3083*Utilities!$B$11)</f>
        <v>8</v>
      </c>
      <c r="K3083" s="11">
        <f>IF(B3083&lt;C3083,1,EXP(-1*(B3083-C3083)/(Utilities!$B$11*IterData!H3083)))</f>
        <v>1</v>
      </c>
    </row>
    <row r="3084" spans="8:11" x14ac:dyDescent="0.3">
      <c r="H3084">
        <v>0.5</v>
      </c>
      <c r="I3084" s="11">
        <f t="shared" si="48"/>
        <v>0</v>
      </c>
      <c r="J3084" s="11">
        <f>1/(H3084*Utilities!$B$11)</f>
        <v>8</v>
      </c>
      <c r="K3084" s="11">
        <f>IF(B3084&lt;C3084,1,EXP(-1*(B3084-C3084)/(Utilities!$B$11*IterData!H3084)))</f>
        <v>1</v>
      </c>
    </row>
    <row r="3085" spans="8:11" x14ac:dyDescent="0.3">
      <c r="H3085">
        <v>0.5</v>
      </c>
      <c r="I3085" s="11">
        <f t="shared" si="48"/>
        <v>0</v>
      </c>
      <c r="J3085" s="11">
        <f>1/(H3085*Utilities!$B$11)</f>
        <v>8</v>
      </c>
      <c r="K3085" s="11">
        <f>IF(B3085&lt;C3085,1,EXP(-1*(B3085-C3085)/(Utilities!$B$11*IterData!H3085)))</f>
        <v>1</v>
      </c>
    </row>
    <row r="3086" spans="8:11" x14ac:dyDescent="0.3">
      <c r="H3086">
        <v>0.5</v>
      </c>
      <c r="I3086" s="11">
        <f t="shared" si="48"/>
        <v>0</v>
      </c>
      <c r="J3086" s="11">
        <f>1/(H3086*Utilities!$B$11)</f>
        <v>8</v>
      </c>
      <c r="K3086" s="11">
        <f>IF(B3086&lt;C3086,1,EXP(-1*(B3086-C3086)/(Utilities!$B$11*IterData!H3086)))</f>
        <v>1</v>
      </c>
    </row>
    <row r="3087" spans="8:11" x14ac:dyDescent="0.3">
      <c r="H3087">
        <v>0.5</v>
      </c>
      <c r="I3087" s="11">
        <f t="shared" si="48"/>
        <v>0</v>
      </c>
      <c r="J3087" s="11">
        <f>1/(H3087*Utilities!$B$11)</f>
        <v>8</v>
      </c>
      <c r="K3087" s="11">
        <f>IF(B3087&lt;C3087,1,EXP(-1*(B3087-C3087)/(Utilities!$B$11*IterData!H3087)))</f>
        <v>1</v>
      </c>
    </row>
    <row r="3088" spans="8:11" x14ac:dyDescent="0.3">
      <c r="H3088">
        <v>0.5</v>
      </c>
      <c r="I3088" s="11">
        <f t="shared" si="48"/>
        <v>0</v>
      </c>
      <c r="J3088" s="11">
        <f>1/(H3088*Utilities!$B$11)</f>
        <v>8</v>
      </c>
      <c r="K3088" s="11">
        <f>IF(B3088&lt;C3088,1,EXP(-1*(B3088-C3088)/(Utilities!$B$11*IterData!H3088)))</f>
        <v>1</v>
      </c>
    </row>
    <row r="3089" spans="8:11" x14ac:dyDescent="0.3">
      <c r="H3089">
        <v>0.5</v>
      </c>
      <c r="I3089" s="11">
        <f t="shared" si="48"/>
        <v>0</v>
      </c>
      <c r="J3089" s="11">
        <f>1/(H3089*Utilities!$B$11)</f>
        <v>8</v>
      </c>
      <c r="K3089" s="11">
        <f>IF(B3089&lt;C3089,1,EXP(-1*(B3089-C3089)/(Utilities!$B$11*IterData!H3089)))</f>
        <v>1</v>
      </c>
    </row>
    <row r="3090" spans="8:11" x14ac:dyDescent="0.3">
      <c r="H3090">
        <v>0.5</v>
      </c>
      <c r="I3090" s="11">
        <f t="shared" si="48"/>
        <v>0</v>
      </c>
      <c r="J3090" s="11">
        <f>1/(H3090*Utilities!$B$11)</f>
        <v>8</v>
      </c>
      <c r="K3090" s="11">
        <f>IF(B3090&lt;C3090,1,EXP(-1*(B3090-C3090)/(Utilities!$B$11*IterData!H3090)))</f>
        <v>1</v>
      </c>
    </row>
    <row r="3091" spans="8:11" x14ac:dyDescent="0.3">
      <c r="H3091">
        <v>0.5</v>
      </c>
      <c r="I3091" s="11">
        <f t="shared" si="48"/>
        <v>0</v>
      </c>
      <c r="J3091" s="11">
        <f>1/(H3091*Utilities!$B$11)</f>
        <v>8</v>
      </c>
      <c r="K3091" s="11">
        <f>IF(B3091&lt;C3091,1,EXP(-1*(B3091-C3091)/(Utilities!$B$11*IterData!H3091)))</f>
        <v>1</v>
      </c>
    </row>
    <row r="3092" spans="8:11" x14ac:dyDescent="0.3">
      <c r="H3092">
        <v>0.5</v>
      </c>
      <c r="I3092" s="11">
        <f t="shared" si="48"/>
        <v>0</v>
      </c>
      <c r="J3092" s="11">
        <f>1/(H3092*Utilities!$B$11)</f>
        <v>8</v>
      </c>
      <c r="K3092" s="11">
        <f>IF(B3092&lt;C3092,1,EXP(-1*(B3092-C3092)/(Utilities!$B$11*IterData!H3092)))</f>
        <v>1</v>
      </c>
    </row>
    <row r="3093" spans="8:11" x14ac:dyDescent="0.3">
      <c r="H3093">
        <v>0.5</v>
      </c>
      <c r="I3093" s="11">
        <f t="shared" si="48"/>
        <v>0</v>
      </c>
      <c r="J3093" s="11">
        <f>1/(H3093*Utilities!$B$11)</f>
        <v>8</v>
      </c>
      <c r="K3093" s="11">
        <f>IF(B3093&lt;C3093,1,EXP(-1*(B3093-C3093)/(Utilities!$B$11*IterData!H3093)))</f>
        <v>1</v>
      </c>
    </row>
    <row r="3094" spans="8:11" x14ac:dyDescent="0.3">
      <c r="H3094">
        <v>0.5</v>
      </c>
      <c r="I3094" s="11">
        <f t="shared" si="48"/>
        <v>0</v>
      </c>
      <c r="J3094" s="11">
        <f>1/(H3094*Utilities!$B$11)</f>
        <v>8</v>
      </c>
      <c r="K3094" s="11">
        <f>IF(B3094&lt;C3094,1,EXP(-1*(B3094-C3094)/(Utilities!$B$11*IterData!H3094)))</f>
        <v>1</v>
      </c>
    </row>
    <row r="3095" spans="8:11" x14ac:dyDescent="0.3">
      <c r="H3095">
        <v>0.5</v>
      </c>
      <c r="I3095" s="11">
        <f t="shared" si="48"/>
        <v>0</v>
      </c>
      <c r="J3095" s="11">
        <f>1/(H3095*Utilities!$B$11)</f>
        <v>8</v>
      </c>
      <c r="K3095" s="11">
        <f>IF(B3095&lt;C3095,1,EXP(-1*(B3095-C3095)/(Utilities!$B$11*IterData!H3095)))</f>
        <v>1</v>
      </c>
    </row>
    <row r="3096" spans="8:11" x14ac:dyDescent="0.3">
      <c r="H3096">
        <v>0.5</v>
      </c>
      <c r="I3096" s="11">
        <f t="shared" si="48"/>
        <v>0</v>
      </c>
      <c r="J3096" s="11">
        <f>1/(H3096*Utilities!$B$11)</f>
        <v>8</v>
      </c>
      <c r="K3096" s="11">
        <f>IF(B3096&lt;C3096,1,EXP(-1*(B3096-C3096)/(Utilities!$B$11*IterData!H3096)))</f>
        <v>1</v>
      </c>
    </row>
    <row r="3097" spans="8:11" x14ac:dyDescent="0.3">
      <c r="H3097">
        <v>0.5</v>
      </c>
      <c r="I3097" s="11">
        <f t="shared" si="48"/>
        <v>0</v>
      </c>
      <c r="J3097" s="11">
        <f>1/(H3097*Utilities!$B$11)</f>
        <v>8</v>
      </c>
      <c r="K3097" s="11">
        <f>IF(B3097&lt;C3097,1,EXP(-1*(B3097-C3097)/(Utilities!$B$11*IterData!H3097)))</f>
        <v>1</v>
      </c>
    </row>
    <row r="3098" spans="8:11" x14ac:dyDescent="0.3">
      <c r="H3098">
        <v>0.5</v>
      </c>
      <c r="I3098" s="11">
        <f t="shared" si="48"/>
        <v>0</v>
      </c>
      <c r="J3098" s="11">
        <f>1/(H3098*Utilities!$B$11)</f>
        <v>8</v>
      </c>
      <c r="K3098" s="11">
        <f>IF(B3098&lt;C3098,1,EXP(-1*(B3098-C3098)/(Utilities!$B$11*IterData!H3098)))</f>
        <v>1</v>
      </c>
    </row>
    <row r="3099" spans="8:11" x14ac:dyDescent="0.3">
      <c r="H3099">
        <v>0.5</v>
      </c>
      <c r="I3099" s="11">
        <f t="shared" si="48"/>
        <v>0</v>
      </c>
      <c r="J3099" s="11">
        <f>1/(H3099*Utilities!$B$11)</f>
        <v>8</v>
      </c>
      <c r="K3099" s="11">
        <f>IF(B3099&lt;C3099,1,EXP(-1*(B3099-C3099)/(Utilities!$B$11*IterData!H3099)))</f>
        <v>1</v>
      </c>
    </row>
    <row r="3100" spans="8:11" x14ac:dyDescent="0.3">
      <c r="H3100">
        <v>0.5</v>
      </c>
      <c r="I3100" s="11">
        <f t="shared" si="48"/>
        <v>0</v>
      </c>
      <c r="J3100" s="11">
        <f>1/(H3100*Utilities!$B$11)</f>
        <v>8</v>
      </c>
      <c r="K3100" s="11">
        <f>IF(B3100&lt;C3100,1,EXP(-1*(B3100-C3100)/(Utilities!$B$11*IterData!H3100)))</f>
        <v>1</v>
      </c>
    </row>
    <row r="3101" spans="8:11" x14ac:dyDescent="0.3">
      <c r="H3101">
        <v>0.5</v>
      </c>
      <c r="I3101" s="11">
        <f t="shared" si="48"/>
        <v>0</v>
      </c>
      <c r="J3101" s="11">
        <f>1/(H3101*Utilities!$B$11)</f>
        <v>8</v>
      </c>
      <c r="K3101" s="11">
        <f>IF(B3101&lt;C3101,1,EXP(-1*(B3101-C3101)/(Utilities!$B$11*IterData!H3101)))</f>
        <v>1</v>
      </c>
    </row>
    <row r="3102" spans="8:11" x14ac:dyDescent="0.3">
      <c r="H3102">
        <v>0.5</v>
      </c>
      <c r="I3102" s="11">
        <f t="shared" si="48"/>
        <v>0</v>
      </c>
      <c r="J3102" s="11">
        <f>1/(H3102*Utilities!$B$11)</f>
        <v>8</v>
      </c>
      <c r="K3102" s="11">
        <f>IF(B3102&lt;C3102,1,EXP(-1*(B3102-C3102)/(Utilities!$B$11*IterData!H3102)))</f>
        <v>1</v>
      </c>
    </row>
    <row r="3103" spans="8:11" x14ac:dyDescent="0.3">
      <c r="H3103">
        <v>0.5</v>
      </c>
      <c r="I3103" s="11">
        <f t="shared" si="48"/>
        <v>0</v>
      </c>
      <c r="J3103" s="11">
        <f>1/(H3103*Utilities!$B$11)</f>
        <v>8</v>
      </c>
      <c r="K3103" s="11">
        <f>IF(B3103&lt;C3103,1,EXP(-1*(B3103-C3103)/(Utilities!$B$11*IterData!H3103)))</f>
        <v>1</v>
      </c>
    </row>
    <row r="3104" spans="8:11" x14ac:dyDescent="0.3">
      <c r="H3104">
        <v>0.5</v>
      </c>
      <c r="I3104" s="11">
        <f t="shared" si="48"/>
        <v>0</v>
      </c>
      <c r="J3104" s="11">
        <f>1/(H3104*Utilities!$B$11)</f>
        <v>8</v>
      </c>
      <c r="K3104" s="11">
        <f>IF(B3104&lt;C3104,1,EXP(-1*(B3104-C3104)/(Utilities!$B$11*IterData!H3104)))</f>
        <v>1</v>
      </c>
    </row>
    <row r="3105" spans="8:11" x14ac:dyDescent="0.3">
      <c r="H3105">
        <v>0.5</v>
      </c>
      <c r="I3105" s="11">
        <f t="shared" si="48"/>
        <v>0</v>
      </c>
      <c r="J3105" s="11">
        <f>1/(H3105*Utilities!$B$11)</f>
        <v>8</v>
      </c>
      <c r="K3105" s="11">
        <f>IF(B3105&lt;C3105,1,EXP(-1*(B3105-C3105)/(Utilities!$B$11*IterData!H3105)))</f>
        <v>1</v>
      </c>
    </row>
    <row r="3106" spans="8:11" x14ac:dyDescent="0.3">
      <c r="H3106">
        <v>0.5</v>
      </c>
      <c r="I3106" s="11">
        <f t="shared" si="48"/>
        <v>0</v>
      </c>
      <c r="J3106" s="11">
        <f>1/(H3106*Utilities!$B$11)</f>
        <v>8</v>
      </c>
      <c r="K3106" s="11">
        <f>IF(B3106&lt;C3106,1,EXP(-1*(B3106-C3106)/(Utilities!$B$11*IterData!H3106)))</f>
        <v>1</v>
      </c>
    </row>
    <row r="3107" spans="8:11" x14ac:dyDescent="0.3">
      <c r="H3107">
        <v>0.5</v>
      </c>
      <c r="I3107" s="11">
        <f t="shared" si="48"/>
        <v>0</v>
      </c>
      <c r="J3107" s="11">
        <f>1/(H3107*Utilities!$B$11)</f>
        <v>8</v>
      </c>
      <c r="K3107" s="11">
        <f>IF(B3107&lt;C3107,1,EXP(-1*(B3107-C3107)/(Utilities!$B$11*IterData!H3107)))</f>
        <v>1</v>
      </c>
    </row>
    <row r="3108" spans="8:11" x14ac:dyDescent="0.3">
      <c r="H3108">
        <v>0.5</v>
      </c>
      <c r="I3108" s="11">
        <f t="shared" si="48"/>
        <v>0</v>
      </c>
      <c r="J3108" s="11">
        <f>1/(H3108*Utilities!$B$11)</f>
        <v>8</v>
      </c>
      <c r="K3108" s="11">
        <f>IF(B3108&lt;C3108,1,EXP(-1*(B3108-C3108)/(Utilities!$B$11*IterData!H3108)))</f>
        <v>1</v>
      </c>
    </row>
    <row r="3109" spans="8:11" x14ac:dyDescent="0.3">
      <c r="H3109">
        <v>0.5</v>
      </c>
      <c r="I3109" s="11">
        <f t="shared" si="48"/>
        <v>0</v>
      </c>
      <c r="J3109" s="11">
        <f>1/(H3109*Utilities!$B$11)</f>
        <v>8</v>
      </c>
      <c r="K3109" s="11">
        <f>IF(B3109&lt;C3109,1,EXP(-1*(B3109-C3109)/(Utilities!$B$11*IterData!H3109)))</f>
        <v>1</v>
      </c>
    </row>
    <row r="3110" spans="8:11" x14ac:dyDescent="0.3">
      <c r="H3110">
        <v>0.5</v>
      </c>
      <c r="I3110" s="11">
        <f t="shared" si="48"/>
        <v>0</v>
      </c>
      <c r="J3110" s="11">
        <f>1/(H3110*Utilities!$B$11)</f>
        <v>8</v>
      </c>
      <c r="K3110" s="11">
        <f>IF(B3110&lt;C3110,1,EXP(-1*(B3110-C3110)/(Utilities!$B$11*IterData!H3110)))</f>
        <v>1</v>
      </c>
    </row>
    <row r="3111" spans="8:11" x14ac:dyDescent="0.3">
      <c r="H3111">
        <v>0.5</v>
      </c>
      <c r="I3111" s="11">
        <f t="shared" si="48"/>
        <v>0</v>
      </c>
      <c r="J3111" s="11">
        <f>1/(H3111*Utilities!$B$11)</f>
        <v>8</v>
      </c>
      <c r="K3111" s="11">
        <f>IF(B3111&lt;C3111,1,EXP(-1*(B3111-C3111)/(Utilities!$B$11*IterData!H3111)))</f>
        <v>1</v>
      </c>
    </row>
    <row r="3112" spans="8:11" x14ac:dyDescent="0.3">
      <c r="H3112">
        <v>0.5</v>
      </c>
      <c r="I3112" s="11">
        <f t="shared" si="48"/>
        <v>0</v>
      </c>
      <c r="J3112" s="11">
        <f>1/(H3112*Utilities!$B$11)</f>
        <v>8</v>
      </c>
      <c r="K3112" s="11">
        <f>IF(B3112&lt;C3112,1,EXP(-1*(B3112-C3112)/(Utilities!$B$11*IterData!H3112)))</f>
        <v>1</v>
      </c>
    </row>
    <row r="3113" spans="8:11" x14ac:dyDescent="0.3">
      <c r="H3113">
        <v>0.5</v>
      </c>
      <c r="I3113" s="11">
        <f t="shared" si="48"/>
        <v>0</v>
      </c>
      <c r="J3113" s="11">
        <f>1/(H3113*Utilities!$B$11)</f>
        <v>8</v>
      </c>
      <c r="K3113" s="11">
        <f>IF(B3113&lt;C3113,1,EXP(-1*(B3113-C3113)/(Utilities!$B$11*IterData!H3113)))</f>
        <v>1</v>
      </c>
    </row>
    <row r="3114" spans="8:11" x14ac:dyDescent="0.3">
      <c r="H3114">
        <v>0.5</v>
      </c>
      <c r="I3114" s="11">
        <f t="shared" si="48"/>
        <v>0</v>
      </c>
      <c r="J3114" s="11">
        <f>1/(H3114*Utilities!$B$11)</f>
        <v>8</v>
      </c>
      <c r="K3114" s="11">
        <f>IF(B3114&lt;C3114,1,EXP(-1*(B3114-C3114)/(Utilities!$B$11*IterData!H3114)))</f>
        <v>1</v>
      </c>
    </row>
    <row r="3115" spans="8:11" x14ac:dyDescent="0.3">
      <c r="H3115">
        <v>0.5</v>
      </c>
      <c r="I3115" s="11">
        <f t="shared" si="48"/>
        <v>0</v>
      </c>
      <c r="J3115" s="11">
        <f>1/(H3115*Utilities!$B$11)</f>
        <v>8</v>
      </c>
      <c r="K3115" s="11">
        <f>IF(B3115&lt;C3115,1,EXP(-1*(B3115-C3115)/(Utilities!$B$11*IterData!H3115)))</f>
        <v>1</v>
      </c>
    </row>
    <row r="3116" spans="8:11" x14ac:dyDescent="0.3">
      <c r="H3116">
        <v>0.5</v>
      </c>
      <c r="I3116" s="11">
        <f t="shared" si="48"/>
        <v>0</v>
      </c>
      <c r="J3116" s="11">
        <f>1/(H3116*Utilities!$B$11)</f>
        <v>8</v>
      </c>
      <c r="K3116" s="11">
        <f>IF(B3116&lt;C3116,1,EXP(-1*(B3116-C3116)/(Utilities!$B$11*IterData!H3116)))</f>
        <v>1</v>
      </c>
    </row>
    <row r="3117" spans="8:11" x14ac:dyDescent="0.3">
      <c r="H3117">
        <v>0.5</v>
      </c>
      <c r="I3117" s="11">
        <f t="shared" si="48"/>
        <v>0</v>
      </c>
      <c r="J3117" s="11">
        <f>1/(H3117*Utilities!$B$11)</f>
        <v>8</v>
      </c>
      <c r="K3117" s="11">
        <f>IF(B3117&lt;C3117,1,EXP(-1*(B3117-C3117)/(Utilities!$B$11*IterData!H3117)))</f>
        <v>1</v>
      </c>
    </row>
    <row r="3118" spans="8:11" x14ac:dyDescent="0.3">
      <c r="H3118">
        <v>0.5</v>
      </c>
      <c r="I3118" s="11">
        <f t="shared" si="48"/>
        <v>0</v>
      </c>
      <c r="J3118" s="11">
        <f>1/(H3118*Utilities!$B$11)</f>
        <v>8</v>
      </c>
      <c r="K3118" s="11">
        <f>IF(B3118&lt;C3118,1,EXP(-1*(B3118-C3118)/(Utilities!$B$11*IterData!H3118)))</f>
        <v>1</v>
      </c>
    </row>
    <row r="3119" spans="8:11" x14ac:dyDescent="0.3">
      <c r="H3119">
        <v>0.5</v>
      </c>
      <c r="I3119" s="11">
        <f t="shared" si="48"/>
        <v>0</v>
      </c>
      <c r="J3119" s="11">
        <f>1/(H3119*Utilities!$B$11)</f>
        <v>8</v>
      </c>
      <c r="K3119" s="11">
        <f>IF(B3119&lt;C3119,1,EXP(-1*(B3119-C3119)/(Utilities!$B$11*IterData!H3119)))</f>
        <v>1</v>
      </c>
    </row>
    <row r="3120" spans="8:11" x14ac:dyDescent="0.3">
      <c r="H3120">
        <v>0.5</v>
      </c>
      <c r="I3120" s="11">
        <f t="shared" si="48"/>
        <v>0</v>
      </c>
      <c r="J3120" s="11">
        <f>1/(H3120*Utilities!$B$11)</f>
        <v>8</v>
      </c>
      <c r="K3120" s="11">
        <f>IF(B3120&lt;C3120,1,EXP(-1*(B3120-C3120)/(Utilities!$B$11*IterData!H3120)))</f>
        <v>1</v>
      </c>
    </row>
    <row r="3121" spans="8:11" x14ac:dyDescent="0.3">
      <c r="H3121">
        <v>0.5</v>
      </c>
      <c r="I3121" s="11">
        <f t="shared" si="48"/>
        <v>0</v>
      </c>
      <c r="J3121" s="11">
        <f>1/(H3121*Utilities!$B$11)</f>
        <v>8</v>
      </c>
      <c r="K3121" s="11">
        <f>IF(B3121&lt;C3121,1,EXP(-1*(B3121-C3121)/(Utilities!$B$11*IterData!H3121)))</f>
        <v>1</v>
      </c>
    </row>
    <row r="3122" spans="8:11" x14ac:dyDescent="0.3">
      <c r="H3122">
        <v>0.5</v>
      </c>
      <c r="I3122" s="11">
        <f t="shared" si="48"/>
        <v>0</v>
      </c>
      <c r="J3122" s="11">
        <f>1/(H3122*Utilities!$B$11)</f>
        <v>8</v>
      </c>
      <c r="K3122" s="11">
        <f>IF(B3122&lt;C3122,1,EXP(-1*(B3122-C3122)/(Utilities!$B$11*IterData!H3122)))</f>
        <v>1</v>
      </c>
    </row>
    <row r="3123" spans="8:11" x14ac:dyDescent="0.3">
      <c r="H3123">
        <v>0.5</v>
      </c>
      <c r="I3123" s="11">
        <f t="shared" si="48"/>
        <v>0</v>
      </c>
      <c r="J3123" s="11">
        <f>1/(H3123*Utilities!$B$11)</f>
        <v>8</v>
      </c>
      <c r="K3123" s="11">
        <f>IF(B3123&lt;C3123,1,EXP(-1*(B3123-C3123)/(Utilities!$B$11*IterData!H3123)))</f>
        <v>1</v>
      </c>
    </row>
    <row r="3124" spans="8:11" x14ac:dyDescent="0.3">
      <c r="H3124">
        <v>0.5</v>
      </c>
      <c r="I3124" s="11">
        <f t="shared" si="48"/>
        <v>0</v>
      </c>
      <c r="J3124" s="11">
        <f>1/(H3124*Utilities!$B$11)</f>
        <v>8</v>
      </c>
      <c r="K3124" s="11">
        <f>IF(B3124&lt;C3124,1,EXP(-1*(B3124-C3124)/(Utilities!$B$11*IterData!H3124)))</f>
        <v>1</v>
      </c>
    </row>
    <row r="3125" spans="8:11" x14ac:dyDescent="0.3">
      <c r="H3125">
        <v>0.5</v>
      </c>
      <c r="I3125" s="11">
        <f t="shared" si="48"/>
        <v>0</v>
      </c>
      <c r="J3125" s="11">
        <f>1/(H3125*Utilities!$B$11)</f>
        <v>8</v>
      </c>
      <c r="K3125" s="11">
        <f>IF(B3125&lt;C3125,1,EXP(-1*(B3125-C3125)/(Utilities!$B$11*IterData!H3125)))</f>
        <v>1</v>
      </c>
    </row>
    <row r="3126" spans="8:11" x14ac:dyDescent="0.3">
      <c r="H3126">
        <v>0.5</v>
      </c>
      <c r="I3126" s="11">
        <f t="shared" si="48"/>
        <v>0</v>
      </c>
      <c r="J3126" s="11">
        <f>1/(H3126*Utilities!$B$11)</f>
        <v>8</v>
      </c>
      <c r="K3126" s="11">
        <f>IF(B3126&lt;C3126,1,EXP(-1*(B3126-C3126)/(Utilities!$B$11*IterData!H3126)))</f>
        <v>1</v>
      </c>
    </row>
    <row r="3127" spans="8:11" x14ac:dyDescent="0.3">
      <c r="H3127">
        <v>0.5</v>
      </c>
      <c r="I3127" s="11">
        <f t="shared" si="48"/>
        <v>0</v>
      </c>
      <c r="J3127" s="11">
        <f>1/(H3127*Utilities!$B$11)</f>
        <v>8</v>
      </c>
      <c r="K3127" s="11">
        <f>IF(B3127&lt;C3127,1,EXP(-1*(B3127-C3127)/(Utilities!$B$11*IterData!H3127)))</f>
        <v>1</v>
      </c>
    </row>
    <row r="3128" spans="8:11" x14ac:dyDescent="0.3">
      <c r="H3128">
        <v>0.5</v>
      </c>
      <c r="I3128" s="11">
        <f t="shared" si="48"/>
        <v>0</v>
      </c>
      <c r="J3128" s="11">
        <f>1/(H3128*Utilities!$B$11)</f>
        <v>8</v>
      </c>
      <c r="K3128" s="11">
        <f>IF(B3128&lt;C3128,1,EXP(-1*(B3128-C3128)/(Utilities!$B$11*IterData!H3128)))</f>
        <v>1</v>
      </c>
    </row>
    <row r="3129" spans="8:11" x14ac:dyDescent="0.3">
      <c r="H3129">
        <v>0.5</v>
      </c>
      <c r="I3129" s="11">
        <f t="shared" si="48"/>
        <v>0</v>
      </c>
      <c r="J3129" s="11">
        <f>1/(H3129*Utilities!$B$11)</f>
        <v>8</v>
      </c>
      <c r="K3129" s="11">
        <f>IF(B3129&lt;C3129,1,EXP(-1*(B3129-C3129)/(Utilities!$B$11*IterData!H3129)))</f>
        <v>1</v>
      </c>
    </row>
    <row r="3130" spans="8:11" x14ac:dyDescent="0.3">
      <c r="H3130">
        <v>0.5</v>
      </c>
      <c r="I3130" s="11">
        <f t="shared" si="48"/>
        <v>0</v>
      </c>
      <c r="J3130" s="11">
        <f>1/(H3130*Utilities!$B$11)</f>
        <v>8</v>
      </c>
      <c r="K3130" s="11">
        <f>IF(B3130&lt;C3130,1,EXP(-1*(B3130-C3130)/(Utilities!$B$11*IterData!H3130)))</f>
        <v>1</v>
      </c>
    </row>
    <row r="3131" spans="8:11" x14ac:dyDescent="0.3">
      <c r="H3131">
        <v>0.5</v>
      </c>
      <c r="I3131" s="11">
        <f t="shared" si="48"/>
        <v>0</v>
      </c>
      <c r="J3131" s="11">
        <f>1/(H3131*Utilities!$B$11)</f>
        <v>8</v>
      </c>
      <c r="K3131" s="11">
        <f>IF(B3131&lt;C3131,1,EXP(-1*(B3131-C3131)/(Utilities!$B$11*IterData!H3131)))</f>
        <v>1</v>
      </c>
    </row>
    <row r="3132" spans="8:11" x14ac:dyDescent="0.3">
      <c r="H3132">
        <v>0.5</v>
      </c>
      <c r="I3132" s="11">
        <f t="shared" si="48"/>
        <v>0</v>
      </c>
      <c r="J3132" s="11">
        <f>1/(H3132*Utilities!$B$11)</f>
        <v>8</v>
      </c>
      <c r="K3132" s="11">
        <f>IF(B3132&lt;C3132,1,EXP(-1*(B3132-C3132)/(Utilities!$B$11*IterData!H3132)))</f>
        <v>1</v>
      </c>
    </row>
    <row r="3133" spans="8:11" x14ac:dyDescent="0.3">
      <c r="H3133">
        <v>0.5</v>
      </c>
      <c r="I3133" s="11">
        <f t="shared" si="48"/>
        <v>0</v>
      </c>
      <c r="J3133" s="11">
        <f>1/(H3133*Utilities!$B$11)</f>
        <v>8</v>
      </c>
      <c r="K3133" s="11">
        <f>IF(B3133&lt;C3133,1,EXP(-1*(B3133-C3133)/(Utilities!$B$11*IterData!H3133)))</f>
        <v>1</v>
      </c>
    </row>
    <row r="3134" spans="8:11" x14ac:dyDescent="0.3">
      <c r="H3134">
        <v>0.5</v>
      </c>
      <c r="I3134" s="11">
        <f t="shared" si="48"/>
        <v>0</v>
      </c>
      <c r="J3134" s="11">
        <f>1/(H3134*Utilities!$B$11)</f>
        <v>8</v>
      </c>
      <c r="K3134" s="11">
        <f>IF(B3134&lt;C3134,1,EXP(-1*(B3134-C3134)/(Utilities!$B$11*IterData!H3134)))</f>
        <v>1</v>
      </c>
    </row>
    <row r="3135" spans="8:11" x14ac:dyDescent="0.3">
      <c r="H3135">
        <v>0.5</v>
      </c>
      <c r="I3135" s="11">
        <f t="shared" si="48"/>
        <v>0</v>
      </c>
      <c r="J3135" s="11">
        <f>1/(H3135*Utilities!$B$11)</f>
        <v>8</v>
      </c>
      <c r="K3135" s="11">
        <f>IF(B3135&lt;C3135,1,EXP(-1*(B3135-C3135)/(Utilities!$B$11*IterData!H3135)))</f>
        <v>1</v>
      </c>
    </row>
    <row r="3136" spans="8:11" x14ac:dyDescent="0.3">
      <c r="H3136">
        <v>0.5</v>
      </c>
      <c r="I3136" s="11">
        <f t="shared" si="48"/>
        <v>0</v>
      </c>
      <c r="J3136" s="11">
        <f>1/(H3136*Utilities!$B$11)</f>
        <v>8</v>
      </c>
      <c r="K3136" s="11">
        <f>IF(B3136&lt;C3136,1,EXP(-1*(B3136-C3136)/(Utilities!$B$11*IterData!H3136)))</f>
        <v>1</v>
      </c>
    </row>
    <row r="3137" spans="8:11" x14ac:dyDescent="0.3">
      <c r="H3137">
        <v>0.5</v>
      </c>
      <c r="I3137" s="11">
        <f t="shared" si="48"/>
        <v>0</v>
      </c>
      <c r="J3137" s="11">
        <f>1/(H3137*Utilities!$B$11)</f>
        <v>8</v>
      </c>
      <c r="K3137" s="11">
        <f>IF(B3137&lt;C3137,1,EXP(-1*(B3137-C3137)/(Utilities!$B$11*IterData!H3137)))</f>
        <v>1</v>
      </c>
    </row>
    <row r="3138" spans="8:11" x14ac:dyDescent="0.3">
      <c r="H3138">
        <v>0.5</v>
      </c>
      <c r="I3138" s="11">
        <f t="shared" si="48"/>
        <v>0</v>
      </c>
      <c r="J3138" s="11">
        <f>1/(H3138*Utilities!$B$11)</f>
        <v>8</v>
      </c>
      <c r="K3138" s="11">
        <f>IF(B3138&lt;C3138,1,EXP(-1*(B3138-C3138)/(Utilities!$B$11*IterData!H3138)))</f>
        <v>1</v>
      </c>
    </row>
    <row r="3139" spans="8:11" x14ac:dyDescent="0.3">
      <c r="H3139">
        <v>0.5</v>
      </c>
      <c r="I3139" s="11">
        <f t="shared" ref="I3139:I3202" si="49">B3139-C3139</f>
        <v>0</v>
      </c>
      <c r="J3139" s="11">
        <f>1/(H3139*Utilities!$B$11)</f>
        <v>8</v>
      </c>
      <c r="K3139" s="11">
        <f>IF(B3139&lt;C3139,1,EXP(-1*(B3139-C3139)/(Utilities!$B$11*IterData!H3139)))</f>
        <v>1</v>
      </c>
    </row>
    <row r="3140" spans="8:11" x14ac:dyDescent="0.3">
      <c r="H3140">
        <v>0.5</v>
      </c>
      <c r="I3140" s="11">
        <f t="shared" si="49"/>
        <v>0</v>
      </c>
      <c r="J3140" s="11">
        <f>1/(H3140*Utilities!$B$11)</f>
        <v>8</v>
      </c>
      <c r="K3140" s="11">
        <f>IF(B3140&lt;C3140,1,EXP(-1*(B3140-C3140)/(Utilities!$B$11*IterData!H3140)))</f>
        <v>1</v>
      </c>
    </row>
    <row r="3141" spans="8:11" x14ac:dyDescent="0.3">
      <c r="H3141">
        <v>0.5</v>
      </c>
      <c r="I3141" s="11">
        <f t="shared" si="49"/>
        <v>0</v>
      </c>
      <c r="J3141" s="11">
        <f>1/(H3141*Utilities!$B$11)</f>
        <v>8</v>
      </c>
      <c r="K3141" s="11">
        <f>IF(B3141&lt;C3141,1,EXP(-1*(B3141-C3141)/(Utilities!$B$11*IterData!H3141)))</f>
        <v>1</v>
      </c>
    </row>
    <row r="3142" spans="8:11" x14ac:dyDescent="0.3">
      <c r="H3142">
        <v>0.5</v>
      </c>
      <c r="I3142" s="11">
        <f t="shared" si="49"/>
        <v>0</v>
      </c>
      <c r="J3142" s="11">
        <f>1/(H3142*Utilities!$B$11)</f>
        <v>8</v>
      </c>
      <c r="K3142" s="11">
        <f>IF(B3142&lt;C3142,1,EXP(-1*(B3142-C3142)/(Utilities!$B$11*IterData!H3142)))</f>
        <v>1</v>
      </c>
    </row>
    <row r="3143" spans="8:11" x14ac:dyDescent="0.3">
      <c r="H3143">
        <v>0.5</v>
      </c>
      <c r="I3143" s="11">
        <f t="shared" si="49"/>
        <v>0</v>
      </c>
      <c r="J3143" s="11">
        <f>1/(H3143*Utilities!$B$11)</f>
        <v>8</v>
      </c>
      <c r="K3143" s="11">
        <f>IF(B3143&lt;C3143,1,EXP(-1*(B3143-C3143)/(Utilities!$B$11*IterData!H3143)))</f>
        <v>1</v>
      </c>
    </row>
    <row r="3144" spans="8:11" x14ac:dyDescent="0.3">
      <c r="H3144">
        <v>0.5</v>
      </c>
      <c r="I3144" s="11">
        <f t="shared" si="49"/>
        <v>0</v>
      </c>
      <c r="J3144" s="11">
        <f>1/(H3144*Utilities!$B$11)</f>
        <v>8</v>
      </c>
      <c r="K3144" s="11">
        <f>IF(B3144&lt;C3144,1,EXP(-1*(B3144-C3144)/(Utilities!$B$11*IterData!H3144)))</f>
        <v>1</v>
      </c>
    </row>
    <row r="3145" spans="8:11" x14ac:dyDescent="0.3">
      <c r="H3145">
        <v>0.5</v>
      </c>
      <c r="I3145" s="11">
        <f t="shared" si="49"/>
        <v>0</v>
      </c>
      <c r="J3145" s="11">
        <f>1/(H3145*Utilities!$B$11)</f>
        <v>8</v>
      </c>
      <c r="K3145" s="11">
        <f>IF(B3145&lt;C3145,1,EXP(-1*(B3145-C3145)/(Utilities!$B$11*IterData!H3145)))</f>
        <v>1</v>
      </c>
    </row>
    <row r="3146" spans="8:11" x14ac:dyDescent="0.3">
      <c r="H3146">
        <v>0.5</v>
      </c>
      <c r="I3146" s="11">
        <f t="shared" si="49"/>
        <v>0</v>
      </c>
      <c r="J3146" s="11">
        <f>1/(H3146*Utilities!$B$11)</f>
        <v>8</v>
      </c>
      <c r="K3146" s="11">
        <f>IF(B3146&lt;C3146,1,EXP(-1*(B3146-C3146)/(Utilities!$B$11*IterData!H3146)))</f>
        <v>1</v>
      </c>
    </row>
    <row r="3147" spans="8:11" x14ac:dyDescent="0.3">
      <c r="H3147">
        <v>0.5</v>
      </c>
      <c r="I3147" s="11">
        <f t="shared" si="49"/>
        <v>0</v>
      </c>
      <c r="J3147" s="11">
        <f>1/(H3147*Utilities!$B$11)</f>
        <v>8</v>
      </c>
      <c r="K3147" s="11">
        <f>IF(B3147&lt;C3147,1,EXP(-1*(B3147-C3147)/(Utilities!$B$11*IterData!H3147)))</f>
        <v>1</v>
      </c>
    </row>
    <row r="3148" spans="8:11" x14ac:dyDescent="0.3">
      <c r="H3148">
        <v>0.5</v>
      </c>
      <c r="I3148" s="11">
        <f t="shared" si="49"/>
        <v>0</v>
      </c>
      <c r="J3148" s="11">
        <f>1/(H3148*Utilities!$B$11)</f>
        <v>8</v>
      </c>
      <c r="K3148" s="11">
        <f>IF(B3148&lt;C3148,1,EXP(-1*(B3148-C3148)/(Utilities!$B$11*IterData!H3148)))</f>
        <v>1</v>
      </c>
    </row>
    <row r="3149" spans="8:11" x14ac:dyDescent="0.3">
      <c r="H3149">
        <v>0.5</v>
      </c>
      <c r="I3149" s="11">
        <f t="shared" si="49"/>
        <v>0</v>
      </c>
      <c r="J3149" s="11">
        <f>1/(H3149*Utilities!$B$11)</f>
        <v>8</v>
      </c>
      <c r="K3149" s="11">
        <f>IF(B3149&lt;C3149,1,EXP(-1*(B3149-C3149)/(Utilities!$B$11*IterData!H3149)))</f>
        <v>1</v>
      </c>
    </row>
    <row r="3150" spans="8:11" x14ac:dyDescent="0.3">
      <c r="H3150">
        <v>0.5</v>
      </c>
      <c r="I3150" s="11">
        <f t="shared" si="49"/>
        <v>0</v>
      </c>
      <c r="J3150" s="11">
        <f>1/(H3150*Utilities!$B$11)</f>
        <v>8</v>
      </c>
      <c r="K3150" s="11">
        <f>IF(B3150&lt;C3150,1,EXP(-1*(B3150-C3150)/(Utilities!$B$11*IterData!H3150)))</f>
        <v>1</v>
      </c>
    </row>
    <row r="3151" spans="8:11" x14ac:dyDescent="0.3">
      <c r="H3151">
        <v>0.5</v>
      </c>
      <c r="I3151" s="11">
        <f t="shared" si="49"/>
        <v>0</v>
      </c>
      <c r="J3151" s="11">
        <f>1/(H3151*Utilities!$B$11)</f>
        <v>8</v>
      </c>
      <c r="K3151" s="11">
        <f>IF(B3151&lt;C3151,1,EXP(-1*(B3151-C3151)/(Utilities!$B$11*IterData!H3151)))</f>
        <v>1</v>
      </c>
    </row>
    <row r="3152" spans="8:11" x14ac:dyDescent="0.3">
      <c r="H3152">
        <v>0.5</v>
      </c>
      <c r="I3152" s="11">
        <f t="shared" si="49"/>
        <v>0</v>
      </c>
      <c r="J3152" s="11">
        <f>1/(H3152*Utilities!$B$11)</f>
        <v>8</v>
      </c>
      <c r="K3152" s="11">
        <f>IF(B3152&lt;C3152,1,EXP(-1*(B3152-C3152)/(Utilities!$B$11*IterData!H3152)))</f>
        <v>1</v>
      </c>
    </row>
    <row r="3153" spans="8:11" x14ac:dyDescent="0.3">
      <c r="H3153">
        <v>0.5</v>
      </c>
      <c r="I3153" s="11">
        <f t="shared" si="49"/>
        <v>0</v>
      </c>
      <c r="J3153" s="11">
        <f>1/(H3153*Utilities!$B$11)</f>
        <v>8</v>
      </c>
      <c r="K3153" s="11">
        <f>IF(B3153&lt;C3153,1,EXP(-1*(B3153-C3153)/(Utilities!$B$11*IterData!H3153)))</f>
        <v>1</v>
      </c>
    </row>
    <row r="3154" spans="8:11" x14ac:dyDescent="0.3">
      <c r="H3154">
        <v>0.5</v>
      </c>
      <c r="I3154" s="11">
        <f t="shared" si="49"/>
        <v>0</v>
      </c>
      <c r="J3154" s="11">
        <f>1/(H3154*Utilities!$B$11)</f>
        <v>8</v>
      </c>
      <c r="K3154" s="11">
        <f>IF(B3154&lt;C3154,1,EXP(-1*(B3154-C3154)/(Utilities!$B$11*IterData!H3154)))</f>
        <v>1</v>
      </c>
    </row>
    <row r="3155" spans="8:11" x14ac:dyDescent="0.3">
      <c r="H3155">
        <v>0.5</v>
      </c>
      <c r="I3155" s="11">
        <f t="shared" si="49"/>
        <v>0</v>
      </c>
      <c r="J3155" s="11">
        <f>1/(H3155*Utilities!$B$11)</f>
        <v>8</v>
      </c>
      <c r="K3155" s="11">
        <f>IF(B3155&lt;C3155,1,EXP(-1*(B3155-C3155)/(Utilities!$B$11*IterData!H3155)))</f>
        <v>1</v>
      </c>
    </row>
    <row r="3156" spans="8:11" x14ac:dyDescent="0.3">
      <c r="H3156">
        <v>0.5</v>
      </c>
      <c r="I3156" s="11">
        <f t="shared" si="49"/>
        <v>0</v>
      </c>
      <c r="J3156" s="11">
        <f>1/(H3156*Utilities!$B$11)</f>
        <v>8</v>
      </c>
      <c r="K3156" s="11">
        <f>IF(B3156&lt;C3156,1,EXP(-1*(B3156-C3156)/(Utilities!$B$11*IterData!H3156)))</f>
        <v>1</v>
      </c>
    </row>
    <row r="3157" spans="8:11" x14ac:dyDescent="0.3">
      <c r="H3157">
        <v>0.5</v>
      </c>
      <c r="I3157" s="11">
        <f t="shared" si="49"/>
        <v>0</v>
      </c>
      <c r="J3157" s="11">
        <f>1/(H3157*Utilities!$B$11)</f>
        <v>8</v>
      </c>
      <c r="K3157" s="11">
        <f>IF(B3157&lt;C3157,1,EXP(-1*(B3157-C3157)/(Utilities!$B$11*IterData!H3157)))</f>
        <v>1</v>
      </c>
    </row>
    <row r="3158" spans="8:11" x14ac:dyDescent="0.3">
      <c r="H3158">
        <v>0.5</v>
      </c>
      <c r="I3158" s="11">
        <f t="shared" si="49"/>
        <v>0</v>
      </c>
      <c r="J3158" s="11">
        <f>1/(H3158*Utilities!$B$11)</f>
        <v>8</v>
      </c>
      <c r="K3158" s="11">
        <f>IF(B3158&lt;C3158,1,EXP(-1*(B3158-C3158)/(Utilities!$B$11*IterData!H3158)))</f>
        <v>1</v>
      </c>
    </row>
    <row r="3159" spans="8:11" x14ac:dyDescent="0.3">
      <c r="H3159">
        <v>0.5</v>
      </c>
      <c r="I3159" s="11">
        <f t="shared" si="49"/>
        <v>0</v>
      </c>
      <c r="J3159" s="11">
        <f>1/(H3159*Utilities!$B$11)</f>
        <v>8</v>
      </c>
      <c r="K3159" s="11">
        <f>IF(B3159&lt;C3159,1,EXP(-1*(B3159-C3159)/(Utilities!$B$11*IterData!H3159)))</f>
        <v>1</v>
      </c>
    </row>
    <row r="3160" spans="8:11" x14ac:dyDescent="0.3">
      <c r="H3160">
        <v>0.5</v>
      </c>
      <c r="I3160" s="11">
        <f t="shared" si="49"/>
        <v>0</v>
      </c>
      <c r="J3160" s="11">
        <f>1/(H3160*Utilities!$B$11)</f>
        <v>8</v>
      </c>
      <c r="K3160" s="11">
        <f>IF(B3160&lt;C3160,1,EXP(-1*(B3160-C3160)/(Utilities!$B$11*IterData!H3160)))</f>
        <v>1</v>
      </c>
    </row>
    <row r="3161" spans="8:11" x14ac:dyDescent="0.3">
      <c r="H3161">
        <v>0.5</v>
      </c>
      <c r="I3161" s="11">
        <f t="shared" si="49"/>
        <v>0</v>
      </c>
      <c r="J3161" s="11">
        <f>1/(H3161*Utilities!$B$11)</f>
        <v>8</v>
      </c>
      <c r="K3161" s="11">
        <f>IF(B3161&lt;C3161,1,EXP(-1*(B3161-C3161)/(Utilities!$B$11*IterData!H3161)))</f>
        <v>1</v>
      </c>
    </row>
    <row r="3162" spans="8:11" x14ac:dyDescent="0.3">
      <c r="H3162">
        <v>0.5</v>
      </c>
      <c r="I3162" s="11">
        <f t="shared" si="49"/>
        <v>0</v>
      </c>
      <c r="J3162" s="11">
        <f>1/(H3162*Utilities!$B$11)</f>
        <v>8</v>
      </c>
      <c r="K3162" s="11">
        <f>IF(B3162&lt;C3162,1,EXP(-1*(B3162-C3162)/(Utilities!$B$11*IterData!H3162)))</f>
        <v>1</v>
      </c>
    </row>
    <row r="3163" spans="8:11" x14ac:dyDescent="0.3">
      <c r="H3163">
        <v>0.5</v>
      </c>
      <c r="I3163" s="11">
        <f t="shared" si="49"/>
        <v>0</v>
      </c>
      <c r="J3163" s="11">
        <f>1/(H3163*Utilities!$B$11)</f>
        <v>8</v>
      </c>
      <c r="K3163" s="11">
        <f>IF(B3163&lt;C3163,1,EXP(-1*(B3163-C3163)/(Utilities!$B$11*IterData!H3163)))</f>
        <v>1</v>
      </c>
    </row>
    <row r="3164" spans="8:11" x14ac:dyDescent="0.3">
      <c r="H3164">
        <v>0.5</v>
      </c>
      <c r="I3164" s="11">
        <f t="shared" si="49"/>
        <v>0</v>
      </c>
      <c r="J3164" s="11">
        <f>1/(H3164*Utilities!$B$11)</f>
        <v>8</v>
      </c>
      <c r="K3164" s="11">
        <f>IF(B3164&lt;C3164,1,EXP(-1*(B3164-C3164)/(Utilities!$B$11*IterData!H3164)))</f>
        <v>1</v>
      </c>
    </row>
    <row r="3165" spans="8:11" x14ac:dyDescent="0.3">
      <c r="H3165">
        <v>0.5</v>
      </c>
      <c r="I3165" s="11">
        <f t="shared" si="49"/>
        <v>0</v>
      </c>
      <c r="J3165" s="11">
        <f>1/(H3165*Utilities!$B$11)</f>
        <v>8</v>
      </c>
      <c r="K3165" s="11">
        <f>IF(B3165&lt;C3165,1,EXP(-1*(B3165-C3165)/(Utilities!$B$11*IterData!H3165)))</f>
        <v>1</v>
      </c>
    </row>
    <row r="3166" spans="8:11" x14ac:dyDescent="0.3">
      <c r="H3166">
        <v>0.5</v>
      </c>
      <c r="I3166" s="11">
        <f t="shared" si="49"/>
        <v>0</v>
      </c>
      <c r="J3166" s="11">
        <f>1/(H3166*Utilities!$B$11)</f>
        <v>8</v>
      </c>
      <c r="K3166" s="11">
        <f>IF(B3166&lt;C3166,1,EXP(-1*(B3166-C3166)/(Utilities!$B$11*IterData!H3166)))</f>
        <v>1</v>
      </c>
    </row>
    <row r="3167" spans="8:11" x14ac:dyDescent="0.3">
      <c r="H3167">
        <v>0.5</v>
      </c>
      <c r="I3167" s="11">
        <f t="shared" si="49"/>
        <v>0</v>
      </c>
      <c r="J3167" s="11">
        <f>1/(H3167*Utilities!$B$11)</f>
        <v>8</v>
      </c>
      <c r="K3167" s="11">
        <f>IF(B3167&lt;C3167,1,EXP(-1*(B3167-C3167)/(Utilities!$B$11*IterData!H3167)))</f>
        <v>1</v>
      </c>
    </row>
    <row r="3168" spans="8:11" x14ac:dyDescent="0.3">
      <c r="H3168">
        <v>0.5</v>
      </c>
      <c r="I3168" s="11">
        <f t="shared" si="49"/>
        <v>0</v>
      </c>
      <c r="J3168" s="11">
        <f>1/(H3168*Utilities!$B$11)</f>
        <v>8</v>
      </c>
      <c r="K3168" s="11">
        <f>IF(B3168&lt;C3168,1,EXP(-1*(B3168-C3168)/(Utilities!$B$11*IterData!H3168)))</f>
        <v>1</v>
      </c>
    </row>
    <row r="3169" spans="8:11" x14ac:dyDescent="0.3">
      <c r="H3169">
        <v>0.5</v>
      </c>
      <c r="I3169" s="11">
        <f t="shared" si="49"/>
        <v>0</v>
      </c>
      <c r="J3169" s="11">
        <f>1/(H3169*Utilities!$B$11)</f>
        <v>8</v>
      </c>
      <c r="K3169" s="11">
        <f>IF(B3169&lt;C3169,1,EXP(-1*(B3169-C3169)/(Utilities!$B$11*IterData!H3169)))</f>
        <v>1</v>
      </c>
    </row>
    <row r="3170" spans="8:11" x14ac:dyDescent="0.3">
      <c r="H3170">
        <v>0.5</v>
      </c>
      <c r="I3170" s="11">
        <f t="shared" si="49"/>
        <v>0</v>
      </c>
      <c r="J3170" s="11">
        <f>1/(H3170*Utilities!$B$11)</f>
        <v>8</v>
      </c>
      <c r="K3170" s="11">
        <f>IF(B3170&lt;C3170,1,EXP(-1*(B3170-C3170)/(Utilities!$B$11*IterData!H3170)))</f>
        <v>1</v>
      </c>
    </row>
    <row r="3171" spans="8:11" x14ac:dyDescent="0.3">
      <c r="H3171">
        <v>0.5</v>
      </c>
      <c r="I3171" s="11">
        <f t="shared" si="49"/>
        <v>0</v>
      </c>
      <c r="J3171" s="11">
        <f>1/(H3171*Utilities!$B$11)</f>
        <v>8</v>
      </c>
      <c r="K3171" s="11">
        <f>IF(B3171&lt;C3171,1,EXP(-1*(B3171-C3171)/(Utilities!$B$11*IterData!H3171)))</f>
        <v>1</v>
      </c>
    </row>
    <row r="3172" spans="8:11" x14ac:dyDescent="0.3">
      <c r="H3172">
        <v>0.5</v>
      </c>
      <c r="I3172" s="11">
        <f t="shared" si="49"/>
        <v>0</v>
      </c>
      <c r="J3172" s="11">
        <f>1/(H3172*Utilities!$B$11)</f>
        <v>8</v>
      </c>
      <c r="K3172" s="11">
        <f>IF(B3172&lt;C3172,1,EXP(-1*(B3172-C3172)/(Utilities!$B$11*IterData!H3172)))</f>
        <v>1</v>
      </c>
    </row>
    <row r="3173" spans="8:11" x14ac:dyDescent="0.3">
      <c r="H3173">
        <v>0.5</v>
      </c>
      <c r="I3173" s="11">
        <f t="shared" si="49"/>
        <v>0</v>
      </c>
      <c r="J3173" s="11">
        <f>1/(H3173*Utilities!$B$11)</f>
        <v>8</v>
      </c>
      <c r="K3173" s="11">
        <f>IF(B3173&lt;C3173,1,EXP(-1*(B3173-C3173)/(Utilities!$B$11*IterData!H3173)))</f>
        <v>1</v>
      </c>
    </row>
    <row r="3174" spans="8:11" x14ac:dyDescent="0.3">
      <c r="H3174">
        <v>0.5</v>
      </c>
      <c r="I3174" s="11">
        <f t="shared" si="49"/>
        <v>0</v>
      </c>
      <c r="J3174" s="11">
        <f>1/(H3174*Utilities!$B$11)</f>
        <v>8</v>
      </c>
      <c r="K3174" s="11">
        <f>IF(B3174&lt;C3174,1,EXP(-1*(B3174-C3174)/(Utilities!$B$11*IterData!H3174)))</f>
        <v>1</v>
      </c>
    </row>
    <row r="3175" spans="8:11" x14ac:dyDescent="0.3">
      <c r="H3175">
        <v>0.5</v>
      </c>
      <c r="I3175" s="11">
        <f t="shared" si="49"/>
        <v>0</v>
      </c>
      <c r="J3175" s="11">
        <f>1/(H3175*Utilities!$B$11)</f>
        <v>8</v>
      </c>
      <c r="K3175" s="11">
        <f>IF(B3175&lt;C3175,1,EXP(-1*(B3175-C3175)/(Utilities!$B$11*IterData!H3175)))</f>
        <v>1</v>
      </c>
    </row>
    <row r="3176" spans="8:11" x14ac:dyDescent="0.3">
      <c r="H3176">
        <v>0.5</v>
      </c>
      <c r="I3176" s="11">
        <f t="shared" si="49"/>
        <v>0</v>
      </c>
      <c r="J3176" s="11">
        <f>1/(H3176*Utilities!$B$11)</f>
        <v>8</v>
      </c>
      <c r="K3176" s="11">
        <f>IF(B3176&lt;C3176,1,EXP(-1*(B3176-C3176)/(Utilities!$B$11*IterData!H3176)))</f>
        <v>1</v>
      </c>
    </row>
    <row r="3177" spans="8:11" x14ac:dyDescent="0.3">
      <c r="H3177">
        <v>0.5</v>
      </c>
      <c r="I3177" s="11">
        <f t="shared" si="49"/>
        <v>0</v>
      </c>
      <c r="J3177" s="11">
        <f>1/(H3177*Utilities!$B$11)</f>
        <v>8</v>
      </c>
      <c r="K3177" s="11">
        <f>IF(B3177&lt;C3177,1,EXP(-1*(B3177-C3177)/(Utilities!$B$11*IterData!H3177)))</f>
        <v>1</v>
      </c>
    </row>
    <row r="3178" spans="8:11" x14ac:dyDescent="0.3">
      <c r="H3178">
        <v>0.5</v>
      </c>
      <c r="I3178" s="11">
        <f t="shared" si="49"/>
        <v>0</v>
      </c>
      <c r="J3178" s="11">
        <f>1/(H3178*Utilities!$B$11)</f>
        <v>8</v>
      </c>
      <c r="K3178" s="11">
        <f>IF(B3178&lt;C3178,1,EXP(-1*(B3178-C3178)/(Utilities!$B$11*IterData!H3178)))</f>
        <v>1</v>
      </c>
    </row>
    <row r="3179" spans="8:11" x14ac:dyDescent="0.3">
      <c r="H3179">
        <v>0.5</v>
      </c>
      <c r="I3179" s="11">
        <f t="shared" si="49"/>
        <v>0</v>
      </c>
      <c r="J3179" s="11">
        <f>1/(H3179*Utilities!$B$11)</f>
        <v>8</v>
      </c>
      <c r="K3179" s="11">
        <f>IF(B3179&lt;C3179,1,EXP(-1*(B3179-C3179)/(Utilities!$B$11*IterData!H3179)))</f>
        <v>1</v>
      </c>
    </row>
    <row r="3180" spans="8:11" x14ac:dyDescent="0.3">
      <c r="H3180">
        <v>0.5</v>
      </c>
      <c r="I3180" s="11">
        <f t="shared" si="49"/>
        <v>0</v>
      </c>
      <c r="J3180" s="11">
        <f>1/(H3180*Utilities!$B$11)</f>
        <v>8</v>
      </c>
      <c r="K3180" s="11">
        <f>IF(B3180&lt;C3180,1,EXP(-1*(B3180-C3180)/(Utilities!$B$11*IterData!H3180)))</f>
        <v>1</v>
      </c>
    </row>
    <row r="3181" spans="8:11" x14ac:dyDescent="0.3">
      <c r="H3181">
        <v>0.5</v>
      </c>
      <c r="I3181" s="11">
        <f t="shared" si="49"/>
        <v>0</v>
      </c>
      <c r="J3181" s="11">
        <f>1/(H3181*Utilities!$B$11)</f>
        <v>8</v>
      </c>
      <c r="K3181" s="11">
        <f>IF(B3181&lt;C3181,1,EXP(-1*(B3181-C3181)/(Utilities!$B$11*IterData!H3181)))</f>
        <v>1</v>
      </c>
    </row>
    <row r="3182" spans="8:11" x14ac:dyDescent="0.3">
      <c r="H3182">
        <v>0.5</v>
      </c>
      <c r="I3182" s="11">
        <f t="shared" si="49"/>
        <v>0</v>
      </c>
      <c r="J3182" s="11">
        <f>1/(H3182*Utilities!$B$11)</f>
        <v>8</v>
      </c>
      <c r="K3182" s="11">
        <f>IF(B3182&lt;C3182,1,EXP(-1*(B3182-C3182)/(Utilities!$B$11*IterData!H3182)))</f>
        <v>1</v>
      </c>
    </row>
    <row r="3183" spans="8:11" x14ac:dyDescent="0.3">
      <c r="H3183">
        <v>0.5</v>
      </c>
      <c r="I3183" s="11">
        <f t="shared" si="49"/>
        <v>0</v>
      </c>
      <c r="J3183" s="11">
        <f>1/(H3183*Utilities!$B$11)</f>
        <v>8</v>
      </c>
      <c r="K3183" s="11">
        <f>IF(B3183&lt;C3183,1,EXP(-1*(B3183-C3183)/(Utilities!$B$11*IterData!H3183)))</f>
        <v>1</v>
      </c>
    </row>
    <row r="3184" spans="8:11" x14ac:dyDescent="0.3">
      <c r="H3184">
        <v>0.5</v>
      </c>
      <c r="I3184" s="11">
        <f t="shared" si="49"/>
        <v>0</v>
      </c>
      <c r="J3184" s="11">
        <f>1/(H3184*Utilities!$B$11)</f>
        <v>8</v>
      </c>
      <c r="K3184" s="11">
        <f>IF(B3184&lt;C3184,1,EXP(-1*(B3184-C3184)/(Utilities!$B$11*IterData!H3184)))</f>
        <v>1</v>
      </c>
    </row>
    <row r="3185" spans="8:11" x14ac:dyDescent="0.3">
      <c r="H3185">
        <v>0.5</v>
      </c>
      <c r="I3185" s="11">
        <f t="shared" si="49"/>
        <v>0</v>
      </c>
      <c r="J3185" s="11">
        <f>1/(H3185*Utilities!$B$11)</f>
        <v>8</v>
      </c>
      <c r="K3185" s="11">
        <f>IF(B3185&lt;C3185,1,EXP(-1*(B3185-C3185)/(Utilities!$B$11*IterData!H3185)))</f>
        <v>1</v>
      </c>
    </row>
    <row r="3186" spans="8:11" x14ac:dyDescent="0.3">
      <c r="H3186">
        <v>0.5</v>
      </c>
      <c r="I3186" s="11">
        <f t="shared" si="49"/>
        <v>0</v>
      </c>
      <c r="J3186" s="11">
        <f>1/(H3186*Utilities!$B$11)</f>
        <v>8</v>
      </c>
      <c r="K3186" s="11">
        <f>IF(B3186&lt;C3186,1,EXP(-1*(B3186-C3186)/(Utilities!$B$11*IterData!H3186)))</f>
        <v>1</v>
      </c>
    </row>
    <row r="3187" spans="8:11" x14ac:dyDescent="0.3">
      <c r="H3187">
        <v>0.5</v>
      </c>
      <c r="I3187" s="11">
        <f t="shared" si="49"/>
        <v>0</v>
      </c>
      <c r="J3187" s="11">
        <f>1/(H3187*Utilities!$B$11)</f>
        <v>8</v>
      </c>
      <c r="K3187" s="11">
        <f>IF(B3187&lt;C3187,1,EXP(-1*(B3187-C3187)/(Utilities!$B$11*IterData!H3187)))</f>
        <v>1</v>
      </c>
    </row>
    <row r="3188" spans="8:11" x14ac:dyDescent="0.3">
      <c r="H3188">
        <v>0.5</v>
      </c>
      <c r="I3188" s="11">
        <f t="shared" si="49"/>
        <v>0</v>
      </c>
      <c r="J3188" s="11">
        <f>1/(H3188*Utilities!$B$11)</f>
        <v>8</v>
      </c>
      <c r="K3188" s="11">
        <f>IF(B3188&lt;C3188,1,EXP(-1*(B3188-C3188)/(Utilities!$B$11*IterData!H3188)))</f>
        <v>1</v>
      </c>
    </row>
    <row r="3189" spans="8:11" x14ac:dyDescent="0.3">
      <c r="H3189">
        <v>0.5</v>
      </c>
      <c r="I3189" s="11">
        <f t="shared" si="49"/>
        <v>0</v>
      </c>
      <c r="J3189" s="11">
        <f>1/(H3189*Utilities!$B$11)</f>
        <v>8</v>
      </c>
      <c r="K3189" s="11">
        <f>IF(B3189&lt;C3189,1,EXP(-1*(B3189-C3189)/(Utilities!$B$11*IterData!H3189)))</f>
        <v>1</v>
      </c>
    </row>
    <row r="3190" spans="8:11" x14ac:dyDescent="0.3">
      <c r="H3190">
        <v>0.5</v>
      </c>
      <c r="I3190" s="11">
        <f t="shared" si="49"/>
        <v>0</v>
      </c>
      <c r="J3190" s="11">
        <f>1/(H3190*Utilities!$B$11)</f>
        <v>8</v>
      </c>
      <c r="K3190" s="11">
        <f>IF(B3190&lt;C3190,1,EXP(-1*(B3190-C3190)/(Utilities!$B$11*IterData!H3190)))</f>
        <v>1</v>
      </c>
    </row>
    <row r="3191" spans="8:11" x14ac:dyDescent="0.3">
      <c r="H3191">
        <v>0.5</v>
      </c>
      <c r="I3191" s="11">
        <f t="shared" si="49"/>
        <v>0</v>
      </c>
      <c r="J3191" s="11">
        <f>1/(H3191*Utilities!$B$11)</f>
        <v>8</v>
      </c>
      <c r="K3191" s="11">
        <f>IF(B3191&lt;C3191,1,EXP(-1*(B3191-C3191)/(Utilities!$B$11*IterData!H3191)))</f>
        <v>1</v>
      </c>
    </row>
    <row r="3192" spans="8:11" x14ac:dyDescent="0.3">
      <c r="H3192">
        <v>0.5</v>
      </c>
      <c r="I3192" s="11">
        <f t="shared" si="49"/>
        <v>0</v>
      </c>
      <c r="J3192" s="11">
        <f>1/(H3192*Utilities!$B$11)</f>
        <v>8</v>
      </c>
      <c r="K3192" s="11">
        <f>IF(B3192&lt;C3192,1,EXP(-1*(B3192-C3192)/(Utilities!$B$11*IterData!H3192)))</f>
        <v>1</v>
      </c>
    </row>
    <row r="3193" spans="8:11" x14ac:dyDescent="0.3">
      <c r="H3193">
        <v>0.5</v>
      </c>
      <c r="I3193" s="11">
        <f t="shared" si="49"/>
        <v>0</v>
      </c>
      <c r="J3193" s="11">
        <f>1/(H3193*Utilities!$B$11)</f>
        <v>8</v>
      </c>
      <c r="K3193" s="11">
        <f>IF(B3193&lt;C3193,1,EXP(-1*(B3193-C3193)/(Utilities!$B$11*IterData!H3193)))</f>
        <v>1</v>
      </c>
    </row>
    <row r="3194" spans="8:11" x14ac:dyDescent="0.3">
      <c r="H3194">
        <v>0.5</v>
      </c>
      <c r="I3194" s="11">
        <f t="shared" si="49"/>
        <v>0</v>
      </c>
      <c r="J3194" s="11">
        <f>1/(H3194*Utilities!$B$11)</f>
        <v>8</v>
      </c>
      <c r="K3194" s="11">
        <f>IF(B3194&lt;C3194,1,EXP(-1*(B3194-C3194)/(Utilities!$B$11*IterData!H3194)))</f>
        <v>1</v>
      </c>
    </row>
    <row r="3195" spans="8:11" x14ac:dyDescent="0.3">
      <c r="H3195">
        <v>0.5</v>
      </c>
      <c r="I3195" s="11">
        <f t="shared" si="49"/>
        <v>0</v>
      </c>
      <c r="J3195" s="11">
        <f>1/(H3195*Utilities!$B$11)</f>
        <v>8</v>
      </c>
      <c r="K3195" s="11">
        <f>IF(B3195&lt;C3195,1,EXP(-1*(B3195-C3195)/(Utilities!$B$11*IterData!H3195)))</f>
        <v>1</v>
      </c>
    </row>
    <row r="3196" spans="8:11" x14ac:dyDescent="0.3">
      <c r="H3196">
        <v>0.5</v>
      </c>
      <c r="I3196" s="11">
        <f t="shared" si="49"/>
        <v>0</v>
      </c>
      <c r="J3196" s="11">
        <f>1/(H3196*Utilities!$B$11)</f>
        <v>8</v>
      </c>
      <c r="K3196" s="11">
        <f>IF(B3196&lt;C3196,1,EXP(-1*(B3196-C3196)/(Utilities!$B$11*IterData!H3196)))</f>
        <v>1</v>
      </c>
    </row>
    <row r="3197" spans="8:11" x14ac:dyDescent="0.3">
      <c r="H3197">
        <v>0.5</v>
      </c>
      <c r="I3197" s="11">
        <f t="shared" si="49"/>
        <v>0</v>
      </c>
      <c r="J3197" s="11">
        <f>1/(H3197*Utilities!$B$11)</f>
        <v>8</v>
      </c>
      <c r="K3197" s="11">
        <f>IF(B3197&lt;C3197,1,EXP(-1*(B3197-C3197)/(Utilities!$B$11*IterData!H3197)))</f>
        <v>1</v>
      </c>
    </row>
    <row r="3198" spans="8:11" x14ac:dyDescent="0.3">
      <c r="H3198">
        <v>0.5</v>
      </c>
      <c r="I3198" s="11">
        <f t="shared" si="49"/>
        <v>0</v>
      </c>
      <c r="J3198" s="11">
        <f>1/(H3198*Utilities!$B$11)</f>
        <v>8</v>
      </c>
      <c r="K3198" s="11">
        <f>IF(B3198&lt;C3198,1,EXP(-1*(B3198-C3198)/(Utilities!$B$11*IterData!H3198)))</f>
        <v>1</v>
      </c>
    </row>
    <row r="3199" spans="8:11" x14ac:dyDescent="0.3">
      <c r="H3199">
        <v>0.5</v>
      </c>
      <c r="I3199" s="11">
        <f t="shared" si="49"/>
        <v>0</v>
      </c>
      <c r="J3199" s="11">
        <f>1/(H3199*Utilities!$B$11)</f>
        <v>8</v>
      </c>
      <c r="K3199" s="11">
        <f>IF(B3199&lt;C3199,1,EXP(-1*(B3199-C3199)/(Utilities!$B$11*IterData!H3199)))</f>
        <v>1</v>
      </c>
    </row>
    <row r="3200" spans="8:11" x14ac:dyDescent="0.3">
      <c r="H3200">
        <v>0.5</v>
      </c>
      <c r="I3200" s="11">
        <f t="shared" si="49"/>
        <v>0</v>
      </c>
      <c r="J3200" s="11">
        <f>1/(H3200*Utilities!$B$11)</f>
        <v>8</v>
      </c>
      <c r="K3200" s="11">
        <f>IF(B3200&lt;C3200,1,EXP(-1*(B3200-C3200)/(Utilities!$B$11*IterData!H3200)))</f>
        <v>1</v>
      </c>
    </row>
    <row r="3201" spans="8:11" x14ac:dyDescent="0.3">
      <c r="H3201">
        <v>0.5</v>
      </c>
      <c r="I3201" s="11">
        <f t="shared" si="49"/>
        <v>0</v>
      </c>
      <c r="J3201" s="11">
        <f>1/(H3201*Utilities!$B$11)</f>
        <v>8</v>
      </c>
      <c r="K3201" s="11">
        <f>IF(B3201&lt;C3201,1,EXP(-1*(B3201-C3201)/(Utilities!$B$11*IterData!H3201)))</f>
        <v>1</v>
      </c>
    </row>
    <row r="3202" spans="8:11" x14ac:dyDescent="0.3">
      <c r="H3202">
        <v>0.5</v>
      </c>
      <c r="I3202" s="11">
        <f t="shared" si="49"/>
        <v>0</v>
      </c>
      <c r="J3202" s="11">
        <f>1/(H3202*Utilities!$B$11)</f>
        <v>8</v>
      </c>
      <c r="K3202" s="11">
        <f>IF(B3202&lt;C3202,1,EXP(-1*(B3202-C3202)/(Utilities!$B$11*IterData!H3202)))</f>
        <v>1</v>
      </c>
    </row>
    <row r="3203" spans="8:11" x14ac:dyDescent="0.3">
      <c r="H3203">
        <v>0.5</v>
      </c>
      <c r="I3203" s="11">
        <f t="shared" ref="I3203:I3266" si="50">B3203-C3203</f>
        <v>0</v>
      </c>
      <c r="J3203" s="11">
        <f>1/(H3203*Utilities!$B$11)</f>
        <v>8</v>
      </c>
      <c r="K3203" s="11">
        <f>IF(B3203&lt;C3203,1,EXP(-1*(B3203-C3203)/(Utilities!$B$11*IterData!H3203)))</f>
        <v>1</v>
      </c>
    </row>
    <row r="3204" spans="8:11" x14ac:dyDescent="0.3">
      <c r="H3204">
        <v>0.5</v>
      </c>
      <c r="I3204" s="11">
        <f t="shared" si="50"/>
        <v>0</v>
      </c>
      <c r="J3204" s="11">
        <f>1/(H3204*Utilities!$B$11)</f>
        <v>8</v>
      </c>
      <c r="K3204" s="11">
        <f>IF(B3204&lt;C3204,1,EXP(-1*(B3204-C3204)/(Utilities!$B$11*IterData!H3204)))</f>
        <v>1</v>
      </c>
    </row>
    <row r="3205" spans="8:11" x14ac:dyDescent="0.3">
      <c r="H3205">
        <v>0.5</v>
      </c>
      <c r="I3205" s="11">
        <f t="shared" si="50"/>
        <v>0</v>
      </c>
      <c r="J3205" s="11">
        <f>1/(H3205*Utilities!$B$11)</f>
        <v>8</v>
      </c>
      <c r="K3205" s="11">
        <f>IF(B3205&lt;C3205,1,EXP(-1*(B3205-C3205)/(Utilities!$B$11*IterData!H3205)))</f>
        <v>1</v>
      </c>
    </row>
    <row r="3206" spans="8:11" x14ac:dyDescent="0.3">
      <c r="H3206">
        <v>0.5</v>
      </c>
      <c r="I3206" s="11">
        <f t="shared" si="50"/>
        <v>0</v>
      </c>
      <c r="J3206" s="11">
        <f>1/(H3206*Utilities!$B$11)</f>
        <v>8</v>
      </c>
      <c r="K3206" s="11">
        <f>IF(B3206&lt;C3206,1,EXP(-1*(B3206-C3206)/(Utilities!$B$11*IterData!H3206)))</f>
        <v>1</v>
      </c>
    </row>
    <row r="3207" spans="8:11" x14ac:dyDescent="0.3">
      <c r="H3207">
        <v>0.5</v>
      </c>
      <c r="I3207" s="11">
        <f t="shared" si="50"/>
        <v>0</v>
      </c>
      <c r="J3207" s="11">
        <f>1/(H3207*Utilities!$B$11)</f>
        <v>8</v>
      </c>
      <c r="K3207" s="11">
        <f>IF(B3207&lt;C3207,1,EXP(-1*(B3207-C3207)/(Utilities!$B$11*IterData!H3207)))</f>
        <v>1</v>
      </c>
    </row>
    <row r="3208" spans="8:11" x14ac:dyDescent="0.3">
      <c r="H3208">
        <v>0.5</v>
      </c>
      <c r="I3208" s="11">
        <f t="shared" si="50"/>
        <v>0</v>
      </c>
      <c r="J3208" s="11">
        <f>1/(H3208*Utilities!$B$11)</f>
        <v>8</v>
      </c>
      <c r="K3208" s="11">
        <f>IF(B3208&lt;C3208,1,EXP(-1*(B3208-C3208)/(Utilities!$B$11*IterData!H3208)))</f>
        <v>1</v>
      </c>
    </row>
    <row r="3209" spans="8:11" x14ac:dyDescent="0.3">
      <c r="H3209">
        <v>0.5</v>
      </c>
      <c r="I3209" s="11">
        <f t="shared" si="50"/>
        <v>0</v>
      </c>
      <c r="J3209" s="11">
        <f>1/(H3209*Utilities!$B$11)</f>
        <v>8</v>
      </c>
      <c r="K3209" s="11">
        <f>IF(B3209&lt;C3209,1,EXP(-1*(B3209-C3209)/(Utilities!$B$11*IterData!H3209)))</f>
        <v>1</v>
      </c>
    </row>
    <row r="3210" spans="8:11" x14ac:dyDescent="0.3">
      <c r="H3210">
        <v>0.5</v>
      </c>
      <c r="I3210" s="11">
        <f t="shared" si="50"/>
        <v>0</v>
      </c>
      <c r="J3210" s="11">
        <f>1/(H3210*Utilities!$B$11)</f>
        <v>8</v>
      </c>
      <c r="K3210" s="11">
        <f>IF(B3210&lt;C3210,1,EXP(-1*(B3210-C3210)/(Utilities!$B$11*IterData!H3210)))</f>
        <v>1</v>
      </c>
    </row>
    <row r="3211" spans="8:11" x14ac:dyDescent="0.3">
      <c r="H3211">
        <v>0.5</v>
      </c>
      <c r="I3211" s="11">
        <f t="shared" si="50"/>
        <v>0</v>
      </c>
      <c r="J3211" s="11">
        <f>1/(H3211*Utilities!$B$11)</f>
        <v>8</v>
      </c>
      <c r="K3211" s="11">
        <f>IF(B3211&lt;C3211,1,EXP(-1*(B3211-C3211)/(Utilities!$B$11*IterData!H3211)))</f>
        <v>1</v>
      </c>
    </row>
    <row r="3212" spans="8:11" x14ac:dyDescent="0.3">
      <c r="H3212">
        <v>0.5</v>
      </c>
      <c r="I3212" s="11">
        <f t="shared" si="50"/>
        <v>0</v>
      </c>
      <c r="J3212" s="11">
        <f>1/(H3212*Utilities!$B$11)</f>
        <v>8</v>
      </c>
      <c r="K3212" s="11">
        <f>IF(B3212&lt;C3212,1,EXP(-1*(B3212-C3212)/(Utilities!$B$11*IterData!H3212)))</f>
        <v>1</v>
      </c>
    </row>
    <row r="3213" spans="8:11" x14ac:dyDescent="0.3">
      <c r="H3213">
        <v>0.5</v>
      </c>
      <c r="I3213" s="11">
        <f t="shared" si="50"/>
        <v>0</v>
      </c>
      <c r="J3213" s="11">
        <f>1/(H3213*Utilities!$B$11)</f>
        <v>8</v>
      </c>
      <c r="K3213" s="11">
        <f>IF(B3213&lt;C3213,1,EXP(-1*(B3213-C3213)/(Utilities!$B$11*IterData!H3213)))</f>
        <v>1</v>
      </c>
    </row>
    <row r="3214" spans="8:11" x14ac:dyDescent="0.3">
      <c r="H3214">
        <v>0.5</v>
      </c>
      <c r="I3214" s="11">
        <f t="shared" si="50"/>
        <v>0</v>
      </c>
      <c r="J3214" s="11">
        <f>1/(H3214*Utilities!$B$11)</f>
        <v>8</v>
      </c>
      <c r="K3214" s="11">
        <f>IF(B3214&lt;C3214,1,EXP(-1*(B3214-C3214)/(Utilities!$B$11*IterData!H3214)))</f>
        <v>1</v>
      </c>
    </row>
    <row r="3215" spans="8:11" x14ac:dyDescent="0.3">
      <c r="H3215">
        <v>0.5</v>
      </c>
      <c r="I3215" s="11">
        <f t="shared" si="50"/>
        <v>0</v>
      </c>
      <c r="J3215" s="11">
        <f>1/(H3215*Utilities!$B$11)</f>
        <v>8</v>
      </c>
      <c r="K3215" s="11">
        <f>IF(B3215&lt;C3215,1,EXP(-1*(B3215-C3215)/(Utilities!$B$11*IterData!H3215)))</f>
        <v>1</v>
      </c>
    </row>
    <row r="3216" spans="8:11" x14ac:dyDescent="0.3">
      <c r="H3216">
        <v>0.5</v>
      </c>
      <c r="I3216" s="11">
        <f t="shared" si="50"/>
        <v>0</v>
      </c>
      <c r="J3216" s="11">
        <f>1/(H3216*Utilities!$B$11)</f>
        <v>8</v>
      </c>
      <c r="K3216" s="11">
        <f>IF(B3216&lt;C3216,1,EXP(-1*(B3216-C3216)/(Utilities!$B$11*IterData!H3216)))</f>
        <v>1</v>
      </c>
    </row>
    <row r="3217" spans="8:11" x14ac:dyDescent="0.3">
      <c r="H3217">
        <v>0.5</v>
      </c>
      <c r="I3217" s="11">
        <f t="shared" si="50"/>
        <v>0</v>
      </c>
      <c r="J3217" s="11">
        <f>1/(H3217*Utilities!$B$11)</f>
        <v>8</v>
      </c>
      <c r="K3217" s="11">
        <f>IF(B3217&lt;C3217,1,EXP(-1*(B3217-C3217)/(Utilities!$B$11*IterData!H3217)))</f>
        <v>1</v>
      </c>
    </row>
    <row r="3218" spans="8:11" x14ac:dyDescent="0.3">
      <c r="H3218">
        <v>0.5</v>
      </c>
      <c r="I3218" s="11">
        <f t="shared" si="50"/>
        <v>0</v>
      </c>
      <c r="J3218" s="11">
        <f>1/(H3218*Utilities!$B$11)</f>
        <v>8</v>
      </c>
      <c r="K3218" s="11">
        <f>IF(B3218&lt;C3218,1,EXP(-1*(B3218-C3218)/(Utilities!$B$11*IterData!H3218)))</f>
        <v>1</v>
      </c>
    </row>
    <row r="3219" spans="8:11" x14ac:dyDescent="0.3">
      <c r="H3219">
        <v>0.5</v>
      </c>
      <c r="I3219" s="11">
        <f t="shared" si="50"/>
        <v>0</v>
      </c>
      <c r="J3219" s="11">
        <f>1/(H3219*Utilities!$B$11)</f>
        <v>8</v>
      </c>
      <c r="K3219" s="11">
        <f>IF(B3219&lt;C3219,1,EXP(-1*(B3219-C3219)/(Utilities!$B$11*IterData!H3219)))</f>
        <v>1</v>
      </c>
    </row>
    <row r="3220" spans="8:11" x14ac:dyDescent="0.3">
      <c r="H3220">
        <v>0.5</v>
      </c>
      <c r="I3220" s="11">
        <f t="shared" si="50"/>
        <v>0</v>
      </c>
      <c r="J3220" s="11">
        <f>1/(H3220*Utilities!$B$11)</f>
        <v>8</v>
      </c>
      <c r="K3220" s="11">
        <f>IF(B3220&lt;C3220,1,EXP(-1*(B3220-C3220)/(Utilities!$B$11*IterData!H3220)))</f>
        <v>1</v>
      </c>
    </row>
    <row r="3221" spans="8:11" x14ac:dyDescent="0.3">
      <c r="H3221">
        <v>0.5</v>
      </c>
      <c r="I3221" s="11">
        <f t="shared" si="50"/>
        <v>0</v>
      </c>
      <c r="J3221" s="11">
        <f>1/(H3221*Utilities!$B$11)</f>
        <v>8</v>
      </c>
      <c r="K3221" s="11">
        <f>IF(B3221&lt;C3221,1,EXP(-1*(B3221-C3221)/(Utilities!$B$11*IterData!H3221)))</f>
        <v>1</v>
      </c>
    </row>
    <row r="3222" spans="8:11" x14ac:dyDescent="0.3">
      <c r="H3222">
        <v>0.5</v>
      </c>
      <c r="I3222" s="11">
        <f t="shared" si="50"/>
        <v>0</v>
      </c>
      <c r="J3222" s="11">
        <f>1/(H3222*Utilities!$B$11)</f>
        <v>8</v>
      </c>
      <c r="K3222" s="11">
        <f>IF(B3222&lt;C3222,1,EXP(-1*(B3222-C3222)/(Utilities!$B$11*IterData!H3222)))</f>
        <v>1</v>
      </c>
    </row>
    <row r="3223" spans="8:11" x14ac:dyDescent="0.3">
      <c r="H3223">
        <v>0.5</v>
      </c>
      <c r="I3223" s="11">
        <f t="shared" si="50"/>
        <v>0</v>
      </c>
      <c r="J3223" s="11">
        <f>1/(H3223*Utilities!$B$11)</f>
        <v>8</v>
      </c>
      <c r="K3223" s="11">
        <f>IF(B3223&lt;C3223,1,EXP(-1*(B3223-C3223)/(Utilities!$B$11*IterData!H3223)))</f>
        <v>1</v>
      </c>
    </row>
    <row r="3224" spans="8:11" x14ac:dyDescent="0.3">
      <c r="H3224">
        <v>0.5</v>
      </c>
      <c r="I3224" s="11">
        <f t="shared" si="50"/>
        <v>0</v>
      </c>
      <c r="J3224" s="11">
        <f>1/(H3224*Utilities!$B$11)</f>
        <v>8</v>
      </c>
      <c r="K3224" s="11">
        <f>IF(B3224&lt;C3224,1,EXP(-1*(B3224-C3224)/(Utilities!$B$11*IterData!H3224)))</f>
        <v>1</v>
      </c>
    </row>
    <row r="3225" spans="8:11" x14ac:dyDescent="0.3">
      <c r="H3225">
        <v>0.5</v>
      </c>
      <c r="I3225" s="11">
        <f t="shared" si="50"/>
        <v>0</v>
      </c>
      <c r="J3225" s="11">
        <f>1/(H3225*Utilities!$B$11)</f>
        <v>8</v>
      </c>
      <c r="K3225" s="11">
        <f>IF(B3225&lt;C3225,1,EXP(-1*(B3225-C3225)/(Utilities!$B$11*IterData!H3225)))</f>
        <v>1</v>
      </c>
    </row>
    <row r="3226" spans="8:11" x14ac:dyDescent="0.3">
      <c r="H3226">
        <v>0.5</v>
      </c>
      <c r="I3226" s="11">
        <f t="shared" si="50"/>
        <v>0</v>
      </c>
      <c r="J3226" s="11">
        <f>1/(H3226*Utilities!$B$11)</f>
        <v>8</v>
      </c>
      <c r="K3226" s="11">
        <f>IF(B3226&lt;C3226,1,EXP(-1*(B3226-C3226)/(Utilities!$B$11*IterData!H3226)))</f>
        <v>1</v>
      </c>
    </row>
    <row r="3227" spans="8:11" x14ac:dyDescent="0.3">
      <c r="H3227">
        <v>0.5</v>
      </c>
      <c r="I3227" s="11">
        <f t="shared" si="50"/>
        <v>0</v>
      </c>
      <c r="J3227" s="11">
        <f>1/(H3227*Utilities!$B$11)</f>
        <v>8</v>
      </c>
      <c r="K3227" s="11">
        <f>IF(B3227&lt;C3227,1,EXP(-1*(B3227-C3227)/(Utilities!$B$11*IterData!H3227)))</f>
        <v>1</v>
      </c>
    </row>
    <row r="3228" spans="8:11" x14ac:dyDescent="0.3">
      <c r="H3228">
        <v>0.5</v>
      </c>
      <c r="I3228" s="11">
        <f t="shared" si="50"/>
        <v>0</v>
      </c>
      <c r="J3228" s="11">
        <f>1/(H3228*Utilities!$B$11)</f>
        <v>8</v>
      </c>
      <c r="K3228" s="11">
        <f>IF(B3228&lt;C3228,1,EXP(-1*(B3228-C3228)/(Utilities!$B$11*IterData!H3228)))</f>
        <v>1</v>
      </c>
    </row>
    <row r="3229" spans="8:11" x14ac:dyDescent="0.3">
      <c r="H3229">
        <v>0.5</v>
      </c>
      <c r="I3229" s="11">
        <f t="shared" si="50"/>
        <v>0</v>
      </c>
      <c r="J3229" s="11">
        <f>1/(H3229*Utilities!$B$11)</f>
        <v>8</v>
      </c>
      <c r="K3229" s="11">
        <f>IF(B3229&lt;C3229,1,EXP(-1*(B3229-C3229)/(Utilities!$B$11*IterData!H3229)))</f>
        <v>1</v>
      </c>
    </row>
    <row r="3230" spans="8:11" x14ac:dyDescent="0.3">
      <c r="H3230">
        <v>0.5</v>
      </c>
      <c r="I3230" s="11">
        <f t="shared" si="50"/>
        <v>0</v>
      </c>
      <c r="J3230" s="11">
        <f>1/(H3230*Utilities!$B$11)</f>
        <v>8</v>
      </c>
      <c r="K3230" s="11">
        <f>IF(B3230&lt;C3230,1,EXP(-1*(B3230-C3230)/(Utilities!$B$11*IterData!H3230)))</f>
        <v>1</v>
      </c>
    </row>
    <row r="3231" spans="8:11" x14ac:dyDescent="0.3">
      <c r="H3231">
        <v>0.5</v>
      </c>
      <c r="I3231" s="11">
        <f t="shared" si="50"/>
        <v>0</v>
      </c>
      <c r="J3231" s="11">
        <f>1/(H3231*Utilities!$B$11)</f>
        <v>8</v>
      </c>
      <c r="K3231" s="11">
        <f>IF(B3231&lt;C3231,1,EXP(-1*(B3231-C3231)/(Utilities!$B$11*IterData!H3231)))</f>
        <v>1</v>
      </c>
    </row>
    <row r="3232" spans="8:11" x14ac:dyDescent="0.3">
      <c r="H3232">
        <v>0.5</v>
      </c>
      <c r="I3232" s="11">
        <f t="shared" si="50"/>
        <v>0</v>
      </c>
      <c r="J3232" s="11">
        <f>1/(H3232*Utilities!$B$11)</f>
        <v>8</v>
      </c>
      <c r="K3232" s="11">
        <f>IF(B3232&lt;C3232,1,EXP(-1*(B3232-C3232)/(Utilities!$B$11*IterData!H3232)))</f>
        <v>1</v>
      </c>
    </row>
    <row r="3233" spans="8:11" x14ac:dyDescent="0.3">
      <c r="H3233">
        <v>0.5</v>
      </c>
      <c r="I3233" s="11">
        <f t="shared" si="50"/>
        <v>0</v>
      </c>
      <c r="J3233" s="11">
        <f>1/(H3233*Utilities!$B$11)</f>
        <v>8</v>
      </c>
      <c r="K3233" s="11">
        <f>IF(B3233&lt;C3233,1,EXP(-1*(B3233-C3233)/(Utilities!$B$11*IterData!H3233)))</f>
        <v>1</v>
      </c>
    </row>
    <row r="3234" spans="8:11" x14ac:dyDescent="0.3">
      <c r="H3234">
        <v>0.5</v>
      </c>
      <c r="I3234" s="11">
        <f t="shared" si="50"/>
        <v>0</v>
      </c>
      <c r="J3234" s="11">
        <f>1/(H3234*Utilities!$B$11)</f>
        <v>8</v>
      </c>
      <c r="K3234" s="11">
        <f>IF(B3234&lt;C3234,1,EXP(-1*(B3234-C3234)/(Utilities!$B$11*IterData!H3234)))</f>
        <v>1</v>
      </c>
    </row>
    <row r="3235" spans="8:11" x14ac:dyDescent="0.3">
      <c r="H3235">
        <v>0.5</v>
      </c>
      <c r="I3235" s="11">
        <f t="shared" si="50"/>
        <v>0</v>
      </c>
      <c r="J3235" s="11">
        <f>1/(H3235*Utilities!$B$11)</f>
        <v>8</v>
      </c>
      <c r="K3235" s="11">
        <f>IF(B3235&lt;C3235,1,EXP(-1*(B3235-C3235)/(Utilities!$B$11*IterData!H3235)))</f>
        <v>1</v>
      </c>
    </row>
    <row r="3236" spans="8:11" x14ac:dyDescent="0.3">
      <c r="H3236">
        <v>0.5</v>
      </c>
      <c r="I3236" s="11">
        <f t="shared" si="50"/>
        <v>0</v>
      </c>
      <c r="J3236" s="11">
        <f>1/(H3236*Utilities!$B$11)</f>
        <v>8</v>
      </c>
      <c r="K3236" s="11">
        <f>IF(B3236&lt;C3236,1,EXP(-1*(B3236-C3236)/(Utilities!$B$11*IterData!H3236)))</f>
        <v>1</v>
      </c>
    </row>
    <row r="3237" spans="8:11" x14ac:dyDescent="0.3">
      <c r="H3237">
        <v>0.5</v>
      </c>
      <c r="I3237" s="11">
        <f t="shared" si="50"/>
        <v>0</v>
      </c>
      <c r="J3237" s="11">
        <f>1/(H3237*Utilities!$B$11)</f>
        <v>8</v>
      </c>
      <c r="K3237" s="11">
        <f>IF(B3237&lt;C3237,1,EXP(-1*(B3237-C3237)/(Utilities!$B$11*IterData!H3237)))</f>
        <v>1</v>
      </c>
    </row>
    <row r="3238" spans="8:11" x14ac:dyDescent="0.3">
      <c r="H3238">
        <v>0.5</v>
      </c>
      <c r="I3238" s="11">
        <f t="shared" si="50"/>
        <v>0</v>
      </c>
      <c r="J3238" s="11">
        <f>1/(H3238*Utilities!$B$11)</f>
        <v>8</v>
      </c>
      <c r="K3238" s="11">
        <f>IF(B3238&lt;C3238,1,EXP(-1*(B3238-C3238)/(Utilities!$B$11*IterData!H3238)))</f>
        <v>1</v>
      </c>
    </row>
    <row r="3239" spans="8:11" x14ac:dyDescent="0.3">
      <c r="H3239">
        <v>0.5</v>
      </c>
      <c r="I3239" s="11">
        <f t="shared" si="50"/>
        <v>0</v>
      </c>
      <c r="J3239" s="11">
        <f>1/(H3239*Utilities!$B$11)</f>
        <v>8</v>
      </c>
      <c r="K3239" s="11">
        <f>IF(B3239&lt;C3239,1,EXP(-1*(B3239-C3239)/(Utilities!$B$11*IterData!H3239)))</f>
        <v>1</v>
      </c>
    </row>
    <row r="3240" spans="8:11" x14ac:dyDescent="0.3">
      <c r="H3240">
        <v>0.5</v>
      </c>
      <c r="I3240" s="11">
        <f t="shared" si="50"/>
        <v>0</v>
      </c>
      <c r="J3240" s="11">
        <f>1/(H3240*Utilities!$B$11)</f>
        <v>8</v>
      </c>
      <c r="K3240" s="11">
        <f>IF(B3240&lt;C3240,1,EXP(-1*(B3240-C3240)/(Utilities!$B$11*IterData!H3240)))</f>
        <v>1</v>
      </c>
    </row>
    <row r="3241" spans="8:11" x14ac:dyDescent="0.3">
      <c r="H3241">
        <v>0.5</v>
      </c>
      <c r="I3241" s="11">
        <f t="shared" si="50"/>
        <v>0</v>
      </c>
      <c r="J3241" s="11">
        <f>1/(H3241*Utilities!$B$11)</f>
        <v>8</v>
      </c>
      <c r="K3241" s="11">
        <f>IF(B3241&lt;C3241,1,EXP(-1*(B3241-C3241)/(Utilities!$B$11*IterData!H3241)))</f>
        <v>1</v>
      </c>
    </row>
    <row r="3242" spans="8:11" x14ac:dyDescent="0.3">
      <c r="H3242">
        <v>0.5</v>
      </c>
      <c r="I3242" s="11">
        <f t="shared" si="50"/>
        <v>0</v>
      </c>
      <c r="J3242" s="11">
        <f>1/(H3242*Utilities!$B$11)</f>
        <v>8</v>
      </c>
      <c r="K3242" s="11">
        <f>IF(B3242&lt;C3242,1,EXP(-1*(B3242-C3242)/(Utilities!$B$11*IterData!H3242)))</f>
        <v>1</v>
      </c>
    </row>
    <row r="3243" spans="8:11" x14ac:dyDescent="0.3">
      <c r="H3243">
        <v>0.5</v>
      </c>
      <c r="I3243" s="11">
        <f t="shared" si="50"/>
        <v>0</v>
      </c>
      <c r="J3243" s="11">
        <f>1/(H3243*Utilities!$B$11)</f>
        <v>8</v>
      </c>
      <c r="K3243" s="11">
        <f>IF(B3243&lt;C3243,1,EXP(-1*(B3243-C3243)/(Utilities!$B$11*IterData!H3243)))</f>
        <v>1</v>
      </c>
    </row>
    <row r="3244" spans="8:11" x14ac:dyDescent="0.3">
      <c r="H3244">
        <v>0.5</v>
      </c>
      <c r="I3244" s="11">
        <f t="shared" si="50"/>
        <v>0</v>
      </c>
      <c r="J3244" s="11">
        <f>1/(H3244*Utilities!$B$11)</f>
        <v>8</v>
      </c>
      <c r="K3244" s="11">
        <f>IF(B3244&lt;C3244,1,EXP(-1*(B3244-C3244)/(Utilities!$B$11*IterData!H3244)))</f>
        <v>1</v>
      </c>
    </row>
    <row r="3245" spans="8:11" x14ac:dyDescent="0.3">
      <c r="H3245">
        <v>0.5</v>
      </c>
      <c r="I3245" s="11">
        <f t="shared" si="50"/>
        <v>0</v>
      </c>
      <c r="J3245" s="11">
        <f>1/(H3245*Utilities!$B$11)</f>
        <v>8</v>
      </c>
      <c r="K3245" s="11">
        <f>IF(B3245&lt;C3245,1,EXP(-1*(B3245-C3245)/(Utilities!$B$11*IterData!H3245)))</f>
        <v>1</v>
      </c>
    </row>
    <row r="3246" spans="8:11" x14ac:dyDescent="0.3">
      <c r="H3246">
        <v>0.5</v>
      </c>
      <c r="I3246" s="11">
        <f t="shared" si="50"/>
        <v>0</v>
      </c>
      <c r="J3246" s="11">
        <f>1/(H3246*Utilities!$B$11)</f>
        <v>8</v>
      </c>
      <c r="K3246" s="11">
        <f>IF(B3246&lt;C3246,1,EXP(-1*(B3246-C3246)/(Utilities!$B$11*IterData!H3246)))</f>
        <v>1</v>
      </c>
    </row>
    <row r="3247" spans="8:11" x14ac:dyDescent="0.3">
      <c r="H3247">
        <v>0.5</v>
      </c>
      <c r="I3247" s="11">
        <f t="shared" si="50"/>
        <v>0</v>
      </c>
      <c r="J3247" s="11">
        <f>1/(H3247*Utilities!$B$11)</f>
        <v>8</v>
      </c>
      <c r="K3247" s="11">
        <f>IF(B3247&lt;C3247,1,EXP(-1*(B3247-C3247)/(Utilities!$B$11*IterData!H3247)))</f>
        <v>1</v>
      </c>
    </row>
    <row r="3248" spans="8:11" x14ac:dyDescent="0.3">
      <c r="H3248">
        <v>0.5</v>
      </c>
      <c r="I3248" s="11">
        <f t="shared" si="50"/>
        <v>0</v>
      </c>
      <c r="J3248" s="11">
        <f>1/(H3248*Utilities!$B$11)</f>
        <v>8</v>
      </c>
      <c r="K3248" s="11">
        <f>IF(B3248&lt;C3248,1,EXP(-1*(B3248-C3248)/(Utilities!$B$11*IterData!H3248)))</f>
        <v>1</v>
      </c>
    </row>
    <row r="3249" spans="8:11" x14ac:dyDescent="0.3">
      <c r="H3249">
        <v>0.5</v>
      </c>
      <c r="I3249" s="11">
        <f t="shared" si="50"/>
        <v>0</v>
      </c>
      <c r="J3249" s="11">
        <f>1/(H3249*Utilities!$B$11)</f>
        <v>8</v>
      </c>
      <c r="K3249" s="11">
        <f>IF(B3249&lt;C3249,1,EXP(-1*(B3249-C3249)/(Utilities!$B$11*IterData!H3249)))</f>
        <v>1</v>
      </c>
    </row>
    <row r="3250" spans="8:11" x14ac:dyDescent="0.3">
      <c r="H3250">
        <v>0.5</v>
      </c>
      <c r="I3250" s="11">
        <f t="shared" si="50"/>
        <v>0</v>
      </c>
      <c r="J3250" s="11">
        <f>1/(H3250*Utilities!$B$11)</f>
        <v>8</v>
      </c>
      <c r="K3250" s="11">
        <f>IF(B3250&lt;C3250,1,EXP(-1*(B3250-C3250)/(Utilities!$B$11*IterData!H3250)))</f>
        <v>1</v>
      </c>
    </row>
    <row r="3251" spans="8:11" x14ac:dyDescent="0.3">
      <c r="H3251">
        <v>0.5</v>
      </c>
      <c r="I3251" s="11">
        <f t="shared" si="50"/>
        <v>0</v>
      </c>
      <c r="J3251" s="11">
        <f>1/(H3251*Utilities!$B$11)</f>
        <v>8</v>
      </c>
      <c r="K3251" s="11">
        <f>IF(B3251&lt;C3251,1,EXP(-1*(B3251-C3251)/(Utilities!$B$11*IterData!H3251)))</f>
        <v>1</v>
      </c>
    </row>
    <row r="3252" spans="8:11" x14ac:dyDescent="0.3">
      <c r="H3252">
        <v>0.5</v>
      </c>
      <c r="I3252" s="11">
        <f t="shared" si="50"/>
        <v>0</v>
      </c>
      <c r="J3252" s="11">
        <f>1/(H3252*Utilities!$B$11)</f>
        <v>8</v>
      </c>
      <c r="K3252" s="11">
        <f>IF(B3252&lt;C3252,1,EXP(-1*(B3252-C3252)/(Utilities!$B$11*IterData!H3252)))</f>
        <v>1</v>
      </c>
    </row>
    <row r="3253" spans="8:11" x14ac:dyDescent="0.3">
      <c r="H3253">
        <v>0.5</v>
      </c>
      <c r="I3253" s="11">
        <f t="shared" si="50"/>
        <v>0</v>
      </c>
      <c r="J3253" s="11">
        <f>1/(H3253*Utilities!$B$11)</f>
        <v>8</v>
      </c>
      <c r="K3253" s="11">
        <f>IF(B3253&lt;C3253,1,EXP(-1*(B3253-C3253)/(Utilities!$B$11*IterData!H3253)))</f>
        <v>1</v>
      </c>
    </row>
    <row r="3254" spans="8:11" x14ac:dyDescent="0.3">
      <c r="H3254">
        <v>0.5</v>
      </c>
      <c r="I3254" s="11">
        <f t="shared" si="50"/>
        <v>0</v>
      </c>
      <c r="J3254" s="11">
        <f>1/(H3254*Utilities!$B$11)</f>
        <v>8</v>
      </c>
      <c r="K3254" s="11">
        <f>IF(B3254&lt;C3254,1,EXP(-1*(B3254-C3254)/(Utilities!$B$11*IterData!H3254)))</f>
        <v>1</v>
      </c>
    </row>
    <row r="3255" spans="8:11" x14ac:dyDescent="0.3">
      <c r="H3255">
        <v>0.5</v>
      </c>
      <c r="I3255" s="11">
        <f t="shared" si="50"/>
        <v>0</v>
      </c>
      <c r="J3255" s="11">
        <f>1/(H3255*Utilities!$B$11)</f>
        <v>8</v>
      </c>
      <c r="K3255" s="11">
        <f>IF(B3255&lt;C3255,1,EXP(-1*(B3255-C3255)/(Utilities!$B$11*IterData!H3255)))</f>
        <v>1</v>
      </c>
    </row>
    <row r="3256" spans="8:11" x14ac:dyDescent="0.3">
      <c r="H3256">
        <v>0.5</v>
      </c>
      <c r="I3256" s="11">
        <f t="shared" si="50"/>
        <v>0</v>
      </c>
      <c r="J3256" s="11">
        <f>1/(H3256*Utilities!$B$11)</f>
        <v>8</v>
      </c>
      <c r="K3256" s="11">
        <f>IF(B3256&lt;C3256,1,EXP(-1*(B3256-C3256)/(Utilities!$B$11*IterData!H3256)))</f>
        <v>1</v>
      </c>
    </row>
    <row r="3257" spans="8:11" x14ac:dyDescent="0.3">
      <c r="H3257">
        <v>0.5</v>
      </c>
      <c r="I3257" s="11">
        <f t="shared" si="50"/>
        <v>0</v>
      </c>
      <c r="J3257" s="11">
        <f>1/(H3257*Utilities!$B$11)</f>
        <v>8</v>
      </c>
      <c r="K3257" s="11">
        <f>IF(B3257&lt;C3257,1,EXP(-1*(B3257-C3257)/(Utilities!$B$11*IterData!H3257)))</f>
        <v>1</v>
      </c>
    </row>
    <row r="3258" spans="8:11" x14ac:dyDescent="0.3">
      <c r="H3258">
        <v>0.5</v>
      </c>
      <c r="I3258" s="11">
        <f t="shared" si="50"/>
        <v>0</v>
      </c>
      <c r="J3258" s="11">
        <f>1/(H3258*Utilities!$B$11)</f>
        <v>8</v>
      </c>
      <c r="K3258" s="11">
        <f>IF(B3258&lt;C3258,1,EXP(-1*(B3258-C3258)/(Utilities!$B$11*IterData!H3258)))</f>
        <v>1</v>
      </c>
    </row>
    <row r="3259" spans="8:11" x14ac:dyDescent="0.3">
      <c r="H3259">
        <v>0.5</v>
      </c>
      <c r="I3259" s="11">
        <f t="shared" si="50"/>
        <v>0</v>
      </c>
      <c r="J3259" s="11">
        <f>1/(H3259*Utilities!$B$11)</f>
        <v>8</v>
      </c>
      <c r="K3259" s="11">
        <f>IF(B3259&lt;C3259,1,EXP(-1*(B3259-C3259)/(Utilities!$B$11*IterData!H3259)))</f>
        <v>1</v>
      </c>
    </row>
    <row r="3260" spans="8:11" x14ac:dyDescent="0.3">
      <c r="H3260">
        <v>0.5</v>
      </c>
      <c r="I3260" s="11">
        <f t="shared" si="50"/>
        <v>0</v>
      </c>
      <c r="J3260" s="11">
        <f>1/(H3260*Utilities!$B$11)</f>
        <v>8</v>
      </c>
      <c r="K3260" s="11">
        <f>IF(B3260&lt;C3260,1,EXP(-1*(B3260-C3260)/(Utilities!$B$11*IterData!H3260)))</f>
        <v>1</v>
      </c>
    </row>
    <row r="3261" spans="8:11" x14ac:dyDescent="0.3">
      <c r="H3261">
        <v>0.5</v>
      </c>
      <c r="I3261" s="11">
        <f t="shared" si="50"/>
        <v>0</v>
      </c>
      <c r="J3261" s="11">
        <f>1/(H3261*Utilities!$B$11)</f>
        <v>8</v>
      </c>
      <c r="K3261" s="11">
        <f>IF(B3261&lt;C3261,1,EXP(-1*(B3261-C3261)/(Utilities!$B$11*IterData!H3261)))</f>
        <v>1</v>
      </c>
    </row>
    <row r="3262" spans="8:11" x14ac:dyDescent="0.3">
      <c r="H3262">
        <v>0.5</v>
      </c>
      <c r="I3262" s="11">
        <f t="shared" si="50"/>
        <v>0</v>
      </c>
      <c r="J3262" s="11">
        <f>1/(H3262*Utilities!$B$11)</f>
        <v>8</v>
      </c>
      <c r="K3262" s="11">
        <f>IF(B3262&lt;C3262,1,EXP(-1*(B3262-C3262)/(Utilities!$B$11*IterData!H3262)))</f>
        <v>1</v>
      </c>
    </row>
    <row r="3263" spans="8:11" x14ac:dyDescent="0.3">
      <c r="H3263">
        <v>0.5</v>
      </c>
      <c r="I3263" s="11">
        <f t="shared" si="50"/>
        <v>0</v>
      </c>
      <c r="J3263" s="11">
        <f>1/(H3263*Utilities!$B$11)</f>
        <v>8</v>
      </c>
      <c r="K3263" s="11">
        <f>IF(B3263&lt;C3263,1,EXP(-1*(B3263-C3263)/(Utilities!$B$11*IterData!H3263)))</f>
        <v>1</v>
      </c>
    </row>
    <row r="3264" spans="8:11" x14ac:dyDescent="0.3">
      <c r="H3264">
        <v>0.5</v>
      </c>
      <c r="I3264" s="11">
        <f t="shared" si="50"/>
        <v>0</v>
      </c>
      <c r="J3264" s="11">
        <f>1/(H3264*Utilities!$B$11)</f>
        <v>8</v>
      </c>
      <c r="K3264" s="11">
        <f>IF(B3264&lt;C3264,1,EXP(-1*(B3264-C3264)/(Utilities!$B$11*IterData!H3264)))</f>
        <v>1</v>
      </c>
    </row>
    <row r="3265" spans="8:11" x14ac:dyDescent="0.3">
      <c r="H3265">
        <v>0.5</v>
      </c>
      <c r="I3265" s="11">
        <f t="shared" si="50"/>
        <v>0</v>
      </c>
      <c r="J3265" s="11">
        <f>1/(H3265*Utilities!$B$11)</f>
        <v>8</v>
      </c>
      <c r="K3265" s="11">
        <f>IF(B3265&lt;C3265,1,EXP(-1*(B3265-C3265)/(Utilities!$B$11*IterData!H3265)))</f>
        <v>1</v>
      </c>
    </row>
    <row r="3266" spans="8:11" x14ac:dyDescent="0.3">
      <c r="H3266">
        <v>0.5</v>
      </c>
      <c r="I3266" s="11">
        <f t="shared" si="50"/>
        <v>0</v>
      </c>
      <c r="J3266" s="11">
        <f>1/(H3266*Utilities!$B$11)</f>
        <v>8</v>
      </c>
      <c r="K3266" s="11">
        <f>IF(B3266&lt;C3266,1,EXP(-1*(B3266-C3266)/(Utilities!$B$11*IterData!H3266)))</f>
        <v>1</v>
      </c>
    </row>
    <row r="3267" spans="8:11" x14ac:dyDescent="0.3">
      <c r="H3267">
        <v>0.5</v>
      </c>
      <c r="I3267" s="11">
        <f t="shared" ref="I3267:I3330" si="51">B3267-C3267</f>
        <v>0</v>
      </c>
      <c r="J3267" s="11">
        <f>1/(H3267*Utilities!$B$11)</f>
        <v>8</v>
      </c>
      <c r="K3267" s="11">
        <f>IF(B3267&lt;C3267,1,EXP(-1*(B3267-C3267)/(Utilities!$B$11*IterData!H3267)))</f>
        <v>1</v>
      </c>
    </row>
    <row r="3268" spans="8:11" x14ac:dyDescent="0.3">
      <c r="H3268">
        <v>0.5</v>
      </c>
      <c r="I3268" s="11">
        <f t="shared" si="51"/>
        <v>0</v>
      </c>
      <c r="J3268" s="11">
        <f>1/(H3268*Utilities!$B$11)</f>
        <v>8</v>
      </c>
      <c r="K3268" s="11">
        <f>IF(B3268&lt;C3268,1,EXP(-1*(B3268-C3268)/(Utilities!$B$11*IterData!H3268)))</f>
        <v>1</v>
      </c>
    </row>
    <row r="3269" spans="8:11" x14ac:dyDescent="0.3">
      <c r="H3269">
        <v>0.5</v>
      </c>
      <c r="I3269" s="11">
        <f t="shared" si="51"/>
        <v>0</v>
      </c>
      <c r="J3269" s="11">
        <f>1/(H3269*Utilities!$B$11)</f>
        <v>8</v>
      </c>
      <c r="K3269" s="11">
        <f>IF(B3269&lt;C3269,1,EXP(-1*(B3269-C3269)/(Utilities!$B$11*IterData!H3269)))</f>
        <v>1</v>
      </c>
    </row>
    <row r="3270" spans="8:11" x14ac:dyDescent="0.3">
      <c r="H3270">
        <v>0.5</v>
      </c>
      <c r="I3270" s="11">
        <f t="shared" si="51"/>
        <v>0</v>
      </c>
      <c r="J3270" s="11">
        <f>1/(H3270*Utilities!$B$11)</f>
        <v>8</v>
      </c>
      <c r="K3270" s="11">
        <f>IF(B3270&lt;C3270,1,EXP(-1*(B3270-C3270)/(Utilities!$B$11*IterData!H3270)))</f>
        <v>1</v>
      </c>
    </row>
    <row r="3271" spans="8:11" x14ac:dyDescent="0.3">
      <c r="H3271">
        <v>0.5</v>
      </c>
      <c r="I3271" s="11">
        <f t="shared" si="51"/>
        <v>0</v>
      </c>
      <c r="J3271" s="11">
        <f>1/(H3271*Utilities!$B$11)</f>
        <v>8</v>
      </c>
      <c r="K3271" s="11">
        <f>IF(B3271&lt;C3271,1,EXP(-1*(B3271-C3271)/(Utilities!$B$11*IterData!H3271)))</f>
        <v>1</v>
      </c>
    </row>
    <row r="3272" spans="8:11" x14ac:dyDescent="0.3">
      <c r="H3272">
        <v>0.5</v>
      </c>
      <c r="I3272" s="11">
        <f t="shared" si="51"/>
        <v>0</v>
      </c>
      <c r="J3272" s="11">
        <f>1/(H3272*Utilities!$B$11)</f>
        <v>8</v>
      </c>
      <c r="K3272" s="11">
        <f>IF(B3272&lt;C3272,1,EXP(-1*(B3272-C3272)/(Utilities!$B$11*IterData!H3272)))</f>
        <v>1</v>
      </c>
    </row>
    <row r="3273" spans="8:11" x14ac:dyDescent="0.3">
      <c r="H3273">
        <v>0.5</v>
      </c>
      <c r="I3273" s="11">
        <f t="shared" si="51"/>
        <v>0</v>
      </c>
      <c r="J3273" s="11">
        <f>1/(H3273*Utilities!$B$11)</f>
        <v>8</v>
      </c>
      <c r="K3273" s="11">
        <f>IF(B3273&lt;C3273,1,EXP(-1*(B3273-C3273)/(Utilities!$B$11*IterData!H3273)))</f>
        <v>1</v>
      </c>
    </row>
    <row r="3274" spans="8:11" x14ac:dyDescent="0.3">
      <c r="H3274">
        <v>0.5</v>
      </c>
      <c r="I3274" s="11">
        <f t="shared" si="51"/>
        <v>0</v>
      </c>
      <c r="J3274" s="11">
        <f>1/(H3274*Utilities!$B$11)</f>
        <v>8</v>
      </c>
      <c r="K3274" s="11">
        <f>IF(B3274&lt;C3274,1,EXP(-1*(B3274-C3274)/(Utilities!$B$11*IterData!H3274)))</f>
        <v>1</v>
      </c>
    </row>
    <row r="3275" spans="8:11" x14ac:dyDescent="0.3">
      <c r="H3275">
        <v>0.5</v>
      </c>
      <c r="I3275" s="11">
        <f t="shared" si="51"/>
        <v>0</v>
      </c>
      <c r="J3275" s="11">
        <f>1/(H3275*Utilities!$B$11)</f>
        <v>8</v>
      </c>
      <c r="K3275" s="11">
        <f>IF(B3275&lt;C3275,1,EXP(-1*(B3275-C3275)/(Utilities!$B$11*IterData!H3275)))</f>
        <v>1</v>
      </c>
    </row>
    <row r="3276" spans="8:11" x14ac:dyDescent="0.3">
      <c r="H3276">
        <v>0.5</v>
      </c>
      <c r="I3276" s="11">
        <f t="shared" si="51"/>
        <v>0</v>
      </c>
      <c r="J3276" s="11">
        <f>1/(H3276*Utilities!$B$11)</f>
        <v>8</v>
      </c>
      <c r="K3276" s="11">
        <f>IF(B3276&lt;C3276,1,EXP(-1*(B3276-C3276)/(Utilities!$B$11*IterData!H3276)))</f>
        <v>1</v>
      </c>
    </row>
    <row r="3277" spans="8:11" x14ac:dyDescent="0.3">
      <c r="H3277">
        <v>0.5</v>
      </c>
      <c r="I3277" s="11">
        <f t="shared" si="51"/>
        <v>0</v>
      </c>
      <c r="J3277" s="11">
        <f>1/(H3277*Utilities!$B$11)</f>
        <v>8</v>
      </c>
      <c r="K3277" s="11">
        <f>IF(B3277&lt;C3277,1,EXP(-1*(B3277-C3277)/(Utilities!$B$11*IterData!H3277)))</f>
        <v>1</v>
      </c>
    </row>
    <row r="3278" spans="8:11" x14ac:dyDescent="0.3">
      <c r="H3278">
        <v>0.5</v>
      </c>
      <c r="I3278" s="11">
        <f t="shared" si="51"/>
        <v>0</v>
      </c>
      <c r="J3278" s="11">
        <f>1/(H3278*Utilities!$B$11)</f>
        <v>8</v>
      </c>
      <c r="K3278" s="11">
        <f>IF(B3278&lt;C3278,1,EXP(-1*(B3278-C3278)/(Utilities!$B$11*IterData!H3278)))</f>
        <v>1</v>
      </c>
    </row>
    <row r="3279" spans="8:11" x14ac:dyDescent="0.3">
      <c r="H3279">
        <v>0.5</v>
      </c>
      <c r="I3279" s="11">
        <f t="shared" si="51"/>
        <v>0</v>
      </c>
      <c r="J3279" s="11">
        <f>1/(H3279*Utilities!$B$11)</f>
        <v>8</v>
      </c>
      <c r="K3279" s="11">
        <f>IF(B3279&lt;C3279,1,EXP(-1*(B3279-C3279)/(Utilities!$B$11*IterData!H3279)))</f>
        <v>1</v>
      </c>
    </row>
    <row r="3280" spans="8:11" x14ac:dyDescent="0.3">
      <c r="H3280">
        <v>0.5</v>
      </c>
      <c r="I3280" s="11">
        <f t="shared" si="51"/>
        <v>0</v>
      </c>
      <c r="J3280" s="11">
        <f>1/(H3280*Utilities!$B$11)</f>
        <v>8</v>
      </c>
      <c r="K3280" s="11">
        <f>IF(B3280&lt;C3280,1,EXP(-1*(B3280-C3280)/(Utilities!$B$11*IterData!H3280)))</f>
        <v>1</v>
      </c>
    </row>
    <row r="3281" spans="8:11" x14ac:dyDescent="0.3">
      <c r="H3281">
        <v>0.5</v>
      </c>
      <c r="I3281" s="11">
        <f t="shared" si="51"/>
        <v>0</v>
      </c>
      <c r="J3281" s="11">
        <f>1/(H3281*Utilities!$B$11)</f>
        <v>8</v>
      </c>
      <c r="K3281" s="11">
        <f>IF(B3281&lt;C3281,1,EXP(-1*(B3281-C3281)/(Utilities!$B$11*IterData!H3281)))</f>
        <v>1</v>
      </c>
    </row>
    <row r="3282" spans="8:11" x14ac:dyDescent="0.3">
      <c r="H3282">
        <v>0.5</v>
      </c>
      <c r="I3282" s="11">
        <f t="shared" si="51"/>
        <v>0</v>
      </c>
      <c r="J3282" s="11">
        <f>1/(H3282*Utilities!$B$11)</f>
        <v>8</v>
      </c>
      <c r="K3282" s="11">
        <f>IF(B3282&lt;C3282,1,EXP(-1*(B3282-C3282)/(Utilities!$B$11*IterData!H3282)))</f>
        <v>1</v>
      </c>
    </row>
    <row r="3283" spans="8:11" x14ac:dyDescent="0.3">
      <c r="H3283">
        <v>0.5</v>
      </c>
      <c r="I3283" s="11">
        <f t="shared" si="51"/>
        <v>0</v>
      </c>
      <c r="J3283" s="11">
        <f>1/(H3283*Utilities!$B$11)</f>
        <v>8</v>
      </c>
      <c r="K3283" s="11">
        <f>IF(B3283&lt;C3283,1,EXP(-1*(B3283-C3283)/(Utilities!$B$11*IterData!H3283)))</f>
        <v>1</v>
      </c>
    </row>
    <row r="3284" spans="8:11" x14ac:dyDescent="0.3">
      <c r="H3284">
        <v>0.5</v>
      </c>
      <c r="I3284" s="11">
        <f t="shared" si="51"/>
        <v>0</v>
      </c>
      <c r="J3284" s="11">
        <f>1/(H3284*Utilities!$B$11)</f>
        <v>8</v>
      </c>
      <c r="K3284" s="11">
        <f>IF(B3284&lt;C3284,1,EXP(-1*(B3284-C3284)/(Utilities!$B$11*IterData!H3284)))</f>
        <v>1</v>
      </c>
    </row>
    <row r="3285" spans="8:11" x14ac:dyDescent="0.3">
      <c r="H3285">
        <v>0.5</v>
      </c>
      <c r="I3285" s="11">
        <f t="shared" si="51"/>
        <v>0</v>
      </c>
      <c r="J3285" s="11">
        <f>1/(H3285*Utilities!$B$11)</f>
        <v>8</v>
      </c>
      <c r="K3285" s="11">
        <f>IF(B3285&lt;C3285,1,EXP(-1*(B3285-C3285)/(Utilities!$B$11*IterData!H3285)))</f>
        <v>1</v>
      </c>
    </row>
    <row r="3286" spans="8:11" x14ac:dyDescent="0.3">
      <c r="H3286">
        <v>0.5</v>
      </c>
      <c r="I3286" s="11">
        <f t="shared" si="51"/>
        <v>0</v>
      </c>
      <c r="J3286" s="11">
        <f>1/(H3286*Utilities!$B$11)</f>
        <v>8</v>
      </c>
      <c r="K3286" s="11">
        <f>IF(B3286&lt;C3286,1,EXP(-1*(B3286-C3286)/(Utilities!$B$11*IterData!H3286)))</f>
        <v>1</v>
      </c>
    </row>
    <row r="3287" spans="8:11" x14ac:dyDescent="0.3">
      <c r="H3287">
        <v>0.5</v>
      </c>
      <c r="I3287" s="11">
        <f t="shared" si="51"/>
        <v>0</v>
      </c>
      <c r="J3287" s="11">
        <f>1/(H3287*Utilities!$B$11)</f>
        <v>8</v>
      </c>
      <c r="K3287" s="11">
        <f>IF(B3287&lt;C3287,1,EXP(-1*(B3287-C3287)/(Utilities!$B$11*IterData!H3287)))</f>
        <v>1</v>
      </c>
    </row>
    <row r="3288" spans="8:11" x14ac:dyDescent="0.3">
      <c r="H3288">
        <v>0.5</v>
      </c>
      <c r="I3288" s="11">
        <f t="shared" si="51"/>
        <v>0</v>
      </c>
      <c r="J3288" s="11">
        <f>1/(H3288*Utilities!$B$11)</f>
        <v>8</v>
      </c>
      <c r="K3288" s="11">
        <f>IF(B3288&lt;C3288,1,EXP(-1*(B3288-C3288)/(Utilities!$B$11*IterData!H3288)))</f>
        <v>1</v>
      </c>
    </row>
    <row r="3289" spans="8:11" x14ac:dyDescent="0.3">
      <c r="H3289">
        <v>0.5</v>
      </c>
      <c r="I3289" s="11">
        <f t="shared" si="51"/>
        <v>0</v>
      </c>
      <c r="J3289" s="11">
        <f>1/(H3289*Utilities!$B$11)</f>
        <v>8</v>
      </c>
      <c r="K3289" s="11">
        <f>IF(B3289&lt;C3289,1,EXP(-1*(B3289-C3289)/(Utilities!$B$11*IterData!H3289)))</f>
        <v>1</v>
      </c>
    </row>
    <row r="3290" spans="8:11" x14ac:dyDescent="0.3">
      <c r="H3290">
        <v>0.5</v>
      </c>
      <c r="I3290" s="11">
        <f t="shared" si="51"/>
        <v>0</v>
      </c>
      <c r="J3290" s="11">
        <f>1/(H3290*Utilities!$B$11)</f>
        <v>8</v>
      </c>
      <c r="K3290" s="11">
        <f>IF(B3290&lt;C3290,1,EXP(-1*(B3290-C3290)/(Utilities!$B$11*IterData!H3290)))</f>
        <v>1</v>
      </c>
    </row>
    <row r="3291" spans="8:11" x14ac:dyDescent="0.3">
      <c r="H3291">
        <v>0.5</v>
      </c>
      <c r="I3291" s="11">
        <f t="shared" si="51"/>
        <v>0</v>
      </c>
      <c r="J3291" s="11">
        <f>1/(H3291*Utilities!$B$11)</f>
        <v>8</v>
      </c>
      <c r="K3291" s="11">
        <f>IF(B3291&lt;C3291,1,EXP(-1*(B3291-C3291)/(Utilities!$B$11*IterData!H3291)))</f>
        <v>1</v>
      </c>
    </row>
    <row r="3292" spans="8:11" x14ac:dyDescent="0.3">
      <c r="H3292">
        <v>0.5</v>
      </c>
      <c r="I3292" s="11">
        <f t="shared" si="51"/>
        <v>0</v>
      </c>
      <c r="J3292" s="11">
        <f>1/(H3292*Utilities!$B$11)</f>
        <v>8</v>
      </c>
      <c r="K3292" s="11">
        <f>IF(B3292&lt;C3292,1,EXP(-1*(B3292-C3292)/(Utilities!$B$11*IterData!H3292)))</f>
        <v>1</v>
      </c>
    </row>
    <row r="3293" spans="8:11" x14ac:dyDescent="0.3">
      <c r="H3293">
        <v>0.5</v>
      </c>
      <c r="I3293" s="11">
        <f t="shared" si="51"/>
        <v>0</v>
      </c>
      <c r="J3293" s="11">
        <f>1/(H3293*Utilities!$B$11)</f>
        <v>8</v>
      </c>
      <c r="K3293" s="11">
        <f>IF(B3293&lt;C3293,1,EXP(-1*(B3293-C3293)/(Utilities!$B$11*IterData!H3293)))</f>
        <v>1</v>
      </c>
    </row>
    <row r="3294" spans="8:11" x14ac:dyDescent="0.3">
      <c r="H3294">
        <v>0.5</v>
      </c>
      <c r="I3294" s="11">
        <f t="shared" si="51"/>
        <v>0</v>
      </c>
      <c r="J3294" s="11">
        <f>1/(H3294*Utilities!$B$11)</f>
        <v>8</v>
      </c>
      <c r="K3294" s="11">
        <f>IF(B3294&lt;C3294,1,EXP(-1*(B3294-C3294)/(Utilities!$B$11*IterData!H3294)))</f>
        <v>1</v>
      </c>
    </row>
    <row r="3295" spans="8:11" x14ac:dyDescent="0.3">
      <c r="H3295">
        <v>0.5</v>
      </c>
      <c r="I3295" s="11">
        <f t="shared" si="51"/>
        <v>0</v>
      </c>
      <c r="J3295" s="11">
        <f>1/(H3295*Utilities!$B$11)</f>
        <v>8</v>
      </c>
      <c r="K3295" s="11">
        <f>IF(B3295&lt;C3295,1,EXP(-1*(B3295-C3295)/(Utilities!$B$11*IterData!H3295)))</f>
        <v>1</v>
      </c>
    </row>
    <row r="3296" spans="8:11" x14ac:dyDescent="0.3">
      <c r="H3296">
        <v>0.5</v>
      </c>
      <c r="I3296" s="11">
        <f t="shared" si="51"/>
        <v>0</v>
      </c>
      <c r="J3296" s="11">
        <f>1/(H3296*Utilities!$B$11)</f>
        <v>8</v>
      </c>
      <c r="K3296" s="11">
        <f>IF(B3296&lt;C3296,1,EXP(-1*(B3296-C3296)/(Utilities!$B$11*IterData!H3296)))</f>
        <v>1</v>
      </c>
    </row>
    <row r="3297" spans="8:11" x14ac:dyDescent="0.3">
      <c r="H3297">
        <v>0.5</v>
      </c>
      <c r="I3297" s="11">
        <f t="shared" si="51"/>
        <v>0</v>
      </c>
      <c r="J3297" s="11">
        <f>1/(H3297*Utilities!$B$11)</f>
        <v>8</v>
      </c>
      <c r="K3297" s="11">
        <f>IF(B3297&lt;C3297,1,EXP(-1*(B3297-C3297)/(Utilities!$B$11*IterData!H3297)))</f>
        <v>1</v>
      </c>
    </row>
    <row r="3298" spans="8:11" x14ac:dyDescent="0.3">
      <c r="H3298">
        <v>0.5</v>
      </c>
      <c r="I3298" s="11">
        <f t="shared" si="51"/>
        <v>0</v>
      </c>
      <c r="J3298" s="11">
        <f>1/(H3298*Utilities!$B$11)</f>
        <v>8</v>
      </c>
      <c r="K3298" s="11">
        <f>IF(B3298&lt;C3298,1,EXP(-1*(B3298-C3298)/(Utilities!$B$11*IterData!H3298)))</f>
        <v>1</v>
      </c>
    </row>
    <row r="3299" spans="8:11" x14ac:dyDescent="0.3">
      <c r="H3299">
        <v>0.5</v>
      </c>
      <c r="I3299" s="11">
        <f t="shared" si="51"/>
        <v>0</v>
      </c>
      <c r="J3299" s="11">
        <f>1/(H3299*Utilities!$B$11)</f>
        <v>8</v>
      </c>
      <c r="K3299" s="11">
        <f>IF(B3299&lt;C3299,1,EXP(-1*(B3299-C3299)/(Utilities!$B$11*IterData!H3299)))</f>
        <v>1</v>
      </c>
    </row>
    <row r="3300" spans="8:11" x14ac:dyDescent="0.3">
      <c r="H3300">
        <v>0.5</v>
      </c>
      <c r="I3300" s="11">
        <f t="shared" si="51"/>
        <v>0</v>
      </c>
      <c r="J3300" s="11">
        <f>1/(H3300*Utilities!$B$11)</f>
        <v>8</v>
      </c>
      <c r="K3300" s="11">
        <f>IF(B3300&lt;C3300,1,EXP(-1*(B3300-C3300)/(Utilities!$B$11*IterData!H3300)))</f>
        <v>1</v>
      </c>
    </row>
    <row r="3301" spans="8:11" x14ac:dyDescent="0.3">
      <c r="H3301">
        <v>0.5</v>
      </c>
      <c r="I3301" s="11">
        <f t="shared" si="51"/>
        <v>0</v>
      </c>
      <c r="J3301" s="11">
        <f>1/(H3301*Utilities!$B$11)</f>
        <v>8</v>
      </c>
      <c r="K3301" s="11">
        <f>IF(B3301&lt;C3301,1,EXP(-1*(B3301-C3301)/(Utilities!$B$11*IterData!H3301)))</f>
        <v>1</v>
      </c>
    </row>
    <row r="3302" spans="8:11" x14ac:dyDescent="0.3">
      <c r="H3302">
        <v>0.5</v>
      </c>
      <c r="I3302" s="11">
        <f t="shared" si="51"/>
        <v>0</v>
      </c>
      <c r="J3302" s="11">
        <f>1/(H3302*Utilities!$B$11)</f>
        <v>8</v>
      </c>
      <c r="K3302" s="11">
        <f>IF(B3302&lt;C3302,1,EXP(-1*(B3302-C3302)/(Utilities!$B$11*IterData!H3302)))</f>
        <v>1</v>
      </c>
    </row>
    <row r="3303" spans="8:11" x14ac:dyDescent="0.3">
      <c r="H3303">
        <v>0.5</v>
      </c>
      <c r="I3303" s="11">
        <f t="shared" si="51"/>
        <v>0</v>
      </c>
      <c r="J3303" s="11">
        <f>1/(H3303*Utilities!$B$11)</f>
        <v>8</v>
      </c>
      <c r="K3303" s="11">
        <f>IF(B3303&lt;C3303,1,EXP(-1*(B3303-C3303)/(Utilities!$B$11*IterData!H3303)))</f>
        <v>1</v>
      </c>
    </row>
    <row r="3304" spans="8:11" x14ac:dyDescent="0.3">
      <c r="H3304">
        <v>0.5</v>
      </c>
      <c r="I3304" s="11">
        <f t="shared" si="51"/>
        <v>0</v>
      </c>
      <c r="J3304" s="11">
        <f>1/(H3304*Utilities!$B$11)</f>
        <v>8</v>
      </c>
      <c r="K3304" s="11">
        <f>IF(B3304&lt;C3304,1,EXP(-1*(B3304-C3304)/(Utilities!$B$11*IterData!H3304)))</f>
        <v>1</v>
      </c>
    </row>
    <row r="3305" spans="8:11" x14ac:dyDescent="0.3">
      <c r="H3305">
        <v>0.5</v>
      </c>
      <c r="I3305" s="11">
        <f t="shared" si="51"/>
        <v>0</v>
      </c>
      <c r="J3305" s="11">
        <f>1/(H3305*Utilities!$B$11)</f>
        <v>8</v>
      </c>
      <c r="K3305" s="11">
        <f>IF(B3305&lt;C3305,1,EXP(-1*(B3305-C3305)/(Utilities!$B$11*IterData!H3305)))</f>
        <v>1</v>
      </c>
    </row>
    <row r="3306" spans="8:11" x14ac:dyDescent="0.3">
      <c r="H3306">
        <v>0.5</v>
      </c>
      <c r="I3306" s="11">
        <f t="shared" si="51"/>
        <v>0</v>
      </c>
      <c r="J3306" s="11">
        <f>1/(H3306*Utilities!$B$11)</f>
        <v>8</v>
      </c>
      <c r="K3306" s="11">
        <f>IF(B3306&lt;C3306,1,EXP(-1*(B3306-C3306)/(Utilities!$B$11*IterData!H3306)))</f>
        <v>1</v>
      </c>
    </row>
    <row r="3307" spans="8:11" x14ac:dyDescent="0.3">
      <c r="H3307">
        <v>0.5</v>
      </c>
      <c r="I3307" s="11">
        <f t="shared" si="51"/>
        <v>0</v>
      </c>
      <c r="J3307" s="11">
        <f>1/(H3307*Utilities!$B$11)</f>
        <v>8</v>
      </c>
      <c r="K3307" s="11">
        <f>IF(B3307&lt;C3307,1,EXP(-1*(B3307-C3307)/(Utilities!$B$11*IterData!H3307)))</f>
        <v>1</v>
      </c>
    </row>
    <row r="3308" spans="8:11" x14ac:dyDescent="0.3">
      <c r="H3308">
        <v>0.5</v>
      </c>
      <c r="I3308" s="11">
        <f t="shared" si="51"/>
        <v>0</v>
      </c>
      <c r="J3308" s="11">
        <f>1/(H3308*Utilities!$B$11)</f>
        <v>8</v>
      </c>
      <c r="K3308" s="11">
        <f>IF(B3308&lt;C3308,1,EXP(-1*(B3308-C3308)/(Utilities!$B$11*IterData!H3308)))</f>
        <v>1</v>
      </c>
    </row>
    <row r="3309" spans="8:11" x14ac:dyDescent="0.3">
      <c r="H3309">
        <v>0.5</v>
      </c>
      <c r="I3309" s="11">
        <f t="shared" si="51"/>
        <v>0</v>
      </c>
      <c r="J3309" s="11">
        <f>1/(H3309*Utilities!$B$11)</f>
        <v>8</v>
      </c>
      <c r="K3309" s="11">
        <f>IF(B3309&lt;C3309,1,EXP(-1*(B3309-C3309)/(Utilities!$B$11*IterData!H3309)))</f>
        <v>1</v>
      </c>
    </row>
    <row r="3310" spans="8:11" x14ac:dyDescent="0.3">
      <c r="H3310">
        <v>0.5</v>
      </c>
      <c r="I3310" s="11">
        <f t="shared" si="51"/>
        <v>0</v>
      </c>
      <c r="J3310" s="11">
        <f>1/(H3310*Utilities!$B$11)</f>
        <v>8</v>
      </c>
      <c r="K3310" s="11">
        <f>IF(B3310&lt;C3310,1,EXP(-1*(B3310-C3310)/(Utilities!$B$11*IterData!H3310)))</f>
        <v>1</v>
      </c>
    </row>
    <row r="3311" spans="8:11" x14ac:dyDescent="0.3">
      <c r="H3311">
        <v>0.5</v>
      </c>
      <c r="I3311" s="11">
        <f t="shared" si="51"/>
        <v>0</v>
      </c>
      <c r="J3311" s="11">
        <f>1/(H3311*Utilities!$B$11)</f>
        <v>8</v>
      </c>
      <c r="K3311" s="11">
        <f>IF(B3311&lt;C3311,1,EXP(-1*(B3311-C3311)/(Utilities!$B$11*IterData!H3311)))</f>
        <v>1</v>
      </c>
    </row>
    <row r="3312" spans="8:11" x14ac:dyDescent="0.3">
      <c r="H3312">
        <v>0.5</v>
      </c>
      <c r="I3312" s="11">
        <f t="shared" si="51"/>
        <v>0</v>
      </c>
      <c r="J3312" s="11">
        <f>1/(H3312*Utilities!$B$11)</f>
        <v>8</v>
      </c>
      <c r="K3312" s="11">
        <f>IF(B3312&lt;C3312,1,EXP(-1*(B3312-C3312)/(Utilities!$B$11*IterData!H3312)))</f>
        <v>1</v>
      </c>
    </row>
    <row r="3313" spans="8:11" x14ac:dyDescent="0.3">
      <c r="H3313">
        <v>0.5</v>
      </c>
      <c r="I3313" s="11">
        <f t="shared" si="51"/>
        <v>0</v>
      </c>
      <c r="J3313" s="11">
        <f>1/(H3313*Utilities!$B$11)</f>
        <v>8</v>
      </c>
      <c r="K3313" s="11">
        <f>IF(B3313&lt;C3313,1,EXP(-1*(B3313-C3313)/(Utilities!$B$11*IterData!H3313)))</f>
        <v>1</v>
      </c>
    </row>
    <row r="3314" spans="8:11" x14ac:dyDescent="0.3">
      <c r="H3314">
        <v>0.5</v>
      </c>
      <c r="I3314" s="11">
        <f t="shared" si="51"/>
        <v>0</v>
      </c>
      <c r="J3314" s="11">
        <f>1/(H3314*Utilities!$B$11)</f>
        <v>8</v>
      </c>
      <c r="K3314" s="11">
        <f>IF(B3314&lt;C3314,1,EXP(-1*(B3314-C3314)/(Utilities!$B$11*IterData!H3314)))</f>
        <v>1</v>
      </c>
    </row>
    <row r="3315" spans="8:11" x14ac:dyDescent="0.3">
      <c r="H3315">
        <v>0.5</v>
      </c>
      <c r="I3315" s="11">
        <f t="shared" si="51"/>
        <v>0</v>
      </c>
      <c r="J3315" s="11">
        <f>1/(H3315*Utilities!$B$11)</f>
        <v>8</v>
      </c>
      <c r="K3315" s="11">
        <f>IF(B3315&lt;C3315,1,EXP(-1*(B3315-C3315)/(Utilities!$B$11*IterData!H3315)))</f>
        <v>1</v>
      </c>
    </row>
    <row r="3316" spans="8:11" x14ac:dyDescent="0.3">
      <c r="H3316">
        <v>0.5</v>
      </c>
      <c r="I3316" s="11">
        <f t="shared" si="51"/>
        <v>0</v>
      </c>
      <c r="J3316" s="11">
        <f>1/(H3316*Utilities!$B$11)</f>
        <v>8</v>
      </c>
      <c r="K3316" s="11">
        <f>IF(B3316&lt;C3316,1,EXP(-1*(B3316-C3316)/(Utilities!$B$11*IterData!H3316)))</f>
        <v>1</v>
      </c>
    </row>
    <row r="3317" spans="8:11" x14ac:dyDescent="0.3">
      <c r="H3317">
        <v>0.5</v>
      </c>
      <c r="I3317" s="11">
        <f t="shared" si="51"/>
        <v>0</v>
      </c>
      <c r="J3317" s="11">
        <f>1/(H3317*Utilities!$B$11)</f>
        <v>8</v>
      </c>
      <c r="K3317" s="11">
        <f>IF(B3317&lt;C3317,1,EXP(-1*(B3317-C3317)/(Utilities!$B$11*IterData!H3317)))</f>
        <v>1</v>
      </c>
    </row>
    <row r="3318" spans="8:11" x14ac:dyDescent="0.3">
      <c r="H3318">
        <v>0.5</v>
      </c>
      <c r="I3318" s="11">
        <f t="shared" si="51"/>
        <v>0</v>
      </c>
      <c r="J3318" s="11">
        <f>1/(H3318*Utilities!$B$11)</f>
        <v>8</v>
      </c>
      <c r="K3318" s="11">
        <f>IF(B3318&lt;C3318,1,EXP(-1*(B3318-C3318)/(Utilities!$B$11*IterData!H3318)))</f>
        <v>1</v>
      </c>
    </row>
    <row r="3319" spans="8:11" x14ac:dyDescent="0.3">
      <c r="H3319">
        <v>0.5</v>
      </c>
      <c r="I3319" s="11">
        <f t="shared" si="51"/>
        <v>0</v>
      </c>
      <c r="J3319" s="11">
        <f>1/(H3319*Utilities!$B$11)</f>
        <v>8</v>
      </c>
      <c r="K3319" s="11">
        <f>IF(B3319&lt;C3319,1,EXP(-1*(B3319-C3319)/(Utilities!$B$11*IterData!H3319)))</f>
        <v>1</v>
      </c>
    </row>
    <row r="3320" spans="8:11" x14ac:dyDescent="0.3">
      <c r="H3320">
        <v>0.5</v>
      </c>
      <c r="I3320" s="11">
        <f t="shared" si="51"/>
        <v>0</v>
      </c>
      <c r="J3320" s="11">
        <f>1/(H3320*Utilities!$B$11)</f>
        <v>8</v>
      </c>
      <c r="K3320" s="11">
        <f>IF(B3320&lt;C3320,1,EXP(-1*(B3320-C3320)/(Utilities!$B$11*IterData!H3320)))</f>
        <v>1</v>
      </c>
    </row>
    <row r="3321" spans="8:11" x14ac:dyDescent="0.3">
      <c r="H3321">
        <v>0.5</v>
      </c>
      <c r="I3321" s="11">
        <f t="shared" si="51"/>
        <v>0</v>
      </c>
      <c r="J3321" s="11">
        <f>1/(H3321*Utilities!$B$11)</f>
        <v>8</v>
      </c>
      <c r="K3321" s="11">
        <f>IF(B3321&lt;C3321,1,EXP(-1*(B3321-C3321)/(Utilities!$B$11*IterData!H3321)))</f>
        <v>1</v>
      </c>
    </row>
    <row r="3322" spans="8:11" x14ac:dyDescent="0.3">
      <c r="H3322">
        <v>0.5</v>
      </c>
      <c r="I3322" s="11">
        <f t="shared" si="51"/>
        <v>0</v>
      </c>
      <c r="J3322" s="11">
        <f>1/(H3322*Utilities!$B$11)</f>
        <v>8</v>
      </c>
      <c r="K3322" s="11">
        <f>IF(B3322&lt;C3322,1,EXP(-1*(B3322-C3322)/(Utilities!$B$11*IterData!H3322)))</f>
        <v>1</v>
      </c>
    </row>
    <row r="3323" spans="8:11" x14ac:dyDescent="0.3">
      <c r="H3323">
        <v>0.5</v>
      </c>
      <c r="I3323" s="11">
        <f t="shared" si="51"/>
        <v>0</v>
      </c>
      <c r="J3323" s="11">
        <f>1/(H3323*Utilities!$B$11)</f>
        <v>8</v>
      </c>
      <c r="K3323" s="11">
        <f>IF(B3323&lt;C3323,1,EXP(-1*(B3323-C3323)/(Utilities!$B$11*IterData!H3323)))</f>
        <v>1</v>
      </c>
    </row>
    <row r="3324" spans="8:11" x14ac:dyDescent="0.3">
      <c r="H3324">
        <v>0.5</v>
      </c>
      <c r="I3324" s="11">
        <f t="shared" si="51"/>
        <v>0</v>
      </c>
      <c r="J3324" s="11">
        <f>1/(H3324*Utilities!$B$11)</f>
        <v>8</v>
      </c>
      <c r="K3324" s="11">
        <f>IF(B3324&lt;C3324,1,EXP(-1*(B3324-C3324)/(Utilities!$B$11*IterData!H3324)))</f>
        <v>1</v>
      </c>
    </row>
    <row r="3325" spans="8:11" x14ac:dyDescent="0.3">
      <c r="H3325">
        <v>0.5</v>
      </c>
      <c r="I3325" s="11">
        <f t="shared" si="51"/>
        <v>0</v>
      </c>
      <c r="J3325" s="11">
        <f>1/(H3325*Utilities!$B$11)</f>
        <v>8</v>
      </c>
      <c r="K3325" s="11">
        <f>IF(B3325&lt;C3325,1,EXP(-1*(B3325-C3325)/(Utilities!$B$11*IterData!H3325)))</f>
        <v>1</v>
      </c>
    </row>
    <row r="3326" spans="8:11" x14ac:dyDescent="0.3">
      <c r="H3326">
        <v>0.5</v>
      </c>
      <c r="I3326" s="11">
        <f t="shared" si="51"/>
        <v>0</v>
      </c>
      <c r="J3326" s="11">
        <f>1/(H3326*Utilities!$B$11)</f>
        <v>8</v>
      </c>
      <c r="K3326" s="11">
        <f>IF(B3326&lt;C3326,1,EXP(-1*(B3326-C3326)/(Utilities!$B$11*IterData!H3326)))</f>
        <v>1</v>
      </c>
    </row>
    <row r="3327" spans="8:11" x14ac:dyDescent="0.3">
      <c r="H3327">
        <v>0.5</v>
      </c>
      <c r="I3327" s="11">
        <f t="shared" si="51"/>
        <v>0</v>
      </c>
      <c r="J3327" s="11">
        <f>1/(H3327*Utilities!$B$11)</f>
        <v>8</v>
      </c>
      <c r="K3327" s="11">
        <f>IF(B3327&lt;C3327,1,EXP(-1*(B3327-C3327)/(Utilities!$B$11*IterData!H3327)))</f>
        <v>1</v>
      </c>
    </row>
    <row r="3328" spans="8:11" x14ac:dyDescent="0.3">
      <c r="H3328">
        <v>0.5</v>
      </c>
      <c r="I3328" s="11">
        <f t="shared" si="51"/>
        <v>0</v>
      </c>
      <c r="J3328" s="11">
        <f>1/(H3328*Utilities!$B$11)</f>
        <v>8</v>
      </c>
      <c r="K3328" s="11">
        <f>IF(B3328&lt;C3328,1,EXP(-1*(B3328-C3328)/(Utilities!$B$11*IterData!H3328)))</f>
        <v>1</v>
      </c>
    </row>
    <row r="3329" spans="8:11" x14ac:dyDescent="0.3">
      <c r="H3329">
        <v>0.5</v>
      </c>
      <c r="I3329" s="11">
        <f t="shared" si="51"/>
        <v>0</v>
      </c>
      <c r="J3329" s="11">
        <f>1/(H3329*Utilities!$B$11)</f>
        <v>8</v>
      </c>
      <c r="K3329" s="11">
        <f>IF(B3329&lt;C3329,1,EXP(-1*(B3329-C3329)/(Utilities!$B$11*IterData!H3329)))</f>
        <v>1</v>
      </c>
    </row>
    <row r="3330" spans="8:11" x14ac:dyDescent="0.3">
      <c r="H3330">
        <v>0.5</v>
      </c>
      <c r="I3330" s="11">
        <f t="shared" si="51"/>
        <v>0</v>
      </c>
      <c r="J3330" s="11">
        <f>1/(H3330*Utilities!$B$11)</f>
        <v>8</v>
      </c>
      <c r="K3330" s="11">
        <f>IF(B3330&lt;C3330,1,EXP(-1*(B3330-C3330)/(Utilities!$B$11*IterData!H3330)))</f>
        <v>1</v>
      </c>
    </row>
    <row r="3331" spans="8:11" x14ac:dyDescent="0.3">
      <c r="H3331">
        <v>0.5</v>
      </c>
      <c r="I3331" s="11">
        <f t="shared" ref="I3331:I3394" si="52">B3331-C3331</f>
        <v>0</v>
      </c>
      <c r="J3331" s="11">
        <f>1/(H3331*Utilities!$B$11)</f>
        <v>8</v>
      </c>
      <c r="K3331" s="11">
        <f>IF(B3331&lt;C3331,1,EXP(-1*(B3331-C3331)/(Utilities!$B$11*IterData!H3331)))</f>
        <v>1</v>
      </c>
    </row>
    <row r="3332" spans="8:11" x14ac:dyDescent="0.3">
      <c r="H3332">
        <v>0.5</v>
      </c>
      <c r="I3332" s="11">
        <f t="shared" si="52"/>
        <v>0</v>
      </c>
      <c r="J3332" s="11">
        <f>1/(H3332*Utilities!$B$11)</f>
        <v>8</v>
      </c>
      <c r="K3332" s="11">
        <f>IF(B3332&lt;C3332,1,EXP(-1*(B3332-C3332)/(Utilities!$B$11*IterData!H3332)))</f>
        <v>1</v>
      </c>
    </row>
    <row r="3333" spans="8:11" x14ac:dyDescent="0.3">
      <c r="H3333">
        <v>0.5</v>
      </c>
      <c r="I3333" s="11">
        <f t="shared" si="52"/>
        <v>0</v>
      </c>
      <c r="J3333" s="11">
        <f>1/(H3333*Utilities!$B$11)</f>
        <v>8</v>
      </c>
      <c r="K3333" s="11">
        <f>IF(B3333&lt;C3333,1,EXP(-1*(B3333-C3333)/(Utilities!$B$11*IterData!H3333)))</f>
        <v>1</v>
      </c>
    </row>
    <row r="3334" spans="8:11" x14ac:dyDescent="0.3">
      <c r="H3334">
        <v>0.5</v>
      </c>
      <c r="I3334" s="11">
        <f t="shared" si="52"/>
        <v>0</v>
      </c>
      <c r="J3334" s="11">
        <f>1/(H3334*Utilities!$B$11)</f>
        <v>8</v>
      </c>
      <c r="K3334" s="11">
        <f>IF(B3334&lt;C3334,1,EXP(-1*(B3334-C3334)/(Utilities!$B$11*IterData!H3334)))</f>
        <v>1</v>
      </c>
    </row>
    <row r="3335" spans="8:11" x14ac:dyDescent="0.3">
      <c r="H3335">
        <v>0.5</v>
      </c>
      <c r="I3335" s="11">
        <f t="shared" si="52"/>
        <v>0</v>
      </c>
      <c r="J3335" s="11">
        <f>1/(H3335*Utilities!$B$11)</f>
        <v>8</v>
      </c>
      <c r="K3335" s="11">
        <f>IF(B3335&lt;C3335,1,EXP(-1*(B3335-C3335)/(Utilities!$B$11*IterData!H3335)))</f>
        <v>1</v>
      </c>
    </row>
    <row r="3336" spans="8:11" x14ac:dyDescent="0.3">
      <c r="H3336">
        <v>0.5</v>
      </c>
      <c r="I3336" s="11">
        <f t="shared" si="52"/>
        <v>0</v>
      </c>
      <c r="J3336" s="11">
        <f>1/(H3336*Utilities!$B$11)</f>
        <v>8</v>
      </c>
      <c r="K3336" s="11">
        <f>IF(B3336&lt;C3336,1,EXP(-1*(B3336-C3336)/(Utilities!$B$11*IterData!H3336)))</f>
        <v>1</v>
      </c>
    </row>
    <row r="3337" spans="8:11" x14ac:dyDescent="0.3">
      <c r="H3337">
        <v>0.5</v>
      </c>
      <c r="I3337" s="11">
        <f t="shared" si="52"/>
        <v>0</v>
      </c>
      <c r="J3337" s="11">
        <f>1/(H3337*Utilities!$B$11)</f>
        <v>8</v>
      </c>
      <c r="K3337" s="11">
        <f>IF(B3337&lt;C3337,1,EXP(-1*(B3337-C3337)/(Utilities!$B$11*IterData!H3337)))</f>
        <v>1</v>
      </c>
    </row>
    <row r="3338" spans="8:11" x14ac:dyDescent="0.3">
      <c r="H3338">
        <v>0.5</v>
      </c>
      <c r="I3338" s="11">
        <f t="shared" si="52"/>
        <v>0</v>
      </c>
      <c r="J3338" s="11">
        <f>1/(H3338*Utilities!$B$11)</f>
        <v>8</v>
      </c>
      <c r="K3338" s="11">
        <f>IF(B3338&lt;C3338,1,EXP(-1*(B3338-C3338)/(Utilities!$B$11*IterData!H3338)))</f>
        <v>1</v>
      </c>
    </row>
    <row r="3339" spans="8:11" x14ac:dyDescent="0.3">
      <c r="H3339">
        <v>0.5</v>
      </c>
      <c r="I3339" s="11">
        <f t="shared" si="52"/>
        <v>0</v>
      </c>
      <c r="J3339" s="11">
        <f>1/(H3339*Utilities!$B$11)</f>
        <v>8</v>
      </c>
      <c r="K3339" s="11">
        <f>IF(B3339&lt;C3339,1,EXP(-1*(B3339-C3339)/(Utilities!$B$11*IterData!H3339)))</f>
        <v>1</v>
      </c>
    </row>
    <row r="3340" spans="8:11" x14ac:dyDescent="0.3">
      <c r="H3340">
        <v>0.5</v>
      </c>
      <c r="I3340" s="11">
        <f t="shared" si="52"/>
        <v>0</v>
      </c>
      <c r="J3340" s="11">
        <f>1/(H3340*Utilities!$B$11)</f>
        <v>8</v>
      </c>
      <c r="K3340" s="11">
        <f>IF(B3340&lt;C3340,1,EXP(-1*(B3340-C3340)/(Utilities!$B$11*IterData!H3340)))</f>
        <v>1</v>
      </c>
    </row>
    <row r="3341" spans="8:11" x14ac:dyDescent="0.3">
      <c r="H3341">
        <v>0.5</v>
      </c>
      <c r="I3341" s="11">
        <f t="shared" si="52"/>
        <v>0</v>
      </c>
      <c r="J3341" s="11">
        <f>1/(H3341*Utilities!$B$11)</f>
        <v>8</v>
      </c>
      <c r="K3341" s="11">
        <f>IF(B3341&lt;C3341,1,EXP(-1*(B3341-C3341)/(Utilities!$B$11*IterData!H3341)))</f>
        <v>1</v>
      </c>
    </row>
    <row r="3342" spans="8:11" x14ac:dyDescent="0.3">
      <c r="H3342">
        <v>0.5</v>
      </c>
      <c r="I3342" s="11">
        <f t="shared" si="52"/>
        <v>0</v>
      </c>
      <c r="J3342" s="11">
        <f>1/(H3342*Utilities!$B$11)</f>
        <v>8</v>
      </c>
      <c r="K3342" s="11">
        <f>IF(B3342&lt;C3342,1,EXP(-1*(B3342-C3342)/(Utilities!$B$11*IterData!H3342)))</f>
        <v>1</v>
      </c>
    </row>
    <row r="3343" spans="8:11" x14ac:dyDescent="0.3">
      <c r="H3343">
        <v>0.5</v>
      </c>
      <c r="I3343" s="11">
        <f t="shared" si="52"/>
        <v>0</v>
      </c>
      <c r="J3343" s="11">
        <f>1/(H3343*Utilities!$B$11)</f>
        <v>8</v>
      </c>
      <c r="K3343" s="11">
        <f>IF(B3343&lt;C3343,1,EXP(-1*(B3343-C3343)/(Utilities!$B$11*IterData!H3343)))</f>
        <v>1</v>
      </c>
    </row>
    <row r="3344" spans="8:11" x14ac:dyDescent="0.3">
      <c r="H3344">
        <v>0.5</v>
      </c>
      <c r="I3344" s="11">
        <f t="shared" si="52"/>
        <v>0</v>
      </c>
      <c r="J3344" s="11">
        <f>1/(H3344*Utilities!$B$11)</f>
        <v>8</v>
      </c>
      <c r="K3344" s="11">
        <f>IF(B3344&lt;C3344,1,EXP(-1*(B3344-C3344)/(Utilities!$B$11*IterData!H3344)))</f>
        <v>1</v>
      </c>
    </row>
    <row r="3345" spans="8:11" x14ac:dyDescent="0.3">
      <c r="H3345">
        <v>0.5</v>
      </c>
      <c r="I3345" s="11">
        <f t="shared" si="52"/>
        <v>0</v>
      </c>
      <c r="J3345" s="11">
        <f>1/(H3345*Utilities!$B$11)</f>
        <v>8</v>
      </c>
      <c r="K3345" s="11">
        <f>IF(B3345&lt;C3345,1,EXP(-1*(B3345-C3345)/(Utilities!$B$11*IterData!H3345)))</f>
        <v>1</v>
      </c>
    </row>
    <row r="3346" spans="8:11" x14ac:dyDescent="0.3">
      <c r="H3346">
        <v>0.5</v>
      </c>
      <c r="I3346" s="11">
        <f t="shared" si="52"/>
        <v>0</v>
      </c>
      <c r="J3346" s="11">
        <f>1/(H3346*Utilities!$B$11)</f>
        <v>8</v>
      </c>
      <c r="K3346" s="11">
        <f>IF(B3346&lt;C3346,1,EXP(-1*(B3346-C3346)/(Utilities!$B$11*IterData!H3346)))</f>
        <v>1</v>
      </c>
    </row>
    <row r="3347" spans="8:11" x14ac:dyDescent="0.3">
      <c r="H3347">
        <v>0.5</v>
      </c>
      <c r="I3347" s="11">
        <f t="shared" si="52"/>
        <v>0</v>
      </c>
      <c r="J3347" s="11">
        <f>1/(H3347*Utilities!$B$11)</f>
        <v>8</v>
      </c>
      <c r="K3347" s="11">
        <f>IF(B3347&lt;C3347,1,EXP(-1*(B3347-C3347)/(Utilities!$B$11*IterData!H3347)))</f>
        <v>1</v>
      </c>
    </row>
    <row r="3348" spans="8:11" x14ac:dyDescent="0.3">
      <c r="H3348">
        <v>0.5</v>
      </c>
      <c r="I3348" s="11">
        <f t="shared" si="52"/>
        <v>0</v>
      </c>
      <c r="J3348" s="11">
        <f>1/(H3348*Utilities!$B$11)</f>
        <v>8</v>
      </c>
      <c r="K3348" s="11">
        <f>IF(B3348&lt;C3348,1,EXP(-1*(B3348-C3348)/(Utilities!$B$11*IterData!H3348)))</f>
        <v>1</v>
      </c>
    </row>
    <row r="3349" spans="8:11" x14ac:dyDescent="0.3">
      <c r="H3349">
        <v>0.5</v>
      </c>
      <c r="I3349" s="11">
        <f t="shared" si="52"/>
        <v>0</v>
      </c>
      <c r="J3349" s="11">
        <f>1/(H3349*Utilities!$B$11)</f>
        <v>8</v>
      </c>
      <c r="K3349" s="11">
        <f>IF(B3349&lt;C3349,1,EXP(-1*(B3349-C3349)/(Utilities!$B$11*IterData!H3349)))</f>
        <v>1</v>
      </c>
    </row>
    <row r="3350" spans="8:11" x14ac:dyDescent="0.3">
      <c r="H3350">
        <v>0.5</v>
      </c>
      <c r="I3350" s="11">
        <f t="shared" si="52"/>
        <v>0</v>
      </c>
      <c r="J3350" s="11">
        <f>1/(H3350*Utilities!$B$11)</f>
        <v>8</v>
      </c>
      <c r="K3350" s="11">
        <f>IF(B3350&lt;C3350,1,EXP(-1*(B3350-C3350)/(Utilities!$B$11*IterData!H3350)))</f>
        <v>1</v>
      </c>
    </row>
    <row r="3351" spans="8:11" x14ac:dyDescent="0.3">
      <c r="H3351">
        <v>0.5</v>
      </c>
      <c r="I3351" s="11">
        <f t="shared" si="52"/>
        <v>0</v>
      </c>
      <c r="J3351" s="11">
        <f>1/(H3351*Utilities!$B$11)</f>
        <v>8</v>
      </c>
      <c r="K3351" s="11">
        <f>IF(B3351&lt;C3351,1,EXP(-1*(B3351-C3351)/(Utilities!$B$11*IterData!H3351)))</f>
        <v>1</v>
      </c>
    </row>
    <row r="3352" spans="8:11" x14ac:dyDescent="0.3">
      <c r="H3352">
        <v>0.5</v>
      </c>
      <c r="I3352" s="11">
        <f t="shared" si="52"/>
        <v>0</v>
      </c>
      <c r="J3352" s="11">
        <f>1/(H3352*Utilities!$B$11)</f>
        <v>8</v>
      </c>
      <c r="K3352" s="11">
        <f>IF(B3352&lt;C3352,1,EXP(-1*(B3352-C3352)/(Utilities!$B$11*IterData!H3352)))</f>
        <v>1</v>
      </c>
    </row>
    <row r="3353" spans="8:11" x14ac:dyDescent="0.3">
      <c r="H3353">
        <v>0.5</v>
      </c>
      <c r="I3353" s="11">
        <f t="shared" si="52"/>
        <v>0</v>
      </c>
      <c r="J3353" s="11">
        <f>1/(H3353*Utilities!$B$11)</f>
        <v>8</v>
      </c>
      <c r="K3353" s="11">
        <f>IF(B3353&lt;C3353,1,EXP(-1*(B3353-C3353)/(Utilities!$B$11*IterData!H3353)))</f>
        <v>1</v>
      </c>
    </row>
    <row r="3354" spans="8:11" x14ac:dyDescent="0.3">
      <c r="H3354">
        <v>0.5</v>
      </c>
      <c r="I3354" s="11">
        <f t="shared" si="52"/>
        <v>0</v>
      </c>
      <c r="J3354" s="11">
        <f>1/(H3354*Utilities!$B$11)</f>
        <v>8</v>
      </c>
      <c r="K3354" s="11">
        <f>IF(B3354&lt;C3354,1,EXP(-1*(B3354-C3354)/(Utilities!$B$11*IterData!H3354)))</f>
        <v>1</v>
      </c>
    </row>
    <row r="3355" spans="8:11" x14ac:dyDescent="0.3">
      <c r="H3355">
        <v>0.5</v>
      </c>
      <c r="I3355" s="11">
        <f t="shared" si="52"/>
        <v>0</v>
      </c>
      <c r="J3355" s="11">
        <f>1/(H3355*Utilities!$B$11)</f>
        <v>8</v>
      </c>
      <c r="K3355" s="11">
        <f>IF(B3355&lt;C3355,1,EXP(-1*(B3355-C3355)/(Utilities!$B$11*IterData!H3355)))</f>
        <v>1</v>
      </c>
    </row>
    <row r="3356" spans="8:11" x14ac:dyDescent="0.3">
      <c r="H3356">
        <v>0.5</v>
      </c>
      <c r="I3356" s="11">
        <f t="shared" si="52"/>
        <v>0</v>
      </c>
      <c r="J3356" s="11">
        <f>1/(H3356*Utilities!$B$11)</f>
        <v>8</v>
      </c>
      <c r="K3356" s="11">
        <f>IF(B3356&lt;C3356,1,EXP(-1*(B3356-C3356)/(Utilities!$B$11*IterData!H3356)))</f>
        <v>1</v>
      </c>
    </row>
    <row r="3357" spans="8:11" x14ac:dyDescent="0.3">
      <c r="H3357">
        <v>0.5</v>
      </c>
      <c r="I3357" s="11">
        <f t="shared" si="52"/>
        <v>0</v>
      </c>
      <c r="J3357" s="11">
        <f>1/(H3357*Utilities!$B$11)</f>
        <v>8</v>
      </c>
      <c r="K3357" s="11">
        <f>IF(B3357&lt;C3357,1,EXP(-1*(B3357-C3357)/(Utilities!$B$11*IterData!H3357)))</f>
        <v>1</v>
      </c>
    </row>
    <row r="3358" spans="8:11" x14ac:dyDescent="0.3">
      <c r="H3358">
        <v>0.5</v>
      </c>
      <c r="I3358" s="11">
        <f t="shared" si="52"/>
        <v>0</v>
      </c>
      <c r="J3358" s="11">
        <f>1/(H3358*Utilities!$B$11)</f>
        <v>8</v>
      </c>
      <c r="K3358" s="11">
        <f>IF(B3358&lt;C3358,1,EXP(-1*(B3358-C3358)/(Utilities!$B$11*IterData!H3358)))</f>
        <v>1</v>
      </c>
    </row>
    <row r="3359" spans="8:11" x14ac:dyDescent="0.3">
      <c r="H3359">
        <v>0.5</v>
      </c>
      <c r="I3359" s="11">
        <f t="shared" si="52"/>
        <v>0</v>
      </c>
      <c r="J3359" s="11">
        <f>1/(H3359*Utilities!$B$11)</f>
        <v>8</v>
      </c>
      <c r="K3359" s="11">
        <f>IF(B3359&lt;C3359,1,EXP(-1*(B3359-C3359)/(Utilities!$B$11*IterData!H3359)))</f>
        <v>1</v>
      </c>
    </row>
    <row r="3360" spans="8:11" x14ac:dyDescent="0.3">
      <c r="H3360">
        <v>0.5</v>
      </c>
      <c r="I3360" s="11">
        <f t="shared" si="52"/>
        <v>0</v>
      </c>
      <c r="J3360" s="11">
        <f>1/(H3360*Utilities!$B$11)</f>
        <v>8</v>
      </c>
      <c r="K3360" s="11">
        <f>IF(B3360&lt;C3360,1,EXP(-1*(B3360-C3360)/(Utilities!$B$11*IterData!H3360)))</f>
        <v>1</v>
      </c>
    </row>
    <row r="3361" spans="8:11" x14ac:dyDescent="0.3">
      <c r="H3361">
        <v>0.5</v>
      </c>
      <c r="I3361" s="11">
        <f t="shared" si="52"/>
        <v>0</v>
      </c>
      <c r="J3361" s="11">
        <f>1/(H3361*Utilities!$B$11)</f>
        <v>8</v>
      </c>
      <c r="K3361" s="11">
        <f>IF(B3361&lt;C3361,1,EXP(-1*(B3361-C3361)/(Utilities!$B$11*IterData!H3361)))</f>
        <v>1</v>
      </c>
    </row>
    <row r="3362" spans="8:11" x14ac:dyDescent="0.3">
      <c r="H3362">
        <v>0.5</v>
      </c>
      <c r="I3362" s="11">
        <f t="shared" si="52"/>
        <v>0</v>
      </c>
      <c r="J3362" s="11">
        <f>1/(H3362*Utilities!$B$11)</f>
        <v>8</v>
      </c>
      <c r="K3362" s="11">
        <f>IF(B3362&lt;C3362,1,EXP(-1*(B3362-C3362)/(Utilities!$B$11*IterData!H3362)))</f>
        <v>1</v>
      </c>
    </row>
    <row r="3363" spans="8:11" x14ac:dyDescent="0.3">
      <c r="H3363">
        <v>0.5</v>
      </c>
      <c r="I3363" s="11">
        <f t="shared" si="52"/>
        <v>0</v>
      </c>
      <c r="J3363" s="11">
        <f>1/(H3363*Utilities!$B$11)</f>
        <v>8</v>
      </c>
      <c r="K3363" s="11">
        <f>IF(B3363&lt;C3363,1,EXP(-1*(B3363-C3363)/(Utilities!$B$11*IterData!H3363)))</f>
        <v>1</v>
      </c>
    </row>
    <row r="3364" spans="8:11" x14ac:dyDescent="0.3">
      <c r="H3364">
        <v>0.5</v>
      </c>
      <c r="I3364" s="11">
        <f t="shared" si="52"/>
        <v>0</v>
      </c>
      <c r="J3364" s="11">
        <f>1/(H3364*Utilities!$B$11)</f>
        <v>8</v>
      </c>
      <c r="K3364" s="11">
        <f>IF(B3364&lt;C3364,1,EXP(-1*(B3364-C3364)/(Utilities!$B$11*IterData!H3364)))</f>
        <v>1</v>
      </c>
    </row>
    <row r="3365" spans="8:11" x14ac:dyDescent="0.3">
      <c r="H3365">
        <v>0.5</v>
      </c>
      <c r="I3365" s="11">
        <f t="shared" si="52"/>
        <v>0</v>
      </c>
      <c r="J3365" s="11">
        <f>1/(H3365*Utilities!$B$11)</f>
        <v>8</v>
      </c>
      <c r="K3365" s="11">
        <f>IF(B3365&lt;C3365,1,EXP(-1*(B3365-C3365)/(Utilities!$B$11*IterData!H3365)))</f>
        <v>1</v>
      </c>
    </row>
    <row r="3366" spans="8:11" x14ac:dyDescent="0.3">
      <c r="H3366">
        <v>0.5</v>
      </c>
      <c r="I3366" s="11">
        <f t="shared" si="52"/>
        <v>0</v>
      </c>
      <c r="J3366" s="11">
        <f>1/(H3366*Utilities!$B$11)</f>
        <v>8</v>
      </c>
      <c r="K3366" s="11">
        <f>IF(B3366&lt;C3366,1,EXP(-1*(B3366-C3366)/(Utilities!$B$11*IterData!H3366)))</f>
        <v>1</v>
      </c>
    </row>
    <row r="3367" spans="8:11" x14ac:dyDescent="0.3">
      <c r="H3367">
        <v>0.5</v>
      </c>
      <c r="I3367" s="11">
        <f t="shared" si="52"/>
        <v>0</v>
      </c>
      <c r="J3367" s="11">
        <f>1/(H3367*Utilities!$B$11)</f>
        <v>8</v>
      </c>
      <c r="K3367" s="11">
        <f>IF(B3367&lt;C3367,1,EXP(-1*(B3367-C3367)/(Utilities!$B$11*IterData!H3367)))</f>
        <v>1</v>
      </c>
    </row>
    <row r="3368" spans="8:11" x14ac:dyDescent="0.3">
      <c r="H3368">
        <v>0.5</v>
      </c>
      <c r="I3368" s="11">
        <f t="shared" si="52"/>
        <v>0</v>
      </c>
      <c r="J3368" s="11">
        <f>1/(H3368*Utilities!$B$11)</f>
        <v>8</v>
      </c>
      <c r="K3368" s="11">
        <f>IF(B3368&lt;C3368,1,EXP(-1*(B3368-C3368)/(Utilities!$B$11*IterData!H3368)))</f>
        <v>1</v>
      </c>
    </row>
    <row r="3369" spans="8:11" x14ac:dyDescent="0.3">
      <c r="H3369">
        <v>0.5</v>
      </c>
      <c r="I3369" s="11">
        <f t="shared" si="52"/>
        <v>0</v>
      </c>
      <c r="J3369" s="11">
        <f>1/(H3369*Utilities!$B$11)</f>
        <v>8</v>
      </c>
      <c r="K3369" s="11">
        <f>IF(B3369&lt;C3369,1,EXP(-1*(B3369-C3369)/(Utilities!$B$11*IterData!H3369)))</f>
        <v>1</v>
      </c>
    </row>
    <row r="3370" spans="8:11" x14ac:dyDescent="0.3">
      <c r="H3370">
        <v>0.5</v>
      </c>
      <c r="I3370" s="11">
        <f t="shared" si="52"/>
        <v>0</v>
      </c>
      <c r="J3370" s="11">
        <f>1/(H3370*Utilities!$B$11)</f>
        <v>8</v>
      </c>
      <c r="K3370" s="11">
        <f>IF(B3370&lt;C3370,1,EXP(-1*(B3370-C3370)/(Utilities!$B$11*IterData!H3370)))</f>
        <v>1</v>
      </c>
    </row>
    <row r="3371" spans="8:11" x14ac:dyDescent="0.3">
      <c r="H3371">
        <v>0.5</v>
      </c>
      <c r="I3371" s="11">
        <f t="shared" si="52"/>
        <v>0</v>
      </c>
      <c r="J3371" s="11">
        <f>1/(H3371*Utilities!$B$11)</f>
        <v>8</v>
      </c>
      <c r="K3371" s="11">
        <f>IF(B3371&lt;C3371,1,EXP(-1*(B3371-C3371)/(Utilities!$B$11*IterData!H3371)))</f>
        <v>1</v>
      </c>
    </row>
    <row r="3372" spans="8:11" x14ac:dyDescent="0.3">
      <c r="H3372">
        <v>0.5</v>
      </c>
      <c r="I3372" s="11">
        <f t="shared" si="52"/>
        <v>0</v>
      </c>
      <c r="J3372" s="11">
        <f>1/(H3372*Utilities!$B$11)</f>
        <v>8</v>
      </c>
      <c r="K3372" s="11">
        <f>IF(B3372&lt;C3372,1,EXP(-1*(B3372-C3372)/(Utilities!$B$11*IterData!H3372)))</f>
        <v>1</v>
      </c>
    </row>
    <row r="3373" spans="8:11" x14ac:dyDescent="0.3">
      <c r="H3373">
        <v>0.5</v>
      </c>
      <c r="I3373" s="11">
        <f t="shared" si="52"/>
        <v>0</v>
      </c>
      <c r="J3373" s="11">
        <f>1/(H3373*Utilities!$B$11)</f>
        <v>8</v>
      </c>
      <c r="K3373" s="11">
        <f>IF(B3373&lt;C3373,1,EXP(-1*(B3373-C3373)/(Utilities!$B$11*IterData!H3373)))</f>
        <v>1</v>
      </c>
    </row>
    <row r="3374" spans="8:11" x14ac:dyDescent="0.3">
      <c r="H3374">
        <v>0.5</v>
      </c>
      <c r="I3374" s="11">
        <f t="shared" si="52"/>
        <v>0</v>
      </c>
      <c r="J3374" s="11">
        <f>1/(H3374*Utilities!$B$11)</f>
        <v>8</v>
      </c>
      <c r="K3374" s="11">
        <f>IF(B3374&lt;C3374,1,EXP(-1*(B3374-C3374)/(Utilities!$B$11*IterData!H3374)))</f>
        <v>1</v>
      </c>
    </row>
    <row r="3375" spans="8:11" x14ac:dyDescent="0.3">
      <c r="H3375">
        <v>0.5</v>
      </c>
      <c r="I3375" s="11">
        <f t="shared" si="52"/>
        <v>0</v>
      </c>
      <c r="J3375" s="11">
        <f>1/(H3375*Utilities!$B$11)</f>
        <v>8</v>
      </c>
      <c r="K3375" s="11">
        <f>IF(B3375&lt;C3375,1,EXP(-1*(B3375-C3375)/(Utilities!$B$11*IterData!H3375)))</f>
        <v>1</v>
      </c>
    </row>
    <row r="3376" spans="8:11" x14ac:dyDescent="0.3">
      <c r="H3376">
        <v>0.5</v>
      </c>
      <c r="I3376" s="11">
        <f t="shared" si="52"/>
        <v>0</v>
      </c>
      <c r="J3376" s="11">
        <f>1/(H3376*Utilities!$B$11)</f>
        <v>8</v>
      </c>
      <c r="K3376" s="11">
        <f>IF(B3376&lt;C3376,1,EXP(-1*(B3376-C3376)/(Utilities!$B$11*IterData!H3376)))</f>
        <v>1</v>
      </c>
    </row>
    <row r="3377" spans="8:11" x14ac:dyDescent="0.3">
      <c r="H3377">
        <v>0.5</v>
      </c>
      <c r="I3377" s="11">
        <f t="shared" si="52"/>
        <v>0</v>
      </c>
      <c r="J3377" s="11">
        <f>1/(H3377*Utilities!$B$11)</f>
        <v>8</v>
      </c>
      <c r="K3377" s="11">
        <f>IF(B3377&lt;C3377,1,EXP(-1*(B3377-C3377)/(Utilities!$B$11*IterData!H3377)))</f>
        <v>1</v>
      </c>
    </row>
    <row r="3378" spans="8:11" x14ac:dyDescent="0.3">
      <c r="H3378">
        <v>0.5</v>
      </c>
      <c r="I3378" s="11">
        <f t="shared" si="52"/>
        <v>0</v>
      </c>
      <c r="J3378" s="11">
        <f>1/(H3378*Utilities!$B$11)</f>
        <v>8</v>
      </c>
      <c r="K3378" s="11">
        <f>IF(B3378&lt;C3378,1,EXP(-1*(B3378-C3378)/(Utilities!$B$11*IterData!H3378)))</f>
        <v>1</v>
      </c>
    </row>
    <row r="3379" spans="8:11" x14ac:dyDescent="0.3">
      <c r="H3379">
        <v>0.5</v>
      </c>
      <c r="I3379" s="11">
        <f t="shared" si="52"/>
        <v>0</v>
      </c>
      <c r="J3379" s="11">
        <f>1/(H3379*Utilities!$B$11)</f>
        <v>8</v>
      </c>
      <c r="K3379" s="11">
        <f>IF(B3379&lt;C3379,1,EXP(-1*(B3379-C3379)/(Utilities!$B$11*IterData!H3379)))</f>
        <v>1</v>
      </c>
    </row>
    <row r="3380" spans="8:11" x14ac:dyDescent="0.3">
      <c r="H3380">
        <v>0.5</v>
      </c>
      <c r="I3380" s="11">
        <f t="shared" si="52"/>
        <v>0</v>
      </c>
      <c r="J3380" s="11">
        <f>1/(H3380*Utilities!$B$11)</f>
        <v>8</v>
      </c>
      <c r="K3380" s="11">
        <f>IF(B3380&lt;C3380,1,EXP(-1*(B3380-C3380)/(Utilities!$B$11*IterData!H3380)))</f>
        <v>1</v>
      </c>
    </row>
    <row r="3381" spans="8:11" x14ac:dyDescent="0.3">
      <c r="H3381">
        <v>0.5</v>
      </c>
      <c r="I3381" s="11">
        <f t="shared" si="52"/>
        <v>0</v>
      </c>
      <c r="J3381" s="11">
        <f>1/(H3381*Utilities!$B$11)</f>
        <v>8</v>
      </c>
      <c r="K3381" s="11">
        <f>IF(B3381&lt;C3381,1,EXP(-1*(B3381-C3381)/(Utilities!$B$11*IterData!H3381)))</f>
        <v>1</v>
      </c>
    </row>
    <row r="3382" spans="8:11" x14ac:dyDescent="0.3">
      <c r="H3382">
        <v>0.5</v>
      </c>
      <c r="I3382" s="11">
        <f t="shared" si="52"/>
        <v>0</v>
      </c>
      <c r="J3382" s="11">
        <f>1/(H3382*Utilities!$B$11)</f>
        <v>8</v>
      </c>
      <c r="K3382" s="11">
        <f>IF(B3382&lt;C3382,1,EXP(-1*(B3382-C3382)/(Utilities!$B$11*IterData!H3382)))</f>
        <v>1</v>
      </c>
    </row>
    <row r="3383" spans="8:11" x14ac:dyDescent="0.3">
      <c r="H3383">
        <v>0.5</v>
      </c>
      <c r="I3383" s="11">
        <f t="shared" si="52"/>
        <v>0</v>
      </c>
      <c r="J3383" s="11">
        <f>1/(H3383*Utilities!$B$11)</f>
        <v>8</v>
      </c>
      <c r="K3383" s="11">
        <f>IF(B3383&lt;C3383,1,EXP(-1*(B3383-C3383)/(Utilities!$B$11*IterData!H3383)))</f>
        <v>1</v>
      </c>
    </row>
    <row r="3384" spans="8:11" x14ac:dyDescent="0.3">
      <c r="H3384">
        <v>0.5</v>
      </c>
      <c r="I3384" s="11">
        <f t="shared" si="52"/>
        <v>0</v>
      </c>
      <c r="J3384" s="11">
        <f>1/(H3384*Utilities!$B$11)</f>
        <v>8</v>
      </c>
      <c r="K3384" s="11">
        <f>IF(B3384&lt;C3384,1,EXP(-1*(B3384-C3384)/(Utilities!$B$11*IterData!H3384)))</f>
        <v>1</v>
      </c>
    </row>
    <row r="3385" spans="8:11" x14ac:dyDescent="0.3">
      <c r="H3385">
        <v>0.5</v>
      </c>
      <c r="I3385" s="11">
        <f t="shared" si="52"/>
        <v>0</v>
      </c>
      <c r="J3385" s="11">
        <f>1/(H3385*Utilities!$B$11)</f>
        <v>8</v>
      </c>
      <c r="K3385" s="11">
        <f>IF(B3385&lt;C3385,1,EXP(-1*(B3385-C3385)/(Utilities!$B$11*IterData!H3385)))</f>
        <v>1</v>
      </c>
    </row>
    <row r="3386" spans="8:11" x14ac:dyDescent="0.3">
      <c r="H3386">
        <v>0.5</v>
      </c>
      <c r="I3386" s="11">
        <f t="shared" si="52"/>
        <v>0</v>
      </c>
      <c r="J3386" s="11">
        <f>1/(H3386*Utilities!$B$11)</f>
        <v>8</v>
      </c>
      <c r="K3386" s="11">
        <f>IF(B3386&lt;C3386,1,EXP(-1*(B3386-C3386)/(Utilities!$B$11*IterData!H3386)))</f>
        <v>1</v>
      </c>
    </row>
    <row r="3387" spans="8:11" x14ac:dyDescent="0.3">
      <c r="H3387">
        <v>0.5</v>
      </c>
      <c r="I3387" s="11">
        <f t="shared" si="52"/>
        <v>0</v>
      </c>
      <c r="J3387" s="11">
        <f>1/(H3387*Utilities!$B$11)</f>
        <v>8</v>
      </c>
      <c r="K3387" s="11">
        <f>IF(B3387&lt;C3387,1,EXP(-1*(B3387-C3387)/(Utilities!$B$11*IterData!H3387)))</f>
        <v>1</v>
      </c>
    </row>
    <row r="3388" spans="8:11" x14ac:dyDescent="0.3">
      <c r="H3388">
        <v>0.5</v>
      </c>
      <c r="I3388" s="11">
        <f t="shared" si="52"/>
        <v>0</v>
      </c>
      <c r="J3388" s="11">
        <f>1/(H3388*Utilities!$B$11)</f>
        <v>8</v>
      </c>
      <c r="K3388" s="11">
        <f>IF(B3388&lt;C3388,1,EXP(-1*(B3388-C3388)/(Utilities!$B$11*IterData!H3388)))</f>
        <v>1</v>
      </c>
    </row>
    <row r="3389" spans="8:11" x14ac:dyDescent="0.3">
      <c r="H3389">
        <v>0.5</v>
      </c>
      <c r="I3389" s="11">
        <f t="shared" si="52"/>
        <v>0</v>
      </c>
      <c r="J3389" s="11">
        <f>1/(H3389*Utilities!$B$11)</f>
        <v>8</v>
      </c>
      <c r="K3389" s="11">
        <f>IF(B3389&lt;C3389,1,EXP(-1*(B3389-C3389)/(Utilities!$B$11*IterData!H3389)))</f>
        <v>1</v>
      </c>
    </row>
    <row r="3390" spans="8:11" x14ac:dyDescent="0.3">
      <c r="H3390">
        <v>0.5</v>
      </c>
      <c r="I3390" s="11">
        <f t="shared" si="52"/>
        <v>0</v>
      </c>
      <c r="J3390" s="11">
        <f>1/(H3390*Utilities!$B$11)</f>
        <v>8</v>
      </c>
      <c r="K3390" s="11">
        <f>IF(B3390&lt;C3390,1,EXP(-1*(B3390-C3390)/(Utilities!$B$11*IterData!H3390)))</f>
        <v>1</v>
      </c>
    </row>
    <row r="3391" spans="8:11" x14ac:dyDescent="0.3">
      <c r="H3391">
        <v>0.5</v>
      </c>
      <c r="I3391" s="11">
        <f t="shared" si="52"/>
        <v>0</v>
      </c>
      <c r="J3391" s="11">
        <f>1/(H3391*Utilities!$B$11)</f>
        <v>8</v>
      </c>
      <c r="K3391" s="11">
        <f>IF(B3391&lt;C3391,1,EXP(-1*(B3391-C3391)/(Utilities!$B$11*IterData!H3391)))</f>
        <v>1</v>
      </c>
    </row>
    <row r="3392" spans="8:11" x14ac:dyDescent="0.3">
      <c r="H3392">
        <v>0.5</v>
      </c>
      <c r="I3392" s="11">
        <f t="shared" si="52"/>
        <v>0</v>
      </c>
      <c r="J3392" s="11">
        <f>1/(H3392*Utilities!$B$11)</f>
        <v>8</v>
      </c>
      <c r="K3392" s="11">
        <f>IF(B3392&lt;C3392,1,EXP(-1*(B3392-C3392)/(Utilities!$B$11*IterData!H3392)))</f>
        <v>1</v>
      </c>
    </row>
    <row r="3393" spans="8:11" x14ac:dyDescent="0.3">
      <c r="H3393">
        <v>0.5</v>
      </c>
      <c r="I3393" s="11">
        <f t="shared" si="52"/>
        <v>0</v>
      </c>
      <c r="J3393" s="11">
        <f>1/(H3393*Utilities!$B$11)</f>
        <v>8</v>
      </c>
      <c r="K3393" s="11">
        <f>IF(B3393&lt;C3393,1,EXP(-1*(B3393-C3393)/(Utilities!$B$11*IterData!H3393)))</f>
        <v>1</v>
      </c>
    </row>
    <row r="3394" spans="8:11" x14ac:dyDescent="0.3">
      <c r="H3394">
        <v>0.5</v>
      </c>
      <c r="I3394" s="11">
        <f t="shared" si="52"/>
        <v>0</v>
      </c>
      <c r="J3394" s="11">
        <f>1/(H3394*Utilities!$B$11)</f>
        <v>8</v>
      </c>
      <c r="K3394" s="11">
        <f>IF(B3394&lt;C3394,1,EXP(-1*(B3394-C3394)/(Utilities!$B$11*IterData!H3394)))</f>
        <v>1</v>
      </c>
    </row>
    <row r="3395" spans="8:11" x14ac:dyDescent="0.3">
      <c r="H3395">
        <v>0.5</v>
      </c>
      <c r="I3395" s="11">
        <f t="shared" ref="I3395:I3458" si="53">B3395-C3395</f>
        <v>0</v>
      </c>
      <c r="J3395" s="11">
        <f>1/(H3395*Utilities!$B$11)</f>
        <v>8</v>
      </c>
      <c r="K3395" s="11">
        <f>IF(B3395&lt;C3395,1,EXP(-1*(B3395-C3395)/(Utilities!$B$11*IterData!H3395)))</f>
        <v>1</v>
      </c>
    </row>
    <row r="3396" spans="8:11" x14ac:dyDescent="0.3">
      <c r="H3396">
        <v>0.5</v>
      </c>
      <c r="I3396" s="11">
        <f t="shared" si="53"/>
        <v>0</v>
      </c>
      <c r="J3396" s="11">
        <f>1/(H3396*Utilities!$B$11)</f>
        <v>8</v>
      </c>
      <c r="K3396" s="11">
        <f>IF(B3396&lt;C3396,1,EXP(-1*(B3396-C3396)/(Utilities!$B$11*IterData!H3396)))</f>
        <v>1</v>
      </c>
    </row>
    <row r="3397" spans="8:11" x14ac:dyDescent="0.3">
      <c r="H3397">
        <v>0.5</v>
      </c>
      <c r="I3397" s="11">
        <f t="shared" si="53"/>
        <v>0</v>
      </c>
      <c r="J3397" s="11">
        <f>1/(H3397*Utilities!$B$11)</f>
        <v>8</v>
      </c>
      <c r="K3397" s="11">
        <f>IF(B3397&lt;C3397,1,EXP(-1*(B3397-C3397)/(Utilities!$B$11*IterData!H3397)))</f>
        <v>1</v>
      </c>
    </row>
    <row r="3398" spans="8:11" x14ac:dyDescent="0.3">
      <c r="H3398">
        <v>0.5</v>
      </c>
      <c r="I3398" s="11">
        <f t="shared" si="53"/>
        <v>0</v>
      </c>
      <c r="J3398" s="11">
        <f>1/(H3398*Utilities!$B$11)</f>
        <v>8</v>
      </c>
      <c r="K3398" s="11">
        <f>IF(B3398&lt;C3398,1,EXP(-1*(B3398-C3398)/(Utilities!$B$11*IterData!H3398)))</f>
        <v>1</v>
      </c>
    </row>
    <row r="3399" spans="8:11" x14ac:dyDescent="0.3">
      <c r="H3399">
        <v>0.5</v>
      </c>
      <c r="I3399" s="11">
        <f t="shared" si="53"/>
        <v>0</v>
      </c>
      <c r="J3399" s="11">
        <f>1/(H3399*Utilities!$B$11)</f>
        <v>8</v>
      </c>
      <c r="K3399" s="11">
        <f>IF(B3399&lt;C3399,1,EXP(-1*(B3399-C3399)/(Utilities!$B$11*IterData!H3399)))</f>
        <v>1</v>
      </c>
    </row>
    <row r="3400" spans="8:11" x14ac:dyDescent="0.3">
      <c r="H3400">
        <v>0.5</v>
      </c>
      <c r="I3400" s="11">
        <f t="shared" si="53"/>
        <v>0</v>
      </c>
      <c r="J3400" s="11">
        <f>1/(H3400*Utilities!$B$11)</f>
        <v>8</v>
      </c>
      <c r="K3400" s="11">
        <f>IF(B3400&lt;C3400,1,EXP(-1*(B3400-C3400)/(Utilities!$B$11*IterData!H3400)))</f>
        <v>1</v>
      </c>
    </row>
    <row r="3401" spans="8:11" x14ac:dyDescent="0.3">
      <c r="H3401">
        <v>0.5</v>
      </c>
      <c r="I3401" s="11">
        <f t="shared" si="53"/>
        <v>0</v>
      </c>
      <c r="J3401" s="11">
        <f>1/(H3401*Utilities!$B$11)</f>
        <v>8</v>
      </c>
      <c r="K3401" s="11">
        <f>IF(B3401&lt;C3401,1,EXP(-1*(B3401-C3401)/(Utilities!$B$11*IterData!H3401)))</f>
        <v>1</v>
      </c>
    </row>
    <row r="3402" spans="8:11" x14ac:dyDescent="0.3">
      <c r="H3402">
        <v>0.5</v>
      </c>
      <c r="I3402" s="11">
        <f t="shared" si="53"/>
        <v>0</v>
      </c>
      <c r="J3402" s="11">
        <f>1/(H3402*Utilities!$B$11)</f>
        <v>8</v>
      </c>
      <c r="K3402" s="11">
        <f>IF(B3402&lt;C3402,1,EXP(-1*(B3402-C3402)/(Utilities!$B$11*IterData!H3402)))</f>
        <v>1</v>
      </c>
    </row>
    <row r="3403" spans="8:11" x14ac:dyDescent="0.3">
      <c r="H3403">
        <v>0.5</v>
      </c>
      <c r="I3403" s="11">
        <f t="shared" si="53"/>
        <v>0</v>
      </c>
      <c r="J3403" s="11">
        <f>1/(H3403*Utilities!$B$11)</f>
        <v>8</v>
      </c>
      <c r="K3403" s="11">
        <f>IF(B3403&lt;C3403,1,EXP(-1*(B3403-C3403)/(Utilities!$B$11*IterData!H3403)))</f>
        <v>1</v>
      </c>
    </row>
    <row r="3404" spans="8:11" x14ac:dyDescent="0.3">
      <c r="H3404">
        <v>0.5</v>
      </c>
      <c r="I3404" s="11">
        <f t="shared" si="53"/>
        <v>0</v>
      </c>
      <c r="J3404" s="11">
        <f>1/(H3404*Utilities!$B$11)</f>
        <v>8</v>
      </c>
      <c r="K3404" s="11">
        <f>IF(B3404&lt;C3404,1,EXP(-1*(B3404-C3404)/(Utilities!$B$11*IterData!H3404)))</f>
        <v>1</v>
      </c>
    </row>
    <row r="3405" spans="8:11" x14ac:dyDescent="0.3">
      <c r="H3405">
        <v>0.5</v>
      </c>
      <c r="I3405" s="11">
        <f t="shared" si="53"/>
        <v>0</v>
      </c>
      <c r="J3405" s="11">
        <f>1/(H3405*Utilities!$B$11)</f>
        <v>8</v>
      </c>
      <c r="K3405" s="11">
        <f>IF(B3405&lt;C3405,1,EXP(-1*(B3405-C3405)/(Utilities!$B$11*IterData!H3405)))</f>
        <v>1</v>
      </c>
    </row>
    <row r="3406" spans="8:11" x14ac:dyDescent="0.3">
      <c r="H3406">
        <v>0.5</v>
      </c>
      <c r="I3406" s="11">
        <f t="shared" si="53"/>
        <v>0</v>
      </c>
      <c r="J3406" s="11">
        <f>1/(H3406*Utilities!$B$11)</f>
        <v>8</v>
      </c>
      <c r="K3406" s="11">
        <f>IF(B3406&lt;C3406,1,EXP(-1*(B3406-C3406)/(Utilities!$B$11*IterData!H3406)))</f>
        <v>1</v>
      </c>
    </row>
    <row r="3407" spans="8:11" x14ac:dyDescent="0.3">
      <c r="H3407">
        <v>0.5</v>
      </c>
      <c r="I3407" s="11">
        <f t="shared" si="53"/>
        <v>0</v>
      </c>
      <c r="J3407" s="11">
        <f>1/(H3407*Utilities!$B$11)</f>
        <v>8</v>
      </c>
      <c r="K3407" s="11">
        <f>IF(B3407&lt;C3407,1,EXP(-1*(B3407-C3407)/(Utilities!$B$11*IterData!H3407)))</f>
        <v>1</v>
      </c>
    </row>
    <row r="3408" spans="8:11" x14ac:dyDescent="0.3">
      <c r="H3408">
        <v>0.5</v>
      </c>
      <c r="I3408" s="11">
        <f t="shared" si="53"/>
        <v>0</v>
      </c>
      <c r="J3408" s="11">
        <f>1/(H3408*Utilities!$B$11)</f>
        <v>8</v>
      </c>
      <c r="K3408" s="11">
        <f>IF(B3408&lt;C3408,1,EXP(-1*(B3408-C3408)/(Utilities!$B$11*IterData!H3408)))</f>
        <v>1</v>
      </c>
    </row>
    <row r="3409" spans="8:11" x14ac:dyDescent="0.3">
      <c r="H3409">
        <v>0.5</v>
      </c>
      <c r="I3409" s="11">
        <f t="shared" si="53"/>
        <v>0</v>
      </c>
      <c r="J3409" s="11">
        <f>1/(H3409*Utilities!$B$11)</f>
        <v>8</v>
      </c>
      <c r="K3409" s="11">
        <f>IF(B3409&lt;C3409,1,EXP(-1*(B3409-C3409)/(Utilities!$B$11*IterData!H3409)))</f>
        <v>1</v>
      </c>
    </row>
    <row r="3410" spans="8:11" x14ac:dyDescent="0.3">
      <c r="H3410">
        <v>0.5</v>
      </c>
      <c r="I3410" s="11">
        <f t="shared" si="53"/>
        <v>0</v>
      </c>
      <c r="J3410" s="11">
        <f>1/(H3410*Utilities!$B$11)</f>
        <v>8</v>
      </c>
      <c r="K3410" s="11">
        <f>IF(B3410&lt;C3410,1,EXP(-1*(B3410-C3410)/(Utilities!$B$11*IterData!H3410)))</f>
        <v>1</v>
      </c>
    </row>
    <row r="3411" spans="8:11" x14ac:dyDescent="0.3">
      <c r="H3411">
        <v>0.5</v>
      </c>
      <c r="I3411" s="11">
        <f t="shared" si="53"/>
        <v>0</v>
      </c>
      <c r="J3411" s="11">
        <f>1/(H3411*Utilities!$B$11)</f>
        <v>8</v>
      </c>
      <c r="K3411" s="11">
        <f>IF(B3411&lt;C3411,1,EXP(-1*(B3411-C3411)/(Utilities!$B$11*IterData!H3411)))</f>
        <v>1</v>
      </c>
    </row>
    <row r="3412" spans="8:11" x14ac:dyDescent="0.3">
      <c r="H3412">
        <v>0.5</v>
      </c>
      <c r="I3412" s="11">
        <f t="shared" si="53"/>
        <v>0</v>
      </c>
      <c r="J3412" s="11">
        <f>1/(H3412*Utilities!$B$11)</f>
        <v>8</v>
      </c>
      <c r="K3412" s="11">
        <f>IF(B3412&lt;C3412,1,EXP(-1*(B3412-C3412)/(Utilities!$B$11*IterData!H3412)))</f>
        <v>1</v>
      </c>
    </row>
    <row r="3413" spans="8:11" x14ac:dyDescent="0.3">
      <c r="H3413">
        <v>0.5</v>
      </c>
      <c r="I3413" s="11">
        <f t="shared" si="53"/>
        <v>0</v>
      </c>
      <c r="J3413" s="11">
        <f>1/(H3413*Utilities!$B$11)</f>
        <v>8</v>
      </c>
      <c r="K3413" s="11">
        <f>IF(B3413&lt;C3413,1,EXP(-1*(B3413-C3413)/(Utilities!$B$11*IterData!H3413)))</f>
        <v>1</v>
      </c>
    </row>
    <row r="3414" spans="8:11" x14ac:dyDescent="0.3">
      <c r="H3414">
        <v>0.5</v>
      </c>
      <c r="I3414" s="11">
        <f t="shared" si="53"/>
        <v>0</v>
      </c>
      <c r="J3414" s="11">
        <f>1/(H3414*Utilities!$B$11)</f>
        <v>8</v>
      </c>
      <c r="K3414" s="11">
        <f>IF(B3414&lt;C3414,1,EXP(-1*(B3414-C3414)/(Utilities!$B$11*IterData!H3414)))</f>
        <v>1</v>
      </c>
    </row>
    <row r="3415" spans="8:11" x14ac:dyDescent="0.3">
      <c r="H3415">
        <v>0.5</v>
      </c>
      <c r="I3415" s="11">
        <f t="shared" si="53"/>
        <v>0</v>
      </c>
      <c r="J3415" s="11">
        <f>1/(H3415*Utilities!$B$11)</f>
        <v>8</v>
      </c>
      <c r="K3415" s="11">
        <f>IF(B3415&lt;C3415,1,EXP(-1*(B3415-C3415)/(Utilities!$B$11*IterData!H3415)))</f>
        <v>1</v>
      </c>
    </row>
    <row r="3416" spans="8:11" x14ac:dyDescent="0.3">
      <c r="H3416">
        <v>0.5</v>
      </c>
      <c r="I3416" s="11">
        <f t="shared" si="53"/>
        <v>0</v>
      </c>
      <c r="J3416" s="11">
        <f>1/(H3416*Utilities!$B$11)</f>
        <v>8</v>
      </c>
      <c r="K3416" s="11">
        <f>IF(B3416&lt;C3416,1,EXP(-1*(B3416-C3416)/(Utilities!$B$11*IterData!H3416)))</f>
        <v>1</v>
      </c>
    </row>
    <row r="3417" spans="8:11" x14ac:dyDescent="0.3">
      <c r="H3417">
        <v>0.5</v>
      </c>
      <c r="I3417" s="11">
        <f t="shared" si="53"/>
        <v>0</v>
      </c>
      <c r="J3417" s="11">
        <f>1/(H3417*Utilities!$B$11)</f>
        <v>8</v>
      </c>
      <c r="K3417" s="11">
        <f>IF(B3417&lt;C3417,1,EXP(-1*(B3417-C3417)/(Utilities!$B$11*IterData!H3417)))</f>
        <v>1</v>
      </c>
    </row>
    <row r="3418" spans="8:11" x14ac:dyDescent="0.3">
      <c r="H3418">
        <v>0.5</v>
      </c>
      <c r="I3418" s="11">
        <f t="shared" si="53"/>
        <v>0</v>
      </c>
      <c r="J3418" s="11">
        <f>1/(H3418*Utilities!$B$11)</f>
        <v>8</v>
      </c>
      <c r="K3418" s="11">
        <f>IF(B3418&lt;C3418,1,EXP(-1*(B3418-C3418)/(Utilities!$B$11*IterData!H3418)))</f>
        <v>1</v>
      </c>
    </row>
    <row r="3419" spans="8:11" x14ac:dyDescent="0.3">
      <c r="H3419">
        <v>0.5</v>
      </c>
      <c r="I3419" s="11">
        <f t="shared" si="53"/>
        <v>0</v>
      </c>
      <c r="J3419" s="11">
        <f>1/(H3419*Utilities!$B$11)</f>
        <v>8</v>
      </c>
      <c r="K3419" s="11">
        <f>IF(B3419&lt;C3419,1,EXP(-1*(B3419-C3419)/(Utilities!$B$11*IterData!H3419)))</f>
        <v>1</v>
      </c>
    </row>
    <row r="3420" spans="8:11" x14ac:dyDescent="0.3">
      <c r="H3420">
        <v>0.5</v>
      </c>
      <c r="I3420" s="11">
        <f t="shared" si="53"/>
        <v>0</v>
      </c>
      <c r="J3420" s="11">
        <f>1/(H3420*Utilities!$B$11)</f>
        <v>8</v>
      </c>
      <c r="K3420" s="11">
        <f>IF(B3420&lt;C3420,1,EXP(-1*(B3420-C3420)/(Utilities!$B$11*IterData!H3420)))</f>
        <v>1</v>
      </c>
    </row>
    <row r="3421" spans="8:11" x14ac:dyDescent="0.3">
      <c r="H3421">
        <v>0.5</v>
      </c>
      <c r="I3421" s="11">
        <f t="shared" si="53"/>
        <v>0</v>
      </c>
      <c r="J3421" s="11">
        <f>1/(H3421*Utilities!$B$11)</f>
        <v>8</v>
      </c>
      <c r="K3421" s="11">
        <f>IF(B3421&lt;C3421,1,EXP(-1*(B3421-C3421)/(Utilities!$B$11*IterData!H3421)))</f>
        <v>1</v>
      </c>
    </row>
    <row r="3422" spans="8:11" x14ac:dyDescent="0.3">
      <c r="H3422">
        <v>0.5</v>
      </c>
      <c r="I3422" s="11">
        <f t="shared" si="53"/>
        <v>0</v>
      </c>
      <c r="J3422" s="11">
        <f>1/(H3422*Utilities!$B$11)</f>
        <v>8</v>
      </c>
      <c r="K3422" s="11">
        <f>IF(B3422&lt;C3422,1,EXP(-1*(B3422-C3422)/(Utilities!$B$11*IterData!H3422)))</f>
        <v>1</v>
      </c>
    </row>
    <row r="3423" spans="8:11" x14ac:dyDescent="0.3">
      <c r="H3423">
        <v>0.5</v>
      </c>
      <c r="I3423" s="11">
        <f t="shared" si="53"/>
        <v>0</v>
      </c>
      <c r="J3423" s="11">
        <f>1/(H3423*Utilities!$B$11)</f>
        <v>8</v>
      </c>
      <c r="K3423" s="11">
        <f>IF(B3423&lt;C3423,1,EXP(-1*(B3423-C3423)/(Utilities!$B$11*IterData!H3423)))</f>
        <v>1</v>
      </c>
    </row>
    <row r="3424" spans="8:11" x14ac:dyDescent="0.3">
      <c r="H3424">
        <v>0.5</v>
      </c>
      <c r="I3424" s="11">
        <f t="shared" si="53"/>
        <v>0</v>
      </c>
      <c r="J3424" s="11">
        <f>1/(H3424*Utilities!$B$11)</f>
        <v>8</v>
      </c>
      <c r="K3424" s="11">
        <f>IF(B3424&lt;C3424,1,EXP(-1*(B3424-C3424)/(Utilities!$B$11*IterData!H3424)))</f>
        <v>1</v>
      </c>
    </row>
    <row r="3425" spans="8:11" x14ac:dyDescent="0.3">
      <c r="H3425">
        <v>0.5</v>
      </c>
      <c r="I3425" s="11">
        <f t="shared" si="53"/>
        <v>0</v>
      </c>
      <c r="J3425" s="11">
        <f>1/(H3425*Utilities!$B$11)</f>
        <v>8</v>
      </c>
      <c r="K3425" s="11">
        <f>IF(B3425&lt;C3425,1,EXP(-1*(B3425-C3425)/(Utilities!$B$11*IterData!H3425)))</f>
        <v>1</v>
      </c>
    </row>
    <row r="3426" spans="8:11" x14ac:dyDescent="0.3">
      <c r="H3426">
        <v>0.5</v>
      </c>
      <c r="I3426" s="11">
        <f t="shared" si="53"/>
        <v>0</v>
      </c>
      <c r="J3426" s="11">
        <f>1/(H3426*Utilities!$B$11)</f>
        <v>8</v>
      </c>
      <c r="K3426" s="11">
        <f>IF(B3426&lt;C3426,1,EXP(-1*(B3426-C3426)/(Utilities!$B$11*IterData!H3426)))</f>
        <v>1</v>
      </c>
    </row>
    <row r="3427" spans="8:11" x14ac:dyDescent="0.3">
      <c r="H3427">
        <v>0.5</v>
      </c>
      <c r="I3427" s="11">
        <f t="shared" si="53"/>
        <v>0</v>
      </c>
      <c r="J3427" s="11">
        <f>1/(H3427*Utilities!$B$11)</f>
        <v>8</v>
      </c>
      <c r="K3427" s="11">
        <f>IF(B3427&lt;C3427,1,EXP(-1*(B3427-C3427)/(Utilities!$B$11*IterData!H3427)))</f>
        <v>1</v>
      </c>
    </row>
    <row r="3428" spans="8:11" x14ac:dyDescent="0.3">
      <c r="H3428">
        <v>0.5</v>
      </c>
      <c r="I3428" s="11">
        <f t="shared" si="53"/>
        <v>0</v>
      </c>
      <c r="J3428" s="11">
        <f>1/(H3428*Utilities!$B$11)</f>
        <v>8</v>
      </c>
      <c r="K3428" s="11">
        <f>IF(B3428&lt;C3428,1,EXP(-1*(B3428-C3428)/(Utilities!$B$11*IterData!H3428)))</f>
        <v>1</v>
      </c>
    </row>
    <row r="3429" spans="8:11" x14ac:dyDescent="0.3">
      <c r="H3429">
        <v>0.5</v>
      </c>
      <c r="I3429" s="11">
        <f t="shared" si="53"/>
        <v>0</v>
      </c>
      <c r="J3429" s="11">
        <f>1/(H3429*Utilities!$B$11)</f>
        <v>8</v>
      </c>
      <c r="K3429" s="11">
        <f>IF(B3429&lt;C3429,1,EXP(-1*(B3429-C3429)/(Utilities!$B$11*IterData!H3429)))</f>
        <v>1</v>
      </c>
    </row>
    <row r="3430" spans="8:11" x14ac:dyDescent="0.3">
      <c r="H3430">
        <v>0.5</v>
      </c>
      <c r="I3430" s="11">
        <f t="shared" si="53"/>
        <v>0</v>
      </c>
      <c r="J3430" s="11">
        <f>1/(H3430*Utilities!$B$11)</f>
        <v>8</v>
      </c>
      <c r="K3430" s="11">
        <f>IF(B3430&lt;C3430,1,EXP(-1*(B3430-C3430)/(Utilities!$B$11*IterData!H3430)))</f>
        <v>1</v>
      </c>
    </row>
    <row r="3431" spans="8:11" x14ac:dyDescent="0.3">
      <c r="H3431">
        <v>0.5</v>
      </c>
      <c r="I3431" s="11">
        <f t="shared" si="53"/>
        <v>0</v>
      </c>
      <c r="J3431" s="11">
        <f>1/(H3431*Utilities!$B$11)</f>
        <v>8</v>
      </c>
      <c r="K3431" s="11">
        <f>IF(B3431&lt;C3431,1,EXP(-1*(B3431-C3431)/(Utilities!$B$11*IterData!H3431)))</f>
        <v>1</v>
      </c>
    </row>
    <row r="3432" spans="8:11" x14ac:dyDescent="0.3">
      <c r="H3432">
        <v>0.5</v>
      </c>
      <c r="I3432" s="11">
        <f t="shared" si="53"/>
        <v>0</v>
      </c>
      <c r="J3432" s="11">
        <f>1/(H3432*Utilities!$B$11)</f>
        <v>8</v>
      </c>
      <c r="K3432" s="11">
        <f>IF(B3432&lt;C3432,1,EXP(-1*(B3432-C3432)/(Utilities!$B$11*IterData!H3432)))</f>
        <v>1</v>
      </c>
    </row>
    <row r="3433" spans="8:11" x14ac:dyDescent="0.3">
      <c r="H3433">
        <v>0.5</v>
      </c>
      <c r="I3433" s="11">
        <f t="shared" si="53"/>
        <v>0</v>
      </c>
      <c r="J3433" s="11">
        <f>1/(H3433*Utilities!$B$11)</f>
        <v>8</v>
      </c>
      <c r="K3433" s="11">
        <f>IF(B3433&lt;C3433,1,EXP(-1*(B3433-C3433)/(Utilities!$B$11*IterData!H3433)))</f>
        <v>1</v>
      </c>
    </row>
    <row r="3434" spans="8:11" x14ac:dyDescent="0.3">
      <c r="H3434">
        <v>0.5</v>
      </c>
      <c r="I3434" s="11">
        <f t="shared" si="53"/>
        <v>0</v>
      </c>
      <c r="J3434" s="11">
        <f>1/(H3434*Utilities!$B$11)</f>
        <v>8</v>
      </c>
      <c r="K3434" s="11">
        <f>IF(B3434&lt;C3434,1,EXP(-1*(B3434-C3434)/(Utilities!$B$11*IterData!H3434)))</f>
        <v>1</v>
      </c>
    </row>
    <row r="3435" spans="8:11" x14ac:dyDescent="0.3">
      <c r="H3435">
        <v>0.5</v>
      </c>
      <c r="I3435" s="11">
        <f t="shared" si="53"/>
        <v>0</v>
      </c>
      <c r="J3435" s="11">
        <f>1/(H3435*Utilities!$B$11)</f>
        <v>8</v>
      </c>
      <c r="K3435" s="11">
        <f>IF(B3435&lt;C3435,1,EXP(-1*(B3435-C3435)/(Utilities!$B$11*IterData!H3435)))</f>
        <v>1</v>
      </c>
    </row>
    <row r="3436" spans="8:11" x14ac:dyDescent="0.3">
      <c r="H3436">
        <v>0.5</v>
      </c>
      <c r="I3436" s="11">
        <f t="shared" si="53"/>
        <v>0</v>
      </c>
      <c r="J3436" s="11">
        <f>1/(H3436*Utilities!$B$11)</f>
        <v>8</v>
      </c>
      <c r="K3436" s="11">
        <f>IF(B3436&lt;C3436,1,EXP(-1*(B3436-C3436)/(Utilities!$B$11*IterData!H3436)))</f>
        <v>1</v>
      </c>
    </row>
    <row r="3437" spans="8:11" x14ac:dyDescent="0.3">
      <c r="H3437">
        <v>0.5</v>
      </c>
      <c r="I3437" s="11">
        <f t="shared" si="53"/>
        <v>0</v>
      </c>
      <c r="J3437" s="11">
        <f>1/(H3437*Utilities!$B$11)</f>
        <v>8</v>
      </c>
      <c r="K3437" s="11">
        <f>IF(B3437&lt;C3437,1,EXP(-1*(B3437-C3437)/(Utilities!$B$11*IterData!H3437)))</f>
        <v>1</v>
      </c>
    </row>
    <row r="3438" spans="8:11" x14ac:dyDescent="0.3">
      <c r="H3438">
        <v>0.5</v>
      </c>
      <c r="I3438" s="11">
        <f t="shared" si="53"/>
        <v>0</v>
      </c>
      <c r="J3438" s="11">
        <f>1/(H3438*Utilities!$B$11)</f>
        <v>8</v>
      </c>
      <c r="K3438" s="11">
        <f>IF(B3438&lt;C3438,1,EXP(-1*(B3438-C3438)/(Utilities!$B$11*IterData!H3438)))</f>
        <v>1</v>
      </c>
    </row>
    <row r="3439" spans="8:11" x14ac:dyDescent="0.3">
      <c r="H3439">
        <v>0.5</v>
      </c>
      <c r="I3439" s="11">
        <f t="shared" si="53"/>
        <v>0</v>
      </c>
      <c r="J3439" s="11">
        <f>1/(H3439*Utilities!$B$11)</f>
        <v>8</v>
      </c>
      <c r="K3439" s="11">
        <f>IF(B3439&lt;C3439,1,EXP(-1*(B3439-C3439)/(Utilities!$B$11*IterData!H3439)))</f>
        <v>1</v>
      </c>
    </row>
    <row r="3440" spans="8:11" x14ac:dyDescent="0.3">
      <c r="H3440">
        <v>0.5</v>
      </c>
      <c r="I3440" s="11">
        <f t="shared" si="53"/>
        <v>0</v>
      </c>
      <c r="J3440" s="11">
        <f>1/(H3440*Utilities!$B$11)</f>
        <v>8</v>
      </c>
      <c r="K3440" s="11">
        <f>IF(B3440&lt;C3440,1,EXP(-1*(B3440-C3440)/(Utilities!$B$11*IterData!H3440)))</f>
        <v>1</v>
      </c>
    </row>
    <row r="3441" spans="8:11" x14ac:dyDescent="0.3">
      <c r="H3441">
        <v>0.5</v>
      </c>
      <c r="I3441" s="11">
        <f t="shared" si="53"/>
        <v>0</v>
      </c>
      <c r="J3441" s="11">
        <f>1/(H3441*Utilities!$B$11)</f>
        <v>8</v>
      </c>
      <c r="K3441" s="11">
        <f>IF(B3441&lt;C3441,1,EXP(-1*(B3441-C3441)/(Utilities!$B$11*IterData!H3441)))</f>
        <v>1</v>
      </c>
    </row>
    <row r="3442" spans="8:11" x14ac:dyDescent="0.3">
      <c r="H3442">
        <v>0.5</v>
      </c>
      <c r="I3442" s="11">
        <f t="shared" si="53"/>
        <v>0</v>
      </c>
      <c r="J3442" s="11">
        <f>1/(H3442*Utilities!$B$11)</f>
        <v>8</v>
      </c>
      <c r="K3442" s="11">
        <f>IF(B3442&lt;C3442,1,EXP(-1*(B3442-C3442)/(Utilities!$B$11*IterData!H3442)))</f>
        <v>1</v>
      </c>
    </row>
    <row r="3443" spans="8:11" x14ac:dyDescent="0.3">
      <c r="H3443">
        <v>0.5</v>
      </c>
      <c r="I3443" s="11">
        <f t="shared" si="53"/>
        <v>0</v>
      </c>
      <c r="J3443" s="11">
        <f>1/(H3443*Utilities!$B$11)</f>
        <v>8</v>
      </c>
      <c r="K3443" s="11">
        <f>IF(B3443&lt;C3443,1,EXP(-1*(B3443-C3443)/(Utilities!$B$11*IterData!H3443)))</f>
        <v>1</v>
      </c>
    </row>
    <row r="3444" spans="8:11" x14ac:dyDescent="0.3">
      <c r="H3444">
        <v>0.5</v>
      </c>
      <c r="I3444" s="11">
        <f t="shared" si="53"/>
        <v>0</v>
      </c>
      <c r="J3444" s="11">
        <f>1/(H3444*Utilities!$B$11)</f>
        <v>8</v>
      </c>
      <c r="K3444" s="11">
        <f>IF(B3444&lt;C3444,1,EXP(-1*(B3444-C3444)/(Utilities!$B$11*IterData!H3444)))</f>
        <v>1</v>
      </c>
    </row>
    <row r="3445" spans="8:11" x14ac:dyDescent="0.3">
      <c r="H3445">
        <v>0.5</v>
      </c>
      <c r="I3445" s="11">
        <f t="shared" si="53"/>
        <v>0</v>
      </c>
      <c r="J3445" s="11">
        <f>1/(H3445*Utilities!$B$11)</f>
        <v>8</v>
      </c>
      <c r="K3445" s="11">
        <f>IF(B3445&lt;C3445,1,EXP(-1*(B3445-C3445)/(Utilities!$B$11*IterData!H3445)))</f>
        <v>1</v>
      </c>
    </row>
    <row r="3446" spans="8:11" x14ac:dyDescent="0.3">
      <c r="H3446">
        <v>0.5</v>
      </c>
      <c r="I3446" s="11">
        <f t="shared" si="53"/>
        <v>0</v>
      </c>
      <c r="J3446" s="11">
        <f>1/(H3446*Utilities!$B$11)</f>
        <v>8</v>
      </c>
      <c r="K3446" s="11">
        <f>IF(B3446&lt;C3446,1,EXP(-1*(B3446-C3446)/(Utilities!$B$11*IterData!H3446)))</f>
        <v>1</v>
      </c>
    </row>
    <row r="3447" spans="8:11" x14ac:dyDescent="0.3">
      <c r="H3447">
        <v>0.5</v>
      </c>
      <c r="I3447" s="11">
        <f t="shared" si="53"/>
        <v>0</v>
      </c>
      <c r="J3447" s="11">
        <f>1/(H3447*Utilities!$B$11)</f>
        <v>8</v>
      </c>
      <c r="K3447" s="11">
        <f>IF(B3447&lt;C3447,1,EXP(-1*(B3447-C3447)/(Utilities!$B$11*IterData!H3447)))</f>
        <v>1</v>
      </c>
    </row>
    <row r="3448" spans="8:11" x14ac:dyDescent="0.3">
      <c r="H3448">
        <v>0.5</v>
      </c>
      <c r="I3448" s="11">
        <f t="shared" si="53"/>
        <v>0</v>
      </c>
      <c r="J3448" s="11">
        <f>1/(H3448*Utilities!$B$11)</f>
        <v>8</v>
      </c>
      <c r="K3448" s="11">
        <f>IF(B3448&lt;C3448,1,EXP(-1*(B3448-C3448)/(Utilities!$B$11*IterData!H3448)))</f>
        <v>1</v>
      </c>
    </row>
    <row r="3449" spans="8:11" x14ac:dyDescent="0.3">
      <c r="H3449">
        <v>0.5</v>
      </c>
      <c r="I3449" s="11">
        <f t="shared" si="53"/>
        <v>0</v>
      </c>
      <c r="J3449" s="11">
        <f>1/(H3449*Utilities!$B$11)</f>
        <v>8</v>
      </c>
      <c r="K3449" s="11">
        <f>IF(B3449&lt;C3449,1,EXP(-1*(B3449-C3449)/(Utilities!$B$11*IterData!H3449)))</f>
        <v>1</v>
      </c>
    </row>
    <row r="3450" spans="8:11" x14ac:dyDescent="0.3">
      <c r="H3450">
        <v>0.5</v>
      </c>
      <c r="I3450" s="11">
        <f t="shared" si="53"/>
        <v>0</v>
      </c>
      <c r="J3450" s="11">
        <f>1/(H3450*Utilities!$B$11)</f>
        <v>8</v>
      </c>
      <c r="K3450" s="11">
        <f>IF(B3450&lt;C3450,1,EXP(-1*(B3450-C3450)/(Utilities!$B$11*IterData!H3450)))</f>
        <v>1</v>
      </c>
    </row>
    <row r="3451" spans="8:11" x14ac:dyDescent="0.3">
      <c r="H3451">
        <v>0.5</v>
      </c>
      <c r="I3451" s="11">
        <f t="shared" si="53"/>
        <v>0</v>
      </c>
      <c r="J3451" s="11">
        <f>1/(H3451*Utilities!$B$11)</f>
        <v>8</v>
      </c>
      <c r="K3451" s="11">
        <f>IF(B3451&lt;C3451,1,EXP(-1*(B3451-C3451)/(Utilities!$B$11*IterData!H3451)))</f>
        <v>1</v>
      </c>
    </row>
    <row r="3452" spans="8:11" x14ac:dyDescent="0.3">
      <c r="H3452">
        <v>0.5</v>
      </c>
      <c r="I3452" s="11">
        <f t="shared" si="53"/>
        <v>0</v>
      </c>
      <c r="J3452" s="11">
        <f>1/(H3452*Utilities!$B$11)</f>
        <v>8</v>
      </c>
      <c r="K3452" s="11">
        <f>IF(B3452&lt;C3452,1,EXP(-1*(B3452-C3452)/(Utilities!$B$11*IterData!H3452)))</f>
        <v>1</v>
      </c>
    </row>
    <row r="3453" spans="8:11" x14ac:dyDescent="0.3">
      <c r="H3453">
        <v>0.5</v>
      </c>
      <c r="I3453" s="11">
        <f t="shared" si="53"/>
        <v>0</v>
      </c>
      <c r="J3453" s="11">
        <f>1/(H3453*Utilities!$B$11)</f>
        <v>8</v>
      </c>
      <c r="K3453" s="11">
        <f>IF(B3453&lt;C3453,1,EXP(-1*(B3453-C3453)/(Utilities!$B$11*IterData!H3453)))</f>
        <v>1</v>
      </c>
    </row>
    <row r="3454" spans="8:11" x14ac:dyDescent="0.3">
      <c r="H3454">
        <v>0.5</v>
      </c>
      <c r="I3454" s="11">
        <f t="shared" si="53"/>
        <v>0</v>
      </c>
      <c r="J3454" s="11">
        <f>1/(H3454*Utilities!$B$11)</f>
        <v>8</v>
      </c>
      <c r="K3454" s="11">
        <f>IF(B3454&lt;C3454,1,EXP(-1*(B3454-C3454)/(Utilities!$B$11*IterData!H3454)))</f>
        <v>1</v>
      </c>
    </row>
    <row r="3455" spans="8:11" x14ac:dyDescent="0.3">
      <c r="H3455">
        <v>0.5</v>
      </c>
      <c r="I3455" s="11">
        <f t="shared" si="53"/>
        <v>0</v>
      </c>
      <c r="J3455" s="11">
        <f>1/(H3455*Utilities!$B$11)</f>
        <v>8</v>
      </c>
      <c r="K3455" s="11">
        <f>IF(B3455&lt;C3455,1,EXP(-1*(B3455-C3455)/(Utilities!$B$11*IterData!H3455)))</f>
        <v>1</v>
      </c>
    </row>
    <row r="3456" spans="8:11" x14ac:dyDescent="0.3">
      <c r="H3456">
        <v>0.5</v>
      </c>
      <c r="I3456" s="11">
        <f t="shared" si="53"/>
        <v>0</v>
      </c>
      <c r="J3456" s="11">
        <f>1/(H3456*Utilities!$B$11)</f>
        <v>8</v>
      </c>
      <c r="K3456" s="11">
        <f>IF(B3456&lt;C3456,1,EXP(-1*(B3456-C3456)/(Utilities!$B$11*IterData!H3456)))</f>
        <v>1</v>
      </c>
    </row>
    <row r="3457" spans="8:11" x14ac:dyDescent="0.3">
      <c r="H3457">
        <v>0.5</v>
      </c>
      <c r="I3457" s="11">
        <f t="shared" si="53"/>
        <v>0</v>
      </c>
      <c r="J3457" s="11">
        <f>1/(H3457*Utilities!$B$11)</f>
        <v>8</v>
      </c>
      <c r="K3457" s="11">
        <f>IF(B3457&lt;C3457,1,EXP(-1*(B3457-C3457)/(Utilities!$B$11*IterData!H3457)))</f>
        <v>1</v>
      </c>
    </row>
    <row r="3458" spans="8:11" x14ac:dyDescent="0.3">
      <c r="H3458">
        <v>0.5</v>
      </c>
      <c r="I3458" s="11">
        <f t="shared" si="53"/>
        <v>0</v>
      </c>
      <c r="J3458" s="11">
        <f>1/(H3458*Utilities!$B$11)</f>
        <v>8</v>
      </c>
      <c r="K3458" s="11">
        <f>IF(B3458&lt;C3458,1,EXP(-1*(B3458-C3458)/(Utilities!$B$11*IterData!H3458)))</f>
        <v>1</v>
      </c>
    </row>
    <row r="3459" spans="8:11" x14ac:dyDescent="0.3">
      <c r="H3459">
        <v>0.5</v>
      </c>
      <c r="I3459" s="11">
        <f t="shared" ref="I3459:I3522" si="54">B3459-C3459</f>
        <v>0</v>
      </c>
      <c r="J3459" s="11">
        <f>1/(H3459*Utilities!$B$11)</f>
        <v>8</v>
      </c>
      <c r="K3459" s="11">
        <f>IF(B3459&lt;C3459,1,EXP(-1*(B3459-C3459)/(Utilities!$B$11*IterData!H3459)))</f>
        <v>1</v>
      </c>
    </row>
    <row r="3460" spans="8:11" x14ac:dyDescent="0.3">
      <c r="H3460">
        <v>0.5</v>
      </c>
      <c r="I3460" s="11">
        <f t="shared" si="54"/>
        <v>0</v>
      </c>
      <c r="J3460" s="11">
        <f>1/(H3460*Utilities!$B$11)</f>
        <v>8</v>
      </c>
      <c r="K3460" s="11">
        <f>IF(B3460&lt;C3460,1,EXP(-1*(B3460-C3460)/(Utilities!$B$11*IterData!H3460)))</f>
        <v>1</v>
      </c>
    </row>
    <row r="3461" spans="8:11" x14ac:dyDescent="0.3">
      <c r="H3461">
        <v>0.5</v>
      </c>
      <c r="I3461" s="11">
        <f t="shared" si="54"/>
        <v>0</v>
      </c>
      <c r="J3461" s="11">
        <f>1/(H3461*Utilities!$B$11)</f>
        <v>8</v>
      </c>
      <c r="K3461" s="11">
        <f>IF(B3461&lt;C3461,1,EXP(-1*(B3461-C3461)/(Utilities!$B$11*IterData!H3461)))</f>
        <v>1</v>
      </c>
    </row>
    <row r="3462" spans="8:11" x14ac:dyDescent="0.3">
      <c r="H3462">
        <v>0.5</v>
      </c>
      <c r="I3462" s="11">
        <f t="shared" si="54"/>
        <v>0</v>
      </c>
      <c r="J3462" s="11">
        <f>1/(H3462*Utilities!$B$11)</f>
        <v>8</v>
      </c>
      <c r="K3462" s="11">
        <f>IF(B3462&lt;C3462,1,EXP(-1*(B3462-C3462)/(Utilities!$B$11*IterData!H3462)))</f>
        <v>1</v>
      </c>
    </row>
    <row r="3463" spans="8:11" x14ac:dyDescent="0.3">
      <c r="H3463">
        <v>0.5</v>
      </c>
      <c r="I3463" s="11">
        <f t="shared" si="54"/>
        <v>0</v>
      </c>
      <c r="J3463" s="11">
        <f>1/(H3463*Utilities!$B$11)</f>
        <v>8</v>
      </c>
      <c r="K3463" s="11">
        <f>IF(B3463&lt;C3463,1,EXP(-1*(B3463-C3463)/(Utilities!$B$11*IterData!H3463)))</f>
        <v>1</v>
      </c>
    </row>
    <row r="3464" spans="8:11" x14ac:dyDescent="0.3">
      <c r="H3464">
        <v>0.5</v>
      </c>
      <c r="I3464" s="11">
        <f t="shared" si="54"/>
        <v>0</v>
      </c>
      <c r="J3464" s="11">
        <f>1/(H3464*Utilities!$B$11)</f>
        <v>8</v>
      </c>
      <c r="K3464" s="11">
        <f>IF(B3464&lt;C3464,1,EXP(-1*(B3464-C3464)/(Utilities!$B$11*IterData!H3464)))</f>
        <v>1</v>
      </c>
    </row>
    <row r="3465" spans="8:11" x14ac:dyDescent="0.3">
      <c r="H3465">
        <v>0.5</v>
      </c>
      <c r="I3465" s="11">
        <f t="shared" si="54"/>
        <v>0</v>
      </c>
      <c r="J3465" s="11">
        <f>1/(H3465*Utilities!$B$11)</f>
        <v>8</v>
      </c>
      <c r="K3465" s="11">
        <f>IF(B3465&lt;C3465,1,EXP(-1*(B3465-C3465)/(Utilities!$B$11*IterData!H3465)))</f>
        <v>1</v>
      </c>
    </row>
    <row r="3466" spans="8:11" x14ac:dyDescent="0.3">
      <c r="H3466">
        <v>0.5</v>
      </c>
      <c r="I3466" s="11">
        <f t="shared" si="54"/>
        <v>0</v>
      </c>
      <c r="J3466" s="11">
        <f>1/(H3466*Utilities!$B$11)</f>
        <v>8</v>
      </c>
      <c r="K3466" s="11">
        <f>IF(B3466&lt;C3466,1,EXP(-1*(B3466-C3466)/(Utilities!$B$11*IterData!H3466)))</f>
        <v>1</v>
      </c>
    </row>
    <row r="3467" spans="8:11" x14ac:dyDescent="0.3">
      <c r="H3467">
        <v>0.5</v>
      </c>
      <c r="I3467" s="11">
        <f t="shared" si="54"/>
        <v>0</v>
      </c>
      <c r="J3467" s="11">
        <f>1/(H3467*Utilities!$B$11)</f>
        <v>8</v>
      </c>
      <c r="K3467" s="11">
        <f>IF(B3467&lt;C3467,1,EXP(-1*(B3467-C3467)/(Utilities!$B$11*IterData!H3467)))</f>
        <v>1</v>
      </c>
    </row>
    <row r="3468" spans="8:11" x14ac:dyDescent="0.3">
      <c r="H3468">
        <v>0.5</v>
      </c>
      <c r="I3468" s="11">
        <f t="shared" si="54"/>
        <v>0</v>
      </c>
      <c r="J3468" s="11">
        <f>1/(H3468*Utilities!$B$11)</f>
        <v>8</v>
      </c>
      <c r="K3468" s="11">
        <f>IF(B3468&lt;C3468,1,EXP(-1*(B3468-C3468)/(Utilities!$B$11*IterData!H3468)))</f>
        <v>1</v>
      </c>
    </row>
    <row r="3469" spans="8:11" x14ac:dyDescent="0.3">
      <c r="H3469">
        <v>0.5</v>
      </c>
      <c r="I3469" s="11">
        <f t="shared" si="54"/>
        <v>0</v>
      </c>
      <c r="J3469" s="11">
        <f>1/(H3469*Utilities!$B$11)</f>
        <v>8</v>
      </c>
      <c r="K3469" s="11">
        <f>IF(B3469&lt;C3469,1,EXP(-1*(B3469-C3469)/(Utilities!$B$11*IterData!H3469)))</f>
        <v>1</v>
      </c>
    </row>
    <row r="3470" spans="8:11" x14ac:dyDescent="0.3">
      <c r="H3470">
        <v>0.5</v>
      </c>
      <c r="I3470" s="11">
        <f t="shared" si="54"/>
        <v>0</v>
      </c>
      <c r="J3470" s="11">
        <f>1/(H3470*Utilities!$B$11)</f>
        <v>8</v>
      </c>
      <c r="K3470" s="11">
        <f>IF(B3470&lt;C3470,1,EXP(-1*(B3470-C3470)/(Utilities!$B$11*IterData!H3470)))</f>
        <v>1</v>
      </c>
    </row>
    <row r="3471" spans="8:11" x14ac:dyDescent="0.3">
      <c r="H3471">
        <v>0.5</v>
      </c>
      <c r="I3471" s="11">
        <f t="shared" si="54"/>
        <v>0</v>
      </c>
      <c r="J3471" s="11">
        <f>1/(H3471*Utilities!$B$11)</f>
        <v>8</v>
      </c>
      <c r="K3471" s="11">
        <f>IF(B3471&lt;C3471,1,EXP(-1*(B3471-C3471)/(Utilities!$B$11*IterData!H3471)))</f>
        <v>1</v>
      </c>
    </row>
    <row r="3472" spans="8:11" x14ac:dyDescent="0.3">
      <c r="H3472">
        <v>0.5</v>
      </c>
      <c r="I3472" s="11">
        <f t="shared" si="54"/>
        <v>0</v>
      </c>
      <c r="J3472" s="11">
        <f>1/(H3472*Utilities!$B$11)</f>
        <v>8</v>
      </c>
      <c r="K3472" s="11">
        <f>IF(B3472&lt;C3472,1,EXP(-1*(B3472-C3472)/(Utilities!$B$11*IterData!H3472)))</f>
        <v>1</v>
      </c>
    </row>
    <row r="3473" spans="8:11" x14ac:dyDescent="0.3">
      <c r="H3473">
        <v>0.5</v>
      </c>
      <c r="I3473" s="11">
        <f t="shared" si="54"/>
        <v>0</v>
      </c>
      <c r="J3473" s="11">
        <f>1/(H3473*Utilities!$B$11)</f>
        <v>8</v>
      </c>
      <c r="K3473" s="11">
        <f>IF(B3473&lt;C3473,1,EXP(-1*(B3473-C3473)/(Utilities!$B$11*IterData!H3473)))</f>
        <v>1</v>
      </c>
    </row>
    <row r="3474" spans="8:11" x14ac:dyDescent="0.3">
      <c r="H3474">
        <v>0.5</v>
      </c>
      <c r="I3474" s="11">
        <f t="shared" si="54"/>
        <v>0</v>
      </c>
      <c r="J3474" s="11">
        <f>1/(H3474*Utilities!$B$11)</f>
        <v>8</v>
      </c>
      <c r="K3474" s="11">
        <f>IF(B3474&lt;C3474,1,EXP(-1*(B3474-C3474)/(Utilities!$B$11*IterData!H3474)))</f>
        <v>1</v>
      </c>
    </row>
    <row r="3475" spans="8:11" x14ac:dyDescent="0.3">
      <c r="H3475">
        <v>0.5</v>
      </c>
      <c r="I3475" s="11">
        <f t="shared" si="54"/>
        <v>0</v>
      </c>
      <c r="J3475" s="11">
        <f>1/(H3475*Utilities!$B$11)</f>
        <v>8</v>
      </c>
      <c r="K3475" s="11">
        <f>IF(B3475&lt;C3475,1,EXP(-1*(B3475-C3475)/(Utilities!$B$11*IterData!H3475)))</f>
        <v>1</v>
      </c>
    </row>
    <row r="3476" spans="8:11" x14ac:dyDescent="0.3">
      <c r="H3476">
        <v>0.5</v>
      </c>
      <c r="I3476" s="11">
        <f t="shared" si="54"/>
        <v>0</v>
      </c>
      <c r="J3476" s="11">
        <f>1/(H3476*Utilities!$B$11)</f>
        <v>8</v>
      </c>
      <c r="K3476" s="11">
        <f>IF(B3476&lt;C3476,1,EXP(-1*(B3476-C3476)/(Utilities!$B$11*IterData!H3476)))</f>
        <v>1</v>
      </c>
    </row>
    <row r="3477" spans="8:11" x14ac:dyDescent="0.3">
      <c r="H3477">
        <v>0.5</v>
      </c>
      <c r="I3477" s="11">
        <f t="shared" si="54"/>
        <v>0</v>
      </c>
      <c r="J3477" s="11">
        <f>1/(H3477*Utilities!$B$11)</f>
        <v>8</v>
      </c>
      <c r="K3477" s="11">
        <f>IF(B3477&lt;C3477,1,EXP(-1*(B3477-C3477)/(Utilities!$B$11*IterData!H3477)))</f>
        <v>1</v>
      </c>
    </row>
    <row r="3478" spans="8:11" x14ac:dyDescent="0.3">
      <c r="H3478">
        <v>0.5</v>
      </c>
      <c r="I3478" s="11">
        <f t="shared" si="54"/>
        <v>0</v>
      </c>
      <c r="J3478" s="11">
        <f>1/(H3478*Utilities!$B$11)</f>
        <v>8</v>
      </c>
      <c r="K3478" s="11">
        <f>IF(B3478&lt;C3478,1,EXP(-1*(B3478-C3478)/(Utilities!$B$11*IterData!H3478)))</f>
        <v>1</v>
      </c>
    </row>
    <row r="3479" spans="8:11" x14ac:dyDescent="0.3">
      <c r="H3479">
        <v>0.5</v>
      </c>
      <c r="I3479" s="11">
        <f t="shared" si="54"/>
        <v>0</v>
      </c>
      <c r="J3479" s="11">
        <f>1/(H3479*Utilities!$B$11)</f>
        <v>8</v>
      </c>
      <c r="K3479" s="11">
        <f>IF(B3479&lt;C3479,1,EXP(-1*(B3479-C3479)/(Utilities!$B$11*IterData!H3479)))</f>
        <v>1</v>
      </c>
    </row>
    <row r="3480" spans="8:11" x14ac:dyDescent="0.3">
      <c r="H3480">
        <v>0.5</v>
      </c>
      <c r="I3480" s="11">
        <f t="shared" si="54"/>
        <v>0</v>
      </c>
      <c r="J3480" s="11">
        <f>1/(H3480*Utilities!$B$11)</f>
        <v>8</v>
      </c>
      <c r="K3480" s="11">
        <f>IF(B3480&lt;C3480,1,EXP(-1*(B3480-C3480)/(Utilities!$B$11*IterData!H3480)))</f>
        <v>1</v>
      </c>
    </row>
    <row r="3481" spans="8:11" x14ac:dyDescent="0.3">
      <c r="H3481">
        <v>0.5</v>
      </c>
      <c r="I3481" s="11">
        <f t="shared" si="54"/>
        <v>0</v>
      </c>
      <c r="J3481" s="11">
        <f>1/(H3481*Utilities!$B$11)</f>
        <v>8</v>
      </c>
      <c r="K3481" s="11">
        <f>IF(B3481&lt;C3481,1,EXP(-1*(B3481-C3481)/(Utilities!$B$11*IterData!H3481)))</f>
        <v>1</v>
      </c>
    </row>
    <row r="3482" spans="8:11" x14ac:dyDescent="0.3">
      <c r="H3482">
        <v>0.5</v>
      </c>
      <c r="I3482" s="11">
        <f t="shared" si="54"/>
        <v>0</v>
      </c>
      <c r="J3482" s="11">
        <f>1/(H3482*Utilities!$B$11)</f>
        <v>8</v>
      </c>
      <c r="K3482" s="11">
        <f>IF(B3482&lt;C3482,1,EXP(-1*(B3482-C3482)/(Utilities!$B$11*IterData!H3482)))</f>
        <v>1</v>
      </c>
    </row>
    <row r="3483" spans="8:11" x14ac:dyDescent="0.3">
      <c r="H3483">
        <v>0.5</v>
      </c>
      <c r="I3483" s="11">
        <f t="shared" si="54"/>
        <v>0</v>
      </c>
      <c r="J3483" s="11">
        <f>1/(H3483*Utilities!$B$11)</f>
        <v>8</v>
      </c>
      <c r="K3483" s="11">
        <f>IF(B3483&lt;C3483,1,EXP(-1*(B3483-C3483)/(Utilities!$B$11*IterData!H3483)))</f>
        <v>1</v>
      </c>
    </row>
    <row r="3484" spans="8:11" x14ac:dyDescent="0.3">
      <c r="H3484">
        <v>0.5</v>
      </c>
      <c r="I3484" s="11">
        <f t="shared" si="54"/>
        <v>0</v>
      </c>
      <c r="J3484" s="11">
        <f>1/(H3484*Utilities!$B$11)</f>
        <v>8</v>
      </c>
      <c r="K3484" s="11">
        <f>IF(B3484&lt;C3484,1,EXP(-1*(B3484-C3484)/(Utilities!$B$11*IterData!H3484)))</f>
        <v>1</v>
      </c>
    </row>
    <row r="3485" spans="8:11" x14ac:dyDescent="0.3">
      <c r="H3485">
        <v>0.5</v>
      </c>
      <c r="I3485" s="11">
        <f t="shared" si="54"/>
        <v>0</v>
      </c>
      <c r="J3485" s="11">
        <f>1/(H3485*Utilities!$B$11)</f>
        <v>8</v>
      </c>
      <c r="K3485" s="11">
        <f>IF(B3485&lt;C3485,1,EXP(-1*(B3485-C3485)/(Utilities!$B$11*IterData!H3485)))</f>
        <v>1</v>
      </c>
    </row>
    <row r="3486" spans="8:11" x14ac:dyDescent="0.3">
      <c r="H3486">
        <v>0.5</v>
      </c>
      <c r="I3486" s="11">
        <f t="shared" si="54"/>
        <v>0</v>
      </c>
      <c r="J3486" s="11">
        <f>1/(H3486*Utilities!$B$11)</f>
        <v>8</v>
      </c>
      <c r="K3486" s="11">
        <f>IF(B3486&lt;C3486,1,EXP(-1*(B3486-C3486)/(Utilities!$B$11*IterData!H3486)))</f>
        <v>1</v>
      </c>
    </row>
    <row r="3487" spans="8:11" x14ac:dyDescent="0.3">
      <c r="H3487">
        <v>0.5</v>
      </c>
      <c r="I3487" s="11">
        <f t="shared" si="54"/>
        <v>0</v>
      </c>
      <c r="J3487" s="11">
        <f>1/(H3487*Utilities!$B$11)</f>
        <v>8</v>
      </c>
      <c r="K3487" s="11">
        <f>IF(B3487&lt;C3487,1,EXP(-1*(B3487-C3487)/(Utilities!$B$11*IterData!H3487)))</f>
        <v>1</v>
      </c>
    </row>
    <row r="3488" spans="8:11" x14ac:dyDescent="0.3">
      <c r="H3488">
        <v>0.5</v>
      </c>
      <c r="I3488" s="11">
        <f t="shared" si="54"/>
        <v>0</v>
      </c>
      <c r="J3488" s="11">
        <f>1/(H3488*Utilities!$B$11)</f>
        <v>8</v>
      </c>
      <c r="K3488" s="11">
        <f>IF(B3488&lt;C3488,1,EXP(-1*(B3488-C3488)/(Utilities!$B$11*IterData!H3488)))</f>
        <v>1</v>
      </c>
    </row>
    <row r="3489" spans="8:11" x14ac:dyDescent="0.3">
      <c r="H3489">
        <v>0.5</v>
      </c>
      <c r="I3489" s="11">
        <f t="shared" si="54"/>
        <v>0</v>
      </c>
      <c r="J3489" s="11">
        <f>1/(H3489*Utilities!$B$11)</f>
        <v>8</v>
      </c>
      <c r="K3489" s="11">
        <f>IF(B3489&lt;C3489,1,EXP(-1*(B3489-C3489)/(Utilities!$B$11*IterData!H3489)))</f>
        <v>1</v>
      </c>
    </row>
    <row r="3490" spans="8:11" x14ac:dyDescent="0.3">
      <c r="H3490">
        <v>0.5</v>
      </c>
      <c r="I3490" s="11">
        <f t="shared" si="54"/>
        <v>0</v>
      </c>
      <c r="J3490" s="11">
        <f>1/(H3490*Utilities!$B$11)</f>
        <v>8</v>
      </c>
      <c r="K3490" s="11">
        <f>IF(B3490&lt;C3490,1,EXP(-1*(B3490-C3490)/(Utilities!$B$11*IterData!H3490)))</f>
        <v>1</v>
      </c>
    </row>
    <row r="3491" spans="8:11" x14ac:dyDescent="0.3">
      <c r="H3491">
        <v>0.5</v>
      </c>
      <c r="I3491" s="11">
        <f t="shared" si="54"/>
        <v>0</v>
      </c>
      <c r="J3491" s="11">
        <f>1/(H3491*Utilities!$B$11)</f>
        <v>8</v>
      </c>
      <c r="K3491" s="11">
        <f>IF(B3491&lt;C3491,1,EXP(-1*(B3491-C3491)/(Utilities!$B$11*IterData!H3491)))</f>
        <v>1</v>
      </c>
    </row>
    <row r="3492" spans="8:11" x14ac:dyDescent="0.3">
      <c r="H3492">
        <v>0.5</v>
      </c>
      <c r="I3492" s="11">
        <f t="shared" si="54"/>
        <v>0</v>
      </c>
      <c r="J3492" s="11">
        <f>1/(H3492*Utilities!$B$11)</f>
        <v>8</v>
      </c>
      <c r="K3492" s="11">
        <f>IF(B3492&lt;C3492,1,EXP(-1*(B3492-C3492)/(Utilities!$B$11*IterData!H3492)))</f>
        <v>1</v>
      </c>
    </row>
    <row r="3493" spans="8:11" x14ac:dyDescent="0.3">
      <c r="H3493">
        <v>0.5</v>
      </c>
      <c r="I3493" s="11">
        <f t="shared" si="54"/>
        <v>0</v>
      </c>
      <c r="J3493" s="11">
        <f>1/(H3493*Utilities!$B$11)</f>
        <v>8</v>
      </c>
      <c r="K3493" s="11">
        <f>IF(B3493&lt;C3493,1,EXP(-1*(B3493-C3493)/(Utilities!$B$11*IterData!H3493)))</f>
        <v>1</v>
      </c>
    </row>
    <row r="3494" spans="8:11" x14ac:dyDescent="0.3">
      <c r="H3494">
        <v>0.5</v>
      </c>
      <c r="I3494" s="11">
        <f t="shared" si="54"/>
        <v>0</v>
      </c>
      <c r="J3494" s="11">
        <f>1/(H3494*Utilities!$B$11)</f>
        <v>8</v>
      </c>
      <c r="K3494" s="11">
        <f>IF(B3494&lt;C3494,1,EXP(-1*(B3494-C3494)/(Utilities!$B$11*IterData!H3494)))</f>
        <v>1</v>
      </c>
    </row>
    <row r="3495" spans="8:11" x14ac:dyDescent="0.3">
      <c r="H3495">
        <v>0.5</v>
      </c>
      <c r="I3495" s="11">
        <f t="shared" si="54"/>
        <v>0</v>
      </c>
      <c r="J3495" s="11">
        <f>1/(H3495*Utilities!$B$11)</f>
        <v>8</v>
      </c>
      <c r="K3495" s="11">
        <f>IF(B3495&lt;C3495,1,EXP(-1*(B3495-C3495)/(Utilities!$B$11*IterData!H3495)))</f>
        <v>1</v>
      </c>
    </row>
    <row r="3496" spans="8:11" x14ac:dyDescent="0.3">
      <c r="H3496">
        <v>0.5</v>
      </c>
      <c r="I3496" s="11">
        <f t="shared" si="54"/>
        <v>0</v>
      </c>
      <c r="J3496" s="11">
        <f>1/(H3496*Utilities!$B$11)</f>
        <v>8</v>
      </c>
      <c r="K3496" s="11">
        <f>IF(B3496&lt;C3496,1,EXP(-1*(B3496-C3496)/(Utilities!$B$11*IterData!H3496)))</f>
        <v>1</v>
      </c>
    </row>
    <row r="3497" spans="8:11" x14ac:dyDescent="0.3">
      <c r="H3497">
        <v>0.5</v>
      </c>
      <c r="I3497" s="11">
        <f t="shared" si="54"/>
        <v>0</v>
      </c>
      <c r="J3497" s="11">
        <f>1/(H3497*Utilities!$B$11)</f>
        <v>8</v>
      </c>
      <c r="K3497" s="11">
        <f>IF(B3497&lt;C3497,1,EXP(-1*(B3497-C3497)/(Utilities!$B$11*IterData!H3497)))</f>
        <v>1</v>
      </c>
    </row>
    <row r="3498" spans="8:11" x14ac:dyDescent="0.3">
      <c r="H3498">
        <v>0.5</v>
      </c>
      <c r="I3498" s="11">
        <f t="shared" si="54"/>
        <v>0</v>
      </c>
      <c r="J3498" s="11">
        <f>1/(H3498*Utilities!$B$11)</f>
        <v>8</v>
      </c>
      <c r="K3498" s="11">
        <f>IF(B3498&lt;C3498,1,EXP(-1*(B3498-C3498)/(Utilities!$B$11*IterData!H3498)))</f>
        <v>1</v>
      </c>
    </row>
    <row r="3499" spans="8:11" x14ac:dyDescent="0.3">
      <c r="H3499">
        <v>0.5</v>
      </c>
      <c r="I3499" s="11">
        <f t="shared" si="54"/>
        <v>0</v>
      </c>
      <c r="J3499" s="11">
        <f>1/(H3499*Utilities!$B$11)</f>
        <v>8</v>
      </c>
      <c r="K3499" s="11">
        <f>IF(B3499&lt;C3499,1,EXP(-1*(B3499-C3499)/(Utilities!$B$11*IterData!H3499)))</f>
        <v>1</v>
      </c>
    </row>
    <row r="3500" spans="8:11" x14ac:dyDescent="0.3">
      <c r="H3500">
        <v>0.5</v>
      </c>
      <c r="I3500" s="11">
        <f t="shared" si="54"/>
        <v>0</v>
      </c>
      <c r="J3500" s="11">
        <f>1/(H3500*Utilities!$B$11)</f>
        <v>8</v>
      </c>
      <c r="K3500" s="11">
        <f>IF(B3500&lt;C3500,1,EXP(-1*(B3500-C3500)/(Utilities!$B$11*IterData!H3500)))</f>
        <v>1</v>
      </c>
    </row>
    <row r="3501" spans="8:11" x14ac:dyDescent="0.3">
      <c r="H3501">
        <v>0.5</v>
      </c>
      <c r="I3501" s="11">
        <f t="shared" si="54"/>
        <v>0</v>
      </c>
      <c r="J3501" s="11">
        <f>1/(H3501*Utilities!$B$11)</f>
        <v>8</v>
      </c>
      <c r="K3501" s="11">
        <f>IF(B3501&lt;C3501,1,EXP(-1*(B3501-C3501)/(Utilities!$B$11*IterData!H3501)))</f>
        <v>1</v>
      </c>
    </row>
    <row r="3502" spans="8:11" x14ac:dyDescent="0.3">
      <c r="H3502">
        <v>0.5</v>
      </c>
      <c r="I3502" s="11">
        <f t="shared" si="54"/>
        <v>0</v>
      </c>
      <c r="J3502" s="11">
        <f>1/(H3502*Utilities!$B$11)</f>
        <v>8</v>
      </c>
      <c r="K3502" s="11">
        <f>IF(B3502&lt;C3502,1,EXP(-1*(B3502-C3502)/(Utilities!$B$11*IterData!H3502)))</f>
        <v>1</v>
      </c>
    </row>
    <row r="3503" spans="8:11" x14ac:dyDescent="0.3">
      <c r="H3503">
        <v>0.5</v>
      </c>
      <c r="I3503" s="11">
        <f t="shared" si="54"/>
        <v>0</v>
      </c>
      <c r="J3503" s="11">
        <f>1/(H3503*Utilities!$B$11)</f>
        <v>8</v>
      </c>
      <c r="K3503" s="11">
        <f>IF(B3503&lt;C3503,1,EXP(-1*(B3503-C3503)/(Utilities!$B$11*IterData!H3503)))</f>
        <v>1</v>
      </c>
    </row>
    <row r="3504" spans="8:11" x14ac:dyDescent="0.3">
      <c r="H3504">
        <v>0.5</v>
      </c>
      <c r="I3504" s="11">
        <f t="shared" si="54"/>
        <v>0</v>
      </c>
      <c r="J3504" s="11">
        <f>1/(H3504*Utilities!$B$11)</f>
        <v>8</v>
      </c>
      <c r="K3504" s="11">
        <f>IF(B3504&lt;C3504,1,EXP(-1*(B3504-C3504)/(Utilities!$B$11*IterData!H3504)))</f>
        <v>1</v>
      </c>
    </row>
    <row r="3505" spans="8:11" x14ac:dyDescent="0.3">
      <c r="H3505">
        <v>0.5</v>
      </c>
      <c r="I3505" s="11">
        <f t="shared" si="54"/>
        <v>0</v>
      </c>
      <c r="J3505" s="11">
        <f>1/(H3505*Utilities!$B$11)</f>
        <v>8</v>
      </c>
      <c r="K3505" s="11">
        <f>IF(B3505&lt;C3505,1,EXP(-1*(B3505-C3505)/(Utilities!$B$11*IterData!H3505)))</f>
        <v>1</v>
      </c>
    </row>
    <row r="3506" spans="8:11" x14ac:dyDescent="0.3">
      <c r="H3506">
        <v>0.5</v>
      </c>
      <c r="I3506" s="11">
        <f t="shared" si="54"/>
        <v>0</v>
      </c>
      <c r="J3506" s="11">
        <f>1/(H3506*Utilities!$B$11)</f>
        <v>8</v>
      </c>
      <c r="K3506" s="11">
        <f>IF(B3506&lt;C3506,1,EXP(-1*(B3506-C3506)/(Utilities!$B$11*IterData!H3506)))</f>
        <v>1</v>
      </c>
    </row>
    <row r="3507" spans="8:11" x14ac:dyDescent="0.3">
      <c r="H3507">
        <v>0.5</v>
      </c>
      <c r="I3507" s="11">
        <f t="shared" si="54"/>
        <v>0</v>
      </c>
      <c r="J3507" s="11">
        <f>1/(H3507*Utilities!$B$11)</f>
        <v>8</v>
      </c>
      <c r="K3507" s="11">
        <f>IF(B3507&lt;C3507,1,EXP(-1*(B3507-C3507)/(Utilities!$B$11*IterData!H3507)))</f>
        <v>1</v>
      </c>
    </row>
    <row r="3508" spans="8:11" x14ac:dyDescent="0.3">
      <c r="H3508">
        <v>0.5</v>
      </c>
      <c r="I3508" s="11">
        <f t="shared" si="54"/>
        <v>0</v>
      </c>
      <c r="J3508" s="11">
        <f>1/(H3508*Utilities!$B$11)</f>
        <v>8</v>
      </c>
      <c r="K3508" s="11">
        <f>IF(B3508&lt;C3508,1,EXP(-1*(B3508-C3508)/(Utilities!$B$11*IterData!H3508)))</f>
        <v>1</v>
      </c>
    </row>
    <row r="3509" spans="8:11" x14ac:dyDescent="0.3">
      <c r="H3509">
        <v>0.5</v>
      </c>
      <c r="I3509" s="11">
        <f t="shared" si="54"/>
        <v>0</v>
      </c>
      <c r="J3509" s="11">
        <f>1/(H3509*Utilities!$B$11)</f>
        <v>8</v>
      </c>
      <c r="K3509" s="11">
        <f>IF(B3509&lt;C3509,1,EXP(-1*(B3509-C3509)/(Utilities!$B$11*IterData!H3509)))</f>
        <v>1</v>
      </c>
    </row>
    <row r="3510" spans="8:11" x14ac:dyDescent="0.3">
      <c r="H3510">
        <v>0.5</v>
      </c>
      <c r="I3510" s="11">
        <f t="shared" si="54"/>
        <v>0</v>
      </c>
      <c r="J3510" s="11">
        <f>1/(H3510*Utilities!$B$11)</f>
        <v>8</v>
      </c>
      <c r="K3510" s="11">
        <f>IF(B3510&lt;C3510,1,EXP(-1*(B3510-C3510)/(Utilities!$B$11*IterData!H3510)))</f>
        <v>1</v>
      </c>
    </row>
    <row r="3511" spans="8:11" x14ac:dyDescent="0.3">
      <c r="H3511">
        <v>0.5</v>
      </c>
      <c r="I3511" s="11">
        <f t="shared" si="54"/>
        <v>0</v>
      </c>
      <c r="J3511" s="11">
        <f>1/(H3511*Utilities!$B$11)</f>
        <v>8</v>
      </c>
      <c r="K3511" s="11">
        <f>IF(B3511&lt;C3511,1,EXP(-1*(B3511-C3511)/(Utilities!$B$11*IterData!H3511)))</f>
        <v>1</v>
      </c>
    </row>
    <row r="3512" spans="8:11" x14ac:dyDescent="0.3">
      <c r="H3512">
        <v>0.5</v>
      </c>
      <c r="I3512" s="11">
        <f t="shared" si="54"/>
        <v>0</v>
      </c>
      <c r="J3512" s="11">
        <f>1/(H3512*Utilities!$B$11)</f>
        <v>8</v>
      </c>
      <c r="K3512" s="11">
        <f>IF(B3512&lt;C3512,1,EXP(-1*(B3512-C3512)/(Utilities!$B$11*IterData!H3512)))</f>
        <v>1</v>
      </c>
    </row>
    <row r="3513" spans="8:11" x14ac:dyDescent="0.3">
      <c r="H3513">
        <v>0.5</v>
      </c>
      <c r="I3513" s="11">
        <f t="shared" si="54"/>
        <v>0</v>
      </c>
      <c r="J3513" s="11">
        <f>1/(H3513*Utilities!$B$11)</f>
        <v>8</v>
      </c>
      <c r="K3513" s="11">
        <f>IF(B3513&lt;C3513,1,EXP(-1*(B3513-C3513)/(Utilities!$B$11*IterData!H3513)))</f>
        <v>1</v>
      </c>
    </row>
    <row r="3514" spans="8:11" x14ac:dyDescent="0.3">
      <c r="H3514">
        <v>0.5</v>
      </c>
      <c r="I3514" s="11">
        <f t="shared" si="54"/>
        <v>0</v>
      </c>
      <c r="J3514" s="11">
        <f>1/(H3514*Utilities!$B$11)</f>
        <v>8</v>
      </c>
      <c r="K3514" s="11">
        <f>IF(B3514&lt;C3514,1,EXP(-1*(B3514-C3514)/(Utilities!$B$11*IterData!H3514)))</f>
        <v>1</v>
      </c>
    </row>
    <row r="3515" spans="8:11" x14ac:dyDescent="0.3">
      <c r="H3515">
        <v>0.5</v>
      </c>
      <c r="I3515" s="11">
        <f t="shared" si="54"/>
        <v>0</v>
      </c>
      <c r="J3515" s="11">
        <f>1/(H3515*Utilities!$B$11)</f>
        <v>8</v>
      </c>
      <c r="K3515" s="11">
        <f>IF(B3515&lt;C3515,1,EXP(-1*(B3515-C3515)/(Utilities!$B$11*IterData!H3515)))</f>
        <v>1</v>
      </c>
    </row>
    <row r="3516" spans="8:11" x14ac:dyDescent="0.3">
      <c r="H3516">
        <v>0.5</v>
      </c>
      <c r="I3516" s="11">
        <f t="shared" si="54"/>
        <v>0</v>
      </c>
      <c r="J3516" s="11">
        <f>1/(H3516*Utilities!$B$11)</f>
        <v>8</v>
      </c>
      <c r="K3516" s="11">
        <f>IF(B3516&lt;C3516,1,EXP(-1*(B3516-C3516)/(Utilities!$B$11*IterData!H3516)))</f>
        <v>1</v>
      </c>
    </row>
    <row r="3517" spans="8:11" x14ac:dyDescent="0.3">
      <c r="H3517">
        <v>0.5</v>
      </c>
      <c r="I3517" s="11">
        <f t="shared" si="54"/>
        <v>0</v>
      </c>
      <c r="J3517" s="11">
        <f>1/(H3517*Utilities!$B$11)</f>
        <v>8</v>
      </c>
      <c r="K3517" s="11">
        <f>IF(B3517&lt;C3517,1,EXP(-1*(B3517-C3517)/(Utilities!$B$11*IterData!H3517)))</f>
        <v>1</v>
      </c>
    </row>
    <row r="3518" spans="8:11" x14ac:dyDescent="0.3">
      <c r="H3518">
        <v>0.5</v>
      </c>
      <c r="I3518" s="11">
        <f t="shared" si="54"/>
        <v>0</v>
      </c>
      <c r="J3518" s="11">
        <f>1/(H3518*Utilities!$B$11)</f>
        <v>8</v>
      </c>
      <c r="K3518" s="11">
        <f>IF(B3518&lt;C3518,1,EXP(-1*(B3518-C3518)/(Utilities!$B$11*IterData!H3518)))</f>
        <v>1</v>
      </c>
    </row>
    <row r="3519" spans="8:11" x14ac:dyDescent="0.3">
      <c r="H3519">
        <v>0.5</v>
      </c>
      <c r="I3519" s="11">
        <f t="shared" si="54"/>
        <v>0</v>
      </c>
      <c r="J3519" s="11">
        <f>1/(H3519*Utilities!$B$11)</f>
        <v>8</v>
      </c>
      <c r="K3519" s="11">
        <f>IF(B3519&lt;C3519,1,EXP(-1*(B3519-C3519)/(Utilities!$B$11*IterData!H3519)))</f>
        <v>1</v>
      </c>
    </row>
    <row r="3520" spans="8:11" x14ac:dyDescent="0.3">
      <c r="H3520">
        <v>0.5</v>
      </c>
      <c r="I3520" s="11">
        <f t="shared" si="54"/>
        <v>0</v>
      </c>
      <c r="J3520" s="11">
        <f>1/(H3520*Utilities!$B$11)</f>
        <v>8</v>
      </c>
      <c r="K3520" s="11">
        <f>IF(B3520&lt;C3520,1,EXP(-1*(B3520-C3520)/(Utilities!$B$11*IterData!H3520)))</f>
        <v>1</v>
      </c>
    </row>
    <row r="3521" spans="8:11" x14ac:dyDescent="0.3">
      <c r="H3521">
        <v>0.5</v>
      </c>
      <c r="I3521" s="11">
        <f t="shared" si="54"/>
        <v>0</v>
      </c>
      <c r="J3521" s="11">
        <f>1/(H3521*Utilities!$B$11)</f>
        <v>8</v>
      </c>
      <c r="K3521" s="11">
        <f>IF(B3521&lt;C3521,1,EXP(-1*(B3521-C3521)/(Utilities!$B$11*IterData!H3521)))</f>
        <v>1</v>
      </c>
    </row>
    <row r="3522" spans="8:11" x14ac:dyDescent="0.3">
      <c r="H3522">
        <v>0.5</v>
      </c>
      <c r="I3522" s="11">
        <f t="shared" si="54"/>
        <v>0</v>
      </c>
      <c r="J3522" s="11">
        <f>1/(H3522*Utilities!$B$11)</f>
        <v>8</v>
      </c>
      <c r="K3522" s="11">
        <f>IF(B3522&lt;C3522,1,EXP(-1*(B3522-C3522)/(Utilities!$B$11*IterData!H3522)))</f>
        <v>1</v>
      </c>
    </row>
    <row r="3523" spans="8:11" x14ac:dyDescent="0.3">
      <c r="H3523">
        <v>0.5</v>
      </c>
      <c r="I3523" s="11">
        <f t="shared" ref="I3523:I3586" si="55">B3523-C3523</f>
        <v>0</v>
      </c>
      <c r="J3523" s="11">
        <f>1/(H3523*Utilities!$B$11)</f>
        <v>8</v>
      </c>
      <c r="K3523" s="11">
        <f>IF(B3523&lt;C3523,1,EXP(-1*(B3523-C3523)/(Utilities!$B$11*IterData!H3523)))</f>
        <v>1</v>
      </c>
    </row>
    <row r="3524" spans="8:11" x14ac:dyDescent="0.3">
      <c r="H3524">
        <v>0.5</v>
      </c>
      <c r="I3524" s="11">
        <f t="shared" si="55"/>
        <v>0</v>
      </c>
      <c r="J3524" s="11">
        <f>1/(H3524*Utilities!$B$11)</f>
        <v>8</v>
      </c>
      <c r="K3524" s="11">
        <f>IF(B3524&lt;C3524,1,EXP(-1*(B3524-C3524)/(Utilities!$B$11*IterData!H3524)))</f>
        <v>1</v>
      </c>
    </row>
    <row r="3525" spans="8:11" x14ac:dyDescent="0.3">
      <c r="H3525">
        <v>0.5</v>
      </c>
      <c r="I3525" s="11">
        <f t="shared" si="55"/>
        <v>0</v>
      </c>
      <c r="J3525" s="11">
        <f>1/(H3525*Utilities!$B$11)</f>
        <v>8</v>
      </c>
      <c r="K3525" s="11">
        <f>IF(B3525&lt;C3525,1,EXP(-1*(B3525-C3525)/(Utilities!$B$11*IterData!H3525)))</f>
        <v>1</v>
      </c>
    </row>
    <row r="3526" spans="8:11" x14ac:dyDescent="0.3">
      <c r="H3526">
        <v>0.5</v>
      </c>
      <c r="I3526" s="11">
        <f t="shared" si="55"/>
        <v>0</v>
      </c>
      <c r="J3526" s="11">
        <f>1/(H3526*Utilities!$B$11)</f>
        <v>8</v>
      </c>
      <c r="K3526" s="11">
        <f>IF(B3526&lt;C3526,1,EXP(-1*(B3526-C3526)/(Utilities!$B$11*IterData!H3526)))</f>
        <v>1</v>
      </c>
    </row>
    <row r="3527" spans="8:11" x14ac:dyDescent="0.3">
      <c r="H3527">
        <v>0.5</v>
      </c>
      <c r="I3527" s="11">
        <f t="shared" si="55"/>
        <v>0</v>
      </c>
      <c r="J3527" s="11">
        <f>1/(H3527*Utilities!$B$11)</f>
        <v>8</v>
      </c>
      <c r="K3527" s="11">
        <f>IF(B3527&lt;C3527,1,EXP(-1*(B3527-C3527)/(Utilities!$B$11*IterData!H3527)))</f>
        <v>1</v>
      </c>
    </row>
    <row r="3528" spans="8:11" x14ac:dyDescent="0.3">
      <c r="H3528">
        <v>0.5</v>
      </c>
      <c r="I3528" s="11">
        <f t="shared" si="55"/>
        <v>0</v>
      </c>
      <c r="J3528" s="11">
        <f>1/(H3528*Utilities!$B$11)</f>
        <v>8</v>
      </c>
      <c r="K3528" s="11">
        <f>IF(B3528&lt;C3528,1,EXP(-1*(B3528-C3528)/(Utilities!$B$11*IterData!H3528)))</f>
        <v>1</v>
      </c>
    </row>
    <row r="3529" spans="8:11" x14ac:dyDescent="0.3">
      <c r="H3529">
        <v>0.5</v>
      </c>
      <c r="I3529" s="11">
        <f t="shared" si="55"/>
        <v>0</v>
      </c>
      <c r="J3529" s="11">
        <f>1/(H3529*Utilities!$B$11)</f>
        <v>8</v>
      </c>
      <c r="K3529" s="11">
        <f>IF(B3529&lt;C3529,1,EXP(-1*(B3529-C3529)/(Utilities!$B$11*IterData!H3529)))</f>
        <v>1</v>
      </c>
    </row>
    <row r="3530" spans="8:11" x14ac:dyDescent="0.3">
      <c r="H3530">
        <v>0.5</v>
      </c>
      <c r="I3530" s="11">
        <f t="shared" si="55"/>
        <v>0</v>
      </c>
      <c r="J3530" s="11">
        <f>1/(H3530*Utilities!$B$11)</f>
        <v>8</v>
      </c>
      <c r="K3530" s="11">
        <f>IF(B3530&lt;C3530,1,EXP(-1*(B3530-C3530)/(Utilities!$B$11*IterData!H3530)))</f>
        <v>1</v>
      </c>
    </row>
    <row r="3531" spans="8:11" x14ac:dyDescent="0.3">
      <c r="H3531">
        <v>0.5</v>
      </c>
      <c r="I3531" s="11">
        <f t="shared" si="55"/>
        <v>0</v>
      </c>
      <c r="J3531" s="11">
        <f>1/(H3531*Utilities!$B$11)</f>
        <v>8</v>
      </c>
      <c r="K3531" s="11">
        <f>IF(B3531&lt;C3531,1,EXP(-1*(B3531-C3531)/(Utilities!$B$11*IterData!H3531)))</f>
        <v>1</v>
      </c>
    </row>
    <row r="3532" spans="8:11" x14ac:dyDescent="0.3">
      <c r="H3532">
        <v>0.5</v>
      </c>
      <c r="I3532" s="11">
        <f t="shared" si="55"/>
        <v>0</v>
      </c>
      <c r="J3532" s="11">
        <f>1/(H3532*Utilities!$B$11)</f>
        <v>8</v>
      </c>
      <c r="K3532" s="11">
        <f>IF(B3532&lt;C3532,1,EXP(-1*(B3532-C3532)/(Utilities!$B$11*IterData!H3532)))</f>
        <v>1</v>
      </c>
    </row>
    <row r="3533" spans="8:11" x14ac:dyDescent="0.3">
      <c r="H3533">
        <v>0.5</v>
      </c>
      <c r="I3533" s="11">
        <f t="shared" si="55"/>
        <v>0</v>
      </c>
      <c r="J3533" s="11">
        <f>1/(H3533*Utilities!$B$11)</f>
        <v>8</v>
      </c>
      <c r="K3533" s="11">
        <f>IF(B3533&lt;C3533,1,EXP(-1*(B3533-C3533)/(Utilities!$B$11*IterData!H3533)))</f>
        <v>1</v>
      </c>
    </row>
    <row r="3534" spans="8:11" x14ac:dyDescent="0.3">
      <c r="H3534">
        <v>0.5</v>
      </c>
      <c r="I3534" s="11">
        <f t="shared" si="55"/>
        <v>0</v>
      </c>
      <c r="J3534" s="11">
        <f>1/(H3534*Utilities!$B$11)</f>
        <v>8</v>
      </c>
      <c r="K3534" s="11">
        <f>IF(B3534&lt;C3534,1,EXP(-1*(B3534-C3534)/(Utilities!$B$11*IterData!H3534)))</f>
        <v>1</v>
      </c>
    </row>
    <row r="3535" spans="8:11" x14ac:dyDescent="0.3">
      <c r="H3535">
        <v>0.5</v>
      </c>
      <c r="I3535" s="11">
        <f t="shared" si="55"/>
        <v>0</v>
      </c>
      <c r="J3535" s="11">
        <f>1/(H3535*Utilities!$B$11)</f>
        <v>8</v>
      </c>
      <c r="K3535" s="11">
        <f>IF(B3535&lt;C3535,1,EXP(-1*(B3535-C3535)/(Utilities!$B$11*IterData!H3535)))</f>
        <v>1</v>
      </c>
    </row>
    <row r="3536" spans="8:11" x14ac:dyDescent="0.3">
      <c r="H3536">
        <v>0.5</v>
      </c>
      <c r="I3536" s="11">
        <f t="shared" si="55"/>
        <v>0</v>
      </c>
      <c r="J3536" s="11">
        <f>1/(H3536*Utilities!$B$11)</f>
        <v>8</v>
      </c>
      <c r="K3536" s="11">
        <f>IF(B3536&lt;C3536,1,EXP(-1*(B3536-C3536)/(Utilities!$B$11*IterData!H3536)))</f>
        <v>1</v>
      </c>
    </row>
    <row r="3537" spans="8:11" x14ac:dyDescent="0.3">
      <c r="H3537">
        <v>0.5</v>
      </c>
      <c r="I3537" s="11">
        <f t="shared" si="55"/>
        <v>0</v>
      </c>
      <c r="J3537" s="11">
        <f>1/(H3537*Utilities!$B$11)</f>
        <v>8</v>
      </c>
      <c r="K3537" s="11">
        <f>IF(B3537&lt;C3537,1,EXP(-1*(B3537-C3537)/(Utilities!$B$11*IterData!H3537)))</f>
        <v>1</v>
      </c>
    </row>
    <row r="3538" spans="8:11" x14ac:dyDescent="0.3">
      <c r="H3538">
        <v>0.5</v>
      </c>
      <c r="I3538" s="11">
        <f t="shared" si="55"/>
        <v>0</v>
      </c>
      <c r="J3538" s="11">
        <f>1/(H3538*Utilities!$B$11)</f>
        <v>8</v>
      </c>
      <c r="K3538" s="11">
        <f>IF(B3538&lt;C3538,1,EXP(-1*(B3538-C3538)/(Utilities!$B$11*IterData!H3538)))</f>
        <v>1</v>
      </c>
    </row>
    <row r="3539" spans="8:11" x14ac:dyDescent="0.3">
      <c r="H3539">
        <v>0.5</v>
      </c>
      <c r="I3539" s="11">
        <f t="shared" si="55"/>
        <v>0</v>
      </c>
      <c r="J3539" s="11">
        <f>1/(H3539*Utilities!$B$11)</f>
        <v>8</v>
      </c>
      <c r="K3539" s="11">
        <f>IF(B3539&lt;C3539,1,EXP(-1*(B3539-C3539)/(Utilities!$B$11*IterData!H3539)))</f>
        <v>1</v>
      </c>
    </row>
    <row r="3540" spans="8:11" x14ac:dyDescent="0.3">
      <c r="H3540">
        <v>0.5</v>
      </c>
      <c r="I3540" s="11">
        <f t="shared" si="55"/>
        <v>0</v>
      </c>
      <c r="J3540" s="11">
        <f>1/(H3540*Utilities!$B$11)</f>
        <v>8</v>
      </c>
      <c r="K3540" s="11">
        <f>IF(B3540&lt;C3540,1,EXP(-1*(B3540-C3540)/(Utilities!$B$11*IterData!H3540)))</f>
        <v>1</v>
      </c>
    </row>
    <row r="3541" spans="8:11" x14ac:dyDescent="0.3">
      <c r="H3541">
        <v>0.5</v>
      </c>
      <c r="I3541" s="11">
        <f t="shared" si="55"/>
        <v>0</v>
      </c>
      <c r="J3541" s="11">
        <f>1/(H3541*Utilities!$B$11)</f>
        <v>8</v>
      </c>
      <c r="K3541" s="11">
        <f>IF(B3541&lt;C3541,1,EXP(-1*(B3541-C3541)/(Utilities!$B$11*IterData!H3541)))</f>
        <v>1</v>
      </c>
    </row>
    <row r="3542" spans="8:11" x14ac:dyDescent="0.3">
      <c r="H3542">
        <v>0.5</v>
      </c>
      <c r="I3542" s="11">
        <f t="shared" si="55"/>
        <v>0</v>
      </c>
      <c r="J3542" s="11">
        <f>1/(H3542*Utilities!$B$11)</f>
        <v>8</v>
      </c>
      <c r="K3542" s="11">
        <f>IF(B3542&lt;C3542,1,EXP(-1*(B3542-C3542)/(Utilities!$B$11*IterData!H3542)))</f>
        <v>1</v>
      </c>
    </row>
    <row r="3543" spans="8:11" x14ac:dyDescent="0.3">
      <c r="H3543">
        <v>0.5</v>
      </c>
      <c r="I3543" s="11">
        <f t="shared" si="55"/>
        <v>0</v>
      </c>
      <c r="J3543" s="11">
        <f>1/(H3543*Utilities!$B$11)</f>
        <v>8</v>
      </c>
      <c r="K3543" s="11">
        <f>IF(B3543&lt;C3543,1,EXP(-1*(B3543-C3543)/(Utilities!$B$11*IterData!H3543)))</f>
        <v>1</v>
      </c>
    </row>
    <row r="3544" spans="8:11" x14ac:dyDescent="0.3">
      <c r="H3544">
        <v>0.5</v>
      </c>
      <c r="I3544" s="11">
        <f t="shared" si="55"/>
        <v>0</v>
      </c>
      <c r="J3544" s="11">
        <f>1/(H3544*Utilities!$B$11)</f>
        <v>8</v>
      </c>
      <c r="K3544" s="11">
        <f>IF(B3544&lt;C3544,1,EXP(-1*(B3544-C3544)/(Utilities!$B$11*IterData!H3544)))</f>
        <v>1</v>
      </c>
    </row>
    <row r="3545" spans="8:11" x14ac:dyDescent="0.3">
      <c r="H3545">
        <v>0.5</v>
      </c>
      <c r="I3545" s="11">
        <f t="shared" si="55"/>
        <v>0</v>
      </c>
      <c r="J3545" s="11">
        <f>1/(H3545*Utilities!$B$11)</f>
        <v>8</v>
      </c>
      <c r="K3545" s="11">
        <f>IF(B3545&lt;C3545,1,EXP(-1*(B3545-C3545)/(Utilities!$B$11*IterData!H3545)))</f>
        <v>1</v>
      </c>
    </row>
    <row r="3546" spans="8:11" x14ac:dyDescent="0.3">
      <c r="H3546">
        <v>0.5</v>
      </c>
      <c r="I3546" s="11">
        <f t="shared" si="55"/>
        <v>0</v>
      </c>
      <c r="J3546" s="11">
        <f>1/(H3546*Utilities!$B$11)</f>
        <v>8</v>
      </c>
      <c r="K3546" s="11">
        <f>IF(B3546&lt;C3546,1,EXP(-1*(B3546-C3546)/(Utilities!$B$11*IterData!H3546)))</f>
        <v>1</v>
      </c>
    </row>
    <row r="3547" spans="8:11" x14ac:dyDescent="0.3">
      <c r="H3547">
        <v>0.5</v>
      </c>
      <c r="I3547" s="11">
        <f t="shared" si="55"/>
        <v>0</v>
      </c>
      <c r="J3547" s="11">
        <f>1/(H3547*Utilities!$B$11)</f>
        <v>8</v>
      </c>
      <c r="K3547" s="11">
        <f>IF(B3547&lt;C3547,1,EXP(-1*(B3547-C3547)/(Utilities!$B$11*IterData!H3547)))</f>
        <v>1</v>
      </c>
    </row>
    <row r="3548" spans="8:11" x14ac:dyDescent="0.3">
      <c r="H3548">
        <v>0.5</v>
      </c>
      <c r="I3548" s="11">
        <f t="shared" si="55"/>
        <v>0</v>
      </c>
      <c r="J3548" s="11">
        <f>1/(H3548*Utilities!$B$11)</f>
        <v>8</v>
      </c>
      <c r="K3548" s="11">
        <f>IF(B3548&lt;C3548,1,EXP(-1*(B3548-C3548)/(Utilities!$B$11*IterData!H3548)))</f>
        <v>1</v>
      </c>
    </row>
    <row r="3549" spans="8:11" x14ac:dyDescent="0.3">
      <c r="H3549">
        <v>0.5</v>
      </c>
      <c r="I3549" s="11">
        <f t="shared" si="55"/>
        <v>0</v>
      </c>
      <c r="J3549" s="11">
        <f>1/(H3549*Utilities!$B$11)</f>
        <v>8</v>
      </c>
      <c r="K3549" s="11">
        <f>IF(B3549&lt;C3549,1,EXP(-1*(B3549-C3549)/(Utilities!$B$11*IterData!H3549)))</f>
        <v>1</v>
      </c>
    </row>
    <row r="3550" spans="8:11" x14ac:dyDescent="0.3">
      <c r="H3550">
        <v>0.5</v>
      </c>
      <c r="I3550" s="11">
        <f t="shared" si="55"/>
        <v>0</v>
      </c>
      <c r="J3550" s="11">
        <f>1/(H3550*Utilities!$B$11)</f>
        <v>8</v>
      </c>
      <c r="K3550" s="11">
        <f>IF(B3550&lt;C3550,1,EXP(-1*(B3550-C3550)/(Utilities!$B$11*IterData!H3550)))</f>
        <v>1</v>
      </c>
    </row>
    <row r="3551" spans="8:11" x14ac:dyDescent="0.3">
      <c r="H3551">
        <v>0.5</v>
      </c>
      <c r="I3551" s="11">
        <f t="shared" si="55"/>
        <v>0</v>
      </c>
      <c r="J3551" s="11">
        <f>1/(H3551*Utilities!$B$11)</f>
        <v>8</v>
      </c>
      <c r="K3551" s="11">
        <f>IF(B3551&lt;C3551,1,EXP(-1*(B3551-C3551)/(Utilities!$B$11*IterData!H3551)))</f>
        <v>1</v>
      </c>
    </row>
    <row r="3552" spans="8:11" x14ac:dyDescent="0.3">
      <c r="H3552">
        <v>0.5</v>
      </c>
      <c r="I3552" s="11">
        <f t="shared" si="55"/>
        <v>0</v>
      </c>
      <c r="J3552" s="11">
        <f>1/(H3552*Utilities!$B$11)</f>
        <v>8</v>
      </c>
      <c r="K3552" s="11">
        <f>IF(B3552&lt;C3552,1,EXP(-1*(B3552-C3552)/(Utilities!$B$11*IterData!H3552)))</f>
        <v>1</v>
      </c>
    </row>
    <row r="3553" spans="8:11" x14ac:dyDescent="0.3">
      <c r="H3553">
        <v>0.5</v>
      </c>
      <c r="I3553" s="11">
        <f t="shared" si="55"/>
        <v>0</v>
      </c>
      <c r="J3553" s="11">
        <f>1/(H3553*Utilities!$B$11)</f>
        <v>8</v>
      </c>
      <c r="K3553" s="11">
        <f>IF(B3553&lt;C3553,1,EXP(-1*(B3553-C3553)/(Utilities!$B$11*IterData!H3553)))</f>
        <v>1</v>
      </c>
    </row>
    <row r="3554" spans="8:11" x14ac:dyDescent="0.3">
      <c r="H3554">
        <v>0.5</v>
      </c>
      <c r="I3554" s="11">
        <f t="shared" si="55"/>
        <v>0</v>
      </c>
      <c r="J3554" s="11">
        <f>1/(H3554*Utilities!$B$11)</f>
        <v>8</v>
      </c>
      <c r="K3554" s="11">
        <f>IF(B3554&lt;C3554,1,EXP(-1*(B3554-C3554)/(Utilities!$B$11*IterData!H3554)))</f>
        <v>1</v>
      </c>
    </row>
    <row r="3555" spans="8:11" x14ac:dyDescent="0.3">
      <c r="H3555">
        <v>0.5</v>
      </c>
      <c r="I3555" s="11">
        <f t="shared" si="55"/>
        <v>0</v>
      </c>
      <c r="J3555" s="11">
        <f>1/(H3555*Utilities!$B$11)</f>
        <v>8</v>
      </c>
      <c r="K3555" s="11">
        <f>IF(B3555&lt;C3555,1,EXP(-1*(B3555-C3555)/(Utilities!$B$11*IterData!H3555)))</f>
        <v>1</v>
      </c>
    </row>
    <row r="3556" spans="8:11" x14ac:dyDescent="0.3">
      <c r="H3556">
        <v>0.5</v>
      </c>
      <c r="I3556" s="11">
        <f t="shared" si="55"/>
        <v>0</v>
      </c>
      <c r="J3556" s="11">
        <f>1/(H3556*Utilities!$B$11)</f>
        <v>8</v>
      </c>
      <c r="K3556" s="11">
        <f>IF(B3556&lt;C3556,1,EXP(-1*(B3556-C3556)/(Utilities!$B$11*IterData!H3556)))</f>
        <v>1</v>
      </c>
    </row>
    <row r="3557" spans="8:11" x14ac:dyDescent="0.3">
      <c r="H3557">
        <v>0.5</v>
      </c>
      <c r="I3557" s="11">
        <f t="shared" si="55"/>
        <v>0</v>
      </c>
      <c r="J3557" s="11">
        <f>1/(H3557*Utilities!$B$11)</f>
        <v>8</v>
      </c>
      <c r="K3557" s="11">
        <f>IF(B3557&lt;C3557,1,EXP(-1*(B3557-C3557)/(Utilities!$B$11*IterData!H3557)))</f>
        <v>1</v>
      </c>
    </row>
    <row r="3558" spans="8:11" x14ac:dyDescent="0.3">
      <c r="H3558">
        <v>0.5</v>
      </c>
      <c r="I3558" s="11">
        <f t="shared" si="55"/>
        <v>0</v>
      </c>
      <c r="J3558" s="11">
        <f>1/(H3558*Utilities!$B$11)</f>
        <v>8</v>
      </c>
      <c r="K3558" s="11">
        <f>IF(B3558&lt;C3558,1,EXP(-1*(B3558-C3558)/(Utilities!$B$11*IterData!H3558)))</f>
        <v>1</v>
      </c>
    </row>
    <row r="3559" spans="8:11" x14ac:dyDescent="0.3">
      <c r="H3559">
        <v>0.5</v>
      </c>
      <c r="I3559" s="11">
        <f t="shared" si="55"/>
        <v>0</v>
      </c>
      <c r="J3559" s="11">
        <f>1/(H3559*Utilities!$B$11)</f>
        <v>8</v>
      </c>
      <c r="K3559" s="11">
        <f>IF(B3559&lt;C3559,1,EXP(-1*(B3559-C3559)/(Utilities!$B$11*IterData!H3559)))</f>
        <v>1</v>
      </c>
    </row>
    <row r="3560" spans="8:11" x14ac:dyDescent="0.3">
      <c r="H3560">
        <v>0.5</v>
      </c>
      <c r="I3560" s="11">
        <f t="shared" si="55"/>
        <v>0</v>
      </c>
      <c r="J3560" s="11">
        <f>1/(H3560*Utilities!$B$11)</f>
        <v>8</v>
      </c>
      <c r="K3560" s="11">
        <f>IF(B3560&lt;C3560,1,EXP(-1*(B3560-C3560)/(Utilities!$B$11*IterData!H3560)))</f>
        <v>1</v>
      </c>
    </row>
    <row r="3561" spans="8:11" x14ac:dyDescent="0.3">
      <c r="H3561">
        <v>0.5</v>
      </c>
      <c r="I3561" s="11">
        <f t="shared" si="55"/>
        <v>0</v>
      </c>
      <c r="J3561" s="11">
        <f>1/(H3561*Utilities!$B$11)</f>
        <v>8</v>
      </c>
      <c r="K3561" s="11">
        <f>IF(B3561&lt;C3561,1,EXP(-1*(B3561-C3561)/(Utilities!$B$11*IterData!H3561)))</f>
        <v>1</v>
      </c>
    </row>
    <row r="3562" spans="8:11" x14ac:dyDescent="0.3">
      <c r="H3562">
        <v>0.5</v>
      </c>
      <c r="I3562" s="11">
        <f t="shared" si="55"/>
        <v>0</v>
      </c>
      <c r="J3562" s="11">
        <f>1/(H3562*Utilities!$B$11)</f>
        <v>8</v>
      </c>
      <c r="K3562" s="11">
        <f>IF(B3562&lt;C3562,1,EXP(-1*(B3562-C3562)/(Utilities!$B$11*IterData!H3562)))</f>
        <v>1</v>
      </c>
    </row>
    <row r="3563" spans="8:11" x14ac:dyDescent="0.3">
      <c r="H3563">
        <v>0.5</v>
      </c>
      <c r="I3563" s="11">
        <f t="shared" si="55"/>
        <v>0</v>
      </c>
      <c r="J3563" s="11">
        <f>1/(H3563*Utilities!$B$11)</f>
        <v>8</v>
      </c>
      <c r="K3563" s="11">
        <f>IF(B3563&lt;C3563,1,EXP(-1*(B3563-C3563)/(Utilities!$B$11*IterData!H3563)))</f>
        <v>1</v>
      </c>
    </row>
    <row r="3564" spans="8:11" x14ac:dyDescent="0.3">
      <c r="H3564">
        <v>0.5</v>
      </c>
      <c r="I3564" s="11">
        <f t="shared" si="55"/>
        <v>0</v>
      </c>
      <c r="J3564" s="11">
        <f>1/(H3564*Utilities!$B$11)</f>
        <v>8</v>
      </c>
      <c r="K3564" s="11">
        <f>IF(B3564&lt;C3564,1,EXP(-1*(B3564-C3564)/(Utilities!$B$11*IterData!H3564)))</f>
        <v>1</v>
      </c>
    </row>
    <row r="3565" spans="8:11" x14ac:dyDescent="0.3">
      <c r="H3565">
        <v>0.5</v>
      </c>
      <c r="I3565" s="11">
        <f t="shared" si="55"/>
        <v>0</v>
      </c>
      <c r="J3565" s="11">
        <f>1/(H3565*Utilities!$B$11)</f>
        <v>8</v>
      </c>
      <c r="K3565" s="11">
        <f>IF(B3565&lt;C3565,1,EXP(-1*(B3565-C3565)/(Utilities!$B$11*IterData!H3565)))</f>
        <v>1</v>
      </c>
    </row>
    <row r="3566" spans="8:11" x14ac:dyDescent="0.3">
      <c r="H3566">
        <v>0.5</v>
      </c>
      <c r="I3566" s="11">
        <f t="shared" si="55"/>
        <v>0</v>
      </c>
      <c r="J3566" s="11">
        <f>1/(H3566*Utilities!$B$11)</f>
        <v>8</v>
      </c>
      <c r="K3566" s="11">
        <f>IF(B3566&lt;C3566,1,EXP(-1*(B3566-C3566)/(Utilities!$B$11*IterData!H3566)))</f>
        <v>1</v>
      </c>
    </row>
    <row r="3567" spans="8:11" x14ac:dyDescent="0.3">
      <c r="H3567">
        <v>0.5</v>
      </c>
      <c r="I3567" s="11">
        <f t="shared" si="55"/>
        <v>0</v>
      </c>
      <c r="J3567" s="11">
        <f>1/(H3567*Utilities!$B$11)</f>
        <v>8</v>
      </c>
      <c r="K3567" s="11">
        <f>IF(B3567&lt;C3567,1,EXP(-1*(B3567-C3567)/(Utilities!$B$11*IterData!H3567)))</f>
        <v>1</v>
      </c>
    </row>
    <row r="3568" spans="8:11" x14ac:dyDescent="0.3">
      <c r="H3568">
        <v>0.5</v>
      </c>
      <c r="I3568" s="11">
        <f t="shared" si="55"/>
        <v>0</v>
      </c>
      <c r="J3568" s="11">
        <f>1/(H3568*Utilities!$B$11)</f>
        <v>8</v>
      </c>
      <c r="K3568" s="11">
        <f>IF(B3568&lt;C3568,1,EXP(-1*(B3568-C3568)/(Utilities!$B$11*IterData!H3568)))</f>
        <v>1</v>
      </c>
    </row>
    <row r="3569" spans="8:11" x14ac:dyDescent="0.3">
      <c r="H3569">
        <v>0.5</v>
      </c>
      <c r="I3569" s="11">
        <f t="shared" si="55"/>
        <v>0</v>
      </c>
      <c r="J3569" s="11">
        <f>1/(H3569*Utilities!$B$11)</f>
        <v>8</v>
      </c>
      <c r="K3569" s="11">
        <f>IF(B3569&lt;C3569,1,EXP(-1*(B3569-C3569)/(Utilities!$B$11*IterData!H3569)))</f>
        <v>1</v>
      </c>
    </row>
    <row r="3570" spans="8:11" x14ac:dyDescent="0.3">
      <c r="H3570">
        <v>0.5</v>
      </c>
      <c r="I3570" s="11">
        <f t="shared" si="55"/>
        <v>0</v>
      </c>
      <c r="J3570" s="11">
        <f>1/(H3570*Utilities!$B$11)</f>
        <v>8</v>
      </c>
      <c r="K3570" s="11">
        <f>IF(B3570&lt;C3570,1,EXP(-1*(B3570-C3570)/(Utilities!$B$11*IterData!H3570)))</f>
        <v>1</v>
      </c>
    </row>
    <row r="3571" spans="8:11" x14ac:dyDescent="0.3">
      <c r="H3571">
        <v>0.5</v>
      </c>
      <c r="I3571" s="11">
        <f t="shared" si="55"/>
        <v>0</v>
      </c>
      <c r="J3571" s="11">
        <f>1/(H3571*Utilities!$B$11)</f>
        <v>8</v>
      </c>
      <c r="K3571" s="11">
        <f>IF(B3571&lt;C3571,1,EXP(-1*(B3571-C3571)/(Utilities!$B$11*IterData!H3571)))</f>
        <v>1</v>
      </c>
    </row>
    <row r="3572" spans="8:11" x14ac:dyDescent="0.3">
      <c r="H3572">
        <v>0.5</v>
      </c>
      <c r="I3572" s="11">
        <f t="shared" si="55"/>
        <v>0</v>
      </c>
      <c r="J3572" s="11">
        <f>1/(H3572*Utilities!$B$11)</f>
        <v>8</v>
      </c>
      <c r="K3572" s="11">
        <f>IF(B3572&lt;C3572,1,EXP(-1*(B3572-C3572)/(Utilities!$B$11*IterData!H3572)))</f>
        <v>1</v>
      </c>
    </row>
    <row r="3573" spans="8:11" x14ac:dyDescent="0.3">
      <c r="H3573">
        <v>0.5</v>
      </c>
      <c r="I3573" s="11">
        <f t="shared" si="55"/>
        <v>0</v>
      </c>
      <c r="J3573" s="11">
        <f>1/(H3573*Utilities!$B$11)</f>
        <v>8</v>
      </c>
      <c r="K3573" s="11">
        <f>IF(B3573&lt;C3573,1,EXP(-1*(B3573-C3573)/(Utilities!$B$11*IterData!H3573)))</f>
        <v>1</v>
      </c>
    </row>
    <row r="3574" spans="8:11" x14ac:dyDescent="0.3">
      <c r="H3574">
        <v>0.5</v>
      </c>
      <c r="I3574" s="11">
        <f t="shared" si="55"/>
        <v>0</v>
      </c>
      <c r="J3574" s="11">
        <f>1/(H3574*Utilities!$B$11)</f>
        <v>8</v>
      </c>
      <c r="K3574" s="11">
        <f>IF(B3574&lt;C3574,1,EXP(-1*(B3574-C3574)/(Utilities!$B$11*IterData!H3574)))</f>
        <v>1</v>
      </c>
    </row>
    <row r="3575" spans="8:11" x14ac:dyDescent="0.3">
      <c r="H3575">
        <v>0.5</v>
      </c>
      <c r="I3575" s="11">
        <f t="shared" si="55"/>
        <v>0</v>
      </c>
      <c r="J3575" s="11">
        <f>1/(H3575*Utilities!$B$11)</f>
        <v>8</v>
      </c>
      <c r="K3575" s="11">
        <f>IF(B3575&lt;C3575,1,EXP(-1*(B3575-C3575)/(Utilities!$B$11*IterData!H3575)))</f>
        <v>1</v>
      </c>
    </row>
    <row r="3576" spans="8:11" x14ac:dyDescent="0.3">
      <c r="H3576">
        <v>0.5</v>
      </c>
      <c r="I3576" s="11">
        <f t="shared" si="55"/>
        <v>0</v>
      </c>
      <c r="J3576" s="11">
        <f>1/(H3576*Utilities!$B$11)</f>
        <v>8</v>
      </c>
      <c r="K3576" s="11">
        <f>IF(B3576&lt;C3576,1,EXP(-1*(B3576-C3576)/(Utilities!$B$11*IterData!H3576)))</f>
        <v>1</v>
      </c>
    </row>
    <row r="3577" spans="8:11" x14ac:dyDescent="0.3">
      <c r="H3577">
        <v>0.5</v>
      </c>
      <c r="I3577" s="11">
        <f t="shared" si="55"/>
        <v>0</v>
      </c>
      <c r="J3577" s="11">
        <f>1/(H3577*Utilities!$B$11)</f>
        <v>8</v>
      </c>
      <c r="K3577" s="11">
        <f>IF(B3577&lt;C3577,1,EXP(-1*(B3577-C3577)/(Utilities!$B$11*IterData!H3577)))</f>
        <v>1</v>
      </c>
    </row>
    <row r="3578" spans="8:11" x14ac:dyDescent="0.3">
      <c r="H3578">
        <v>0.5</v>
      </c>
      <c r="I3578" s="11">
        <f t="shared" si="55"/>
        <v>0</v>
      </c>
      <c r="J3578" s="11">
        <f>1/(H3578*Utilities!$B$11)</f>
        <v>8</v>
      </c>
      <c r="K3578" s="11">
        <f>IF(B3578&lt;C3578,1,EXP(-1*(B3578-C3578)/(Utilities!$B$11*IterData!H3578)))</f>
        <v>1</v>
      </c>
    </row>
    <row r="3579" spans="8:11" x14ac:dyDescent="0.3">
      <c r="H3579">
        <v>0.5</v>
      </c>
      <c r="I3579" s="11">
        <f t="shared" si="55"/>
        <v>0</v>
      </c>
      <c r="J3579" s="11">
        <f>1/(H3579*Utilities!$B$11)</f>
        <v>8</v>
      </c>
      <c r="K3579" s="11">
        <f>IF(B3579&lt;C3579,1,EXP(-1*(B3579-C3579)/(Utilities!$B$11*IterData!H3579)))</f>
        <v>1</v>
      </c>
    </row>
    <row r="3580" spans="8:11" x14ac:dyDescent="0.3">
      <c r="H3580">
        <v>0.5</v>
      </c>
      <c r="I3580" s="11">
        <f t="shared" si="55"/>
        <v>0</v>
      </c>
      <c r="J3580" s="11">
        <f>1/(H3580*Utilities!$B$11)</f>
        <v>8</v>
      </c>
      <c r="K3580" s="11">
        <f>IF(B3580&lt;C3580,1,EXP(-1*(B3580-C3580)/(Utilities!$B$11*IterData!H3580)))</f>
        <v>1</v>
      </c>
    </row>
    <row r="3581" spans="8:11" x14ac:dyDescent="0.3">
      <c r="H3581">
        <v>0.5</v>
      </c>
      <c r="I3581" s="11">
        <f t="shared" si="55"/>
        <v>0</v>
      </c>
      <c r="J3581" s="11">
        <f>1/(H3581*Utilities!$B$11)</f>
        <v>8</v>
      </c>
      <c r="K3581" s="11">
        <f>IF(B3581&lt;C3581,1,EXP(-1*(B3581-C3581)/(Utilities!$B$11*IterData!H3581)))</f>
        <v>1</v>
      </c>
    </row>
    <row r="3582" spans="8:11" x14ac:dyDescent="0.3">
      <c r="H3582">
        <v>0.5</v>
      </c>
      <c r="I3582" s="11">
        <f t="shared" si="55"/>
        <v>0</v>
      </c>
      <c r="J3582" s="11">
        <f>1/(H3582*Utilities!$B$11)</f>
        <v>8</v>
      </c>
      <c r="K3582" s="11">
        <f>IF(B3582&lt;C3582,1,EXP(-1*(B3582-C3582)/(Utilities!$B$11*IterData!H3582)))</f>
        <v>1</v>
      </c>
    </row>
    <row r="3583" spans="8:11" x14ac:dyDescent="0.3">
      <c r="H3583">
        <v>0.5</v>
      </c>
      <c r="I3583" s="11">
        <f t="shared" si="55"/>
        <v>0</v>
      </c>
      <c r="J3583" s="11">
        <f>1/(H3583*Utilities!$B$11)</f>
        <v>8</v>
      </c>
      <c r="K3583" s="11">
        <f>IF(B3583&lt;C3583,1,EXP(-1*(B3583-C3583)/(Utilities!$B$11*IterData!H3583)))</f>
        <v>1</v>
      </c>
    </row>
    <row r="3584" spans="8:11" x14ac:dyDescent="0.3">
      <c r="H3584">
        <v>0.5</v>
      </c>
      <c r="I3584" s="11">
        <f t="shared" si="55"/>
        <v>0</v>
      </c>
      <c r="J3584" s="11">
        <f>1/(H3584*Utilities!$B$11)</f>
        <v>8</v>
      </c>
      <c r="K3584" s="11">
        <f>IF(B3584&lt;C3584,1,EXP(-1*(B3584-C3584)/(Utilities!$B$11*IterData!H3584)))</f>
        <v>1</v>
      </c>
    </row>
    <row r="3585" spans="8:11" x14ac:dyDescent="0.3">
      <c r="H3585">
        <v>0.5</v>
      </c>
      <c r="I3585" s="11">
        <f t="shared" si="55"/>
        <v>0</v>
      </c>
      <c r="J3585" s="11">
        <f>1/(H3585*Utilities!$B$11)</f>
        <v>8</v>
      </c>
      <c r="K3585" s="11">
        <f>IF(B3585&lt;C3585,1,EXP(-1*(B3585-C3585)/(Utilities!$B$11*IterData!H3585)))</f>
        <v>1</v>
      </c>
    </row>
    <row r="3586" spans="8:11" x14ac:dyDescent="0.3">
      <c r="H3586">
        <v>0.5</v>
      </c>
      <c r="I3586" s="11">
        <f t="shared" si="55"/>
        <v>0</v>
      </c>
      <c r="J3586" s="11">
        <f>1/(H3586*Utilities!$B$11)</f>
        <v>8</v>
      </c>
      <c r="K3586" s="11">
        <f>IF(B3586&lt;C3586,1,EXP(-1*(B3586-C3586)/(Utilities!$B$11*IterData!H3586)))</f>
        <v>1</v>
      </c>
    </row>
    <row r="3587" spans="8:11" x14ac:dyDescent="0.3">
      <c r="H3587">
        <v>0.5</v>
      </c>
      <c r="I3587" s="11">
        <f t="shared" ref="I3587:I3650" si="56">B3587-C3587</f>
        <v>0</v>
      </c>
      <c r="J3587" s="11">
        <f>1/(H3587*Utilities!$B$11)</f>
        <v>8</v>
      </c>
      <c r="K3587" s="11">
        <f>IF(B3587&lt;C3587,1,EXP(-1*(B3587-C3587)/(Utilities!$B$11*IterData!H3587)))</f>
        <v>1</v>
      </c>
    </row>
    <row r="3588" spans="8:11" x14ac:dyDescent="0.3">
      <c r="H3588">
        <v>0.5</v>
      </c>
      <c r="I3588" s="11">
        <f t="shared" si="56"/>
        <v>0</v>
      </c>
      <c r="J3588" s="11">
        <f>1/(H3588*Utilities!$B$11)</f>
        <v>8</v>
      </c>
      <c r="K3588" s="11">
        <f>IF(B3588&lt;C3588,1,EXP(-1*(B3588-C3588)/(Utilities!$B$11*IterData!H3588)))</f>
        <v>1</v>
      </c>
    </row>
    <row r="3589" spans="8:11" x14ac:dyDescent="0.3">
      <c r="H3589">
        <v>0.5</v>
      </c>
      <c r="I3589" s="11">
        <f t="shared" si="56"/>
        <v>0</v>
      </c>
      <c r="J3589" s="11">
        <f>1/(H3589*Utilities!$B$11)</f>
        <v>8</v>
      </c>
      <c r="K3589" s="11">
        <f>IF(B3589&lt;C3589,1,EXP(-1*(B3589-C3589)/(Utilities!$B$11*IterData!H3589)))</f>
        <v>1</v>
      </c>
    </row>
    <row r="3590" spans="8:11" x14ac:dyDescent="0.3">
      <c r="H3590">
        <v>0.5</v>
      </c>
      <c r="I3590" s="11">
        <f t="shared" si="56"/>
        <v>0</v>
      </c>
      <c r="J3590" s="11">
        <f>1/(H3590*Utilities!$B$11)</f>
        <v>8</v>
      </c>
      <c r="K3590" s="11">
        <f>IF(B3590&lt;C3590,1,EXP(-1*(B3590-C3590)/(Utilities!$B$11*IterData!H3590)))</f>
        <v>1</v>
      </c>
    </row>
    <row r="3591" spans="8:11" x14ac:dyDescent="0.3">
      <c r="H3591">
        <v>0.5</v>
      </c>
      <c r="I3591" s="11">
        <f t="shared" si="56"/>
        <v>0</v>
      </c>
      <c r="J3591" s="11">
        <f>1/(H3591*Utilities!$B$11)</f>
        <v>8</v>
      </c>
      <c r="K3591" s="11">
        <f>IF(B3591&lt;C3591,1,EXP(-1*(B3591-C3591)/(Utilities!$B$11*IterData!H3591)))</f>
        <v>1</v>
      </c>
    </row>
    <row r="3592" spans="8:11" x14ac:dyDescent="0.3">
      <c r="H3592">
        <v>0.5</v>
      </c>
      <c r="I3592" s="11">
        <f t="shared" si="56"/>
        <v>0</v>
      </c>
      <c r="J3592" s="11">
        <f>1/(H3592*Utilities!$B$11)</f>
        <v>8</v>
      </c>
      <c r="K3592" s="11">
        <f>IF(B3592&lt;C3592,1,EXP(-1*(B3592-C3592)/(Utilities!$B$11*IterData!H3592)))</f>
        <v>1</v>
      </c>
    </row>
    <row r="3593" spans="8:11" x14ac:dyDescent="0.3">
      <c r="H3593">
        <v>0.5</v>
      </c>
      <c r="I3593" s="11">
        <f t="shared" si="56"/>
        <v>0</v>
      </c>
      <c r="J3593" s="11">
        <f>1/(H3593*Utilities!$B$11)</f>
        <v>8</v>
      </c>
      <c r="K3593" s="11">
        <f>IF(B3593&lt;C3593,1,EXP(-1*(B3593-C3593)/(Utilities!$B$11*IterData!H3593)))</f>
        <v>1</v>
      </c>
    </row>
    <row r="3594" spans="8:11" x14ac:dyDescent="0.3">
      <c r="H3594">
        <v>0.5</v>
      </c>
      <c r="I3594" s="11">
        <f t="shared" si="56"/>
        <v>0</v>
      </c>
      <c r="J3594" s="11">
        <f>1/(H3594*Utilities!$B$11)</f>
        <v>8</v>
      </c>
      <c r="K3594" s="11">
        <f>IF(B3594&lt;C3594,1,EXP(-1*(B3594-C3594)/(Utilities!$B$11*IterData!H3594)))</f>
        <v>1</v>
      </c>
    </row>
    <row r="3595" spans="8:11" x14ac:dyDescent="0.3">
      <c r="H3595">
        <v>0.5</v>
      </c>
      <c r="I3595" s="11">
        <f t="shared" si="56"/>
        <v>0</v>
      </c>
      <c r="J3595" s="11">
        <f>1/(H3595*Utilities!$B$11)</f>
        <v>8</v>
      </c>
      <c r="K3595" s="11">
        <f>IF(B3595&lt;C3595,1,EXP(-1*(B3595-C3595)/(Utilities!$B$11*IterData!H3595)))</f>
        <v>1</v>
      </c>
    </row>
    <row r="3596" spans="8:11" x14ac:dyDescent="0.3">
      <c r="H3596">
        <v>0.5</v>
      </c>
      <c r="I3596" s="11">
        <f t="shared" si="56"/>
        <v>0</v>
      </c>
      <c r="J3596" s="11">
        <f>1/(H3596*Utilities!$B$11)</f>
        <v>8</v>
      </c>
      <c r="K3596" s="11">
        <f>IF(B3596&lt;C3596,1,EXP(-1*(B3596-C3596)/(Utilities!$B$11*IterData!H3596)))</f>
        <v>1</v>
      </c>
    </row>
    <row r="3597" spans="8:11" x14ac:dyDescent="0.3">
      <c r="H3597">
        <v>0.5</v>
      </c>
      <c r="I3597" s="11">
        <f t="shared" si="56"/>
        <v>0</v>
      </c>
      <c r="J3597" s="11">
        <f>1/(H3597*Utilities!$B$11)</f>
        <v>8</v>
      </c>
      <c r="K3597" s="11">
        <f>IF(B3597&lt;C3597,1,EXP(-1*(B3597-C3597)/(Utilities!$B$11*IterData!H3597)))</f>
        <v>1</v>
      </c>
    </row>
    <row r="3598" spans="8:11" x14ac:dyDescent="0.3">
      <c r="H3598">
        <v>0.5</v>
      </c>
      <c r="I3598" s="11">
        <f t="shared" si="56"/>
        <v>0</v>
      </c>
      <c r="J3598" s="11">
        <f>1/(H3598*Utilities!$B$11)</f>
        <v>8</v>
      </c>
      <c r="K3598" s="11">
        <f>IF(B3598&lt;C3598,1,EXP(-1*(B3598-C3598)/(Utilities!$B$11*IterData!H3598)))</f>
        <v>1</v>
      </c>
    </row>
    <row r="3599" spans="8:11" x14ac:dyDescent="0.3">
      <c r="H3599">
        <v>0.5</v>
      </c>
      <c r="I3599" s="11">
        <f t="shared" si="56"/>
        <v>0</v>
      </c>
      <c r="J3599" s="11">
        <f>1/(H3599*Utilities!$B$11)</f>
        <v>8</v>
      </c>
      <c r="K3599" s="11">
        <f>IF(B3599&lt;C3599,1,EXP(-1*(B3599-C3599)/(Utilities!$B$11*IterData!H3599)))</f>
        <v>1</v>
      </c>
    </row>
    <row r="3600" spans="8:11" x14ac:dyDescent="0.3">
      <c r="H3600">
        <v>0.5</v>
      </c>
      <c r="I3600" s="11">
        <f t="shared" si="56"/>
        <v>0</v>
      </c>
      <c r="J3600" s="11">
        <f>1/(H3600*Utilities!$B$11)</f>
        <v>8</v>
      </c>
      <c r="K3600" s="11">
        <f>IF(B3600&lt;C3600,1,EXP(-1*(B3600-C3600)/(Utilities!$B$11*IterData!H3600)))</f>
        <v>1</v>
      </c>
    </row>
    <row r="3601" spans="8:11" x14ac:dyDescent="0.3">
      <c r="H3601">
        <v>0.5</v>
      </c>
      <c r="I3601" s="11">
        <f t="shared" si="56"/>
        <v>0</v>
      </c>
      <c r="J3601" s="11">
        <f>1/(H3601*Utilities!$B$11)</f>
        <v>8</v>
      </c>
      <c r="K3601" s="11">
        <f>IF(B3601&lt;C3601,1,EXP(-1*(B3601-C3601)/(Utilities!$B$11*IterData!H3601)))</f>
        <v>1</v>
      </c>
    </row>
    <row r="3602" spans="8:11" x14ac:dyDescent="0.3">
      <c r="H3602">
        <v>0.5</v>
      </c>
      <c r="I3602" s="11">
        <f t="shared" si="56"/>
        <v>0</v>
      </c>
      <c r="J3602" s="11">
        <f>1/(H3602*Utilities!$B$11)</f>
        <v>8</v>
      </c>
      <c r="K3602" s="11">
        <f>IF(B3602&lt;C3602,1,EXP(-1*(B3602-C3602)/(Utilities!$B$11*IterData!H3602)))</f>
        <v>1</v>
      </c>
    </row>
    <row r="3603" spans="8:11" x14ac:dyDescent="0.3">
      <c r="H3603">
        <v>0.5</v>
      </c>
      <c r="I3603" s="11">
        <f t="shared" si="56"/>
        <v>0</v>
      </c>
      <c r="J3603" s="11">
        <f>1/(H3603*Utilities!$B$11)</f>
        <v>8</v>
      </c>
      <c r="K3603" s="11">
        <f>IF(B3603&lt;C3603,1,EXP(-1*(B3603-C3603)/(Utilities!$B$11*IterData!H3603)))</f>
        <v>1</v>
      </c>
    </row>
    <row r="3604" spans="8:11" x14ac:dyDescent="0.3">
      <c r="H3604">
        <v>0.5</v>
      </c>
      <c r="I3604" s="11">
        <f t="shared" si="56"/>
        <v>0</v>
      </c>
      <c r="J3604" s="11">
        <f>1/(H3604*Utilities!$B$11)</f>
        <v>8</v>
      </c>
      <c r="K3604" s="11">
        <f>IF(B3604&lt;C3604,1,EXP(-1*(B3604-C3604)/(Utilities!$B$11*IterData!H3604)))</f>
        <v>1</v>
      </c>
    </row>
    <row r="3605" spans="8:11" x14ac:dyDescent="0.3">
      <c r="H3605">
        <v>0.5</v>
      </c>
      <c r="I3605" s="11">
        <f t="shared" si="56"/>
        <v>0</v>
      </c>
      <c r="J3605" s="11">
        <f>1/(H3605*Utilities!$B$11)</f>
        <v>8</v>
      </c>
      <c r="K3605" s="11">
        <f>IF(B3605&lt;C3605,1,EXP(-1*(B3605-C3605)/(Utilities!$B$11*IterData!H3605)))</f>
        <v>1</v>
      </c>
    </row>
    <row r="3606" spans="8:11" x14ac:dyDescent="0.3">
      <c r="H3606">
        <v>0.5</v>
      </c>
      <c r="I3606" s="11">
        <f t="shared" si="56"/>
        <v>0</v>
      </c>
      <c r="J3606" s="11">
        <f>1/(H3606*Utilities!$B$11)</f>
        <v>8</v>
      </c>
      <c r="K3606" s="11">
        <f>IF(B3606&lt;C3606,1,EXP(-1*(B3606-C3606)/(Utilities!$B$11*IterData!H3606)))</f>
        <v>1</v>
      </c>
    </row>
    <row r="3607" spans="8:11" x14ac:dyDescent="0.3">
      <c r="H3607">
        <v>0.5</v>
      </c>
      <c r="I3607" s="11">
        <f t="shared" si="56"/>
        <v>0</v>
      </c>
      <c r="J3607" s="11">
        <f>1/(H3607*Utilities!$B$11)</f>
        <v>8</v>
      </c>
      <c r="K3607" s="11">
        <f>IF(B3607&lt;C3607,1,EXP(-1*(B3607-C3607)/(Utilities!$B$11*IterData!H3607)))</f>
        <v>1</v>
      </c>
    </row>
    <row r="3608" spans="8:11" x14ac:dyDescent="0.3">
      <c r="H3608">
        <v>0.5</v>
      </c>
      <c r="I3608" s="11">
        <f t="shared" si="56"/>
        <v>0</v>
      </c>
      <c r="J3608" s="11">
        <f>1/(H3608*Utilities!$B$11)</f>
        <v>8</v>
      </c>
      <c r="K3608" s="11">
        <f>IF(B3608&lt;C3608,1,EXP(-1*(B3608-C3608)/(Utilities!$B$11*IterData!H3608)))</f>
        <v>1</v>
      </c>
    </row>
    <row r="3609" spans="8:11" x14ac:dyDescent="0.3">
      <c r="H3609">
        <v>0.5</v>
      </c>
      <c r="I3609" s="11">
        <f t="shared" si="56"/>
        <v>0</v>
      </c>
      <c r="J3609" s="11">
        <f>1/(H3609*Utilities!$B$11)</f>
        <v>8</v>
      </c>
      <c r="K3609" s="11">
        <f>IF(B3609&lt;C3609,1,EXP(-1*(B3609-C3609)/(Utilities!$B$11*IterData!H3609)))</f>
        <v>1</v>
      </c>
    </row>
    <row r="3610" spans="8:11" x14ac:dyDescent="0.3">
      <c r="H3610">
        <v>0.5</v>
      </c>
      <c r="I3610" s="11">
        <f t="shared" si="56"/>
        <v>0</v>
      </c>
      <c r="J3610" s="11">
        <f>1/(H3610*Utilities!$B$11)</f>
        <v>8</v>
      </c>
      <c r="K3610" s="11">
        <f>IF(B3610&lt;C3610,1,EXP(-1*(B3610-C3610)/(Utilities!$B$11*IterData!H3610)))</f>
        <v>1</v>
      </c>
    </row>
    <row r="3611" spans="8:11" x14ac:dyDescent="0.3">
      <c r="H3611">
        <v>0.5</v>
      </c>
      <c r="I3611" s="11">
        <f t="shared" si="56"/>
        <v>0</v>
      </c>
      <c r="J3611" s="11">
        <f>1/(H3611*Utilities!$B$11)</f>
        <v>8</v>
      </c>
      <c r="K3611" s="11">
        <f>IF(B3611&lt;C3611,1,EXP(-1*(B3611-C3611)/(Utilities!$B$11*IterData!H3611)))</f>
        <v>1</v>
      </c>
    </row>
    <row r="3612" spans="8:11" x14ac:dyDescent="0.3">
      <c r="H3612">
        <v>0.5</v>
      </c>
      <c r="I3612" s="11">
        <f t="shared" si="56"/>
        <v>0</v>
      </c>
      <c r="J3612" s="11">
        <f>1/(H3612*Utilities!$B$11)</f>
        <v>8</v>
      </c>
      <c r="K3612" s="11">
        <f>IF(B3612&lt;C3612,1,EXP(-1*(B3612-C3612)/(Utilities!$B$11*IterData!H3612)))</f>
        <v>1</v>
      </c>
    </row>
    <row r="3613" spans="8:11" x14ac:dyDescent="0.3">
      <c r="H3613">
        <v>0.5</v>
      </c>
      <c r="I3613" s="11">
        <f t="shared" si="56"/>
        <v>0</v>
      </c>
      <c r="J3613" s="11">
        <f>1/(H3613*Utilities!$B$11)</f>
        <v>8</v>
      </c>
      <c r="K3613" s="11">
        <f>IF(B3613&lt;C3613,1,EXP(-1*(B3613-C3613)/(Utilities!$B$11*IterData!H3613)))</f>
        <v>1</v>
      </c>
    </row>
    <row r="3614" spans="8:11" x14ac:dyDescent="0.3">
      <c r="H3614">
        <v>0.5</v>
      </c>
      <c r="I3614" s="11">
        <f t="shared" si="56"/>
        <v>0</v>
      </c>
      <c r="J3614" s="11">
        <f>1/(H3614*Utilities!$B$11)</f>
        <v>8</v>
      </c>
      <c r="K3614" s="11">
        <f>IF(B3614&lt;C3614,1,EXP(-1*(B3614-C3614)/(Utilities!$B$11*IterData!H3614)))</f>
        <v>1</v>
      </c>
    </row>
    <row r="3615" spans="8:11" x14ac:dyDescent="0.3">
      <c r="H3615">
        <v>0.5</v>
      </c>
      <c r="I3615" s="11">
        <f t="shared" si="56"/>
        <v>0</v>
      </c>
      <c r="J3615" s="11">
        <f>1/(H3615*Utilities!$B$11)</f>
        <v>8</v>
      </c>
      <c r="K3615" s="11">
        <f>IF(B3615&lt;C3615,1,EXP(-1*(B3615-C3615)/(Utilities!$B$11*IterData!H3615)))</f>
        <v>1</v>
      </c>
    </row>
    <row r="3616" spans="8:11" x14ac:dyDescent="0.3">
      <c r="H3616">
        <v>0.5</v>
      </c>
      <c r="I3616" s="11">
        <f t="shared" si="56"/>
        <v>0</v>
      </c>
      <c r="J3616" s="11">
        <f>1/(H3616*Utilities!$B$11)</f>
        <v>8</v>
      </c>
      <c r="K3616" s="11">
        <f>IF(B3616&lt;C3616,1,EXP(-1*(B3616-C3616)/(Utilities!$B$11*IterData!H3616)))</f>
        <v>1</v>
      </c>
    </row>
    <row r="3617" spans="8:11" x14ac:dyDescent="0.3">
      <c r="H3617">
        <v>0.5</v>
      </c>
      <c r="I3617" s="11">
        <f t="shared" si="56"/>
        <v>0</v>
      </c>
      <c r="J3617" s="11">
        <f>1/(H3617*Utilities!$B$11)</f>
        <v>8</v>
      </c>
      <c r="K3617" s="11">
        <f>IF(B3617&lt;C3617,1,EXP(-1*(B3617-C3617)/(Utilities!$B$11*IterData!H3617)))</f>
        <v>1</v>
      </c>
    </row>
    <row r="3618" spans="8:11" x14ac:dyDescent="0.3">
      <c r="H3618">
        <v>0.5</v>
      </c>
      <c r="I3618" s="11">
        <f t="shared" si="56"/>
        <v>0</v>
      </c>
      <c r="J3618" s="11">
        <f>1/(H3618*Utilities!$B$11)</f>
        <v>8</v>
      </c>
      <c r="K3618" s="11">
        <f>IF(B3618&lt;C3618,1,EXP(-1*(B3618-C3618)/(Utilities!$B$11*IterData!H3618)))</f>
        <v>1</v>
      </c>
    </row>
    <row r="3619" spans="8:11" x14ac:dyDescent="0.3">
      <c r="H3619">
        <v>0.5</v>
      </c>
      <c r="I3619" s="11">
        <f t="shared" si="56"/>
        <v>0</v>
      </c>
      <c r="J3619" s="11">
        <f>1/(H3619*Utilities!$B$11)</f>
        <v>8</v>
      </c>
      <c r="K3619" s="11">
        <f>IF(B3619&lt;C3619,1,EXP(-1*(B3619-C3619)/(Utilities!$B$11*IterData!H3619)))</f>
        <v>1</v>
      </c>
    </row>
    <row r="3620" spans="8:11" x14ac:dyDescent="0.3">
      <c r="H3620">
        <v>0.5</v>
      </c>
      <c r="I3620" s="11">
        <f t="shared" si="56"/>
        <v>0</v>
      </c>
      <c r="J3620" s="11">
        <f>1/(H3620*Utilities!$B$11)</f>
        <v>8</v>
      </c>
      <c r="K3620" s="11">
        <f>IF(B3620&lt;C3620,1,EXP(-1*(B3620-C3620)/(Utilities!$B$11*IterData!H3620)))</f>
        <v>1</v>
      </c>
    </row>
    <row r="3621" spans="8:11" x14ac:dyDescent="0.3">
      <c r="H3621">
        <v>0.5</v>
      </c>
      <c r="I3621" s="11">
        <f t="shared" si="56"/>
        <v>0</v>
      </c>
      <c r="J3621" s="11">
        <f>1/(H3621*Utilities!$B$11)</f>
        <v>8</v>
      </c>
      <c r="K3621" s="11">
        <f>IF(B3621&lt;C3621,1,EXP(-1*(B3621-C3621)/(Utilities!$B$11*IterData!H3621)))</f>
        <v>1</v>
      </c>
    </row>
    <row r="3622" spans="8:11" x14ac:dyDescent="0.3">
      <c r="H3622">
        <v>0.5</v>
      </c>
      <c r="I3622" s="11">
        <f t="shared" si="56"/>
        <v>0</v>
      </c>
      <c r="J3622" s="11">
        <f>1/(H3622*Utilities!$B$11)</f>
        <v>8</v>
      </c>
      <c r="K3622" s="11">
        <f>IF(B3622&lt;C3622,1,EXP(-1*(B3622-C3622)/(Utilities!$B$11*IterData!H3622)))</f>
        <v>1</v>
      </c>
    </row>
    <row r="3623" spans="8:11" x14ac:dyDescent="0.3">
      <c r="H3623">
        <v>0.5</v>
      </c>
      <c r="I3623" s="11">
        <f t="shared" si="56"/>
        <v>0</v>
      </c>
      <c r="J3623" s="11">
        <f>1/(H3623*Utilities!$B$11)</f>
        <v>8</v>
      </c>
      <c r="K3623" s="11">
        <f>IF(B3623&lt;C3623,1,EXP(-1*(B3623-C3623)/(Utilities!$B$11*IterData!H3623)))</f>
        <v>1</v>
      </c>
    </row>
    <row r="3624" spans="8:11" x14ac:dyDescent="0.3">
      <c r="H3624">
        <v>0.5</v>
      </c>
      <c r="I3624" s="11">
        <f t="shared" si="56"/>
        <v>0</v>
      </c>
      <c r="J3624" s="11">
        <f>1/(H3624*Utilities!$B$11)</f>
        <v>8</v>
      </c>
      <c r="K3624" s="11">
        <f>IF(B3624&lt;C3624,1,EXP(-1*(B3624-C3624)/(Utilities!$B$11*IterData!H3624)))</f>
        <v>1</v>
      </c>
    </row>
    <row r="3625" spans="8:11" x14ac:dyDescent="0.3">
      <c r="H3625">
        <v>0.5</v>
      </c>
      <c r="I3625" s="11">
        <f t="shared" si="56"/>
        <v>0</v>
      </c>
      <c r="J3625" s="11">
        <f>1/(H3625*Utilities!$B$11)</f>
        <v>8</v>
      </c>
      <c r="K3625" s="11">
        <f>IF(B3625&lt;C3625,1,EXP(-1*(B3625-C3625)/(Utilities!$B$11*IterData!H3625)))</f>
        <v>1</v>
      </c>
    </row>
    <row r="3626" spans="8:11" x14ac:dyDescent="0.3">
      <c r="H3626">
        <v>0.5</v>
      </c>
      <c r="I3626" s="11">
        <f t="shared" si="56"/>
        <v>0</v>
      </c>
      <c r="J3626" s="11">
        <f>1/(H3626*Utilities!$B$11)</f>
        <v>8</v>
      </c>
      <c r="K3626" s="11">
        <f>IF(B3626&lt;C3626,1,EXP(-1*(B3626-C3626)/(Utilities!$B$11*IterData!H3626)))</f>
        <v>1</v>
      </c>
    </row>
    <row r="3627" spans="8:11" x14ac:dyDescent="0.3">
      <c r="H3627">
        <v>0.5</v>
      </c>
      <c r="I3627" s="11">
        <f t="shared" si="56"/>
        <v>0</v>
      </c>
      <c r="J3627" s="11">
        <f>1/(H3627*Utilities!$B$11)</f>
        <v>8</v>
      </c>
      <c r="K3627" s="11">
        <f>IF(B3627&lt;C3627,1,EXP(-1*(B3627-C3627)/(Utilities!$B$11*IterData!H3627)))</f>
        <v>1</v>
      </c>
    </row>
    <row r="3628" spans="8:11" x14ac:dyDescent="0.3">
      <c r="H3628">
        <v>0.5</v>
      </c>
      <c r="I3628" s="11">
        <f t="shared" si="56"/>
        <v>0</v>
      </c>
      <c r="J3628" s="11">
        <f>1/(H3628*Utilities!$B$11)</f>
        <v>8</v>
      </c>
      <c r="K3628" s="11">
        <f>IF(B3628&lt;C3628,1,EXP(-1*(B3628-C3628)/(Utilities!$B$11*IterData!H3628)))</f>
        <v>1</v>
      </c>
    </row>
    <row r="3629" spans="8:11" x14ac:dyDescent="0.3">
      <c r="H3629">
        <v>0.5</v>
      </c>
      <c r="I3629" s="11">
        <f t="shared" si="56"/>
        <v>0</v>
      </c>
      <c r="J3629" s="11">
        <f>1/(H3629*Utilities!$B$11)</f>
        <v>8</v>
      </c>
      <c r="K3629" s="11">
        <f>IF(B3629&lt;C3629,1,EXP(-1*(B3629-C3629)/(Utilities!$B$11*IterData!H3629)))</f>
        <v>1</v>
      </c>
    </row>
    <row r="3630" spans="8:11" x14ac:dyDescent="0.3">
      <c r="H3630">
        <v>0.5</v>
      </c>
      <c r="I3630" s="11">
        <f t="shared" si="56"/>
        <v>0</v>
      </c>
      <c r="J3630" s="11">
        <f>1/(H3630*Utilities!$B$11)</f>
        <v>8</v>
      </c>
      <c r="K3630" s="11">
        <f>IF(B3630&lt;C3630,1,EXP(-1*(B3630-C3630)/(Utilities!$B$11*IterData!H3630)))</f>
        <v>1</v>
      </c>
    </row>
    <row r="3631" spans="8:11" x14ac:dyDescent="0.3">
      <c r="H3631">
        <v>0.5</v>
      </c>
      <c r="I3631" s="11">
        <f t="shared" si="56"/>
        <v>0</v>
      </c>
      <c r="J3631" s="11">
        <f>1/(H3631*Utilities!$B$11)</f>
        <v>8</v>
      </c>
      <c r="K3631" s="11">
        <f>IF(B3631&lt;C3631,1,EXP(-1*(B3631-C3631)/(Utilities!$B$11*IterData!H3631)))</f>
        <v>1</v>
      </c>
    </row>
    <row r="3632" spans="8:11" x14ac:dyDescent="0.3">
      <c r="H3632">
        <v>0.5</v>
      </c>
      <c r="I3632" s="11">
        <f t="shared" si="56"/>
        <v>0</v>
      </c>
      <c r="J3632" s="11">
        <f>1/(H3632*Utilities!$B$11)</f>
        <v>8</v>
      </c>
      <c r="K3632" s="11">
        <f>IF(B3632&lt;C3632,1,EXP(-1*(B3632-C3632)/(Utilities!$B$11*IterData!H3632)))</f>
        <v>1</v>
      </c>
    </row>
    <row r="3633" spans="8:11" x14ac:dyDescent="0.3">
      <c r="H3633">
        <v>0.5</v>
      </c>
      <c r="I3633" s="11">
        <f t="shared" si="56"/>
        <v>0</v>
      </c>
      <c r="J3633" s="11">
        <f>1/(H3633*Utilities!$B$11)</f>
        <v>8</v>
      </c>
      <c r="K3633" s="11">
        <f>IF(B3633&lt;C3633,1,EXP(-1*(B3633-C3633)/(Utilities!$B$11*IterData!H3633)))</f>
        <v>1</v>
      </c>
    </row>
    <row r="3634" spans="8:11" x14ac:dyDescent="0.3">
      <c r="H3634">
        <v>0.5</v>
      </c>
      <c r="I3634" s="11">
        <f t="shared" si="56"/>
        <v>0</v>
      </c>
      <c r="J3634" s="11">
        <f>1/(H3634*Utilities!$B$11)</f>
        <v>8</v>
      </c>
      <c r="K3634" s="11">
        <f>IF(B3634&lt;C3634,1,EXP(-1*(B3634-C3634)/(Utilities!$B$11*IterData!H3634)))</f>
        <v>1</v>
      </c>
    </row>
    <row r="3635" spans="8:11" x14ac:dyDescent="0.3">
      <c r="H3635">
        <v>0.5</v>
      </c>
      <c r="I3635" s="11">
        <f t="shared" si="56"/>
        <v>0</v>
      </c>
      <c r="J3635" s="11">
        <f>1/(H3635*Utilities!$B$11)</f>
        <v>8</v>
      </c>
      <c r="K3635" s="11">
        <f>IF(B3635&lt;C3635,1,EXP(-1*(B3635-C3635)/(Utilities!$B$11*IterData!H3635)))</f>
        <v>1</v>
      </c>
    </row>
    <row r="3636" spans="8:11" x14ac:dyDescent="0.3">
      <c r="H3636">
        <v>0.5</v>
      </c>
      <c r="I3636" s="11">
        <f t="shared" si="56"/>
        <v>0</v>
      </c>
      <c r="J3636" s="11">
        <f>1/(H3636*Utilities!$B$11)</f>
        <v>8</v>
      </c>
      <c r="K3636" s="11">
        <f>IF(B3636&lt;C3636,1,EXP(-1*(B3636-C3636)/(Utilities!$B$11*IterData!H3636)))</f>
        <v>1</v>
      </c>
    </row>
    <row r="3637" spans="8:11" x14ac:dyDescent="0.3">
      <c r="H3637">
        <v>0.5</v>
      </c>
      <c r="I3637" s="11">
        <f t="shared" si="56"/>
        <v>0</v>
      </c>
      <c r="J3637" s="11">
        <f>1/(H3637*Utilities!$B$11)</f>
        <v>8</v>
      </c>
      <c r="K3637" s="11">
        <f>IF(B3637&lt;C3637,1,EXP(-1*(B3637-C3637)/(Utilities!$B$11*IterData!H3637)))</f>
        <v>1</v>
      </c>
    </row>
    <row r="3638" spans="8:11" x14ac:dyDescent="0.3">
      <c r="H3638">
        <v>0.5</v>
      </c>
      <c r="I3638" s="11">
        <f t="shared" si="56"/>
        <v>0</v>
      </c>
      <c r="J3638" s="11">
        <f>1/(H3638*Utilities!$B$11)</f>
        <v>8</v>
      </c>
      <c r="K3638" s="11">
        <f>IF(B3638&lt;C3638,1,EXP(-1*(B3638-C3638)/(Utilities!$B$11*IterData!H3638)))</f>
        <v>1</v>
      </c>
    </row>
    <row r="3639" spans="8:11" x14ac:dyDescent="0.3">
      <c r="H3639">
        <v>0.5</v>
      </c>
      <c r="I3639" s="11">
        <f t="shared" si="56"/>
        <v>0</v>
      </c>
      <c r="J3639" s="11">
        <f>1/(H3639*Utilities!$B$11)</f>
        <v>8</v>
      </c>
      <c r="K3639" s="11">
        <f>IF(B3639&lt;C3639,1,EXP(-1*(B3639-C3639)/(Utilities!$B$11*IterData!H3639)))</f>
        <v>1</v>
      </c>
    </row>
    <row r="3640" spans="8:11" x14ac:dyDescent="0.3">
      <c r="H3640">
        <v>0.5</v>
      </c>
      <c r="I3640" s="11">
        <f t="shared" si="56"/>
        <v>0</v>
      </c>
      <c r="J3640" s="11">
        <f>1/(H3640*Utilities!$B$11)</f>
        <v>8</v>
      </c>
      <c r="K3640" s="11">
        <f>IF(B3640&lt;C3640,1,EXP(-1*(B3640-C3640)/(Utilities!$B$11*IterData!H3640)))</f>
        <v>1</v>
      </c>
    </row>
    <row r="3641" spans="8:11" x14ac:dyDescent="0.3">
      <c r="H3641">
        <v>0.5</v>
      </c>
      <c r="I3641" s="11">
        <f t="shared" si="56"/>
        <v>0</v>
      </c>
      <c r="J3641" s="11">
        <f>1/(H3641*Utilities!$B$11)</f>
        <v>8</v>
      </c>
      <c r="K3641" s="11">
        <f>IF(B3641&lt;C3641,1,EXP(-1*(B3641-C3641)/(Utilities!$B$11*IterData!H3641)))</f>
        <v>1</v>
      </c>
    </row>
    <row r="3642" spans="8:11" x14ac:dyDescent="0.3">
      <c r="H3642">
        <v>0.5</v>
      </c>
      <c r="I3642" s="11">
        <f t="shared" si="56"/>
        <v>0</v>
      </c>
      <c r="J3642" s="11">
        <f>1/(H3642*Utilities!$B$11)</f>
        <v>8</v>
      </c>
      <c r="K3642" s="11">
        <f>IF(B3642&lt;C3642,1,EXP(-1*(B3642-C3642)/(Utilities!$B$11*IterData!H3642)))</f>
        <v>1</v>
      </c>
    </row>
    <row r="3643" spans="8:11" x14ac:dyDescent="0.3">
      <c r="H3643">
        <v>0.5</v>
      </c>
      <c r="I3643" s="11">
        <f t="shared" si="56"/>
        <v>0</v>
      </c>
      <c r="J3643" s="11">
        <f>1/(H3643*Utilities!$B$11)</f>
        <v>8</v>
      </c>
      <c r="K3643" s="11">
        <f>IF(B3643&lt;C3643,1,EXP(-1*(B3643-C3643)/(Utilities!$B$11*IterData!H3643)))</f>
        <v>1</v>
      </c>
    </row>
    <row r="3644" spans="8:11" x14ac:dyDescent="0.3">
      <c r="H3644">
        <v>0.5</v>
      </c>
      <c r="I3644" s="11">
        <f t="shared" si="56"/>
        <v>0</v>
      </c>
      <c r="J3644" s="11">
        <f>1/(H3644*Utilities!$B$11)</f>
        <v>8</v>
      </c>
      <c r="K3644" s="11">
        <f>IF(B3644&lt;C3644,1,EXP(-1*(B3644-C3644)/(Utilities!$B$11*IterData!H3644)))</f>
        <v>1</v>
      </c>
    </row>
    <row r="3645" spans="8:11" x14ac:dyDescent="0.3">
      <c r="H3645">
        <v>0.5</v>
      </c>
      <c r="I3645" s="11">
        <f t="shared" si="56"/>
        <v>0</v>
      </c>
      <c r="J3645" s="11">
        <f>1/(H3645*Utilities!$B$11)</f>
        <v>8</v>
      </c>
      <c r="K3645" s="11">
        <f>IF(B3645&lt;C3645,1,EXP(-1*(B3645-C3645)/(Utilities!$B$11*IterData!H3645)))</f>
        <v>1</v>
      </c>
    </row>
    <row r="3646" spans="8:11" x14ac:dyDescent="0.3">
      <c r="H3646">
        <v>0.5</v>
      </c>
      <c r="I3646" s="11">
        <f t="shared" si="56"/>
        <v>0</v>
      </c>
      <c r="J3646" s="11">
        <f>1/(H3646*Utilities!$B$11)</f>
        <v>8</v>
      </c>
      <c r="K3646" s="11">
        <f>IF(B3646&lt;C3646,1,EXP(-1*(B3646-C3646)/(Utilities!$B$11*IterData!H3646)))</f>
        <v>1</v>
      </c>
    </row>
    <row r="3647" spans="8:11" x14ac:dyDescent="0.3">
      <c r="H3647">
        <v>0.5</v>
      </c>
      <c r="I3647" s="11">
        <f t="shared" si="56"/>
        <v>0</v>
      </c>
      <c r="J3647" s="11">
        <f>1/(H3647*Utilities!$B$11)</f>
        <v>8</v>
      </c>
      <c r="K3647" s="11">
        <f>IF(B3647&lt;C3647,1,EXP(-1*(B3647-C3647)/(Utilities!$B$11*IterData!H3647)))</f>
        <v>1</v>
      </c>
    </row>
    <row r="3648" spans="8:11" x14ac:dyDescent="0.3">
      <c r="H3648">
        <v>0.5</v>
      </c>
      <c r="I3648" s="11">
        <f t="shared" si="56"/>
        <v>0</v>
      </c>
      <c r="J3648" s="11">
        <f>1/(H3648*Utilities!$B$11)</f>
        <v>8</v>
      </c>
      <c r="K3648" s="11">
        <f>IF(B3648&lt;C3648,1,EXP(-1*(B3648-C3648)/(Utilities!$B$11*IterData!H3648)))</f>
        <v>1</v>
      </c>
    </row>
    <row r="3649" spans="8:11" x14ac:dyDescent="0.3">
      <c r="H3649">
        <v>0.5</v>
      </c>
      <c r="I3649" s="11">
        <f t="shared" si="56"/>
        <v>0</v>
      </c>
      <c r="J3649" s="11">
        <f>1/(H3649*Utilities!$B$11)</f>
        <v>8</v>
      </c>
      <c r="K3649" s="11">
        <f>IF(B3649&lt;C3649,1,EXP(-1*(B3649-C3649)/(Utilities!$B$11*IterData!H3649)))</f>
        <v>1</v>
      </c>
    </row>
    <row r="3650" spans="8:11" x14ac:dyDescent="0.3">
      <c r="H3650">
        <v>0.5</v>
      </c>
      <c r="I3650" s="11">
        <f t="shared" si="56"/>
        <v>0</v>
      </c>
      <c r="J3650" s="11">
        <f>1/(H3650*Utilities!$B$11)</f>
        <v>8</v>
      </c>
      <c r="K3650" s="11">
        <f>IF(B3650&lt;C3650,1,EXP(-1*(B3650-C3650)/(Utilities!$B$11*IterData!H3650)))</f>
        <v>1</v>
      </c>
    </row>
    <row r="3651" spans="8:11" x14ac:dyDescent="0.3">
      <c r="H3651">
        <v>0.5</v>
      </c>
      <c r="I3651" s="11">
        <f t="shared" ref="I3651:I3714" si="57">B3651-C3651</f>
        <v>0</v>
      </c>
      <c r="J3651" s="11">
        <f>1/(H3651*Utilities!$B$11)</f>
        <v>8</v>
      </c>
      <c r="K3651" s="11">
        <f>IF(B3651&lt;C3651,1,EXP(-1*(B3651-C3651)/(Utilities!$B$11*IterData!H3651)))</f>
        <v>1</v>
      </c>
    </row>
    <row r="3652" spans="8:11" x14ac:dyDescent="0.3">
      <c r="H3652">
        <v>0.5</v>
      </c>
      <c r="I3652" s="11">
        <f t="shared" si="57"/>
        <v>0</v>
      </c>
      <c r="J3652" s="11">
        <f>1/(H3652*Utilities!$B$11)</f>
        <v>8</v>
      </c>
      <c r="K3652" s="11">
        <f>IF(B3652&lt;C3652,1,EXP(-1*(B3652-C3652)/(Utilities!$B$11*IterData!H3652)))</f>
        <v>1</v>
      </c>
    </row>
    <row r="3653" spans="8:11" x14ac:dyDescent="0.3">
      <c r="H3653">
        <v>0.5</v>
      </c>
      <c r="I3653" s="11">
        <f t="shared" si="57"/>
        <v>0</v>
      </c>
      <c r="J3653" s="11">
        <f>1/(H3653*Utilities!$B$11)</f>
        <v>8</v>
      </c>
      <c r="K3653" s="11">
        <f>IF(B3653&lt;C3653,1,EXP(-1*(B3653-C3653)/(Utilities!$B$11*IterData!H3653)))</f>
        <v>1</v>
      </c>
    </row>
    <row r="3654" spans="8:11" x14ac:dyDescent="0.3">
      <c r="H3654">
        <v>0.5</v>
      </c>
      <c r="I3654" s="11">
        <f t="shared" si="57"/>
        <v>0</v>
      </c>
      <c r="J3654" s="11">
        <f>1/(H3654*Utilities!$B$11)</f>
        <v>8</v>
      </c>
      <c r="K3654" s="11">
        <f>IF(B3654&lt;C3654,1,EXP(-1*(B3654-C3654)/(Utilities!$B$11*IterData!H3654)))</f>
        <v>1</v>
      </c>
    </row>
    <row r="3655" spans="8:11" x14ac:dyDescent="0.3">
      <c r="H3655">
        <v>0.5</v>
      </c>
      <c r="I3655" s="11">
        <f t="shared" si="57"/>
        <v>0</v>
      </c>
      <c r="J3655" s="11">
        <f>1/(H3655*Utilities!$B$11)</f>
        <v>8</v>
      </c>
      <c r="K3655" s="11">
        <f>IF(B3655&lt;C3655,1,EXP(-1*(B3655-C3655)/(Utilities!$B$11*IterData!H3655)))</f>
        <v>1</v>
      </c>
    </row>
    <row r="3656" spans="8:11" x14ac:dyDescent="0.3">
      <c r="H3656">
        <v>0.5</v>
      </c>
      <c r="I3656" s="11">
        <f t="shared" si="57"/>
        <v>0</v>
      </c>
      <c r="J3656" s="11">
        <f>1/(H3656*Utilities!$B$11)</f>
        <v>8</v>
      </c>
      <c r="K3656" s="11">
        <f>IF(B3656&lt;C3656,1,EXP(-1*(B3656-C3656)/(Utilities!$B$11*IterData!H3656)))</f>
        <v>1</v>
      </c>
    </row>
    <row r="3657" spans="8:11" x14ac:dyDescent="0.3">
      <c r="H3657">
        <v>0.5</v>
      </c>
      <c r="I3657" s="11">
        <f t="shared" si="57"/>
        <v>0</v>
      </c>
      <c r="J3657" s="11">
        <f>1/(H3657*Utilities!$B$11)</f>
        <v>8</v>
      </c>
      <c r="K3657" s="11">
        <f>IF(B3657&lt;C3657,1,EXP(-1*(B3657-C3657)/(Utilities!$B$11*IterData!H3657)))</f>
        <v>1</v>
      </c>
    </row>
    <row r="3658" spans="8:11" x14ac:dyDescent="0.3">
      <c r="H3658">
        <v>0.5</v>
      </c>
      <c r="I3658" s="11">
        <f t="shared" si="57"/>
        <v>0</v>
      </c>
      <c r="J3658" s="11">
        <f>1/(H3658*Utilities!$B$11)</f>
        <v>8</v>
      </c>
      <c r="K3658" s="11">
        <f>IF(B3658&lt;C3658,1,EXP(-1*(B3658-C3658)/(Utilities!$B$11*IterData!H3658)))</f>
        <v>1</v>
      </c>
    </row>
    <row r="3659" spans="8:11" x14ac:dyDescent="0.3">
      <c r="H3659">
        <v>0.5</v>
      </c>
      <c r="I3659" s="11">
        <f t="shared" si="57"/>
        <v>0</v>
      </c>
      <c r="J3659" s="11">
        <f>1/(H3659*Utilities!$B$11)</f>
        <v>8</v>
      </c>
      <c r="K3659" s="11">
        <f>IF(B3659&lt;C3659,1,EXP(-1*(B3659-C3659)/(Utilities!$B$11*IterData!H3659)))</f>
        <v>1</v>
      </c>
    </row>
    <row r="3660" spans="8:11" x14ac:dyDescent="0.3">
      <c r="H3660">
        <v>0.5</v>
      </c>
      <c r="I3660" s="11">
        <f t="shared" si="57"/>
        <v>0</v>
      </c>
      <c r="J3660" s="11">
        <f>1/(H3660*Utilities!$B$11)</f>
        <v>8</v>
      </c>
      <c r="K3660" s="11">
        <f>IF(B3660&lt;C3660,1,EXP(-1*(B3660-C3660)/(Utilities!$B$11*IterData!H3660)))</f>
        <v>1</v>
      </c>
    </row>
    <row r="3661" spans="8:11" x14ac:dyDescent="0.3">
      <c r="H3661">
        <v>0.5</v>
      </c>
      <c r="I3661" s="11">
        <f t="shared" si="57"/>
        <v>0</v>
      </c>
      <c r="J3661" s="11">
        <f>1/(H3661*Utilities!$B$11)</f>
        <v>8</v>
      </c>
      <c r="K3661" s="11">
        <f>IF(B3661&lt;C3661,1,EXP(-1*(B3661-C3661)/(Utilities!$B$11*IterData!H3661)))</f>
        <v>1</v>
      </c>
    </row>
    <row r="3662" spans="8:11" x14ac:dyDescent="0.3">
      <c r="H3662">
        <v>0.5</v>
      </c>
      <c r="I3662" s="11">
        <f t="shared" si="57"/>
        <v>0</v>
      </c>
      <c r="J3662" s="11">
        <f>1/(H3662*Utilities!$B$11)</f>
        <v>8</v>
      </c>
      <c r="K3662" s="11">
        <f>IF(B3662&lt;C3662,1,EXP(-1*(B3662-C3662)/(Utilities!$B$11*IterData!H3662)))</f>
        <v>1</v>
      </c>
    </row>
    <row r="3663" spans="8:11" x14ac:dyDescent="0.3">
      <c r="H3663">
        <v>0.5</v>
      </c>
      <c r="I3663" s="11">
        <f t="shared" si="57"/>
        <v>0</v>
      </c>
      <c r="J3663" s="11">
        <f>1/(H3663*Utilities!$B$11)</f>
        <v>8</v>
      </c>
      <c r="K3663" s="11">
        <f>IF(B3663&lt;C3663,1,EXP(-1*(B3663-C3663)/(Utilities!$B$11*IterData!H3663)))</f>
        <v>1</v>
      </c>
    </row>
    <row r="3664" spans="8:11" x14ac:dyDescent="0.3">
      <c r="H3664">
        <v>0.5</v>
      </c>
      <c r="I3664" s="11">
        <f t="shared" si="57"/>
        <v>0</v>
      </c>
      <c r="J3664" s="11">
        <f>1/(H3664*Utilities!$B$11)</f>
        <v>8</v>
      </c>
      <c r="K3664" s="11">
        <f>IF(B3664&lt;C3664,1,EXP(-1*(B3664-C3664)/(Utilities!$B$11*IterData!H3664)))</f>
        <v>1</v>
      </c>
    </row>
    <row r="3665" spans="8:11" x14ac:dyDescent="0.3">
      <c r="H3665">
        <v>0.5</v>
      </c>
      <c r="I3665" s="11">
        <f t="shared" si="57"/>
        <v>0</v>
      </c>
      <c r="J3665" s="11">
        <f>1/(H3665*Utilities!$B$11)</f>
        <v>8</v>
      </c>
      <c r="K3665" s="11">
        <f>IF(B3665&lt;C3665,1,EXP(-1*(B3665-C3665)/(Utilities!$B$11*IterData!H3665)))</f>
        <v>1</v>
      </c>
    </row>
    <row r="3666" spans="8:11" x14ac:dyDescent="0.3">
      <c r="H3666">
        <v>0.5</v>
      </c>
      <c r="I3666" s="11">
        <f t="shared" si="57"/>
        <v>0</v>
      </c>
      <c r="J3666" s="11">
        <f>1/(H3666*Utilities!$B$11)</f>
        <v>8</v>
      </c>
      <c r="K3666" s="11">
        <f>IF(B3666&lt;C3666,1,EXP(-1*(B3666-C3666)/(Utilities!$B$11*IterData!H3666)))</f>
        <v>1</v>
      </c>
    </row>
    <row r="3667" spans="8:11" x14ac:dyDescent="0.3">
      <c r="H3667">
        <v>0.5</v>
      </c>
      <c r="I3667" s="11">
        <f t="shared" si="57"/>
        <v>0</v>
      </c>
      <c r="J3667" s="11">
        <f>1/(H3667*Utilities!$B$11)</f>
        <v>8</v>
      </c>
      <c r="K3667" s="11">
        <f>IF(B3667&lt;C3667,1,EXP(-1*(B3667-C3667)/(Utilities!$B$11*IterData!H3667)))</f>
        <v>1</v>
      </c>
    </row>
    <row r="3668" spans="8:11" x14ac:dyDescent="0.3">
      <c r="H3668">
        <v>0.5</v>
      </c>
      <c r="I3668" s="11">
        <f t="shared" si="57"/>
        <v>0</v>
      </c>
      <c r="J3668" s="11">
        <f>1/(H3668*Utilities!$B$11)</f>
        <v>8</v>
      </c>
      <c r="K3668" s="11">
        <f>IF(B3668&lt;C3668,1,EXP(-1*(B3668-C3668)/(Utilities!$B$11*IterData!H3668)))</f>
        <v>1</v>
      </c>
    </row>
    <row r="3669" spans="8:11" x14ac:dyDescent="0.3">
      <c r="H3669">
        <v>0.5</v>
      </c>
      <c r="I3669" s="11">
        <f t="shared" si="57"/>
        <v>0</v>
      </c>
      <c r="J3669" s="11">
        <f>1/(H3669*Utilities!$B$11)</f>
        <v>8</v>
      </c>
      <c r="K3669" s="11">
        <f>IF(B3669&lt;C3669,1,EXP(-1*(B3669-C3669)/(Utilities!$B$11*IterData!H3669)))</f>
        <v>1</v>
      </c>
    </row>
    <row r="3670" spans="8:11" x14ac:dyDescent="0.3">
      <c r="H3670">
        <v>0.5</v>
      </c>
      <c r="I3670" s="11">
        <f t="shared" si="57"/>
        <v>0</v>
      </c>
      <c r="J3670" s="11">
        <f>1/(H3670*Utilities!$B$11)</f>
        <v>8</v>
      </c>
      <c r="K3670" s="11">
        <f>IF(B3670&lt;C3670,1,EXP(-1*(B3670-C3670)/(Utilities!$B$11*IterData!H3670)))</f>
        <v>1</v>
      </c>
    </row>
    <row r="3671" spans="8:11" x14ac:dyDescent="0.3">
      <c r="H3671">
        <v>0.5</v>
      </c>
      <c r="I3671" s="11">
        <f t="shared" si="57"/>
        <v>0</v>
      </c>
      <c r="J3671" s="11">
        <f>1/(H3671*Utilities!$B$11)</f>
        <v>8</v>
      </c>
      <c r="K3671" s="11">
        <f>IF(B3671&lt;C3671,1,EXP(-1*(B3671-C3671)/(Utilities!$B$11*IterData!H3671)))</f>
        <v>1</v>
      </c>
    </row>
    <row r="3672" spans="8:11" x14ac:dyDescent="0.3">
      <c r="H3672">
        <v>0.5</v>
      </c>
      <c r="I3672" s="11">
        <f t="shared" si="57"/>
        <v>0</v>
      </c>
      <c r="J3672" s="11">
        <f>1/(H3672*Utilities!$B$11)</f>
        <v>8</v>
      </c>
      <c r="K3672" s="11">
        <f>IF(B3672&lt;C3672,1,EXP(-1*(B3672-C3672)/(Utilities!$B$11*IterData!H3672)))</f>
        <v>1</v>
      </c>
    </row>
    <row r="3673" spans="8:11" x14ac:dyDescent="0.3">
      <c r="H3673">
        <v>0.5</v>
      </c>
      <c r="I3673" s="11">
        <f t="shared" si="57"/>
        <v>0</v>
      </c>
      <c r="J3673" s="11">
        <f>1/(H3673*Utilities!$B$11)</f>
        <v>8</v>
      </c>
      <c r="K3673" s="11">
        <f>IF(B3673&lt;C3673,1,EXP(-1*(B3673-C3673)/(Utilities!$B$11*IterData!H3673)))</f>
        <v>1</v>
      </c>
    </row>
    <row r="3674" spans="8:11" x14ac:dyDescent="0.3">
      <c r="H3674">
        <v>0.5</v>
      </c>
      <c r="I3674" s="11">
        <f t="shared" si="57"/>
        <v>0</v>
      </c>
      <c r="J3674" s="11">
        <f>1/(H3674*Utilities!$B$11)</f>
        <v>8</v>
      </c>
      <c r="K3674" s="11">
        <f>IF(B3674&lt;C3674,1,EXP(-1*(B3674-C3674)/(Utilities!$B$11*IterData!H3674)))</f>
        <v>1</v>
      </c>
    </row>
    <row r="3675" spans="8:11" x14ac:dyDescent="0.3">
      <c r="H3675">
        <v>0.5</v>
      </c>
      <c r="I3675" s="11">
        <f t="shared" si="57"/>
        <v>0</v>
      </c>
      <c r="J3675" s="11">
        <f>1/(H3675*Utilities!$B$11)</f>
        <v>8</v>
      </c>
      <c r="K3675" s="11">
        <f>IF(B3675&lt;C3675,1,EXP(-1*(B3675-C3675)/(Utilities!$B$11*IterData!H3675)))</f>
        <v>1</v>
      </c>
    </row>
    <row r="3676" spans="8:11" x14ac:dyDescent="0.3">
      <c r="H3676">
        <v>0.5</v>
      </c>
      <c r="I3676" s="11">
        <f t="shared" si="57"/>
        <v>0</v>
      </c>
      <c r="J3676" s="11">
        <f>1/(H3676*Utilities!$B$11)</f>
        <v>8</v>
      </c>
      <c r="K3676" s="11">
        <f>IF(B3676&lt;C3676,1,EXP(-1*(B3676-C3676)/(Utilities!$B$11*IterData!H3676)))</f>
        <v>1</v>
      </c>
    </row>
    <row r="3677" spans="8:11" x14ac:dyDescent="0.3">
      <c r="H3677">
        <v>0.5</v>
      </c>
      <c r="I3677" s="11">
        <f t="shared" si="57"/>
        <v>0</v>
      </c>
      <c r="J3677" s="11">
        <f>1/(H3677*Utilities!$B$11)</f>
        <v>8</v>
      </c>
      <c r="K3677" s="11">
        <f>IF(B3677&lt;C3677,1,EXP(-1*(B3677-C3677)/(Utilities!$B$11*IterData!H3677)))</f>
        <v>1</v>
      </c>
    </row>
    <row r="3678" spans="8:11" x14ac:dyDescent="0.3">
      <c r="H3678">
        <v>0.5</v>
      </c>
      <c r="I3678" s="11">
        <f t="shared" si="57"/>
        <v>0</v>
      </c>
      <c r="J3678" s="11">
        <f>1/(H3678*Utilities!$B$11)</f>
        <v>8</v>
      </c>
      <c r="K3678" s="11">
        <f>IF(B3678&lt;C3678,1,EXP(-1*(B3678-C3678)/(Utilities!$B$11*IterData!H3678)))</f>
        <v>1</v>
      </c>
    </row>
    <row r="3679" spans="8:11" x14ac:dyDescent="0.3">
      <c r="H3679">
        <v>0.5</v>
      </c>
      <c r="I3679" s="11">
        <f t="shared" si="57"/>
        <v>0</v>
      </c>
      <c r="J3679" s="11">
        <f>1/(H3679*Utilities!$B$11)</f>
        <v>8</v>
      </c>
      <c r="K3679" s="11">
        <f>IF(B3679&lt;C3679,1,EXP(-1*(B3679-C3679)/(Utilities!$B$11*IterData!H3679)))</f>
        <v>1</v>
      </c>
    </row>
    <row r="3680" spans="8:11" x14ac:dyDescent="0.3">
      <c r="H3680">
        <v>0.5</v>
      </c>
      <c r="I3680" s="11">
        <f t="shared" si="57"/>
        <v>0</v>
      </c>
      <c r="J3680" s="11">
        <f>1/(H3680*Utilities!$B$11)</f>
        <v>8</v>
      </c>
      <c r="K3680" s="11">
        <f>IF(B3680&lt;C3680,1,EXP(-1*(B3680-C3680)/(Utilities!$B$11*IterData!H3680)))</f>
        <v>1</v>
      </c>
    </row>
    <row r="3681" spans="8:11" x14ac:dyDescent="0.3">
      <c r="H3681">
        <v>0.5</v>
      </c>
      <c r="I3681" s="11">
        <f t="shared" si="57"/>
        <v>0</v>
      </c>
      <c r="J3681" s="11">
        <f>1/(H3681*Utilities!$B$11)</f>
        <v>8</v>
      </c>
      <c r="K3681" s="11">
        <f>IF(B3681&lt;C3681,1,EXP(-1*(B3681-C3681)/(Utilities!$B$11*IterData!H3681)))</f>
        <v>1</v>
      </c>
    </row>
    <row r="3682" spans="8:11" x14ac:dyDescent="0.3">
      <c r="H3682">
        <v>0.5</v>
      </c>
      <c r="I3682" s="11">
        <f t="shared" si="57"/>
        <v>0</v>
      </c>
      <c r="J3682" s="11">
        <f>1/(H3682*Utilities!$B$11)</f>
        <v>8</v>
      </c>
      <c r="K3682" s="11">
        <f>IF(B3682&lt;C3682,1,EXP(-1*(B3682-C3682)/(Utilities!$B$11*IterData!H3682)))</f>
        <v>1</v>
      </c>
    </row>
    <row r="3683" spans="8:11" x14ac:dyDescent="0.3">
      <c r="H3683">
        <v>0.5</v>
      </c>
      <c r="I3683" s="11">
        <f t="shared" si="57"/>
        <v>0</v>
      </c>
      <c r="J3683" s="11">
        <f>1/(H3683*Utilities!$B$11)</f>
        <v>8</v>
      </c>
      <c r="K3683" s="11">
        <f>IF(B3683&lt;C3683,1,EXP(-1*(B3683-C3683)/(Utilities!$B$11*IterData!H3683)))</f>
        <v>1</v>
      </c>
    </row>
    <row r="3684" spans="8:11" x14ac:dyDescent="0.3">
      <c r="H3684">
        <v>0.5</v>
      </c>
      <c r="I3684" s="11">
        <f t="shared" si="57"/>
        <v>0</v>
      </c>
      <c r="J3684" s="11">
        <f>1/(H3684*Utilities!$B$11)</f>
        <v>8</v>
      </c>
      <c r="K3684" s="11">
        <f>IF(B3684&lt;C3684,1,EXP(-1*(B3684-C3684)/(Utilities!$B$11*IterData!H3684)))</f>
        <v>1</v>
      </c>
    </row>
    <row r="3685" spans="8:11" x14ac:dyDescent="0.3">
      <c r="H3685">
        <v>0.5</v>
      </c>
      <c r="I3685" s="11">
        <f t="shared" si="57"/>
        <v>0</v>
      </c>
      <c r="J3685" s="11">
        <f>1/(H3685*Utilities!$B$11)</f>
        <v>8</v>
      </c>
      <c r="K3685" s="11">
        <f>IF(B3685&lt;C3685,1,EXP(-1*(B3685-C3685)/(Utilities!$B$11*IterData!H3685)))</f>
        <v>1</v>
      </c>
    </row>
    <row r="3686" spans="8:11" x14ac:dyDescent="0.3">
      <c r="H3686">
        <v>0.5</v>
      </c>
      <c r="I3686" s="11">
        <f t="shared" si="57"/>
        <v>0</v>
      </c>
      <c r="J3686" s="11">
        <f>1/(H3686*Utilities!$B$11)</f>
        <v>8</v>
      </c>
      <c r="K3686" s="11">
        <f>IF(B3686&lt;C3686,1,EXP(-1*(B3686-C3686)/(Utilities!$B$11*IterData!H3686)))</f>
        <v>1</v>
      </c>
    </row>
    <row r="3687" spans="8:11" x14ac:dyDescent="0.3">
      <c r="H3687">
        <v>0.5</v>
      </c>
      <c r="I3687" s="11">
        <f t="shared" si="57"/>
        <v>0</v>
      </c>
      <c r="J3687" s="11">
        <f>1/(H3687*Utilities!$B$11)</f>
        <v>8</v>
      </c>
      <c r="K3687" s="11">
        <f>IF(B3687&lt;C3687,1,EXP(-1*(B3687-C3687)/(Utilities!$B$11*IterData!H3687)))</f>
        <v>1</v>
      </c>
    </row>
    <row r="3688" spans="8:11" x14ac:dyDescent="0.3">
      <c r="H3688">
        <v>0.5</v>
      </c>
      <c r="I3688" s="11">
        <f t="shared" si="57"/>
        <v>0</v>
      </c>
      <c r="J3688" s="11">
        <f>1/(H3688*Utilities!$B$11)</f>
        <v>8</v>
      </c>
      <c r="K3688" s="11">
        <f>IF(B3688&lt;C3688,1,EXP(-1*(B3688-C3688)/(Utilities!$B$11*IterData!H3688)))</f>
        <v>1</v>
      </c>
    </row>
    <row r="3689" spans="8:11" x14ac:dyDescent="0.3">
      <c r="H3689">
        <v>0.5</v>
      </c>
      <c r="I3689" s="11">
        <f t="shared" si="57"/>
        <v>0</v>
      </c>
      <c r="J3689" s="11">
        <f>1/(H3689*Utilities!$B$11)</f>
        <v>8</v>
      </c>
      <c r="K3689" s="11">
        <f>IF(B3689&lt;C3689,1,EXP(-1*(B3689-C3689)/(Utilities!$B$11*IterData!H3689)))</f>
        <v>1</v>
      </c>
    </row>
    <row r="3690" spans="8:11" x14ac:dyDescent="0.3">
      <c r="H3690">
        <v>0.5</v>
      </c>
      <c r="I3690" s="11">
        <f t="shared" si="57"/>
        <v>0</v>
      </c>
      <c r="J3690" s="11">
        <f>1/(H3690*Utilities!$B$11)</f>
        <v>8</v>
      </c>
      <c r="K3690" s="11">
        <f>IF(B3690&lt;C3690,1,EXP(-1*(B3690-C3690)/(Utilities!$B$11*IterData!H3690)))</f>
        <v>1</v>
      </c>
    </row>
    <row r="3691" spans="8:11" x14ac:dyDescent="0.3">
      <c r="H3691">
        <v>0.5</v>
      </c>
      <c r="I3691" s="11">
        <f t="shared" si="57"/>
        <v>0</v>
      </c>
      <c r="J3691" s="11">
        <f>1/(H3691*Utilities!$B$11)</f>
        <v>8</v>
      </c>
      <c r="K3691" s="11">
        <f>IF(B3691&lt;C3691,1,EXP(-1*(B3691-C3691)/(Utilities!$B$11*IterData!H3691)))</f>
        <v>1</v>
      </c>
    </row>
    <row r="3692" spans="8:11" x14ac:dyDescent="0.3">
      <c r="H3692">
        <v>0.5</v>
      </c>
      <c r="I3692" s="11">
        <f t="shared" si="57"/>
        <v>0</v>
      </c>
      <c r="J3692" s="11">
        <f>1/(H3692*Utilities!$B$11)</f>
        <v>8</v>
      </c>
      <c r="K3692" s="11">
        <f>IF(B3692&lt;C3692,1,EXP(-1*(B3692-C3692)/(Utilities!$B$11*IterData!H3692)))</f>
        <v>1</v>
      </c>
    </row>
    <row r="3693" spans="8:11" x14ac:dyDescent="0.3">
      <c r="H3693">
        <v>0.5</v>
      </c>
      <c r="I3693" s="11">
        <f t="shared" si="57"/>
        <v>0</v>
      </c>
      <c r="J3693" s="11">
        <f>1/(H3693*Utilities!$B$11)</f>
        <v>8</v>
      </c>
      <c r="K3693" s="11">
        <f>IF(B3693&lt;C3693,1,EXP(-1*(B3693-C3693)/(Utilities!$B$11*IterData!H3693)))</f>
        <v>1</v>
      </c>
    </row>
    <row r="3694" spans="8:11" x14ac:dyDescent="0.3">
      <c r="H3694">
        <v>0.5</v>
      </c>
      <c r="I3694" s="11">
        <f t="shared" si="57"/>
        <v>0</v>
      </c>
      <c r="J3694" s="11">
        <f>1/(H3694*Utilities!$B$11)</f>
        <v>8</v>
      </c>
      <c r="K3694" s="11">
        <f>IF(B3694&lt;C3694,1,EXP(-1*(B3694-C3694)/(Utilities!$B$11*IterData!H3694)))</f>
        <v>1</v>
      </c>
    </row>
    <row r="3695" spans="8:11" x14ac:dyDescent="0.3">
      <c r="H3695">
        <v>0.5</v>
      </c>
      <c r="I3695" s="11">
        <f t="shared" si="57"/>
        <v>0</v>
      </c>
      <c r="J3695" s="11">
        <f>1/(H3695*Utilities!$B$11)</f>
        <v>8</v>
      </c>
      <c r="K3695" s="11">
        <f>IF(B3695&lt;C3695,1,EXP(-1*(B3695-C3695)/(Utilities!$B$11*IterData!H3695)))</f>
        <v>1</v>
      </c>
    </row>
    <row r="3696" spans="8:11" x14ac:dyDescent="0.3">
      <c r="H3696">
        <v>0.5</v>
      </c>
      <c r="I3696" s="11">
        <f t="shared" si="57"/>
        <v>0</v>
      </c>
      <c r="J3696" s="11">
        <f>1/(H3696*Utilities!$B$11)</f>
        <v>8</v>
      </c>
      <c r="K3696" s="11">
        <f>IF(B3696&lt;C3696,1,EXP(-1*(B3696-C3696)/(Utilities!$B$11*IterData!H3696)))</f>
        <v>1</v>
      </c>
    </row>
    <row r="3697" spans="8:11" x14ac:dyDescent="0.3">
      <c r="H3697">
        <v>0.5</v>
      </c>
      <c r="I3697" s="11">
        <f t="shared" si="57"/>
        <v>0</v>
      </c>
      <c r="J3697" s="11">
        <f>1/(H3697*Utilities!$B$11)</f>
        <v>8</v>
      </c>
      <c r="K3697" s="11">
        <f>IF(B3697&lt;C3697,1,EXP(-1*(B3697-C3697)/(Utilities!$B$11*IterData!H3697)))</f>
        <v>1</v>
      </c>
    </row>
    <row r="3698" spans="8:11" x14ac:dyDescent="0.3">
      <c r="H3698">
        <v>0.5</v>
      </c>
      <c r="I3698" s="11">
        <f t="shared" si="57"/>
        <v>0</v>
      </c>
      <c r="J3698" s="11">
        <f>1/(H3698*Utilities!$B$11)</f>
        <v>8</v>
      </c>
      <c r="K3698" s="11">
        <f>IF(B3698&lt;C3698,1,EXP(-1*(B3698-C3698)/(Utilities!$B$11*IterData!H3698)))</f>
        <v>1</v>
      </c>
    </row>
    <row r="3699" spans="8:11" x14ac:dyDescent="0.3">
      <c r="H3699">
        <v>0.5</v>
      </c>
      <c r="I3699" s="11">
        <f t="shared" si="57"/>
        <v>0</v>
      </c>
      <c r="J3699" s="11">
        <f>1/(H3699*Utilities!$B$11)</f>
        <v>8</v>
      </c>
      <c r="K3699" s="11">
        <f>IF(B3699&lt;C3699,1,EXP(-1*(B3699-C3699)/(Utilities!$B$11*IterData!H3699)))</f>
        <v>1</v>
      </c>
    </row>
    <row r="3700" spans="8:11" x14ac:dyDescent="0.3">
      <c r="H3700">
        <v>0.5</v>
      </c>
      <c r="I3700" s="11">
        <f t="shared" si="57"/>
        <v>0</v>
      </c>
      <c r="J3700" s="11">
        <f>1/(H3700*Utilities!$B$11)</f>
        <v>8</v>
      </c>
      <c r="K3700" s="11">
        <f>IF(B3700&lt;C3700,1,EXP(-1*(B3700-C3700)/(Utilities!$B$11*IterData!H3700)))</f>
        <v>1</v>
      </c>
    </row>
    <row r="3701" spans="8:11" x14ac:dyDescent="0.3">
      <c r="H3701">
        <v>0.5</v>
      </c>
      <c r="I3701" s="11">
        <f t="shared" si="57"/>
        <v>0</v>
      </c>
      <c r="J3701" s="11">
        <f>1/(H3701*Utilities!$B$11)</f>
        <v>8</v>
      </c>
      <c r="K3701" s="11">
        <f>IF(B3701&lt;C3701,1,EXP(-1*(B3701-C3701)/(Utilities!$B$11*IterData!H3701)))</f>
        <v>1</v>
      </c>
    </row>
    <row r="3702" spans="8:11" x14ac:dyDescent="0.3">
      <c r="H3702">
        <v>0.5</v>
      </c>
      <c r="I3702" s="11">
        <f t="shared" si="57"/>
        <v>0</v>
      </c>
      <c r="J3702" s="11">
        <f>1/(H3702*Utilities!$B$11)</f>
        <v>8</v>
      </c>
      <c r="K3702" s="11">
        <f>IF(B3702&lt;C3702,1,EXP(-1*(B3702-C3702)/(Utilities!$B$11*IterData!H3702)))</f>
        <v>1</v>
      </c>
    </row>
    <row r="3703" spans="8:11" x14ac:dyDescent="0.3">
      <c r="H3703">
        <v>0.5</v>
      </c>
      <c r="I3703" s="11">
        <f t="shared" si="57"/>
        <v>0</v>
      </c>
      <c r="J3703" s="11">
        <f>1/(H3703*Utilities!$B$11)</f>
        <v>8</v>
      </c>
      <c r="K3703" s="11">
        <f>IF(B3703&lt;C3703,1,EXP(-1*(B3703-C3703)/(Utilities!$B$11*IterData!H3703)))</f>
        <v>1</v>
      </c>
    </row>
    <row r="3704" spans="8:11" x14ac:dyDescent="0.3">
      <c r="H3704">
        <v>0.5</v>
      </c>
      <c r="I3704" s="11">
        <f t="shared" si="57"/>
        <v>0</v>
      </c>
      <c r="J3704" s="11">
        <f>1/(H3704*Utilities!$B$11)</f>
        <v>8</v>
      </c>
      <c r="K3704" s="11">
        <f>IF(B3704&lt;C3704,1,EXP(-1*(B3704-C3704)/(Utilities!$B$11*IterData!H3704)))</f>
        <v>1</v>
      </c>
    </row>
    <row r="3705" spans="8:11" x14ac:dyDescent="0.3">
      <c r="H3705">
        <v>0.5</v>
      </c>
      <c r="I3705" s="11">
        <f t="shared" si="57"/>
        <v>0</v>
      </c>
      <c r="J3705" s="11">
        <f>1/(H3705*Utilities!$B$11)</f>
        <v>8</v>
      </c>
      <c r="K3705" s="11">
        <f>IF(B3705&lt;C3705,1,EXP(-1*(B3705-C3705)/(Utilities!$B$11*IterData!H3705)))</f>
        <v>1</v>
      </c>
    </row>
    <row r="3706" spans="8:11" x14ac:dyDescent="0.3">
      <c r="H3706">
        <v>0.5</v>
      </c>
      <c r="I3706" s="11">
        <f t="shared" si="57"/>
        <v>0</v>
      </c>
      <c r="J3706" s="11">
        <f>1/(H3706*Utilities!$B$11)</f>
        <v>8</v>
      </c>
      <c r="K3706" s="11">
        <f>IF(B3706&lt;C3706,1,EXP(-1*(B3706-C3706)/(Utilities!$B$11*IterData!H3706)))</f>
        <v>1</v>
      </c>
    </row>
    <row r="3707" spans="8:11" x14ac:dyDescent="0.3">
      <c r="H3707">
        <v>0.5</v>
      </c>
      <c r="I3707" s="11">
        <f t="shared" si="57"/>
        <v>0</v>
      </c>
      <c r="J3707" s="11">
        <f>1/(H3707*Utilities!$B$11)</f>
        <v>8</v>
      </c>
      <c r="K3707" s="11">
        <f>IF(B3707&lt;C3707,1,EXP(-1*(B3707-C3707)/(Utilities!$B$11*IterData!H3707)))</f>
        <v>1</v>
      </c>
    </row>
    <row r="3708" spans="8:11" x14ac:dyDescent="0.3">
      <c r="H3708">
        <v>0.5</v>
      </c>
      <c r="I3708" s="11">
        <f t="shared" si="57"/>
        <v>0</v>
      </c>
      <c r="J3708" s="11">
        <f>1/(H3708*Utilities!$B$11)</f>
        <v>8</v>
      </c>
      <c r="K3708" s="11">
        <f>IF(B3708&lt;C3708,1,EXP(-1*(B3708-C3708)/(Utilities!$B$11*IterData!H3708)))</f>
        <v>1</v>
      </c>
    </row>
    <row r="3709" spans="8:11" x14ac:dyDescent="0.3">
      <c r="H3709">
        <v>0.5</v>
      </c>
      <c r="I3709" s="11">
        <f t="shared" si="57"/>
        <v>0</v>
      </c>
      <c r="J3709" s="11">
        <f>1/(H3709*Utilities!$B$11)</f>
        <v>8</v>
      </c>
      <c r="K3709" s="11">
        <f>IF(B3709&lt;C3709,1,EXP(-1*(B3709-C3709)/(Utilities!$B$11*IterData!H3709)))</f>
        <v>1</v>
      </c>
    </row>
    <row r="3710" spans="8:11" x14ac:dyDescent="0.3">
      <c r="H3710">
        <v>0.5</v>
      </c>
      <c r="I3710" s="11">
        <f t="shared" si="57"/>
        <v>0</v>
      </c>
      <c r="J3710" s="11">
        <f>1/(H3710*Utilities!$B$11)</f>
        <v>8</v>
      </c>
      <c r="K3710" s="11">
        <f>IF(B3710&lt;C3710,1,EXP(-1*(B3710-C3710)/(Utilities!$B$11*IterData!H3710)))</f>
        <v>1</v>
      </c>
    </row>
    <row r="3711" spans="8:11" x14ac:dyDescent="0.3">
      <c r="H3711">
        <v>0.5</v>
      </c>
      <c r="I3711" s="11">
        <f t="shared" si="57"/>
        <v>0</v>
      </c>
      <c r="J3711" s="11">
        <f>1/(H3711*Utilities!$B$11)</f>
        <v>8</v>
      </c>
      <c r="K3711" s="11">
        <f>IF(B3711&lt;C3711,1,EXP(-1*(B3711-C3711)/(Utilities!$B$11*IterData!H3711)))</f>
        <v>1</v>
      </c>
    </row>
    <row r="3712" spans="8:11" x14ac:dyDescent="0.3">
      <c r="H3712">
        <v>0.5</v>
      </c>
      <c r="I3712" s="11">
        <f t="shared" si="57"/>
        <v>0</v>
      </c>
      <c r="J3712" s="11">
        <f>1/(H3712*Utilities!$B$11)</f>
        <v>8</v>
      </c>
      <c r="K3712" s="11">
        <f>IF(B3712&lt;C3712,1,EXP(-1*(B3712-C3712)/(Utilities!$B$11*IterData!H3712)))</f>
        <v>1</v>
      </c>
    </row>
    <row r="3713" spans="8:11" x14ac:dyDescent="0.3">
      <c r="H3713">
        <v>0.5</v>
      </c>
      <c r="I3713" s="11">
        <f t="shared" si="57"/>
        <v>0</v>
      </c>
      <c r="J3713" s="11">
        <f>1/(H3713*Utilities!$B$11)</f>
        <v>8</v>
      </c>
      <c r="K3713" s="11">
        <f>IF(B3713&lt;C3713,1,EXP(-1*(B3713-C3713)/(Utilities!$B$11*IterData!H3713)))</f>
        <v>1</v>
      </c>
    </row>
    <row r="3714" spans="8:11" x14ac:dyDescent="0.3">
      <c r="H3714">
        <v>0.5</v>
      </c>
      <c r="I3714" s="11">
        <f t="shared" si="57"/>
        <v>0</v>
      </c>
      <c r="J3714" s="11">
        <f>1/(H3714*Utilities!$B$11)</f>
        <v>8</v>
      </c>
      <c r="K3714" s="11">
        <f>IF(B3714&lt;C3714,1,EXP(-1*(B3714-C3714)/(Utilities!$B$11*IterData!H3714)))</f>
        <v>1</v>
      </c>
    </row>
    <row r="3715" spans="8:11" x14ac:dyDescent="0.3">
      <c r="H3715">
        <v>0.5</v>
      </c>
      <c r="I3715" s="11">
        <f t="shared" ref="I3715:I3778" si="58">B3715-C3715</f>
        <v>0</v>
      </c>
      <c r="J3715" s="11">
        <f>1/(H3715*Utilities!$B$11)</f>
        <v>8</v>
      </c>
      <c r="K3715" s="11">
        <f>IF(B3715&lt;C3715,1,EXP(-1*(B3715-C3715)/(Utilities!$B$11*IterData!H3715)))</f>
        <v>1</v>
      </c>
    </row>
    <row r="3716" spans="8:11" x14ac:dyDescent="0.3">
      <c r="H3716">
        <v>0.5</v>
      </c>
      <c r="I3716" s="11">
        <f t="shared" si="58"/>
        <v>0</v>
      </c>
      <c r="J3716" s="11">
        <f>1/(H3716*Utilities!$B$11)</f>
        <v>8</v>
      </c>
      <c r="K3716" s="11">
        <f>IF(B3716&lt;C3716,1,EXP(-1*(B3716-C3716)/(Utilities!$B$11*IterData!H3716)))</f>
        <v>1</v>
      </c>
    </row>
    <row r="3717" spans="8:11" x14ac:dyDescent="0.3">
      <c r="H3717">
        <v>0.5</v>
      </c>
      <c r="I3717" s="11">
        <f t="shared" si="58"/>
        <v>0</v>
      </c>
      <c r="J3717" s="11">
        <f>1/(H3717*Utilities!$B$11)</f>
        <v>8</v>
      </c>
      <c r="K3717" s="11">
        <f>IF(B3717&lt;C3717,1,EXP(-1*(B3717-C3717)/(Utilities!$B$11*IterData!H3717)))</f>
        <v>1</v>
      </c>
    </row>
    <row r="3718" spans="8:11" x14ac:dyDescent="0.3">
      <c r="H3718">
        <v>0.5</v>
      </c>
      <c r="I3718" s="11">
        <f t="shared" si="58"/>
        <v>0</v>
      </c>
      <c r="J3718" s="11">
        <f>1/(H3718*Utilities!$B$11)</f>
        <v>8</v>
      </c>
      <c r="K3718" s="11">
        <f>IF(B3718&lt;C3718,1,EXP(-1*(B3718-C3718)/(Utilities!$B$11*IterData!H3718)))</f>
        <v>1</v>
      </c>
    </row>
    <row r="3719" spans="8:11" x14ac:dyDescent="0.3">
      <c r="H3719">
        <v>0.5</v>
      </c>
      <c r="I3719" s="11">
        <f t="shared" si="58"/>
        <v>0</v>
      </c>
      <c r="J3719" s="11">
        <f>1/(H3719*Utilities!$B$11)</f>
        <v>8</v>
      </c>
      <c r="K3719" s="11">
        <f>IF(B3719&lt;C3719,1,EXP(-1*(B3719-C3719)/(Utilities!$B$11*IterData!H3719)))</f>
        <v>1</v>
      </c>
    </row>
    <row r="3720" spans="8:11" x14ac:dyDescent="0.3">
      <c r="H3720">
        <v>0.5</v>
      </c>
      <c r="I3720" s="11">
        <f t="shared" si="58"/>
        <v>0</v>
      </c>
      <c r="J3720" s="11">
        <f>1/(H3720*Utilities!$B$11)</f>
        <v>8</v>
      </c>
      <c r="K3720" s="11">
        <f>IF(B3720&lt;C3720,1,EXP(-1*(B3720-C3720)/(Utilities!$B$11*IterData!H3720)))</f>
        <v>1</v>
      </c>
    </row>
    <row r="3721" spans="8:11" x14ac:dyDescent="0.3">
      <c r="H3721">
        <v>0.5</v>
      </c>
      <c r="I3721" s="11">
        <f t="shared" si="58"/>
        <v>0</v>
      </c>
      <c r="J3721" s="11">
        <f>1/(H3721*Utilities!$B$11)</f>
        <v>8</v>
      </c>
      <c r="K3721" s="11">
        <f>IF(B3721&lt;C3721,1,EXP(-1*(B3721-C3721)/(Utilities!$B$11*IterData!H3721)))</f>
        <v>1</v>
      </c>
    </row>
    <row r="3722" spans="8:11" x14ac:dyDescent="0.3">
      <c r="H3722">
        <v>0.5</v>
      </c>
      <c r="I3722" s="11">
        <f t="shared" si="58"/>
        <v>0</v>
      </c>
      <c r="J3722" s="11">
        <f>1/(H3722*Utilities!$B$11)</f>
        <v>8</v>
      </c>
      <c r="K3722" s="11">
        <f>IF(B3722&lt;C3722,1,EXP(-1*(B3722-C3722)/(Utilities!$B$11*IterData!H3722)))</f>
        <v>1</v>
      </c>
    </row>
    <row r="3723" spans="8:11" x14ac:dyDescent="0.3">
      <c r="H3723">
        <v>0.5</v>
      </c>
      <c r="I3723" s="11">
        <f t="shared" si="58"/>
        <v>0</v>
      </c>
      <c r="J3723" s="11">
        <f>1/(H3723*Utilities!$B$11)</f>
        <v>8</v>
      </c>
      <c r="K3723" s="11">
        <f>IF(B3723&lt;C3723,1,EXP(-1*(B3723-C3723)/(Utilities!$B$11*IterData!H3723)))</f>
        <v>1</v>
      </c>
    </row>
    <row r="3724" spans="8:11" x14ac:dyDescent="0.3">
      <c r="H3724">
        <v>0.5</v>
      </c>
      <c r="I3724" s="11">
        <f t="shared" si="58"/>
        <v>0</v>
      </c>
      <c r="J3724" s="11">
        <f>1/(H3724*Utilities!$B$11)</f>
        <v>8</v>
      </c>
      <c r="K3724" s="11">
        <f>IF(B3724&lt;C3724,1,EXP(-1*(B3724-C3724)/(Utilities!$B$11*IterData!H3724)))</f>
        <v>1</v>
      </c>
    </row>
    <row r="3725" spans="8:11" x14ac:dyDescent="0.3">
      <c r="H3725">
        <v>0.5</v>
      </c>
      <c r="I3725" s="11">
        <f t="shared" si="58"/>
        <v>0</v>
      </c>
      <c r="J3725" s="11">
        <f>1/(H3725*Utilities!$B$11)</f>
        <v>8</v>
      </c>
      <c r="K3725" s="11">
        <f>IF(B3725&lt;C3725,1,EXP(-1*(B3725-C3725)/(Utilities!$B$11*IterData!H3725)))</f>
        <v>1</v>
      </c>
    </row>
    <row r="3726" spans="8:11" x14ac:dyDescent="0.3">
      <c r="H3726">
        <v>0.5</v>
      </c>
      <c r="I3726" s="11">
        <f t="shared" si="58"/>
        <v>0</v>
      </c>
      <c r="J3726" s="11">
        <f>1/(H3726*Utilities!$B$11)</f>
        <v>8</v>
      </c>
      <c r="K3726" s="11">
        <f>IF(B3726&lt;C3726,1,EXP(-1*(B3726-C3726)/(Utilities!$B$11*IterData!H3726)))</f>
        <v>1</v>
      </c>
    </row>
    <row r="3727" spans="8:11" x14ac:dyDescent="0.3">
      <c r="H3727">
        <v>0.5</v>
      </c>
      <c r="I3727" s="11">
        <f t="shared" si="58"/>
        <v>0</v>
      </c>
      <c r="J3727" s="11">
        <f>1/(H3727*Utilities!$B$11)</f>
        <v>8</v>
      </c>
      <c r="K3727" s="11">
        <f>IF(B3727&lt;C3727,1,EXP(-1*(B3727-C3727)/(Utilities!$B$11*IterData!H3727)))</f>
        <v>1</v>
      </c>
    </row>
    <row r="3728" spans="8:11" x14ac:dyDescent="0.3">
      <c r="H3728">
        <v>0.5</v>
      </c>
      <c r="I3728" s="11">
        <f t="shared" si="58"/>
        <v>0</v>
      </c>
      <c r="J3728" s="11">
        <f>1/(H3728*Utilities!$B$11)</f>
        <v>8</v>
      </c>
      <c r="K3728" s="11">
        <f>IF(B3728&lt;C3728,1,EXP(-1*(B3728-C3728)/(Utilities!$B$11*IterData!H3728)))</f>
        <v>1</v>
      </c>
    </row>
    <row r="3729" spans="8:11" x14ac:dyDescent="0.3">
      <c r="H3729">
        <v>0.5</v>
      </c>
      <c r="I3729" s="11">
        <f t="shared" si="58"/>
        <v>0</v>
      </c>
      <c r="J3729" s="11">
        <f>1/(H3729*Utilities!$B$11)</f>
        <v>8</v>
      </c>
      <c r="K3729" s="11">
        <f>IF(B3729&lt;C3729,1,EXP(-1*(B3729-C3729)/(Utilities!$B$11*IterData!H3729)))</f>
        <v>1</v>
      </c>
    </row>
    <row r="3730" spans="8:11" x14ac:dyDescent="0.3">
      <c r="H3730">
        <v>0.5</v>
      </c>
      <c r="I3730" s="11">
        <f t="shared" si="58"/>
        <v>0</v>
      </c>
      <c r="J3730" s="11">
        <f>1/(H3730*Utilities!$B$11)</f>
        <v>8</v>
      </c>
      <c r="K3730" s="11">
        <f>IF(B3730&lt;C3730,1,EXP(-1*(B3730-C3730)/(Utilities!$B$11*IterData!H3730)))</f>
        <v>1</v>
      </c>
    </row>
    <row r="3731" spans="8:11" x14ac:dyDescent="0.3">
      <c r="H3731">
        <v>0.5</v>
      </c>
      <c r="I3731" s="11">
        <f t="shared" si="58"/>
        <v>0</v>
      </c>
      <c r="J3731" s="11">
        <f>1/(H3731*Utilities!$B$11)</f>
        <v>8</v>
      </c>
      <c r="K3731" s="11">
        <f>IF(B3731&lt;C3731,1,EXP(-1*(B3731-C3731)/(Utilities!$B$11*IterData!H3731)))</f>
        <v>1</v>
      </c>
    </row>
    <row r="3732" spans="8:11" x14ac:dyDescent="0.3">
      <c r="H3732">
        <v>0.5</v>
      </c>
      <c r="I3732" s="11">
        <f t="shared" si="58"/>
        <v>0</v>
      </c>
      <c r="J3732" s="11">
        <f>1/(H3732*Utilities!$B$11)</f>
        <v>8</v>
      </c>
      <c r="K3732" s="11">
        <f>IF(B3732&lt;C3732,1,EXP(-1*(B3732-C3732)/(Utilities!$B$11*IterData!H3732)))</f>
        <v>1</v>
      </c>
    </row>
    <row r="3733" spans="8:11" x14ac:dyDescent="0.3">
      <c r="H3733">
        <v>0.5</v>
      </c>
      <c r="I3733" s="11">
        <f t="shared" si="58"/>
        <v>0</v>
      </c>
      <c r="J3733" s="11">
        <f>1/(H3733*Utilities!$B$11)</f>
        <v>8</v>
      </c>
      <c r="K3733" s="11">
        <f>IF(B3733&lt;C3733,1,EXP(-1*(B3733-C3733)/(Utilities!$B$11*IterData!H3733)))</f>
        <v>1</v>
      </c>
    </row>
    <row r="3734" spans="8:11" x14ac:dyDescent="0.3">
      <c r="H3734">
        <v>0.5</v>
      </c>
      <c r="I3734" s="11">
        <f t="shared" si="58"/>
        <v>0</v>
      </c>
      <c r="J3734" s="11">
        <f>1/(H3734*Utilities!$B$11)</f>
        <v>8</v>
      </c>
      <c r="K3734" s="11">
        <f>IF(B3734&lt;C3734,1,EXP(-1*(B3734-C3734)/(Utilities!$B$11*IterData!H3734)))</f>
        <v>1</v>
      </c>
    </row>
    <row r="3735" spans="8:11" x14ac:dyDescent="0.3">
      <c r="H3735">
        <v>0.5</v>
      </c>
      <c r="I3735" s="11">
        <f t="shared" si="58"/>
        <v>0</v>
      </c>
      <c r="J3735" s="11">
        <f>1/(H3735*Utilities!$B$11)</f>
        <v>8</v>
      </c>
      <c r="K3735" s="11">
        <f>IF(B3735&lt;C3735,1,EXP(-1*(B3735-C3735)/(Utilities!$B$11*IterData!H3735)))</f>
        <v>1</v>
      </c>
    </row>
    <row r="3736" spans="8:11" x14ac:dyDescent="0.3">
      <c r="H3736">
        <v>0.5</v>
      </c>
      <c r="I3736" s="11">
        <f t="shared" si="58"/>
        <v>0</v>
      </c>
      <c r="J3736" s="11">
        <f>1/(H3736*Utilities!$B$11)</f>
        <v>8</v>
      </c>
      <c r="K3736" s="11">
        <f>IF(B3736&lt;C3736,1,EXP(-1*(B3736-C3736)/(Utilities!$B$11*IterData!H3736)))</f>
        <v>1</v>
      </c>
    </row>
    <row r="3737" spans="8:11" x14ac:dyDescent="0.3">
      <c r="H3737">
        <v>0.5</v>
      </c>
      <c r="I3737" s="11">
        <f t="shared" si="58"/>
        <v>0</v>
      </c>
      <c r="J3737" s="11">
        <f>1/(H3737*Utilities!$B$11)</f>
        <v>8</v>
      </c>
      <c r="K3737" s="11">
        <f>IF(B3737&lt;C3737,1,EXP(-1*(B3737-C3737)/(Utilities!$B$11*IterData!H3737)))</f>
        <v>1</v>
      </c>
    </row>
    <row r="3738" spans="8:11" x14ac:dyDescent="0.3">
      <c r="H3738">
        <v>0.5</v>
      </c>
      <c r="I3738" s="11">
        <f t="shared" si="58"/>
        <v>0</v>
      </c>
      <c r="J3738" s="11">
        <f>1/(H3738*Utilities!$B$11)</f>
        <v>8</v>
      </c>
      <c r="K3738" s="11">
        <f>IF(B3738&lt;C3738,1,EXP(-1*(B3738-C3738)/(Utilities!$B$11*IterData!H3738)))</f>
        <v>1</v>
      </c>
    </row>
    <row r="3739" spans="8:11" x14ac:dyDescent="0.3">
      <c r="H3739">
        <v>0.5</v>
      </c>
      <c r="I3739" s="11">
        <f t="shared" si="58"/>
        <v>0</v>
      </c>
      <c r="J3739" s="11">
        <f>1/(H3739*Utilities!$B$11)</f>
        <v>8</v>
      </c>
      <c r="K3739" s="11">
        <f>IF(B3739&lt;C3739,1,EXP(-1*(B3739-C3739)/(Utilities!$B$11*IterData!H3739)))</f>
        <v>1</v>
      </c>
    </row>
    <row r="3740" spans="8:11" x14ac:dyDescent="0.3">
      <c r="H3740">
        <v>0.5</v>
      </c>
      <c r="I3740" s="11">
        <f t="shared" si="58"/>
        <v>0</v>
      </c>
      <c r="J3740" s="11">
        <f>1/(H3740*Utilities!$B$11)</f>
        <v>8</v>
      </c>
      <c r="K3740" s="11">
        <f>IF(B3740&lt;C3740,1,EXP(-1*(B3740-C3740)/(Utilities!$B$11*IterData!H3740)))</f>
        <v>1</v>
      </c>
    </row>
    <row r="3741" spans="8:11" x14ac:dyDescent="0.3">
      <c r="H3741">
        <v>0.5</v>
      </c>
      <c r="I3741" s="11">
        <f t="shared" si="58"/>
        <v>0</v>
      </c>
      <c r="J3741" s="11">
        <f>1/(H3741*Utilities!$B$11)</f>
        <v>8</v>
      </c>
      <c r="K3741" s="11">
        <f>IF(B3741&lt;C3741,1,EXP(-1*(B3741-C3741)/(Utilities!$B$11*IterData!H3741)))</f>
        <v>1</v>
      </c>
    </row>
    <row r="3742" spans="8:11" x14ac:dyDescent="0.3">
      <c r="H3742">
        <v>0.5</v>
      </c>
      <c r="I3742" s="11">
        <f t="shared" si="58"/>
        <v>0</v>
      </c>
      <c r="J3742" s="11">
        <f>1/(H3742*Utilities!$B$11)</f>
        <v>8</v>
      </c>
      <c r="K3742" s="11">
        <f>IF(B3742&lt;C3742,1,EXP(-1*(B3742-C3742)/(Utilities!$B$11*IterData!H3742)))</f>
        <v>1</v>
      </c>
    </row>
    <row r="3743" spans="8:11" x14ac:dyDescent="0.3">
      <c r="H3743">
        <v>0.5</v>
      </c>
      <c r="I3743" s="11">
        <f t="shared" si="58"/>
        <v>0</v>
      </c>
      <c r="J3743" s="11">
        <f>1/(H3743*Utilities!$B$11)</f>
        <v>8</v>
      </c>
      <c r="K3743" s="11">
        <f>IF(B3743&lt;C3743,1,EXP(-1*(B3743-C3743)/(Utilities!$B$11*IterData!H3743)))</f>
        <v>1</v>
      </c>
    </row>
    <row r="3744" spans="8:11" x14ac:dyDescent="0.3">
      <c r="H3744">
        <v>0.5</v>
      </c>
      <c r="I3744" s="11">
        <f t="shared" si="58"/>
        <v>0</v>
      </c>
      <c r="J3744" s="11">
        <f>1/(H3744*Utilities!$B$11)</f>
        <v>8</v>
      </c>
      <c r="K3744" s="11">
        <f>IF(B3744&lt;C3744,1,EXP(-1*(B3744-C3744)/(Utilities!$B$11*IterData!H3744)))</f>
        <v>1</v>
      </c>
    </row>
    <row r="3745" spans="8:11" x14ac:dyDescent="0.3">
      <c r="H3745">
        <v>0.5</v>
      </c>
      <c r="I3745" s="11">
        <f t="shared" si="58"/>
        <v>0</v>
      </c>
      <c r="J3745" s="11">
        <f>1/(H3745*Utilities!$B$11)</f>
        <v>8</v>
      </c>
      <c r="K3745" s="11">
        <f>IF(B3745&lt;C3745,1,EXP(-1*(B3745-C3745)/(Utilities!$B$11*IterData!H3745)))</f>
        <v>1</v>
      </c>
    </row>
    <row r="3746" spans="8:11" x14ac:dyDescent="0.3">
      <c r="H3746">
        <v>0.5</v>
      </c>
      <c r="I3746" s="11">
        <f t="shared" si="58"/>
        <v>0</v>
      </c>
      <c r="J3746" s="11">
        <f>1/(H3746*Utilities!$B$11)</f>
        <v>8</v>
      </c>
      <c r="K3746" s="11">
        <f>IF(B3746&lt;C3746,1,EXP(-1*(B3746-C3746)/(Utilities!$B$11*IterData!H3746)))</f>
        <v>1</v>
      </c>
    </row>
    <row r="3747" spans="8:11" x14ac:dyDescent="0.3">
      <c r="H3747">
        <v>0.5</v>
      </c>
      <c r="I3747" s="11">
        <f t="shared" si="58"/>
        <v>0</v>
      </c>
      <c r="J3747" s="11">
        <f>1/(H3747*Utilities!$B$11)</f>
        <v>8</v>
      </c>
      <c r="K3747" s="11">
        <f>IF(B3747&lt;C3747,1,EXP(-1*(B3747-C3747)/(Utilities!$B$11*IterData!H3747)))</f>
        <v>1</v>
      </c>
    </row>
    <row r="3748" spans="8:11" x14ac:dyDescent="0.3">
      <c r="H3748">
        <v>0.5</v>
      </c>
      <c r="I3748" s="11">
        <f t="shared" si="58"/>
        <v>0</v>
      </c>
      <c r="J3748" s="11">
        <f>1/(H3748*Utilities!$B$11)</f>
        <v>8</v>
      </c>
      <c r="K3748" s="11">
        <f>IF(B3748&lt;C3748,1,EXP(-1*(B3748-C3748)/(Utilities!$B$11*IterData!H3748)))</f>
        <v>1</v>
      </c>
    </row>
    <row r="3749" spans="8:11" x14ac:dyDescent="0.3">
      <c r="H3749">
        <v>0.5</v>
      </c>
      <c r="I3749" s="11">
        <f t="shared" si="58"/>
        <v>0</v>
      </c>
      <c r="J3749" s="11">
        <f>1/(H3749*Utilities!$B$11)</f>
        <v>8</v>
      </c>
      <c r="K3749" s="11">
        <f>IF(B3749&lt;C3749,1,EXP(-1*(B3749-C3749)/(Utilities!$B$11*IterData!H3749)))</f>
        <v>1</v>
      </c>
    </row>
    <row r="3750" spans="8:11" x14ac:dyDescent="0.3">
      <c r="H3750">
        <v>0.5</v>
      </c>
      <c r="I3750" s="11">
        <f t="shared" si="58"/>
        <v>0</v>
      </c>
      <c r="J3750" s="11">
        <f>1/(H3750*Utilities!$B$11)</f>
        <v>8</v>
      </c>
      <c r="K3750" s="11">
        <f>IF(B3750&lt;C3750,1,EXP(-1*(B3750-C3750)/(Utilities!$B$11*IterData!H3750)))</f>
        <v>1</v>
      </c>
    </row>
    <row r="3751" spans="8:11" x14ac:dyDescent="0.3">
      <c r="H3751">
        <v>0.5</v>
      </c>
      <c r="I3751" s="11">
        <f t="shared" si="58"/>
        <v>0</v>
      </c>
      <c r="J3751" s="11">
        <f>1/(H3751*Utilities!$B$11)</f>
        <v>8</v>
      </c>
      <c r="K3751" s="11">
        <f>IF(B3751&lt;C3751,1,EXP(-1*(B3751-C3751)/(Utilities!$B$11*IterData!H3751)))</f>
        <v>1</v>
      </c>
    </row>
    <row r="3752" spans="8:11" x14ac:dyDescent="0.3">
      <c r="H3752">
        <v>0.5</v>
      </c>
      <c r="I3752" s="11">
        <f t="shared" si="58"/>
        <v>0</v>
      </c>
      <c r="J3752" s="11">
        <f>1/(H3752*Utilities!$B$11)</f>
        <v>8</v>
      </c>
      <c r="K3752" s="11">
        <f>IF(B3752&lt;C3752,1,EXP(-1*(B3752-C3752)/(Utilities!$B$11*IterData!H3752)))</f>
        <v>1</v>
      </c>
    </row>
    <row r="3753" spans="8:11" x14ac:dyDescent="0.3">
      <c r="H3753">
        <v>0.5</v>
      </c>
      <c r="I3753" s="11">
        <f t="shared" si="58"/>
        <v>0</v>
      </c>
      <c r="J3753" s="11">
        <f>1/(H3753*Utilities!$B$11)</f>
        <v>8</v>
      </c>
      <c r="K3753" s="11">
        <f>IF(B3753&lt;C3753,1,EXP(-1*(B3753-C3753)/(Utilities!$B$11*IterData!H3753)))</f>
        <v>1</v>
      </c>
    </row>
    <row r="3754" spans="8:11" x14ac:dyDescent="0.3">
      <c r="H3754">
        <v>0.5</v>
      </c>
      <c r="I3754" s="11">
        <f t="shared" si="58"/>
        <v>0</v>
      </c>
      <c r="J3754" s="11">
        <f>1/(H3754*Utilities!$B$11)</f>
        <v>8</v>
      </c>
      <c r="K3754" s="11">
        <f>IF(B3754&lt;C3754,1,EXP(-1*(B3754-C3754)/(Utilities!$B$11*IterData!H3754)))</f>
        <v>1</v>
      </c>
    </row>
    <row r="3755" spans="8:11" x14ac:dyDescent="0.3">
      <c r="H3755">
        <v>0.5</v>
      </c>
      <c r="I3755" s="11">
        <f t="shared" si="58"/>
        <v>0</v>
      </c>
      <c r="J3755" s="11">
        <f>1/(H3755*Utilities!$B$11)</f>
        <v>8</v>
      </c>
      <c r="K3755" s="11">
        <f>IF(B3755&lt;C3755,1,EXP(-1*(B3755-C3755)/(Utilities!$B$11*IterData!H3755)))</f>
        <v>1</v>
      </c>
    </row>
    <row r="3756" spans="8:11" x14ac:dyDescent="0.3">
      <c r="H3756">
        <v>0.5</v>
      </c>
      <c r="I3756" s="11">
        <f t="shared" si="58"/>
        <v>0</v>
      </c>
      <c r="J3756" s="11">
        <f>1/(H3756*Utilities!$B$11)</f>
        <v>8</v>
      </c>
      <c r="K3756" s="11">
        <f>IF(B3756&lt;C3756,1,EXP(-1*(B3756-C3756)/(Utilities!$B$11*IterData!H3756)))</f>
        <v>1</v>
      </c>
    </row>
    <row r="3757" spans="8:11" x14ac:dyDescent="0.3">
      <c r="H3757">
        <v>0.5</v>
      </c>
      <c r="I3757" s="11">
        <f t="shared" si="58"/>
        <v>0</v>
      </c>
      <c r="J3757" s="11">
        <f>1/(H3757*Utilities!$B$11)</f>
        <v>8</v>
      </c>
      <c r="K3757" s="11">
        <f>IF(B3757&lt;C3757,1,EXP(-1*(B3757-C3757)/(Utilities!$B$11*IterData!H3757)))</f>
        <v>1</v>
      </c>
    </row>
    <row r="3758" spans="8:11" x14ac:dyDescent="0.3">
      <c r="H3758">
        <v>0.5</v>
      </c>
      <c r="I3758" s="11">
        <f t="shared" si="58"/>
        <v>0</v>
      </c>
      <c r="J3758" s="11">
        <f>1/(H3758*Utilities!$B$11)</f>
        <v>8</v>
      </c>
      <c r="K3758" s="11">
        <f>IF(B3758&lt;C3758,1,EXP(-1*(B3758-C3758)/(Utilities!$B$11*IterData!H3758)))</f>
        <v>1</v>
      </c>
    </row>
    <row r="3759" spans="8:11" x14ac:dyDescent="0.3">
      <c r="H3759">
        <v>0.5</v>
      </c>
      <c r="I3759" s="11">
        <f t="shared" si="58"/>
        <v>0</v>
      </c>
      <c r="J3759" s="11">
        <f>1/(H3759*Utilities!$B$11)</f>
        <v>8</v>
      </c>
      <c r="K3759" s="11">
        <f>IF(B3759&lt;C3759,1,EXP(-1*(B3759-C3759)/(Utilities!$B$11*IterData!H3759)))</f>
        <v>1</v>
      </c>
    </row>
    <row r="3760" spans="8:11" x14ac:dyDescent="0.3">
      <c r="H3760">
        <v>0.5</v>
      </c>
      <c r="I3760" s="11">
        <f t="shared" si="58"/>
        <v>0</v>
      </c>
      <c r="J3760" s="11">
        <f>1/(H3760*Utilities!$B$11)</f>
        <v>8</v>
      </c>
      <c r="K3760" s="11">
        <f>IF(B3760&lt;C3760,1,EXP(-1*(B3760-C3760)/(Utilities!$B$11*IterData!H3760)))</f>
        <v>1</v>
      </c>
    </row>
    <row r="3761" spans="8:11" x14ac:dyDescent="0.3">
      <c r="H3761">
        <v>0.5</v>
      </c>
      <c r="I3761" s="11">
        <f t="shared" si="58"/>
        <v>0</v>
      </c>
      <c r="J3761" s="11">
        <f>1/(H3761*Utilities!$B$11)</f>
        <v>8</v>
      </c>
      <c r="K3761" s="11">
        <f>IF(B3761&lt;C3761,1,EXP(-1*(B3761-C3761)/(Utilities!$B$11*IterData!H3761)))</f>
        <v>1</v>
      </c>
    </row>
    <row r="3762" spans="8:11" x14ac:dyDescent="0.3">
      <c r="H3762">
        <v>0.5</v>
      </c>
      <c r="I3762" s="11">
        <f t="shared" si="58"/>
        <v>0</v>
      </c>
      <c r="J3762" s="11">
        <f>1/(H3762*Utilities!$B$11)</f>
        <v>8</v>
      </c>
      <c r="K3762" s="11">
        <f>IF(B3762&lt;C3762,1,EXP(-1*(B3762-C3762)/(Utilities!$B$11*IterData!H3762)))</f>
        <v>1</v>
      </c>
    </row>
    <row r="3763" spans="8:11" x14ac:dyDescent="0.3">
      <c r="H3763">
        <v>0.5</v>
      </c>
      <c r="I3763" s="11">
        <f t="shared" si="58"/>
        <v>0</v>
      </c>
      <c r="J3763" s="11">
        <f>1/(H3763*Utilities!$B$11)</f>
        <v>8</v>
      </c>
      <c r="K3763" s="11">
        <f>IF(B3763&lt;C3763,1,EXP(-1*(B3763-C3763)/(Utilities!$B$11*IterData!H3763)))</f>
        <v>1</v>
      </c>
    </row>
    <row r="3764" spans="8:11" x14ac:dyDescent="0.3">
      <c r="H3764">
        <v>0.5</v>
      </c>
      <c r="I3764" s="11">
        <f t="shared" si="58"/>
        <v>0</v>
      </c>
      <c r="J3764" s="11">
        <f>1/(H3764*Utilities!$B$11)</f>
        <v>8</v>
      </c>
      <c r="K3764" s="11">
        <f>IF(B3764&lt;C3764,1,EXP(-1*(B3764-C3764)/(Utilities!$B$11*IterData!H3764)))</f>
        <v>1</v>
      </c>
    </row>
    <row r="3765" spans="8:11" x14ac:dyDescent="0.3">
      <c r="H3765">
        <v>0.5</v>
      </c>
      <c r="I3765" s="11">
        <f t="shared" si="58"/>
        <v>0</v>
      </c>
      <c r="J3765" s="11">
        <f>1/(H3765*Utilities!$B$11)</f>
        <v>8</v>
      </c>
      <c r="K3765" s="11">
        <f>IF(B3765&lt;C3765,1,EXP(-1*(B3765-C3765)/(Utilities!$B$11*IterData!H3765)))</f>
        <v>1</v>
      </c>
    </row>
    <row r="3766" spans="8:11" x14ac:dyDescent="0.3">
      <c r="H3766">
        <v>0.5</v>
      </c>
      <c r="I3766" s="11">
        <f t="shared" si="58"/>
        <v>0</v>
      </c>
      <c r="J3766" s="11">
        <f>1/(H3766*Utilities!$B$11)</f>
        <v>8</v>
      </c>
      <c r="K3766" s="11">
        <f>IF(B3766&lt;C3766,1,EXP(-1*(B3766-C3766)/(Utilities!$B$11*IterData!H3766)))</f>
        <v>1</v>
      </c>
    </row>
    <row r="3767" spans="8:11" x14ac:dyDescent="0.3">
      <c r="H3767">
        <v>0.5</v>
      </c>
      <c r="I3767" s="11">
        <f t="shared" si="58"/>
        <v>0</v>
      </c>
      <c r="J3767" s="11">
        <f>1/(H3767*Utilities!$B$11)</f>
        <v>8</v>
      </c>
      <c r="K3767" s="11">
        <f>IF(B3767&lt;C3767,1,EXP(-1*(B3767-C3767)/(Utilities!$B$11*IterData!H3767)))</f>
        <v>1</v>
      </c>
    </row>
    <row r="3768" spans="8:11" x14ac:dyDescent="0.3">
      <c r="H3768">
        <v>0.5</v>
      </c>
      <c r="I3768" s="11">
        <f t="shared" si="58"/>
        <v>0</v>
      </c>
      <c r="J3768" s="11">
        <f>1/(H3768*Utilities!$B$11)</f>
        <v>8</v>
      </c>
      <c r="K3768" s="11">
        <f>IF(B3768&lt;C3768,1,EXP(-1*(B3768-C3768)/(Utilities!$B$11*IterData!H3768)))</f>
        <v>1</v>
      </c>
    </row>
    <row r="3769" spans="8:11" x14ac:dyDescent="0.3">
      <c r="H3769">
        <v>0.5</v>
      </c>
      <c r="I3769" s="11">
        <f t="shared" si="58"/>
        <v>0</v>
      </c>
      <c r="J3769" s="11">
        <f>1/(H3769*Utilities!$B$11)</f>
        <v>8</v>
      </c>
      <c r="K3769" s="11">
        <f>IF(B3769&lt;C3769,1,EXP(-1*(B3769-C3769)/(Utilities!$B$11*IterData!H3769)))</f>
        <v>1</v>
      </c>
    </row>
    <row r="3770" spans="8:11" x14ac:dyDescent="0.3">
      <c r="H3770">
        <v>0.5</v>
      </c>
      <c r="I3770" s="11">
        <f t="shared" si="58"/>
        <v>0</v>
      </c>
      <c r="J3770" s="11">
        <f>1/(H3770*Utilities!$B$11)</f>
        <v>8</v>
      </c>
      <c r="K3770" s="11">
        <f>IF(B3770&lt;C3770,1,EXP(-1*(B3770-C3770)/(Utilities!$B$11*IterData!H3770)))</f>
        <v>1</v>
      </c>
    </row>
    <row r="3771" spans="8:11" x14ac:dyDescent="0.3">
      <c r="H3771">
        <v>0.5</v>
      </c>
      <c r="I3771" s="11">
        <f t="shared" si="58"/>
        <v>0</v>
      </c>
      <c r="J3771" s="11">
        <f>1/(H3771*Utilities!$B$11)</f>
        <v>8</v>
      </c>
      <c r="K3771" s="11">
        <f>IF(B3771&lt;C3771,1,EXP(-1*(B3771-C3771)/(Utilities!$B$11*IterData!H3771)))</f>
        <v>1</v>
      </c>
    </row>
    <row r="3772" spans="8:11" x14ac:dyDescent="0.3">
      <c r="H3772">
        <v>0.5</v>
      </c>
      <c r="I3772" s="11">
        <f t="shared" si="58"/>
        <v>0</v>
      </c>
      <c r="J3772" s="11">
        <f>1/(H3772*Utilities!$B$11)</f>
        <v>8</v>
      </c>
      <c r="K3772" s="11">
        <f>IF(B3772&lt;C3772,1,EXP(-1*(B3772-C3772)/(Utilities!$B$11*IterData!H3772)))</f>
        <v>1</v>
      </c>
    </row>
    <row r="3773" spans="8:11" x14ac:dyDescent="0.3">
      <c r="H3773">
        <v>0.5</v>
      </c>
      <c r="I3773" s="11">
        <f t="shared" si="58"/>
        <v>0</v>
      </c>
      <c r="J3773" s="11">
        <f>1/(H3773*Utilities!$B$11)</f>
        <v>8</v>
      </c>
      <c r="K3773" s="11">
        <f>IF(B3773&lt;C3773,1,EXP(-1*(B3773-C3773)/(Utilities!$B$11*IterData!H3773)))</f>
        <v>1</v>
      </c>
    </row>
    <row r="3774" spans="8:11" x14ac:dyDescent="0.3">
      <c r="H3774">
        <v>0.5</v>
      </c>
      <c r="I3774" s="11">
        <f t="shared" si="58"/>
        <v>0</v>
      </c>
      <c r="J3774" s="11">
        <f>1/(H3774*Utilities!$B$11)</f>
        <v>8</v>
      </c>
      <c r="K3774" s="11">
        <f>IF(B3774&lt;C3774,1,EXP(-1*(B3774-C3774)/(Utilities!$B$11*IterData!H3774)))</f>
        <v>1</v>
      </c>
    </row>
    <row r="3775" spans="8:11" x14ac:dyDescent="0.3">
      <c r="H3775">
        <v>0.5</v>
      </c>
      <c r="I3775" s="11">
        <f t="shared" si="58"/>
        <v>0</v>
      </c>
      <c r="J3775" s="11">
        <f>1/(H3775*Utilities!$B$11)</f>
        <v>8</v>
      </c>
      <c r="K3775" s="11">
        <f>IF(B3775&lt;C3775,1,EXP(-1*(B3775-C3775)/(Utilities!$B$11*IterData!H3775)))</f>
        <v>1</v>
      </c>
    </row>
    <row r="3776" spans="8:11" x14ac:dyDescent="0.3">
      <c r="H3776">
        <v>0.5</v>
      </c>
      <c r="I3776" s="11">
        <f t="shared" si="58"/>
        <v>0</v>
      </c>
      <c r="J3776" s="11">
        <f>1/(H3776*Utilities!$B$11)</f>
        <v>8</v>
      </c>
      <c r="K3776" s="11">
        <f>IF(B3776&lt;C3776,1,EXP(-1*(B3776-C3776)/(Utilities!$B$11*IterData!H3776)))</f>
        <v>1</v>
      </c>
    </row>
    <row r="3777" spans="8:11" x14ac:dyDescent="0.3">
      <c r="H3777">
        <v>0.5</v>
      </c>
      <c r="I3777" s="11">
        <f t="shared" si="58"/>
        <v>0</v>
      </c>
      <c r="J3777" s="11">
        <f>1/(H3777*Utilities!$B$11)</f>
        <v>8</v>
      </c>
      <c r="K3777" s="11">
        <f>IF(B3777&lt;C3777,1,EXP(-1*(B3777-C3777)/(Utilities!$B$11*IterData!H3777)))</f>
        <v>1</v>
      </c>
    </row>
    <row r="3778" spans="8:11" x14ac:dyDescent="0.3">
      <c r="H3778">
        <v>0.5</v>
      </c>
      <c r="I3778" s="11">
        <f t="shared" si="58"/>
        <v>0</v>
      </c>
      <c r="J3778" s="11">
        <f>1/(H3778*Utilities!$B$11)</f>
        <v>8</v>
      </c>
      <c r="K3778" s="11">
        <f>IF(B3778&lt;C3778,1,EXP(-1*(B3778-C3778)/(Utilities!$B$11*IterData!H3778)))</f>
        <v>1</v>
      </c>
    </row>
    <row r="3779" spans="8:11" x14ac:dyDescent="0.3">
      <c r="H3779">
        <v>0.5</v>
      </c>
      <c r="I3779" s="11">
        <f t="shared" ref="I3779:I3842" si="59">B3779-C3779</f>
        <v>0</v>
      </c>
      <c r="J3779" s="11">
        <f>1/(H3779*Utilities!$B$11)</f>
        <v>8</v>
      </c>
      <c r="K3779" s="11">
        <f>IF(B3779&lt;C3779,1,EXP(-1*(B3779-C3779)/(Utilities!$B$11*IterData!H3779)))</f>
        <v>1</v>
      </c>
    </row>
    <row r="3780" spans="8:11" x14ac:dyDescent="0.3">
      <c r="H3780">
        <v>0.5</v>
      </c>
      <c r="I3780" s="11">
        <f t="shared" si="59"/>
        <v>0</v>
      </c>
      <c r="J3780" s="11">
        <f>1/(H3780*Utilities!$B$11)</f>
        <v>8</v>
      </c>
      <c r="K3780" s="11">
        <f>IF(B3780&lt;C3780,1,EXP(-1*(B3780-C3780)/(Utilities!$B$11*IterData!H3780)))</f>
        <v>1</v>
      </c>
    </row>
    <row r="3781" spans="8:11" x14ac:dyDescent="0.3">
      <c r="H3781">
        <v>0.5</v>
      </c>
      <c r="I3781" s="11">
        <f t="shared" si="59"/>
        <v>0</v>
      </c>
      <c r="J3781" s="11">
        <f>1/(H3781*Utilities!$B$11)</f>
        <v>8</v>
      </c>
      <c r="K3781" s="11">
        <f>IF(B3781&lt;C3781,1,EXP(-1*(B3781-C3781)/(Utilities!$B$11*IterData!H3781)))</f>
        <v>1</v>
      </c>
    </row>
    <row r="3782" spans="8:11" x14ac:dyDescent="0.3">
      <c r="H3782">
        <v>0.5</v>
      </c>
      <c r="I3782" s="11">
        <f t="shared" si="59"/>
        <v>0</v>
      </c>
      <c r="J3782" s="11">
        <f>1/(H3782*Utilities!$B$11)</f>
        <v>8</v>
      </c>
      <c r="K3782" s="11">
        <f>IF(B3782&lt;C3782,1,EXP(-1*(B3782-C3782)/(Utilities!$B$11*IterData!H3782)))</f>
        <v>1</v>
      </c>
    </row>
    <row r="3783" spans="8:11" x14ac:dyDescent="0.3">
      <c r="H3783">
        <v>0.5</v>
      </c>
      <c r="I3783" s="11">
        <f t="shared" si="59"/>
        <v>0</v>
      </c>
      <c r="J3783" s="11">
        <f>1/(H3783*Utilities!$B$11)</f>
        <v>8</v>
      </c>
      <c r="K3783" s="11">
        <f>IF(B3783&lt;C3783,1,EXP(-1*(B3783-C3783)/(Utilities!$B$11*IterData!H3783)))</f>
        <v>1</v>
      </c>
    </row>
    <row r="3784" spans="8:11" x14ac:dyDescent="0.3">
      <c r="H3784">
        <v>0.5</v>
      </c>
      <c r="I3784" s="11">
        <f t="shared" si="59"/>
        <v>0</v>
      </c>
      <c r="J3784" s="11">
        <f>1/(H3784*Utilities!$B$11)</f>
        <v>8</v>
      </c>
      <c r="K3784" s="11">
        <f>IF(B3784&lt;C3784,1,EXP(-1*(B3784-C3784)/(Utilities!$B$11*IterData!H3784)))</f>
        <v>1</v>
      </c>
    </row>
    <row r="3785" spans="8:11" x14ac:dyDescent="0.3">
      <c r="H3785">
        <v>0.5</v>
      </c>
      <c r="I3785" s="11">
        <f t="shared" si="59"/>
        <v>0</v>
      </c>
      <c r="J3785" s="11">
        <f>1/(H3785*Utilities!$B$11)</f>
        <v>8</v>
      </c>
      <c r="K3785" s="11">
        <f>IF(B3785&lt;C3785,1,EXP(-1*(B3785-C3785)/(Utilities!$B$11*IterData!H3785)))</f>
        <v>1</v>
      </c>
    </row>
    <row r="3786" spans="8:11" x14ac:dyDescent="0.3">
      <c r="H3786">
        <v>0.5</v>
      </c>
      <c r="I3786" s="11">
        <f t="shared" si="59"/>
        <v>0</v>
      </c>
      <c r="J3786" s="11">
        <f>1/(H3786*Utilities!$B$11)</f>
        <v>8</v>
      </c>
      <c r="K3786" s="11">
        <f>IF(B3786&lt;C3786,1,EXP(-1*(B3786-C3786)/(Utilities!$B$11*IterData!H3786)))</f>
        <v>1</v>
      </c>
    </row>
    <row r="3787" spans="8:11" x14ac:dyDescent="0.3">
      <c r="H3787">
        <v>0.5</v>
      </c>
      <c r="I3787" s="11">
        <f t="shared" si="59"/>
        <v>0</v>
      </c>
      <c r="J3787" s="11">
        <f>1/(H3787*Utilities!$B$11)</f>
        <v>8</v>
      </c>
      <c r="K3787" s="11">
        <f>IF(B3787&lt;C3787,1,EXP(-1*(B3787-C3787)/(Utilities!$B$11*IterData!H3787)))</f>
        <v>1</v>
      </c>
    </row>
    <row r="3788" spans="8:11" x14ac:dyDescent="0.3">
      <c r="H3788">
        <v>0.5</v>
      </c>
      <c r="I3788" s="11">
        <f t="shared" si="59"/>
        <v>0</v>
      </c>
      <c r="J3788" s="11">
        <f>1/(H3788*Utilities!$B$11)</f>
        <v>8</v>
      </c>
      <c r="K3788" s="11">
        <f>IF(B3788&lt;C3788,1,EXP(-1*(B3788-C3788)/(Utilities!$B$11*IterData!H3788)))</f>
        <v>1</v>
      </c>
    </row>
    <row r="3789" spans="8:11" x14ac:dyDescent="0.3">
      <c r="H3789">
        <v>0.5</v>
      </c>
      <c r="I3789" s="11">
        <f t="shared" si="59"/>
        <v>0</v>
      </c>
      <c r="J3789" s="11">
        <f>1/(H3789*Utilities!$B$11)</f>
        <v>8</v>
      </c>
      <c r="K3789" s="11">
        <f>IF(B3789&lt;C3789,1,EXP(-1*(B3789-C3789)/(Utilities!$B$11*IterData!H3789)))</f>
        <v>1</v>
      </c>
    </row>
    <row r="3790" spans="8:11" x14ac:dyDescent="0.3">
      <c r="H3790">
        <v>0.5</v>
      </c>
      <c r="I3790" s="11">
        <f t="shared" si="59"/>
        <v>0</v>
      </c>
      <c r="J3790" s="11">
        <f>1/(H3790*Utilities!$B$11)</f>
        <v>8</v>
      </c>
      <c r="K3790" s="11">
        <f>IF(B3790&lt;C3790,1,EXP(-1*(B3790-C3790)/(Utilities!$B$11*IterData!H3790)))</f>
        <v>1</v>
      </c>
    </row>
    <row r="3791" spans="8:11" x14ac:dyDescent="0.3">
      <c r="H3791">
        <v>0.5</v>
      </c>
      <c r="I3791" s="11">
        <f t="shared" si="59"/>
        <v>0</v>
      </c>
      <c r="J3791" s="11">
        <f>1/(H3791*Utilities!$B$11)</f>
        <v>8</v>
      </c>
      <c r="K3791" s="11">
        <f>IF(B3791&lt;C3791,1,EXP(-1*(B3791-C3791)/(Utilities!$B$11*IterData!H3791)))</f>
        <v>1</v>
      </c>
    </row>
    <row r="3792" spans="8:11" x14ac:dyDescent="0.3">
      <c r="H3792">
        <v>0.5</v>
      </c>
      <c r="I3792" s="11">
        <f t="shared" si="59"/>
        <v>0</v>
      </c>
      <c r="J3792" s="11">
        <f>1/(H3792*Utilities!$B$11)</f>
        <v>8</v>
      </c>
      <c r="K3792" s="11">
        <f>IF(B3792&lt;C3792,1,EXP(-1*(B3792-C3792)/(Utilities!$B$11*IterData!H3792)))</f>
        <v>1</v>
      </c>
    </row>
    <row r="3793" spans="8:11" x14ac:dyDescent="0.3">
      <c r="H3793">
        <v>0.5</v>
      </c>
      <c r="I3793" s="11">
        <f t="shared" si="59"/>
        <v>0</v>
      </c>
      <c r="J3793" s="11">
        <f>1/(H3793*Utilities!$B$11)</f>
        <v>8</v>
      </c>
      <c r="K3793" s="11">
        <f>IF(B3793&lt;C3793,1,EXP(-1*(B3793-C3793)/(Utilities!$B$11*IterData!H3793)))</f>
        <v>1</v>
      </c>
    </row>
    <row r="3794" spans="8:11" x14ac:dyDescent="0.3">
      <c r="H3794">
        <v>0.5</v>
      </c>
      <c r="I3794" s="11">
        <f t="shared" si="59"/>
        <v>0</v>
      </c>
      <c r="J3794" s="11">
        <f>1/(H3794*Utilities!$B$11)</f>
        <v>8</v>
      </c>
      <c r="K3794" s="11">
        <f>IF(B3794&lt;C3794,1,EXP(-1*(B3794-C3794)/(Utilities!$B$11*IterData!H3794)))</f>
        <v>1</v>
      </c>
    </row>
    <row r="3795" spans="8:11" x14ac:dyDescent="0.3">
      <c r="H3795">
        <v>0.5</v>
      </c>
      <c r="I3795" s="11">
        <f t="shared" si="59"/>
        <v>0</v>
      </c>
      <c r="J3795" s="11">
        <f>1/(H3795*Utilities!$B$11)</f>
        <v>8</v>
      </c>
      <c r="K3795" s="11">
        <f>IF(B3795&lt;C3795,1,EXP(-1*(B3795-C3795)/(Utilities!$B$11*IterData!H3795)))</f>
        <v>1</v>
      </c>
    </row>
    <row r="3796" spans="8:11" x14ac:dyDescent="0.3">
      <c r="H3796">
        <v>0.5</v>
      </c>
      <c r="I3796" s="11">
        <f t="shared" si="59"/>
        <v>0</v>
      </c>
      <c r="J3796" s="11">
        <f>1/(H3796*Utilities!$B$11)</f>
        <v>8</v>
      </c>
      <c r="K3796" s="11">
        <f>IF(B3796&lt;C3796,1,EXP(-1*(B3796-C3796)/(Utilities!$B$11*IterData!H3796)))</f>
        <v>1</v>
      </c>
    </row>
    <row r="3797" spans="8:11" x14ac:dyDescent="0.3">
      <c r="H3797">
        <v>0.5</v>
      </c>
      <c r="I3797" s="11">
        <f t="shared" si="59"/>
        <v>0</v>
      </c>
      <c r="J3797" s="11">
        <f>1/(H3797*Utilities!$B$11)</f>
        <v>8</v>
      </c>
      <c r="K3797" s="11">
        <f>IF(B3797&lt;C3797,1,EXP(-1*(B3797-C3797)/(Utilities!$B$11*IterData!H3797)))</f>
        <v>1</v>
      </c>
    </row>
    <row r="3798" spans="8:11" x14ac:dyDescent="0.3">
      <c r="H3798">
        <v>0.5</v>
      </c>
      <c r="I3798" s="11">
        <f t="shared" si="59"/>
        <v>0</v>
      </c>
      <c r="J3798" s="11">
        <f>1/(H3798*Utilities!$B$11)</f>
        <v>8</v>
      </c>
      <c r="K3798" s="11">
        <f>IF(B3798&lt;C3798,1,EXP(-1*(B3798-C3798)/(Utilities!$B$11*IterData!H3798)))</f>
        <v>1</v>
      </c>
    </row>
    <row r="3799" spans="8:11" x14ac:dyDescent="0.3">
      <c r="H3799">
        <v>0.5</v>
      </c>
      <c r="I3799" s="11">
        <f t="shared" si="59"/>
        <v>0</v>
      </c>
      <c r="J3799" s="11">
        <f>1/(H3799*Utilities!$B$11)</f>
        <v>8</v>
      </c>
      <c r="K3799" s="11">
        <f>IF(B3799&lt;C3799,1,EXP(-1*(B3799-C3799)/(Utilities!$B$11*IterData!H3799)))</f>
        <v>1</v>
      </c>
    </row>
    <row r="3800" spans="8:11" x14ac:dyDescent="0.3">
      <c r="H3800">
        <v>0.5</v>
      </c>
      <c r="I3800" s="11">
        <f t="shared" si="59"/>
        <v>0</v>
      </c>
      <c r="J3800" s="11">
        <f>1/(H3800*Utilities!$B$11)</f>
        <v>8</v>
      </c>
      <c r="K3800" s="11">
        <f>IF(B3800&lt;C3800,1,EXP(-1*(B3800-C3800)/(Utilities!$B$11*IterData!H3800)))</f>
        <v>1</v>
      </c>
    </row>
    <row r="3801" spans="8:11" x14ac:dyDescent="0.3">
      <c r="H3801">
        <v>0.5</v>
      </c>
      <c r="I3801" s="11">
        <f t="shared" si="59"/>
        <v>0</v>
      </c>
      <c r="J3801" s="11">
        <f>1/(H3801*Utilities!$B$11)</f>
        <v>8</v>
      </c>
      <c r="K3801" s="11">
        <f>IF(B3801&lt;C3801,1,EXP(-1*(B3801-C3801)/(Utilities!$B$11*IterData!H3801)))</f>
        <v>1</v>
      </c>
    </row>
    <row r="3802" spans="8:11" x14ac:dyDescent="0.3">
      <c r="H3802">
        <v>0.5</v>
      </c>
      <c r="I3802" s="11">
        <f t="shared" si="59"/>
        <v>0</v>
      </c>
      <c r="J3802" s="11">
        <f>1/(H3802*Utilities!$B$11)</f>
        <v>8</v>
      </c>
      <c r="K3802" s="11">
        <f>IF(B3802&lt;C3802,1,EXP(-1*(B3802-C3802)/(Utilities!$B$11*IterData!H3802)))</f>
        <v>1</v>
      </c>
    </row>
    <row r="3803" spans="8:11" x14ac:dyDescent="0.3">
      <c r="H3803">
        <v>0.5</v>
      </c>
      <c r="I3803" s="11">
        <f t="shared" si="59"/>
        <v>0</v>
      </c>
      <c r="J3803" s="11">
        <f>1/(H3803*Utilities!$B$11)</f>
        <v>8</v>
      </c>
      <c r="K3803" s="11">
        <f>IF(B3803&lt;C3803,1,EXP(-1*(B3803-C3803)/(Utilities!$B$11*IterData!H3803)))</f>
        <v>1</v>
      </c>
    </row>
    <row r="3804" spans="8:11" x14ac:dyDescent="0.3">
      <c r="H3804">
        <v>0.5</v>
      </c>
      <c r="I3804" s="11">
        <f t="shared" si="59"/>
        <v>0</v>
      </c>
      <c r="J3804" s="11">
        <f>1/(H3804*Utilities!$B$11)</f>
        <v>8</v>
      </c>
      <c r="K3804" s="11">
        <f>IF(B3804&lt;C3804,1,EXP(-1*(B3804-C3804)/(Utilities!$B$11*IterData!H3804)))</f>
        <v>1</v>
      </c>
    </row>
    <row r="3805" spans="8:11" x14ac:dyDescent="0.3">
      <c r="H3805">
        <v>0.5</v>
      </c>
      <c r="I3805" s="11">
        <f t="shared" si="59"/>
        <v>0</v>
      </c>
      <c r="J3805" s="11">
        <f>1/(H3805*Utilities!$B$11)</f>
        <v>8</v>
      </c>
      <c r="K3805" s="11">
        <f>IF(B3805&lt;C3805,1,EXP(-1*(B3805-C3805)/(Utilities!$B$11*IterData!H3805)))</f>
        <v>1</v>
      </c>
    </row>
    <row r="3806" spans="8:11" x14ac:dyDescent="0.3">
      <c r="H3806">
        <v>0.5</v>
      </c>
      <c r="I3806" s="11">
        <f t="shared" si="59"/>
        <v>0</v>
      </c>
      <c r="J3806" s="11">
        <f>1/(H3806*Utilities!$B$11)</f>
        <v>8</v>
      </c>
      <c r="K3806" s="11">
        <f>IF(B3806&lt;C3806,1,EXP(-1*(B3806-C3806)/(Utilities!$B$11*IterData!H3806)))</f>
        <v>1</v>
      </c>
    </row>
    <row r="3807" spans="8:11" x14ac:dyDescent="0.3">
      <c r="H3807">
        <v>0.5</v>
      </c>
      <c r="I3807" s="11">
        <f t="shared" si="59"/>
        <v>0</v>
      </c>
      <c r="J3807" s="11">
        <f>1/(H3807*Utilities!$B$11)</f>
        <v>8</v>
      </c>
      <c r="K3807" s="11">
        <f>IF(B3807&lt;C3807,1,EXP(-1*(B3807-C3807)/(Utilities!$B$11*IterData!H3807)))</f>
        <v>1</v>
      </c>
    </row>
    <row r="3808" spans="8:11" x14ac:dyDescent="0.3">
      <c r="H3808">
        <v>0.5</v>
      </c>
      <c r="I3808" s="11">
        <f t="shared" si="59"/>
        <v>0</v>
      </c>
      <c r="J3808" s="11">
        <f>1/(H3808*Utilities!$B$11)</f>
        <v>8</v>
      </c>
      <c r="K3808" s="11">
        <f>IF(B3808&lt;C3808,1,EXP(-1*(B3808-C3808)/(Utilities!$B$11*IterData!H3808)))</f>
        <v>1</v>
      </c>
    </row>
    <row r="3809" spans="8:11" x14ac:dyDescent="0.3">
      <c r="H3809">
        <v>0.5</v>
      </c>
      <c r="I3809" s="11">
        <f t="shared" si="59"/>
        <v>0</v>
      </c>
      <c r="J3809" s="11">
        <f>1/(H3809*Utilities!$B$11)</f>
        <v>8</v>
      </c>
      <c r="K3809" s="11">
        <f>IF(B3809&lt;C3809,1,EXP(-1*(B3809-C3809)/(Utilities!$B$11*IterData!H3809)))</f>
        <v>1</v>
      </c>
    </row>
    <row r="3810" spans="8:11" x14ac:dyDescent="0.3">
      <c r="H3810">
        <v>0.5</v>
      </c>
      <c r="I3810" s="11">
        <f t="shared" si="59"/>
        <v>0</v>
      </c>
      <c r="J3810" s="11">
        <f>1/(H3810*Utilities!$B$11)</f>
        <v>8</v>
      </c>
      <c r="K3810" s="11">
        <f>IF(B3810&lt;C3810,1,EXP(-1*(B3810-C3810)/(Utilities!$B$11*IterData!H3810)))</f>
        <v>1</v>
      </c>
    </row>
    <row r="3811" spans="8:11" x14ac:dyDescent="0.3">
      <c r="H3811">
        <v>0.5</v>
      </c>
      <c r="I3811" s="11">
        <f t="shared" si="59"/>
        <v>0</v>
      </c>
      <c r="J3811" s="11">
        <f>1/(H3811*Utilities!$B$11)</f>
        <v>8</v>
      </c>
      <c r="K3811" s="11">
        <f>IF(B3811&lt;C3811,1,EXP(-1*(B3811-C3811)/(Utilities!$B$11*IterData!H3811)))</f>
        <v>1</v>
      </c>
    </row>
    <row r="3812" spans="8:11" x14ac:dyDescent="0.3">
      <c r="H3812">
        <v>0.5</v>
      </c>
      <c r="I3812" s="11">
        <f t="shared" si="59"/>
        <v>0</v>
      </c>
      <c r="J3812" s="11">
        <f>1/(H3812*Utilities!$B$11)</f>
        <v>8</v>
      </c>
      <c r="K3812" s="11">
        <f>IF(B3812&lt;C3812,1,EXP(-1*(B3812-C3812)/(Utilities!$B$11*IterData!H3812)))</f>
        <v>1</v>
      </c>
    </row>
    <row r="3813" spans="8:11" x14ac:dyDescent="0.3">
      <c r="H3813">
        <v>0.5</v>
      </c>
      <c r="I3813" s="11">
        <f t="shared" si="59"/>
        <v>0</v>
      </c>
      <c r="J3813" s="11">
        <f>1/(H3813*Utilities!$B$11)</f>
        <v>8</v>
      </c>
      <c r="K3813" s="11">
        <f>IF(B3813&lt;C3813,1,EXP(-1*(B3813-C3813)/(Utilities!$B$11*IterData!H3813)))</f>
        <v>1</v>
      </c>
    </row>
    <row r="3814" spans="8:11" x14ac:dyDescent="0.3">
      <c r="H3814">
        <v>0.5</v>
      </c>
      <c r="I3814" s="11">
        <f t="shared" si="59"/>
        <v>0</v>
      </c>
      <c r="J3814" s="11">
        <f>1/(H3814*Utilities!$B$11)</f>
        <v>8</v>
      </c>
      <c r="K3814" s="11">
        <f>IF(B3814&lt;C3814,1,EXP(-1*(B3814-C3814)/(Utilities!$B$11*IterData!H3814)))</f>
        <v>1</v>
      </c>
    </row>
    <row r="3815" spans="8:11" x14ac:dyDescent="0.3">
      <c r="H3815">
        <v>0.5</v>
      </c>
      <c r="I3815" s="11">
        <f t="shared" si="59"/>
        <v>0</v>
      </c>
      <c r="J3815" s="11">
        <f>1/(H3815*Utilities!$B$11)</f>
        <v>8</v>
      </c>
      <c r="K3815" s="11">
        <f>IF(B3815&lt;C3815,1,EXP(-1*(B3815-C3815)/(Utilities!$B$11*IterData!H3815)))</f>
        <v>1</v>
      </c>
    </row>
    <row r="3816" spans="8:11" x14ac:dyDescent="0.3">
      <c r="H3816">
        <v>0.5</v>
      </c>
      <c r="I3816" s="11">
        <f t="shared" si="59"/>
        <v>0</v>
      </c>
      <c r="J3816" s="11">
        <f>1/(H3816*Utilities!$B$11)</f>
        <v>8</v>
      </c>
      <c r="K3816" s="11">
        <f>IF(B3816&lt;C3816,1,EXP(-1*(B3816-C3816)/(Utilities!$B$11*IterData!H3816)))</f>
        <v>1</v>
      </c>
    </row>
    <row r="3817" spans="8:11" x14ac:dyDescent="0.3">
      <c r="H3817">
        <v>0.5</v>
      </c>
      <c r="I3817" s="11">
        <f t="shared" si="59"/>
        <v>0</v>
      </c>
      <c r="J3817" s="11">
        <f>1/(H3817*Utilities!$B$11)</f>
        <v>8</v>
      </c>
      <c r="K3817" s="11">
        <f>IF(B3817&lt;C3817,1,EXP(-1*(B3817-C3817)/(Utilities!$B$11*IterData!H3817)))</f>
        <v>1</v>
      </c>
    </row>
    <row r="3818" spans="8:11" x14ac:dyDescent="0.3">
      <c r="H3818">
        <v>0.5</v>
      </c>
      <c r="I3818" s="11">
        <f t="shared" si="59"/>
        <v>0</v>
      </c>
      <c r="J3818" s="11">
        <f>1/(H3818*Utilities!$B$11)</f>
        <v>8</v>
      </c>
      <c r="K3818" s="11">
        <f>IF(B3818&lt;C3818,1,EXP(-1*(B3818-C3818)/(Utilities!$B$11*IterData!H3818)))</f>
        <v>1</v>
      </c>
    </row>
    <row r="3819" spans="8:11" x14ac:dyDescent="0.3">
      <c r="H3819">
        <v>0.5</v>
      </c>
      <c r="I3819" s="11">
        <f t="shared" si="59"/>
        <v>0</v>
      </c>
      <c r="J3819" s="11">
        <f>1/(H3819*Utilities!$B$11)</f>
        <v>8</v>
      </c>
      <c r="K3819" s="11">
        <f>IF(B3819&lt;C3819,1,EXP(-1*(B3819-C3819)/(Utilities!$B$11*IterData!H3819)))</f>
        <v>1</v>
      </c>
    </row>
    <row r="3820" spans="8:11" x14ac:dyDescent="0.3">
      <c r="H3820">
        <v>0.5</v>
      </c>
      <c r="I3820" s="11">
        <f t="shared" si="59"/>
        <v>0</v>
      </c>
      <c r="J3820" s="11">
        <f>1/(H3820*Utilities!$B$11)</f>
        <v>8</v>
      </c>
      <c r="K3820" s="11">
        <f>IF(B3820&lt;C3820,1,EXP(-1*(B3820-C3820)/(Utilities!$B$11*IterData!H3820)))</f>
        <v>1</v>
      </c>
    </row>
    <row r="3821" spans="8:11" x14ac:dyDescent="0.3">
      <c r="H3821">
        <v>0.5</v>
      </c>
      <c r="I3821" s="11">
        <f t="shared" si="59"/>
        <v>0</v>
      </c>
      <c r="J3821" s="11">
        <f>1/(H3821*Utilities!$B$11)</f>
        <v>8</v>
      </c>
      <c r="K3821" s="11">
        <f>IF(B3821&lt;C3821,1,EXP(-1*(B3821-C3821)/(Utilities!$B$11*IterData!H3821)))</f>
        <v>1</v>
      </c>
    </row>
    <row r="3822" spans="8:11" x14ac:dyDescent="0.3">
      <c r="H3822">
        <v>0.5</v>
      </c>
      <c r="I3822" s="11">
        <f t="shared" si="59"/>
        <v>0</v>
      </c>
      <c r="J3822" s="11">
        <f>1/(H3822*Utilities!$B$11)</f>
        <v>8</v>
      </c>
      <c r="K3822" s="11">
        <f>IF(B3822&lt;C3822,1,EXP(-1*(B3822-C3822)/(Utilities!$B$11*IterData!H3822)))</f>
        <v>1</v>
      </c>
    </row>
    <row r="3823" spans="8:11" x14ac:dyDescent="0.3">
      <c r="H3823">
        <v>0.5</v>
      </c>
      <c r="I3823" s="11">
        <f t="shared" si="59"/>
        <v>0</v>
      </c>
      <c r="J3823" s="11">
        <f>1/(H3823*Utilities!$B$11)</f>
        <v>8</v>
      </c>
      <c r="K3823" s="11">
        <f>IF(B3823&lt;C3823,1,EXP(-1*(B3823-C3823)/(Utilities!$B$11*IterData!H3823)))</f>
        <v>1</v>
      </c>
    </row>
    <row r="3824" spans="8:11" x14ac:dyDescent="0.3">
      <c r="H3824">
        <v>0.5</v>
      </c>
      <c r="I3824" s="11">
        <f t="shared" si="59"/>
        <v>0</v>
      </c>
      <c r="J3824" s="11">
        <f>1/(H3824*Utilities!$B$11)</f>
        <v>8</v>
      </c>
      <c r="K3824" s="11">
        <f>IF(B3824&lt;C3824,1,EXP(-1*(B3824-C3824)/(Utilities!$B$11*IterData!H3824)))</f>
        <v>1</v>
      </c>
    </row>
    <row r="3825" spans="8:11" x14ac:dyDescent="0.3">
      <c r="H3825">
        <v>0.5</v>
      </c>
      <c r="I3825" s="11">
        <f t="shared" si="59"/>
        <v>0</v>
      </c>
      <c r="J3825" s="11">
        <f>1/(H3825*Utilities!$B$11)</f>
        <v>8</v>
      </c>
      <c r="K3825" s="11">
        <f>IF(B3825&lt;C3825,1,EXP(-1*(B3825-C3825)/(Utilities!$B$11*IterData!H3825)))</f>
        <v>1</v>
      </c>
    </row>
    <row r="3826" spans="8:11" x14ac:dyDescent="0.3">
      <c r="H3826">
        <v>0.5</v>
      </c>
      <c r="I3826" s="11">
        <f t="shared" si="59"/>
        <v>0</v>
      </c>
      <c r="J3826" s="11">
        <f>1/(H3826*Utilities!$B$11)</f>
        <v>8</v>
      </c>
      <c r="K3826" s="11">
        <f>IF(B3826&lt;C3826,1,EXP(-1*(B3826-C3826)/(Utilities!$B$11*IterData!H3826)))</f>
        <v>1</v>
      </c>
    </row>
    <row r="3827" spans="8:11" x14ac:dyDescent="0.3">
      <c r="H3827">
        <v>0.5</v>
      </c>
      <c r="I3827" s="11">
        <f t="shared" si="59"/>
        <v>0</v>
      </c>
      <c r="J3827" s="11">
        <f>1/(H3827*Utilities!$B$11)</f>
        <v>8</v>
      </c>
      <c r="K3827" s="11">
        <f>IF(B3827&lt;C3827,1,EXP(-1*(B3827-C3827)/(Utilities!$B$11*IterData!H3827)))</f>
        <v>1</v>
      </c>
    </row>
    <row r="3828" spans="8:11" x14ac:dyDescent="0.3">
      <c r="H3828">
        <v>0.5</v>
      </c>
      <c r="I3828" s="11">
        <f t="shared" si="59"/>
        <v>0</v>
      </c>
      <c r="J3828" s="11">
        <f>1/(H3828*Utilities!$B$11)</f>
        <v>8</v>
      </c>
      <c r="K3828" s="11">
        <f>IF(B3828&lt;C3828,1,EXP(-1*(B3828-C3828)/(Utilities!$B$11*IterData!H3828)))</f>
        <v>1</v>
      </c>
    </row>
    <row r="3829" spans="8:11" x14ac:dyDescent="0.3">
      <c r="H3829">
        <v>0.5</v>
      </c>
      <c r="I3829" s="11">
        <f t="shared" si="59"/>
        <v>0</v>
      </c>
      <c r="J3829" s="11">
        <f>1/(H3829*Utilities!$B$11)</f>
        <v>8</v>
      </c>
      <c r="K3829" s="11">
        <f>IF(B3829&lt;C3829,1,EXP(-1*(B3829-C3829)/(Utilities!$B$11*IterData!H3829)))</f>
        <v>1</v>
      </c>
    </row>
    <row r="3830" spans="8:11" x14ac:dyDescent="0.3">
      <c r="H3830">
        <v>0.5</v>
      </c>
      <c r="I3830" s="11">
        <f t="shared" si="59"/>
        <v>0</v>
      </c>
      <c r="J3830" s="11">
        <f>1/(H3830*Utilities!$B$11)</f>
        <v>8</v>
      </c>
      <c r="K3830" s="11">
        <f>IF(B3830&lt;C3830,1,EXP(-1*(B3830-C3830)/(Utilities!$B$11*IterData!H3830)))</f>
        <v>1</v>
      </c>
    </row>
    <row r="3831" spans="8:11" x14ac:dyDescent="0.3">
      <c r="H3831">
        <v>0.5</v>
      </c>
      <c r="I3831" s="11">
        <f t="shared" si="59"/>
        <v>0</v>
      </c>
      <c r="J3831" s="11">
        <f>1/(H3831*Utilities!$B$11)</f>
        <v>8</v>
      </c>
      <c r="K3831" s="11">
        <f>IF(B3831&lt;C3831,1,EXP(-1*(B3831-C3831)/(Utilities!$B$11*IterData!H3831)))</f>
        <v>1</v>
      </c>
    </row>
    <row r="3832" spans="8:11" x14ac:dyDescent="0.3">
      <c r="H3832">
        <v>0.5</v>
      </c>
      <c r="I3832" s="11">
        <f t="shared" si="59"/>
        <v>0</v>
      </c>
      <c r="J3832" s="11">
        <f>1/(H3832*Utilities!$B$11)</f>
        <v>8</v>
      </c>
      <c r="K3832" s="11">
        <f>IF(B3832&lt;C3832,1,EXP(-1*(B3832-C3832)/(Utilities!$B$11*IterData!H3832)))</f>
        <v>1</v>
      </c>
    </row>
    <row r="3833" spans="8:11" x14ac:dyDescent="0.3">
      <c r="H3833">
        <v>0.5</v>
      </c>
      <c r="I3833" s="11">
        <f t="shared" si="59"/>
        <v>0</v>
      </c>
      <c r="J3833" s="11">
        <f>1/(H3833*Utilities!$B$11)</f>
        <v>8</v>
      </c>
      <c r="K3833" s="11">
        <f>IF(B3833&lt;C3833,1,EXP(-1*(B3833-C3833)/(Utilities!$B$11*IterData!H3833)))</f>
        <v>1</v>
      </c>
    </row>
    <row r="3834" spans="8:11" x14ac:dyDescent="0.3">
      <c r="H3834">
        <v>0.5</v>
      </c>
      <c r="I3834" s="11">
        <f t="shared" si="59"/>
        <v>0</v>
      </c>
      <c r="J3834" s="11">
        <f>1/(H3834*Utilities!$B$11)</f>
        <v>8</v>
      </c>
      <c r="K3834" s="11">
        <f>IF(B3834&lt;C3834,1,EXP(-1*(B3834-C3834)/(Utilities!$B$11*IterData!H3834)))</f>
        <v>1</v>
      </c>
    </row>
    <row r="3835" spans="8:11" x14ac:dyDescent="0.3">
      <c r="H3835">
        <v>0.5</v>
      </c>
      <c r="I3835" s="11">
        <f t="shared" si="59"/>
        <v>0</v>
      </c>
      <c r="J3835" s="11">
        <f>1/(H3835*Utilities!$B$11)</f>
        <v>8</v>
      </c>
      <c r="K3835" s="11">
        <f>IF(B3835&lt;C3835,1,EXP(-1*(B3835-C3835)/(Utilities!$B$11*IterData!H3835)))</f>
        <v>1</v>
      </c>
    </row>
    <row r="3836" spans="8:11" x14ac:dyDescent="0.3">
      <c r="H3836">
        <v>0.5</v>
      </c>
      <c r="I3836" s="11">
        <f t="shared" si="59"/>
        <v>0</v>
      </c>
      <c r="J3836" s="11">
        <f>1/(H3836*Utilities!$B$11)</f>
        <v>8</v>
      </c>
      <c r="K3836" s="11">
        <f>IF(B3836&lt;C3836,1,EXP(-1*(B3836-C3836)/(Utilities!$B$11*IterData!H3836)))</f>
        <v>1</v>
      </c>
    </row>
    <row r="3837" spans="8:11" x14ac:dyDescent="0.3">
      <c r="H3837">
        <v>0.5</v>
      </c>
      <c r="I3837" s="11">
        <f t="shared" si="59"/>
        <v>0</v>
      </c>
      <c r="J3837" s="11">
        <f>1/(H3837*Utilities!$B$11)</f>
        <v>8</v>
      </c>
      <c r="K3837" s="11">
        <f>IF(B3837&lt;C3837,1,EXP(-1*(B3837-C3837)/(Utilities!$B$11*IterData!H3837)))</f>
        <v>1</v>
      </c>
    </row>
    <row r="3838" spans="8:11" x14ac:dyDescent="0.3">
      <c r="H3838">
        <v>0.5</v>
      </c>
      <c r="I3838" s="11">
        <f t="shared" si="59"/>
        <v>0</v>
      </c>
      <c r="J3838" s="11">
        <f>1/(H3838*Utilities!$B$11)</f>
        <v>8</v>
      </c>
      <c r="K3838" s="11">
        <f>IF(B3838&lt;C3838,1,EXP(-1*(B3838-C3838)/(Utilities!$B$11*IterData!H3838)))</f>
        <v>1</v>
      </c>
    </row>
    <row r="3839" spans="8:11" x14ac:dyDescent="0.3">
      <c r="H3839">
        <v>0.5</v>
      </c>
      <c r="I3839" s="11">
        <f t="shared" si="59"/>
        <v>0</v>
      </c>
      <c r="J3839" s="11">
        <f>1/(H3839*Utilities!$B$11)</f>
        <v>8</v>
      </c>
      <c r="K3839" s="11">
        <f>IF(B3839&lt;C3839,1,EXP(-1*(B3839-C3839)/(Utilities!$B$11*IterData!H3839)))</f>
        <v>1</v>
      </c>
    </row>
    <row r="3840" spans="8:11" x14ac:dyDescent="0.3">
      <c r="H3840">
        <v>0.5</v>
      </c>
      <c r="I3840" s="11">
        <f t="shared" si="59"/>
        <v>0</v>
      </c>
      <c r="J3840" s="11">
        <f>1/(H3840*Utilities!$B$11)</f>
        <v>8</v>
      </c>
      <c r="K3840" s="11">
        <f>IF(B3840&lt;C3840,1,EXP(-1*(B3840-C3840)/(Utilities!$B$11*IterData!H3840)))</f>
        <v>1</v>
      </c>
    </row>
    <row r="3841" spans="8:11" x14ac:dyDescent="0.3">
      <c r="H3841">
        <v>0.5</v>
      </c>
      <c r="I3841" s="11">
        <f t="shared" si="59"/>
        <v>0</v>
      </c>
      <c r="J3841" s="11">
        <f>1/(H3841*Utilities!$B$11)</f>
        <v>8</v>
      </c>
      <c r="K3841" s="11">
        <f>IF(B3841&lt;C3841,1,EXP(-1*(B3841-C3841)/(Utilities!$B$11*IterData!H3841)))</f>
        <v>1</v>
      </c>
    </row>
    <row r="3842" spans="8:11" x14ac:dyDescent="0.3">
      <c r="H3842">
        <v>0.5</v>
      </c>
      <c r="I3842" s="11">
        <f t="shared" si="59"/>
        <v>0</v>
      </c>
      <c r="J3842" s="11">
        <f>1/(H3842*Utilities!$B$11)</f>
        <v>8</v>
      </c>
      <c r="K3842" s="11">
        <f>IF(B3842&lt;C3842,1,EXP(-1*(B3842-C3842)/(Utilities!$B$11*IterData!H3842)))</f>
        <v>1</v>
      </c>
    </row>
    <row r="3843" spans="8:11" x14ac:dyDescent="0.3">
      <c r="H3843">
        <v>0.5</v>
      </c>
      <c r="I3843" s="11">
        <f t="shared" ref="I3843:I3906" si="60">B3843-C3843</f>
        <v>0</v>
      </c>
      <c r="J3843" s="11">
        <f>1/(H3843*Utilities!$B$11)</f>
        <v>8</v>
      </c>
      <c r="K3843" s="11">
        <f>IF(B3843&lt;C3843,1,EXP(-1*(B3843-C3843)/(Utilities!$B$11*IterData!H3843)))</f>
        <v>1</v>
      </c>
    </row>
    <row r="3844" spans="8:11" x14ac:dyDescent="0.3">
      <c r="H3844">
        <v>0.5</v>
      </c>
      <c r="I3844" s="11">
        <f t="shared" si="60"/>
        <v>0</v>
      </c>
      <c r="J3844" s="11">
        <f>1/(H3844*Utilities!$B$11)</f>
        <v>8</v>
      </c>
      <c r="K3844" s="11">
        <f>IF(B3844&lt;C3844,1,EXP(-1*(B3844-C3844)/(Utilities!$B$11*IterData!H3844)))</f>
        <v>1</v>
      </c>
    </row>
    <row r="3845" spans="8:11" x14ac:dyDescent="0.3">
      <c r="H3845">
        <v>0.5</v>
      </c>
      <c r="I3845" s="11">
        <f t="shared" si="60"/>
        <v>0</v>
      </c>
      <c r="J3845" s="11">
        <f>1/(H3845*Utilities!$B$11)</f>
        <v>8</v>
      </c>
      <c r="K3845" s="11">
        <f>IF(B3845&lt;C3845,1,EXP(-1*(B3845-C3845)/(Utilities!$B$11*IterData!H3845)))</f>
        <v>1</v>
      </c>
    </row>
    <row r="3846" spans="8:11" x14ac:dyDescent="0.3">
      <c r="H3846">
        <v>0.5</v>
      </c>
      <c r="I3846" s="11">
        <f t="shared" si="60"/>
        <v>0</v>
      </c>
      <c r="J3846" s="11">
        <f>1/(H3846*Utilities!$B$11)</f>
        <v>8</v>
      </c>
      <c r="K3846" s="11">
        <f>IF(B3846&lt;C3846,1,EXP(-1*(B3846-C3846)/(Utilities!$B$11*IterData!H3846)))</f>
        <v>1</v>
      </c>
    </row>
    <row r="3847" spans="8:11" x14ac:dyDescent="0.3">
      <c r="H3847">
        <v>0.5</v>
      </c>
      <c r="I3847" s="11">
        <f t="shared" si="60"/>
        <v>0</v>
      </c>
      <c r="J3847" s="11">
        <f>1/(H3847*Utilities!$B$11)</f>
        <v>8</v>
      </c>
      <c r="K3847" s="11">
        <f>IF(B3847&lt;C3847,1,EXP(-1*(B3847-C3847)/(Utilities!$B$11*IterData!H3847)))</f>
        <v>1</v>
      </c>
    </row>
    <row r="3848" spans="8:11" x14ac:dyDescent="0.3">
      <c r="H3848">
        <v>0.5</v>
      </c>
      <c r="I3848" s="11">
        <f t="shared" si="60"/>
        <v>0</v>
      </c>
      <c r="J3848" s="11">
        <f>1/(H3848*Utilities!$B$11)</f>
        <v>8</v>
      </c>
      <c r="K3848" s="11">
        <f>IF(B3848&lt;C3848,1,EXP(-1*(B3848-C3848)/(Utilities!$B$11*IterData!H3848)))</f>
        <v>1</v>
      </c>
    </row>
    <row r="3849" spans="8:11" x14ac:dyDescent="0.3">
      <c r="H3849">
        <v>0.5</v>
      </c>
      <c r="I3849" s="11">
        <f t="shared" si="60"/>
        <v>0</v>
      </c>
      <c r="J3849" s="11">
        <f>1/(H3849*Utilities!$B$11)</f>
        <v>8</v>
      </c>
      <c r="K3849" s="11">
        <f>IF(B3849&lt;C3849,1,EXP(-1*(B3849-C3849)/(Utilities!$B$11*IterData!H3849)))</f>
        <v>1</v>
      </c>
    </row>
    <row r="3850" spans="8:11" x14ac:dyDescent="0.3">
      <c r="H3850">
        <v>0.5</v>
      </c>
      <c r="I3850" s="11">
        <f t="shared" si="60"/>
        <v>0</v>
      </c>
      <c r="J3850" s="11">
        <f>1/(H3850*Utilities!$B$11)</f>
        <v>8</v>
      </c>
      <c r="K3850" s="11">
        <f>IF(B3850&lt;C3850,1,EXP(-1*(B3850-C3850)/(Utilities!$B$11*IterData!H3850)))</f>
        <v>1</v>
      </c>
    </row>
    <row r="3851" spans="8:11" x14ac:dyDescent="0.3">
      <c r="H3851">
        <v>0.5</v>
      </c>
      <c r="I3851" s="11">
        <f t="shared" si="60"/>
        <v>0</v>
      </c>
      <c r="J3851" s="11">
        <f>1/(H3851*Utilities!$B$11)</f>
        <v>8</v>
      </c>
      <c r="K3851" s="11">
        <f>IF(B3851&lt;C3851,1,EXP(-1*(B3851-C3851)/(Utilities!$B$11*IterData!H3851)))</f>
        <v>1</v>
      </c>
    </row>
    <row r="3852" spans="8:11" x14ac:dyDescent="0.3">
      <c r="H3852">
        <v>0.5</v>
      </c>
      <c r="I3852" s="11">
        <f t="shared" si="60"/>
        <v>0</v>
      </c>
      <c r="J3852" s="11">
        <f>1/(H3852*Utilities!$B$11)</f>
        <v>8</v>
      </c>
      <c r="K3852" s="11">
        <f>IF(B3852&lt;C3852,1,EXP(-1*(B3852-C3852)/(Utilities!$B$11*IterData!H3852)))</f>
        <v>1</v>
      </c>
    </row>
    <row r="3853" spans="8:11" x14ac:dyDescent="0.3">
      <c r="H3853">
        <v>0.5</v>
      </c>
      <c r="I3853" s="11">
        <f t="shared" si="60"/>
        <v>0</v>
      </c>
      <c r="J3853" s="11">
        <f>1/(H3853*Utilities!$B$11)</f>
        <v>8</v>
      </c>
      <c r="K3853" s="11">
        <f>IF(B3853&lt;C3853,1,EXP(-1*(B3853-C3853)/(Utilities!$B$11*IterData!H3853)))</f>
        <v>1</v>
      </c>
    </row>
    <row r="3854" spans="8:11" x14ac:dyDescent="0.3">
      <c r="H3854">
        <v>0.5</v>
      </c>
      <c r="I3854" s="11">
        <f t="shared" si="60"/>
        <v>0</v>
      </c>
      <c r="J3854" s="11">
        <f>1/(H3854*Utilities!$B$11)</f>
        <v>8</v>
      </c>
      <c r="K3854" s="11">
        <f>IF(B3854&lt;C3854,1,EXP(-1*(B3854-C3854)/(Utilities!$B$11*IterData!H3854)))</f>
        <v>1</v>
      </c>
    </row>
    <row r="3855" spans="8:11" x14ac:dyDescent="0.3">
      <c r="H3855">
        <v>0.5</v>
      </c>
      <c r="I3855" s="11">
        <f t="shared" si="60"/>
        <v>0</v>
      </c>
      <c r="J3855" s="11">
        <f>1/(H3855*Utilities!$B$11)</f>
        <v>8</v>
      </c>
      <c r="K3855" s="11">
        <f>IF(B3855&lt;C3855,1,EXP(-1*(B3855-C3855)/(Utilities!$B$11*IterData!H3855)))</f>
        <v>1</v>
      </c>
    </row>
    <row r="3856" spans="8:11" x14ac:dyDescent="0.3">
      <c r="H3856">
        <v>0.5</v>
      </c>
      <c r="I3856" s="11">
        <f t="shared" si="60"/>
        <v>0</v>
      </c>
      <c r="J3856" s="11">
        <f>1/(H3856*Utilities!$B$11)</f>
        <v>8</v>
      </c>
      <c r="K3856" s="11">
        <f>IF(B3856&lt;C3856,1,EXP(-1*(B3856-C3856)/(Utilities!$B$11*IterData!H3856)))</f>
        <v>1</v>
      </c>
    </row>
    <row r="3857" spans="8:11" x14ac:dyDescent="0.3">
      <c r="H3857">
        <v>0.5</v>
      </c>
      <c r="I3857" s="11">
        <f t="shared" si="60"/>
        <v>0</v>
      </c>
      <c r="J3857" s="11">
        <f>1/(H3857*Utilities!$B$11)</f>
        <v>8</v>
      </c>
      <c r="K3857" s="11">
        <f>IF(B3857&lt;C3857,1,EXP(-1*(B3857-C3857)/(Utilities!$B$11*IterData!H3857)))</f>
        <v>1</v>
      </c>
    </row>
    <row r="3858" spans="8:11" x14ac:dyDescent="0.3">
      <c r="H3858">
        <v>0.5</v>
      </c>
      <c r="I3858" s="11">
        <f t="shared" si="60"/>
        <v>0</v>
      </c>
      <c r="J3858" s="11">
        <f>1/(H3858*Utilities!$B$11)</f>
        <v>8</v>
      </c>
      <c r="K3858" s="11">
        <f>IF(B3858&lt;C3858,1,EXP(-1*(B3858-C3858)/(Utilities!$B$11*IterData!H3858)))</f>
        <v>1</v>
      </c>
    </row>
    <row r="3859" spans="8:11" x14ac:dyDescent="0.3">
      <c r="H3859">
        <v>0.5</v>
      </c>
      <c r="I3859" s="11">
        <f t="shared" si="60"/>
        <v>0</v>
      </c>
      <c r="J3859" s="11">
        <f>1/(H3859*Utilities!$B$11)</f>
        <v>8</v>
      </c>
      <c r="K3859" s="11">
        <f>IF(B3859&lt;C3859,1,EXP(-1*(B3859-C3859)/(Utilities!$B$11*IterData!H3859)))</f>
        <v>1</v>
      </c>
    </row>
    <row r="3860" spans="8:11" x14ac:dyDescent="0.3">
      <c r="H3860">
        <v>0.5</v>
      </c>
      <c r="I3860" s="11">
        <f t="shared" si="60"/>
        <v>0</v>
      </c>
      <c r="J3860" s="11">
        <f>1/(H3860*Utilities!$B$11)</f>
        <v>8</v>
      </c>
      <c r="K3860" s="11">
        <f>IF(B3860&lt;C3860,1,EXP(-1*(B3860-C3860)/(Utilities!$B$11*IterData!H3860)))</f>
        <v>1</v>
      </c>
    </row>
    <row r="3861" spans="8:11" x14ac:dyDescent="0.3">
      <c r="H3861">
        <v>0.5</v>
      </c>
      <c r="I3861" s="11">
        <f t="shared" si="60"/>
        <v>0</v>
      </c>
      <c r="J3861" s="11">
        <f>1/(H3861*Utilities!$B$11)</f>
        <v>8</v>
      </c>
      <c r="K3861" s="11">
        <f>IF(B3861&lt;C3861,1,EXP(-1*(B3861-C3861)/(Utilities!$B$11*IterData!H3861)))</f>
        <v>1</v>
      </c>
    </row>
    <row r="3862" spans="8:11" x14ac:dyDescent="0.3">
      <c r="H3862">
        <v>0.5</v>
      </c>
      <c r="I3862" s="11">
        <f t="shared" si="60"/>
        <v>0</v>
      </c>
      <c r="J3862" s="11">
        <f>1/(H3862*Utilities!$B$11)</f>
        <v>8</v>
      </c>
      <c r="K3862" s="11">
        <f>IF(B3862&lt;C3862,1,EXP(-1*(B3862-C3862)/(Utilities!$B$11*IterData!H3862)))</f>
        <v>1</v>
      </c>
    </row>
    <row r="3863" spans="8:11" x14ac:dyDescent="0.3">
      <c r="H3863">
        <v>0.5</v>
      </c>
      <c r="I3863" s="11">
        <f t="shared" si="60"/>
        <v>0</v>
      </c>
      <c r="J3863" s="11">
        <f>1/(H3863*Utilities!$B$11)</f>
        <v>8</v>
      </c>
      <c r="K3863" s="11">
        <f>IF(B3863&lt;C3863,1,EXP(-1*(B3863-C3863)/(Utilities!$B$11*IterData!H3863)))</f>
        <v>1</v>
      </c>
    </row>
    <row r="3864" spans="8:11" x14ac:dyDescent="0.3">
      <c r="H3864">
        <v>0.5</v>
      </c>
      <c r="I3864" s="11">
        <f t="shared" si="60"/>
        <v>0</v>
      </c>
      <c r="J3864" s="11">
        <f>1/(H3864*Utilities!$B$11)</f>
        <v>8</v>
      </c>
      <c r="K3864" s="11">
        <f>IF(B3864&lt;C3864,1,EXP(-1*(B3864-C3864)/(Utilities!$B$11*IterData!H3864)))</f>
        <v>1</v>
      </c>
    </row>
    <row r="3865" spans="8:11" x14ac:dyDescent="0.3">
      <c r="H3865">
        <v>0.5</v>
      </c>
      <c r="I3865" s="11">
        <f t="shared" si="60"/>
        <v>0</v>
      </c>
      <c r="J3865" s="11">
        <f>1/(H3865*Utilities!$B$11)</f>
        <v>8</v>
      </c>
      <c r="K3865" s="11">
        <f>IF(B3865&lt;C3865,1,EXP(-1*(B3865-C3865)/(Utilities!$B$11*IterData!H3865)))</f>
        <v>1</v>
      </c>
    </row>
    <row r="3866" spans="8:11" x14ac:dyDescent="0.3">
      <c r="H3866">
        <v>0.5</v>
      </c>
      <c r="I3866" s="11">
        <f t="shared" si="60"/>
        <v>0</v>
      </c>
      <c r="J3866" s="11">
        <f>1/(H3866*Utilities!$B$11)</f>
        <v>8</v>
      </c>
      <c r="K3866" s="11">
        <f>IF(B3866&lt;C3866,1,EXP(-1*(B3866-C3866)/(Utilities!$B$11*IterData!H3866)))</f>
        <v>1</v>
      </c>
    </row>
    <row r="3867" spans="8:11" x14ac:dyDescent="0.3">
      <c r="H3867">
        <v>0.5</v>
      </c>
      <c r="I3867" s="11">
        <f t="shared" si="60"/>
        <v>0</v>
      </c>
      <c r="J3867" s="11">
        <f>1/(H3867*Utilities!$B$11)</f>
        <v>8</v>
      </c>
      <c r="K3867" s="11">
        <f>IF(B3867&lt;C3867,1,EXP(-1*(B3867-C3867)/(Utilities!$B$11*IterData!H3867)))</f>
        <v>1</v>
      </c>
    </row>
    <row r="3868" spans="8:11" x14ac:dyDescent="0.3">
      <c r="H3868">
        <v>0.5</v>
      </c>
      <c r="I3868" s="11">
        <f t="shared" si="60"/>
        <v>0</v>
      </c>
      <c r="J3868" s="11">
        <f>1/(H3868*Utilities!$B$11)</f>
        <v>8</v>
      </c>
      <c r="K3868" s="11">
        <f>IF(B3868&lt;C3868,1,EXP(-1*(B3868-C3868)/(Utilities!$B$11*IterData!H3868)))</f>
        <v>1</v>
      </c>
    </row>
    <row r="3869" spans="8:11" x14ac:dyDescent="0.3">
      <c r="H3869">
        <v>0.5</v>
      </c>
      <c r="I3869" s="11">
        <f t="shared" si="60"/>
        <v>0</v>
      </c>
      <c r="J3869" s="11">
        <f>1/(H3869*Utilities!$B$11)</f>
        <v>8</v>
      </c>
      <c r="K3869" s="11">
        <f>IF(B3869&lt;C3869,1,EXP(-1*(B3869-C3869)/(Utilities!$B$11*IterData!H3869)))</f>
        <v>1</v>
      </c>
    </row>
    <row r="3870" spans="8:11" x14ac:dyDescent="0.3">
      <c r="H3870">
        <v>0.5</v>
      </c>
      <c r="I3870" s="11">
        <f t="shared" si="60"/>
        <v>0</v>
      </c>
      <c r="J3870" s="11">
        <f>1/(H3870*Utilities!$B$11)</f>
        <v>8</v>
      </c>
      <c r="K3870" s="11">
        <f>IF(B3870&lt;C3870,1,EXP(-1*(B3870-C3870)/(Utilities!$B$11*IterData!H3870)))</f>
        <v>1</v>
      </c>
    </row>
    <row r="3871" spans="8:11" x14ac:dyDescent="0.3">
      <c r="H3871">
        <v>0.5</v>
      </c>
      <c r="I3871" s="11">
        <f t="shared" si="60"/>
        <v>0</v>
      </c>
      <c r="J3871" s="11">
        <f>1/(H3871*Utilities!$B$11)</f>
        <v>8</v>
      </c>
      <c r="K3871" s="11">
        <f>IF(B3871&lt;C3871,1,EXP(-1*(B3871-C3871)/(Utilities!$B$11*IterData!H3871)))</f>
        <v>1</v>
      </c>
    </row>
    <row r="3872" spans="8:11" x14ac:dyDescent="0.3">
      <c r="H3872">
        <v>0.5</v>
      </c>
      <c r="I3872" s="11">
        <f t="shared" si="60"/>
        <v>0</v>
      </c>
      <c r="J3872" s="11">
        <f>1/(H3872*Utilities!$B$11)</f>
        <v>8</v>
      </c>
      <c r="K3872" s="11">
        <f>IF(B3872&lt;C3872,1,EXP(-1*(B3872-C3872)/(Utilities!$B$11*IterData!H3872)))</f>
        <v>1</v>
      </c>
    </row>
    <row r="3873" spans="8:11" x14ac:dyDescent="0.3">
      <c r="H3873">
        <v>0.5</v>
      </c>
      <c r="I3873" s="11">
        <f t="shared" si="60"/>
        <v>0</v>
      </c>
      <c r="J3873" s="11">
        <f>1/(H3873*Utilities!$B$11)</f>
        <v>8</v>
      </c>
      <c r="K3873" s="11">
        <f>IF(B3873&lt;C3873,1,EXP(-1*(B3873-C3873)/(Utilities!$B$11*IterData!H3873)))</f>
        <v>1</v>
      </c>
    </row>
    <row r="3874" spans="8:11" x14ac:dyDescent="0.3">
      <c r="H3874">
        <v>0.5</v>
      </c>
      <c r="I3874" s="11">
        <f t="shared" si="60"/>
        <v>0</v>
      </c>
      <c r="J3874" s="11">
        <f>1/(H3874*Utilities!$B$11)</f>
        <v>8</v>
      </c>
      <c r="K3874" s="11">
        <f>IF(B3874&lt;C3874,1,EXP(-1*(B3874-C3874)/(Utilities!$B$11*IterData!H3874)))</f>
        <v>1</v>
      </c>
    </row>
    <row r="3875" spans="8:11" x14ac:dyDescent="0.3">
      <c r="H3875">
        <v>0.5</v>
      </c>
      <c r="I3875" s="11">
        <f t="shared" si="60"/>
        <v>0</v>
      </c>
      <c r="J3875" s="11">
        <f>1/(H3875*Utilities!$B$11)</f>
        <v>8</v>
      </c>
      <c r="K3875" s="11">
        <f>IF(B3875&lt;C3875,1,EXP(-1*(B3875-C3875)/(Utilities!$B$11*IterData!H3875)))</f>
        <v>1</v>
      </c>
    </row>
    <row r="3876" spans="8:11" x14ac:dyDescent="0.3">
      <c r="H3876">
        <v>0.5</v>
      </c>
      <c r="I3876" s="11">
        <f t="shared" si="60"/>
        <v>0</v>
      </c>
      <c r="J3876" s="11">
        <f>1/(H3876*Utilities!$B$11)</f>
        <v>8</v>
      </c>
      <c r="K3876" s="11">
        <f>IF(B3876&lt;C3876,1,EXP(-1*(B3876-C3876)/(Utilities!$B$11*IterData!H3876)))</f>
        <v>1</v>
      </c>
    </row>
    <row r="3877" spans="8:11" x14ac:dyDescent="0.3">
      <c r="H3877">
        <v>0.5</v>
      </c>
      <c r="I3877" s="11">
        <f t="shared" si="60"/>
        <v>0</v>
      </c>
      <c r="J3877" s="11">
        <f>1/(H3877*Utilities!$B$11)</f>
        <v>8</v>
      </c>
      <c r="K3877" s="11">
        <f>IF(B3877&lt;C3877,1,EXP(-1*(B3877-C3877)/(Utilities!$B$11*IterData!H3877)))</f>
        <v>1</v>
      </c>
    </row>
    <row r="3878" spans="8:11" x14ac:dyDescent="0.3">
      <c r="H3878">
        <v>0.5</v>
      </c>
      <c r="I3878" s="11">
        <f t="shared" si="60"/>
        <v>0</v>
      </c>
      <c r="J3878" s="11">
        <f>1/(H3878*Utilities!$B$11)</f>
        <v>8</v>
      </c>
      <c r="K3878" s="11">
        <f>IF(B3878&lt;C3878,1,EXP(-1*(B3878-C3878)/(Utilities!$B$11*IterData!H3878)))</f>
        <v>1</v>
      </c>
    </row>
    <row r="3879" spans="8:11" x14ac:dyDescent="0.3">
      <c r="H3879">
        <v>0.5</v>
      </c>
      <c r="I3879" s="11">
        <f t="shared" si="60"/>
        <v>0</v>
      </c>
      <c r="J3879" s="11">
        <f>1/(H3879*Utilities!$B$11)</f>
        <v>8</v>
      </c>
      <c r="K3879" s="11">
        <f>IF(B3879&lt;C3879,1,EXP(-1*(B3879-C3879)/(Utilities!$B$11*IterData!H3879)))</f>
        <v>1</v>
      </c>
    </row>
    <row r="3880" spans="8:11" x14ac:dyDescent="0.3">
      <c r="H3880">
        <v>0.5</v>
      </c>
      <c r="I3880" s="11">
        <f t="shared" si="60"/>
        <v>0</v>
      </c>
      <c r="J3880" s="11">
        <f>1/(H3880*Utilities!$B$11)</f>
        <v>8</v>
      </c>
      <c r="K3880" s="11">
        <f>IF(B3880&lt;C3880,1,EXP(-1*(B3880-C3880)/(Utilities!$B$11*IterData!H3880)))</f>
        <v>1</v>
      </c>
    </row>
    <row r="3881" spans="8:11" x14ac:dyDescent="0.3">
      <c r="H3881">
        <v>0.5</v>
      </c>
      <c r="I3881" s="11">
        <f t="shared" si="60"/>
        <v>0</v>
      </c>
      <c r="J3881" s="11">
        <f>1/(H3881*Utilities!$B$11)</f>
        <v>8</v>
      </c>
      <c r="K3881" s="11">
        <f>IF(B3881&lt;C3881,1,EXP(-1*(B3881-C3881)/(Utilities!$B$11*IterData!H3881)))</f>
        <v>1</v>
      </c>
    </row>
    <row r="3882" spans="8:11" x14ac:dyDescent="0.3">
      <c r="H3882">
        <v>0.5</v>
      </c>
      <c r="I3882" s="11">
        <f t="shared" si="60"/>
        <v>0</v>
      </c>
      <c r="J3882" s="11">
        <f>1/(H3882*Utilities!$B$11)</f>
        <v>8</v>
      </c>
      <c r="K3882" s="11">
        <f>IF(B3882&lt;C3882,1,EXP(-1*(B3882-C3882)/(Utilities!$B$11*IterData!H3882)))</f>
        <v>1</v>
      </c>
    </row>
    <row r="3883" spans="8:11" x14ac:dyDescent="0.3">
      <c r="H3883">
        <v>0.5</v>
      </c>
      <c r="I3883" s="11">
        <f t="shared" si="60"/>
        <v>0</v>
      </c>
      <c r="J3883" s="11">
        <f>1/(H3883*Utilities!$B$11)</f>
        <v>8</v>
      </c>
      <c r="K3883" s="11">
        <f>IF(B3883&lt;C3883,1,EXP(-1*(B3883-C3883)/(Utilities!$B$11*IterData!H3883)))</f>
        <v>1</v>
      </c>
    </row>
    <row r="3884" spans="8:11" x14ac:dyDescent="0.3">
      <c r="H3884">
        <v>0.5</v>
      </c>
      <c r="I3884" s="11">
        <f t="shared" si="60"/>
        <v>0</v>
      </c>
      <c r="J3884" s="11">
        <f>1/(H3884*Utilities!$B$11)</f>
        <v>8</v>
      </c>
      <c r="K3884" s="11">
        <f>IF(B3884&lt;C3884,1,EXP(-1*(B3884-C3884)/(Utilities!$B$11*IterData!H3884)))</f>
        <v>1</v>
      </c>
    </row>
    <row r="3885" spans="8:11" x14ac:dyDescent="0.3">
      <c r="H3885">
        <v>0.5</v>
      </c>
      <c r="I3885" s="11">
        <f t="shared" si="60"/>
        <v>0</v>
      </c>
      <c r="J3885" s="11">
        <f>1/(H3885*Utilities!$B$11)</f>
        <v>8</v>
      </c>
      <c r="K3885" s="11">
        <f>IF(B3885&lt;C3885,1,EXP(-1*(B3885-C3885)/(Utilities!$B$11*IterData!H3885)))</f>
        <v>1</v>
      </c>
    </row>
    <row r="3886" spans="8:11" x14ac:dyDescent="0.3">
      <c r="H3886">
        <v>0.5</v>
      </c>
      <c r="I3886" s="11">
        <f t="shared" si="60"/>
        <v>0</v>
      </c>
      <c r="J3886" s="11">
        <f>1/(H3886*Utilities!$B$11)</f>
        <v>8</v>
      </c>
      <c r="K3886" s="11">
        <f>IF(B3886&lt;C3886,1,EXP(-1*(B3886-C3886)/(Utilities!$B$11*IterData!H3886)))</f>
        <v>1</v>
      </c>
    </row>
    <row r="3887" spans="8:11" x14ac:dyDescent="0.3">
      <c r="H3887">
        <v>0.5</v>
      </c>
      <c r="I3887" s="11">
        <f t="shared" si="60"/>
        <v>0</v>
      </c>
      <c r="J3887" s="11">
        <f>1/(H3887*Utilities!$B$11)</f>
        <v>8</v>
      </c>
      <c r="K3887" s="11">
        <f>IF(B3887&lt;C3887,1,EXP(-1*(B3887-C3887)/(Utilities!$B$11*IterData!H3887)))</f>
        <v>1</v>
      </c>
    </row>
    <row r="3888" spans="8:11" x14ac:dyDescent="0.3">
      <c r="H3888">
        <v>0.5</v>
      </c>
      <c r="I3888" s="11">
        <f t="shared" si="60"/>
        <v>0</v>
      </c>
      <c r="J3888" s="11">
        <f>1/(H3888*Utilities!$B$11)</f>
        <v>8</v>
      </c>
      <c r="K3888" s="11">
        <f>IF(B3888&lt;C3888,1,EXP(-1*(B3888-C3888)/(Utilities!$B$11*IterData!H3888)))</f>
        <v>1</v>
      </c>
    </row>
    <row r="3889" spans="8:11" x14ac:dyDescent="0.3">
      <c r="H3889">
        <v>0.5</v>
      </c>
      <c r="I3889" s="11">
        <f t="shared" si="60"/>
        <v>0</v>
      </c>
      <c r="J3889" s="11">
        <f>1/(H3889*Utilities!$B$11)</f>
        <v>8</v>
      </c>
      <c r="K3889" s="11">
        <f>IF(B3889&lt;C3889,1,EXP(-1*(B3889-C3889)/(Utilities!$B$11*IterData!H3889)))</f>
        <v>1</v>
      </c>
    </row>
    <row r="3890" spans="8:11" x14ac:dyDescent="0.3">
      <c r="H3890">
        <v>0.5</v>
      </c>
      <c r="I3890" s="11">
        <f t="shared" si="60"/>
        <v>0</v>
      </c>
      <c r="J3890" s="11">
        <f>1/(H3890*Utilities!$B$11)</f>
        <v>8</v>
      </c>
      <c r="K3890" s="11">
        <f>IF(B3890&lt;C3890,1,EXP(-1*(B3890-C3890)/(Utilities!$B$11*IterData!H3890)))</f>
        <v>1</v>
      </c>
    </row>
    <row r="3891" spans="8:11" x14ac:dyDescent="0.3">
      <c r="H3891">
        <v>0.5</v>
      </c>
      <c r="I3891" s="11">
        <f t="shared" si="60"/>
        <v>0</v>
      </c>
      <c r="J3891" s="11">
        <f>1/(H3891*Utilities!$B$11)</f>
        <v>8</v>
      </c>
      <c r="K3891" s="11">
        <f>IF(B3891&lt;C3891,1,EXP(-1*(B3891-C3891)/(Utilities!$B$11*IterData!H3891)))</f>
        <v>1</v>
      </c>
    </row>
    <row r="3892" spans="8:11" x14ac:dyDescent="0.3">
      <c r="H3892">
        <v>0.5</v>
      </c>
      <c r="I3892" s="11">
        <f t="shared" si="60"/>
        <v>0</v>
      </c>
      <c r="J3892" s="11">
        <f>1/(H3892*Utilities!$B$11)</f>
        <v>8</v>
      </c>
      <c r="K3892" s="11">
        <f>IF(B3892&lt;C3892,1,EXP(-1*(B3892-C3892)/(Utilities!$B$11*IterData!H3892)))</f>
        <v>1</v>
      </c>
    </row>
    <row r="3893" spans="8:11" x14ac:dyDescent="0.3">
      <c r="H3893">
        <v>0.5</v>
      </c>
      <c r="I3893" s="11">
        <f t="shared" si="60"/>
        <v>0</v>
      </c>
      <c r="J3893" s="11">
        <f>1/(H3893*Utilities!$B$11)</f>
        <v>8</v>
      </c>
      <c r="K3893" s="11">
        <f>IF(B3893&lt;C3893,1,EXP(-1*(B3893-C3893)/(Utilities!$B$11*IterData!H3893)))</f>
        <v>1</v>
      </c>
    </row>
    <row r="3894" spans="8:11" x14ac:dyDescent="0.3">
      <c r="H3894">
        <v>0.5</v>
      </c>
      <c r="I3894" s="11">
        <f t="shared" si="60"/>
        <v>0</v>
      </c>
      <c r="J3894" s="11">
        <f>1/(H3894*Utilities!$B$11)</f>
        <v>8</v>
      </c>
      <c r="K3894" s="11">
        <f>IF(B3894&lt;C3894,1,EXP(-1*(B3894-C3894)/(Utilities!$B$11*IterData!H3894)))</f>
        <v>1</v>
      </c>
    </row>
    <row r="3895" spans="8:11" x14ac:dyDescent="0.3">
      <c r="H3895">
        <v>0.5</v>
      </c>
      <c r="I3895" s="11">
        <f t="shared" si="60"/>
        <v>0</v>
      </c>
      <c r="J3895" s="11">
        <f>1/(H3895*Utilities!$B$11)</f>
        <v>8</v>
      </c>
      <c r="K3895" s="11">
        <f>IF(B3895&lt;C3895,1,EXP(-1*(B3895-C3895)/(Utilities!$B$11*IterData!H3895)))</f>
        <v>1</v>
      </c>
    </row>
    <row r="3896" spans="8:11" x14ac:dyDescent="0.3">
      <c r="H3896">
        <v>0.5</v>
      </c>
      <c r="I3896" s="11">
        <f t="shared" si="60"/>
        <v>0</v>
      </c>
      <c r="J3896" s="11">
        <f>1/(H3896*Utilities!$B$11)</f>
        <v>8</v>
      </c>
      <c r="K3896" s="11">
        <f>IF(B3896&lt;C3896,1,EXP(-1*(B3896-C3896)/(Utilities!$B$11*IterData!H3896)))</f>
        <v>1</v>
      </c>
    </row>
    <row r="3897" spans="8:11" x14ac:dyDescent="0.3">
      <c r="H3897">
        <v>0.5</v>
      </c>
      <c r="I3897" s="11">
        <f t="shared" si="60"/>
        <v>0</v>
      </c>
      <c r="J3897" s="11">
        <f>1/(H3897*Utilities!$B$11)</f>
        <v>8</v>
      </c>
      <c r="K3897" s="11">
        <f>IF(B3897&lt;C3897,1,EXP(-1*(B3897-C3897)/(Utilities!$B$11*IterData!H3897)))</f>
        <v>1</v>
      </c>
    </row>
    <row r="3898" spans="8:11" x14ac:dyDescent="0.3">
      <c r="H3898">
        <v>0.5</v>
      </c>
      <c r="I3898" s="11">
        <f t="shared" si="60"/>
        <v>0</v>
      </c>
      <c r="J3898" s="11">
        <f>1/(H3898*Utilities!$B$11)</f>
        <v>8</v>
      </c>
      <c r="K3898" s="11">
        <f>IF(B3898&lt;C3898,1,EXP(-1*(B3898-C3898)/(Utilities!$B$11*IterData!H3898)))</f>
        <v>1</v>
      </c>
    </row>
    <row r="3899" spans="8:11" x14ac:dyDescent="0.3">
      <c r="H3899">
        <v>0.5</v>
      </c>
      <c r="I3899" s="11">
        <f t="shared" si="60"/>
        <v>0</v>
      </c>
      <c r="J3899" s="11">
        <f>1/(H3899*Utilities!$B$11)</f>
        <v>8</v>
      </c>
      <c r="K3899" s="11">
        <f>IF(B3899&lt;C3899,1,EXP(-1*(B3899-C3899)/(Utilities!$B$11*IterData!H3899)))</f>
        <v>1</v>
      </c>
    </row>
    <row r="3900" spans="8:11" x14ac:dyDescent="0.3">
      <c r="H3900">
        <v>0.5</v>
      </c>
      <c r="I3900" s="11">
        <f t="shared" si="60"/>
        <v>0</v>
      </c>
      <c r="J3900" s="11">
        <f>1/(H3900*Utilities!$B$11)</f>
        <v>8</v>
      </c>
      <c r="K3900" s="11">
        <f>IF(B3900&lt;C3900,1,EXP(-1*(B3900-C3900)/(Utilities!$B$11*IterData!H3900)))</f>
        <v>1</v>
      </c>
    </row>
    <row r="3901" spans="8:11" x14ac:dyDescent="0.3">
      <c r="H3901">
        <v>0.5</v>
      </c>
      <c r="I3901" s="11">
        <f t="shared" si="60"/>
        <v>0</v>
      </c>
      <c r="J3901" s="11">
        <f>1/(H3901*Utilities!$B$11)</f>
        <v>8</v>
      </c>
      <c r="K3901" s="11">
        <f>IF(B3901&lt;C3901,1,EXP(-1*(B3901-C3901)/(Utilities!$B$11*IterData!H3901)))</f>
        <v>1</v>
      </c>
    </row>
    <row r="3902" spans="8:11" x14ac:dyDescent="0.3">
      <c r="H3902">
        <v>0.5</v>
      </c>
      <c r="I3902" s="11">
        <f t="shared" si="60"/>
        <v>0</v>
      </c>
      <c r="J3902" s="11">
        <f>1/(H3902*Utilities!$B$11)</f>
        <v>8</v>
      </c>
      <c r="K3902" s="11">
        <f>IF(B3902&lt;C3902,1,EXP(-1*(B3902-C3902)/(Utilities!$B$11*IterData!H3902)))</f>
        <v>1</v>
      </c>
    </row>
    <row r="3903" spans="8:11" x14ac:dyDescent="0.3">
      <c r="H3903">
        <v>0.5</v>
      </c>
      <c r="I3903" s="11">
        <f t="shared" si="60"/>
        <v>0</v>
      </c>
      <c r="J3903" s="11">
        <f>1/(H3903*Utilities!$B$11)</f>
        <v>8</v>
      </c>
      <c r="K3903" s="11">
        <f>IF(B3903&lt;C3903,1,EXP(-1*(B3903-C3903)/(Utilities!$B$11*IterData!H3903)))</f>
        <v>1</v>
      </c>
    </row>
    <row r="3904" spans="8:11" x14ac:dyDescent="0.3">
      <c r="H3904">
        <v>0.5</v>
      </c>
      <c r="I3904" s="11">
        <f t="shared" si="60"/>
        <v>0</v>
      </c>
      <c r="J3904" s="11">
        <f>1/(H3904*Utilities!$B$11)</f>
        <v>8</v>
      </c>
      <c r="K3904" s="11">
        <f>IF(B3904&lt;C3904,1,EXP(-1*(B3904-C3904)/(Utilities!$B$11*IterData!H3904)))</f>
        <v>1</v>
      </c>
    </row>
    <row r="3905" spans="8:11" x14ac:dyDescent="0.3">
      <c r="H3905">
        <v>0.5</v>
      </c>
      <c r="I3905" s="11">
        <f t="shared" si="60"/>
        <v>0</v>
      </c>
      <c r="J3905" s="11">
        <f>1/(H3905*Utilities!$B$11)</f>
        <v>8</v>
      </c>
      <c r="K3905" s="11">
        <f>IF(B3905&lt;C3905,1,EXP(-1*(B3905-C3905)/(Utilities!$B$11*IterData!H3905)))</f>
        <v>1</v>
      </c>
    </row>
    <row r="3906" spans="8:11" x14ac:dyDescent="0.3">
      <c r="H3906">
        <v>0.5</v>
      </c>
      <c r="I3906" s="11">
        <f t="shared" si="60"/>
        <v>0</v>
      </c>
      <c r="J3906" s="11">
        <f>1/(H3906*Utilities!$B$11)</f>
        <v>8</v>
      </c>
      <c r="K3906" s="11">
        <f>IF(B3906&lt;C3906,1,EXP(-1*(B3906-C3906)/(Utilities!$B$11*IterData!H3906)))</f>
        <v>1</v>
      </c>
    </row>
    <row r="3907" spans="8:11" x14ac:dyDescent="0.3">
      <c r="H3907">
        <v>0.5</v>
      </c>
      <c r="I3907" s="11">
        <f t="shared" ref="I3907:I3970" si="61">B3907-C3907</f>
        <v>0</v>
      </c>
      <c r="J3907" s="11">
        <f>1/(H3907*Utilities!$B$11)</f>
        <v>8</v>
      </c>
      <c r="K3907" s="11">
        <f>IF(B3907&lt;C3907,1,EXP(-1*(B3907-C3907)/(Utilities!$B$11*IterData!H3907)))</f>
        <v>1</v>
      </c>
    </row>
    <row r="3908" spans="8:11" x14ac:dyDescent="0.3">
      <c r="H3908">
        <v>0.5</v>
      </c>
      <c r="I3908" s="11">
        <f t="shared" si="61"/>
        <v>0</v>
      </c>
      <c r="J3908" s="11">
        <f>1/(H3908*Utilities!$B$11)</f>
        <v>8</v>
      </c>
      <c r="K3908" s="11">
        <f>IF(B3908&lt;C3908,1,EXP(-1*(B3908-C3908)/(Utilities!$B$11*IterData!H3908)))</f>
        <v>1</v>
      </c>
    </row>
    <row r="3909" spans="8:11" x14ac:dyDescent="0.3">
      <c r="H3909">
        <v>0.5</v>
      </c>
      <c r="I3909" s="11">
        <f t="shared" si="61"/>
        <v>0</v>
      </c>
      <c r="J3909" s="11">
        <f>1/(H3909*Utilities!$B$11)</f>
        <v>8</v>
      </c>
      <c r="K3909" s="11">
        <f>IF(B3909&lt;C3909,1,EXP(-1*(B3909-C3909)/(Utilities!$B$11*IterData!H3909)))</f>
        <v>1</v>
      </c>
    </row>
    <row r="3910" spans="8:11" x14ac:dyDescent="0.3">
      <c r="H3910">
        <v>0.5</v>
      </c>
      <c r="I3910" s="11">
        <f t="shared" si="61"/>
        <v>0</v>
      </c>
      <c r="J3910" s="11">
        <f>1/(H3910*Utilities!$B$11)</f>
        <v>8</v>
      </c>
      <c r="K3910" s="11">
        <f>IF(B3910&lt;C3910,1,EXP(-1*(B3910-C3910)/(Utilities!$B$11*IterData!H3910)))</f>
        <v>1</v>
      </c>
    </row>
    <row r="3911" spans="8:11" x14ac:dyDescent="0.3">
      <c r="H3911">
        <v>0.5</v>
      </c>
      <c r="I3911" s="11">
        <f t="shared" si="61"/>
        <v>0</v>
      </c>
      <c r="J3911" s="11">
        <f>1/(H3911*Utilities!$B$11)</f>
        <v>8</v>
      </c>
      <c r="K3911" s="11">
        <f>IF(B3911&lt;C3911,1,EXP(-1*(B3911-C3911)/(Utilities!$B$11*IterData!H3911)))</f>
        <v>1</v>
      </c>
    </row>
    <row r="3912" spans="8:11" x14ac:dyDescent="0.3">
      <c r="H3912">
        <v>0.5</v>
      </c>
      <c r="I3912" s="11">
        <f t="shared" si="61"/>
        <v>0</v>
      </c>
      <c r="J3912" s="11">
        <f>1/(H3912*Utilities!$B$11)</f>
        <v>8</v>
      </c>
      <c r="K3912" s="11">
        <f>IF(B3912&lt;C3912,1,EXP(-1*(B3912-C3912)/(Utilities!$B$11*IterData!H3912)))</f>
        <v>1</v>
      </c>
    </row>
    <row r="3913" spans="8:11" x14ac:dyDescent="0.3">
      <c r="H3913">
        <v>0.5</v>
      </c>
      <c r="I3913" s="11">
        <f t="shared" si="61"/>
        <v>0</v>
      </c>
      <c r="J3913" s="11">
        <f>1/(H3913*Utilities!$B$11)</f>
        <v>8</v>
      </c>
      <c r="K3913" s="11">
        <f>IF(B3913&lt;C3913,1,EXP(-1*(B3913-C3913)/(Utilities!$B$11*IterData!H3913)))</f>
        <v>1</v>
      </c>
    </row>
    <row r="3914" spans="8:11" x14ac:dyDescent="0.3">
      <c r="H3914">
        <v>0.5</v>
      </c>
      <c r="I3914" s="11">
        <f t="shared" si="61"/>
        <v>0</v>
      </c>
      <c r="J3914" s="11">
        <f>1/(H3914*Utilities!$B$11)</f>
        <v>8</v>
      </c>
      <c r="K3914" s="11">
        <f>IF(B3914&lt;C3914,1,EXP(-1*(B3914-C3914)/(Utilities!$B$11*IterData!H3914)))</f>
        <v>1</v>
      </c>
    </row>
    <row r="3915" spans="8:11" x14ac:dyDescent="0.3">
      <c r="H3915">
        <v>0.5</v>
      </c>
      <c r="I3915" s="11">
        <f t="shared" si="61"/>
        <v>0</v>
      </c>
      <c r="J3915" s="11">
        <f>1/(H3915*Utilities!$B$11)</f>
        <v>8</v>
      </c>
      <c r="K3915" s="11">
        <f>IF(B3915&lt;C3915,1,EXP(-1*(B3915-C3915)/(Utilities!$B$11*IterData!H3915)))</f>
        <v>1</v>
      </c>
    </row>
    <row r="3916" spans="8:11" x14ac:dyDescent="0.3">
      <c r="H3916">
        <v>0.5</v>
      </c>
      <c r="I3916" s="11">
        <f t="shared" si="61"/>
        <v>0</v>
      </c>
      <c r="J3916" s="11">
        <f>1/(H3916*Utilities!$B$11)</f>
        <v>8</v>
      </c>
      <c r="K3916" s="11">
        <f>IF(B3916&lt;C3916,1,EXP(-1*(B3916-C3916)/(Utilities!$B$11*IterData!H3916)))</f>
        <v>1</v>
      </c>
    </row>
    <row r="3917" spans="8:11" x14ac:dyDescent="0.3">
      <c r="H3917">
        <v>0.5</v>
      </c>
      <c r="I3917" s="11">
        <f t="shared" si="61"/>
        <v>0</v>
      </c>
      <c r="J3917" s="11">
        <f>1/(H3917*Utilities!$B$11)</f>
        <v>8</v>
      </c>
      <c r="K3917" s="11">
        <f>IF(B3917&lt;C3917,1,EXP(-1*(B3917-C3917)/(Utilities!$B$11*IterData!H3917)))</f>
        <v>1</v>
      </c>
    </row>
    <row r="3918" spans="8:11" x14ac:dyDescent="0.3">
      <c r="H3918">
        <v>0.5</v>
      </c>
      <c r="I3918" s="11">
        <f t="shared" si="61"/>
        <v>0</v>
      </c>
      <c r="J3918" s="11">
        <f>1/(H3918*Utilities!$B$11)</f>
        <v>8</v>
      </c>
      <c r="K3918" s="11">
        <f>IF(B3918&lt;C3918,1,EXP(-1*(B3918-C3918)/(Utilities!$B$11*IterData!H3918)))</f>
        <v>1</v>
      </c>
    </row>
    <row r="3919" spans="8:11" x14ac:dyDescent="0.3">
      <c r="H3919">
        <v>0.5</v>
      </c>
      <c r="I3919" s="11">
        <f t="shared" si="61"/>
        <v>0</v>
      </c>
      <c r="J3919" s="11">
        <f>1/(H3919*Utilities!$B$11)</f>
        <v>8</v>
      </c>
      <c r="K3919" s="11">
        <f>IF(B3919&lt;C3919,1,EXP(-1*(B3919-C3919)/(Utilities!$B$11*IterData!H3919)))</f>
        <v>1</v>
      </c>
    </row>
    <row r="3920" spans="8:11" x14ac:dyDescent="0.3">
      <c r="H3920">
        <v>0.5</v>
      </c>
      <c r="I3920" s="11">
        <f t="shared" si="61"/>
        <v>0</v>
      </c>
      <c r="J3920" s="11">
        <f>1/(H3920*Utilities!$B$11)</f>
        <v>8</v>
      </c>
      <c r="K3920" s="11">
        <f>IF(B3920&lt;C3920,1,EXP(-1*(B3920-C3920)/(Utilities!$B$11*IterData!H3920)))</f>
        <v>1</v>
      </c>
    </row>
    <row r="3921" spans="8:11" x14ac:dyDescent="0.3">
      <c r="H3921">
        <v>0.5</v>
      </c>
      <c r="I3921" s="11">
        <f t="shared" si="61"/>
        <v>0</v>
      </c>
      <c r="J3921" s="11">
        <f>1/(H3921*Utilities!$B$11)</f>
        <v>8</v>
      </c>
      <c r="K3921" s="11">
        <f>IF(B3921&lt;C3921,1,EXP(-1*(B3921-C3921)/(Utilities!$B$11*IterData!H3921)))</f>
        <v>1</v>
      </c>
    </row>
    <row r="3922" spans="8:11" x14ac:dyDescent="0.3">
      <c r="H3922">
        <v>0.5</v>
      </c>
      <c r="I3922" s="11">
        <f t="shared" si="61"/>
        <v>0</v>
      </c>
      <c r="J3922" s="11">
        <f>1/(H3922*Utilities!$B$11)</f>
        <v>8</v>
      </c>
      <c r="K3922" s="11">
        <f>IF(B3922&lt;C3922,1,EXP(-1*(B3922-C3922)/(Utilities!$B$11*IterData!H3922)))</f>
        <v>1</v>
      </c>
    </row>
    <row r="3923" spans="8:11" x14ac:dyDescent="0.3">
      <c r="H3923">
        <v>0.5</v>
      </c>
      <c r="I3923" s="11">
        <f t="shared" si="61"/>
        <v>0</v>
      </c>
      <c r="J3923" s="11">
        <f>1/(H3923*Utilities!$B$11)</f>
        <v>8</v>
      </c>
      <c r="K3923" s="11">
        <f>IF(B3923&lt;C3923,1,EXP(-1*(B3923-C3923)/(Utilities!$B$11*IterData!H3923)))</f>
        <v>1</v>
      </c>
    </row>
    <row r="3924" spans="8:11" x14ac:dyDescent="0.3">
      <c r="H3924">
        <v>0.5</v>
      </c>
      <c r="I3924" s="11">
        <f t="shared" si="61"/>
        <v>0</v>
      </c>
      <c r="J3924" s="11">
        <f>1/(H3924*Utilities!$B$11)</f>
        <v>8</v>
      </c>
      <c r="K3924" s="11">
        <f>IF(B3924&lt;C3924,1,EXP(-1*(B3924-C3924)/(Utilities!$B$11*IterData!H3924)))</f>
        <v>1</v>
      </c>
    </row>
    <row r="3925" spans="8:11" x14ac:dyDescent="0.3">
      <c r="H3925">
        <v>0.5</v>
      </c>
      <c r="I3925" s="11">
        <f t="shared" si="61"/>
        <v>0</v>
      </c>
      <c r="J3925" s="11">
        <f>1/(H3925*Utilities!$B$11)</f>
        <v>8</v>
      </c>
      <c r="K3925" s="11">
        <f>IF(B3925&lt;C3925,1,EXP(-1*(B3925-C3925)/(Utilities!$B$11*IterData!H3925)))</f>
        <v>1</v>
      </c>
    </row>
    <row r="3926" spans="8:11" x14ac:dyDescent="0.3">
      <c r="H3926">
        <v>0.5</v>
      </c>
      <c r="I3926" s="11">
        <f t="shared" si="61"/>
        <v>0</v>
      </c>
      <c r="J3926" s="11">
        <f>1/(H3926*Utilities!$B$11)</f>
        <v>8</v>
      </c>
      <c r="K3926" s="11">
        <f>IF(B3926&lt;C3926,1,EXP(-1*(B3926-C3926)/(Utilities!$B$11*IterData!H3926)))</f>
        <v>1</v>
      </c>
    </row>
    <row r="3927" spans="8:11" x14ac:dyDescent="0.3">
      <c r="H3927">
        <v>0.5</v>
      </c>
      <c r="I3927" s="11">
        <f t="shared" si="61"/>
        <v>0</v>
      </c>
      <c r="J3927" s="11">
        <f>1/(H3927*Utilities!$B$11)</f>
        <v>8</v>
      </c>
      <c r="K3927" s="11">
        <f>IF(B3927&lt;C3927,1,EXP(-1*(B3927-C3927)/(Utilities!$B$11*IterData!H3927)))</f>
        <v>1</v>
      </c>
    </row>
    <row r="3928" spans="8:11" x14ac:dyDescent="0.3">
      <c r="H3928">
        <v>0.5</v>
      </c>
      <c r="I3928" s="11">
        <f t="shared" si="61"/>
        <v>0</v>
      </c>
      <c r="J3928" s="11">
        <f>1/(H3928*Utilities!$B$11)</f>
        <v>8</v>
      </c>
      <c r="K3928" s="11">
        <f>IF(B3928&lt;C3928,1,EXP(-1*(B3928-C3928)/(Utilities!$B$11*IterData!H3928)))</f>
        <v>1</v>
      </c>
    </row>
    <row r="3929" spans="8:11" x14ac:dyDescent="0.3">
      <c r="H3929">
        <v>0.5</v>
      </c>
      <c r="I3929" s="11">
        <f t="shared" si="61"/>
        <v>0</v>
      </c>
      <c r="J3929" s="11">
        <f>1/(H3929*Utilities!$B$11)</f>
        <v>8</v>
      </c>
      <c r="K3929" s="11">
        <f>IF(B3929&lt;C3929,1,EXP(-1*(B3929-C3929)/(Utilities!$B$11*IterData!H3929)))</f>
        <v>1</v>
      </c>
    </row>
    <row r="3930" spans="8:11" x14ac:dyDescent="0.3">
      <c r="H3930">
        <v>0.5</v>
      </c>
      <c r="I3930" s="11">
        <f t="shared" si="61"/>
        <v>0</v>
      </c>
      <c r="J3930" s="11">
        <f>1/(H3930*Utilities!$B$11)</f>
        <v>8</v>
      </c>
      <c r="K3930" s="11">
        <f>IF(B3930&lt;C3930,1,EXP(-1*(B3930-C3930)/(Utilities!$B$11*IterData!H3930)))</f>
        <v>1</v>
      </c>
    </row>
    <row r="3931" spans="8:11" x14ac:dyDescent="0.3">
      <c r="H3931">
        <v>0.5</v>
      </c>
      <c r="I3931" s="11">
        <f t="shared" si="61"/>
        <v>0</v>
      </c>
      <c r="J3931" s="11">
        <f>1/(H3931*Utilities!$B$11)</f>
        <v>8</v>
      </c>
      <c r="K3931" s="11">
        <f>IF(B3931&lt;C3931,1,EXP(-1*(B3931-C3931)/(Utilities!$B$11*IterData!H3931)))</f>
        <v>1</v>
      </c>
    </row>
    <row r="3932" spans="8:11" x14ac:dyDescent="0.3">
      <c r="H3932">
        <v>0.5</v>
      </c>
      <c r="I3932" s="11">
        <f t="shared" si="61"/>
        <v>0</v>
      </c>
      <c r="J3932" s="11">
        <f>1/(H3932*Utilities!$B$11)</f>
        <v>8</v>
      </c>
      <c r="K3932" s="11">
        <f>IF(B3932&lt;C3932,1,EXP(-1*(B3932-C3932)/(Utilities!$B$11*IterData!H3932)))</f>
        <v>1</v>
      </c>
    </row>
    <row r="3933" spans="8:11" x14ac:dyDescent="0.3">
      <c r="H3933">
        <v>0.5</v>
      </c>
      <c r="I3933" s="11">
        <f t="shared" si="61"/>
        <v>0</v>
      </c>
      <c r="J3933" s="11">
        <f>1/(H3933*Utilities!$B$11)</f>
        <v>8</v>
      </c>
      <c r="K3933" s="11">
        <f>IF(B3933&lt;C3933,1,EXP(-1*(B3933-C3933)/(Utilities!$B$11*IterData!H3933)))</f>
        <v>1</v>
      </c>
    </row>
    <row r="3934" spans="8:11" x14ac:dyDescent="0.3">
      <c r="H3934">
        <v>0.5</v>
      </c>
      <c r="I3934" s="11">
        <f t="shared" si="61"/>
        <v>0</v>
      </c>
      <c r="J3934" s="11">
        <f>1/(H3934*Utilities!$B$11)</f>
        <v>8</v>
      </c>
      <c r="K3934" s="11">
        <f>IF(B3934&lt;C3934,1,EXP(-1*(B3934-C3934)/(Utilities!$B$11*IterData!H3934)))</f>
        <v>1</v>
      </c>
    </row>
    <row r="3935" spans="8:11" x14ac:dyDescent="0.3">
      <c r="H3935">
        <v>0.5</v>
      </c>
      <c r="I3935" s="11">
        <f t="shared" si="61"/>
        <v>0</v>
      </c>
      <c r="J3935" s="11">
        <f>1/(H3935*Utilities!$B$11)</f>
        <v>8</v>
      </c>
      <c r="K3935" s="11">
        <f>IF(B3935&lt;C3935,1,EXP(-1*(B3935-C3935)/(Utilities!$B$11*IterData!H3935)))</f>
        <v>1</v>
      </c>
    </row>
    <row r="3936" spans="8:11" x14ac:dyDescent="0.3">
      <c r="H3936">
        <v>0.5</v>
      </c>
      <c r="I3936" s="11">
        <f t="shared" si="61"/>
        <v>0</v>
      </c>
      <c r="J3936" s="11">
        <f>1/(H3936*Utilities!$B$11)</f>
        <v>8</v>
      </c>
      <c r="K3936" s="11">
        <f>IF(B3936&lt;C3936,1,EXP(-1*(B3936-C3936)/(Utilities!$B$11*IterData!H3936)))</f>
        <v>1</v>
      </c>
    </row>
    <row r="3937" spans="8:11" x14ac:dyDescent="0.3">
      <c r="H3937">
        <v>0.5</v>
      </c>
      <c r="I3937" s="11">
        <f t="shared" si="61"/>
        <v>0</v>
      </c>
      <c r="J3937" s="11">
        <f>1/(H3937*Utilities!$B$11)</f>
        <v>8</v>
      </c>
      <c r="K3937" s="11">
        <f>IF(B3937&lt;C3937,1,EXP(-1*(B3937-C3937)/(Utilities!$B$11*IterData!H3937)))</f>
        <v>1</v>
      </c>
    </row>
    <row r="3938" spans="8:11" x14ac:dyDescent="0.3">
      <c r="H3938">
        <v>0.5</v>
      </c>
      <c r="I3938" s="11">
        <f t="shared" si="61"/>
        <v>0</v>
      </c>
      <c r="J3938" s="11">
        <f>1/(H3938*Utilities!$B$11)</f>
        <v>8</v>
      </c>
      <c r="K3938" s="11">
        <f>IF(B3938&lt;C3938,1,EXP(-1*(B3938-C3938)/(Utilities!$B$11*IterData!H3938)))</f>
        <v>1</v>
      </c>
    </row>
    <row r="3939" spans="8:11" x14ac:dyDescent="0.3">
      <c r="H3939">
        <v>0.5</v>
      </c>
      <c r="I3939" s="11">
        <f t="shared" si="61"/>
        <v>0</v>
      </c>
      <c r="J3939" s="11">
        <f>1/(H3939*Utilities!$B$11)</f>
        <v>8</v>
      </c>
      <c r="K3939" s="11">
        <f>IF(B3939&lt;C3939,1,EXP(-1*(B3939-C3939)/(Utilities!$B$11*IterData!H3939)))</f>
        <v>1</v>
      </c>
    </row>
    <row r="3940" spans="8:11" x14ac:dyDescent="0.3">
      <c r="H3940">
        <v>0.5</v>
      </c>
      <c r="I3940" s="11">
        <f t="shared" si="61"/>
        <v>0</v>
      </c>
      <c r="J3940" s="11">
        <f>1/(H3940*Utilities!$B$11)</f>
        <v>8</v>
      </c>
      <c r="K3940" s="11">
        <f>IF(B3940&lt;C3940,1,EXP(-1*(B3940-C3940)/(Utilities!$B$11*IterData!H3940)))</f>
        <v>1</v>
      </c>
    </row>
    <row r="3941" spans="8:11" x14ac:dyDescent="0.3">
      <c r="H3941">
        <v>0.5</v>
      </c>
      <c r="I3941" s="11">
        <f t="shared" si="61"/>
        <v>0</v>
      </c>
      <c r="J3941" s="11">
        <f>1/(H3941*Utilities!$B$11)</f>
        <v>8</v>
      </c>
      <c r="K3941" s="11">
        <f>IF(B3941&lt;C3941,1,EXP(-1*(B3941-C3941)/(Utilities!$B$11*IterData!H3941)))</f>
        <v>1</v>
      </c>
    </row>
    <row r="3942" spans="8:11" x14ac:dyDescent="0.3">
      <c r="H3942">
        <v>0.5</v>
      </c>
      <c r="I3942" s="11">
        <f t="shared" si="61"/>
        <v>0</v>
      </c>
      <c r="J3942" s="11">
        <f>1/(H3942*Utilities!$B$11)</f>
        <v>8</v>
      </c>
      <c r="K3942" s="11">
        <f>IF(B3942&lt;C3942,1,EXP(-1*(B3942-C3942)/(Utilities!$B$11*IterData!H3942)))</f>
        <v>1</v>
      </c>
    </row>
    <row r="3943" spans="8:11" x14ac:dyDescent="0.3">
      <c r="H3943">
        <v>0.5</v>
      </c>
      <c r="I3943" s="11">
        <f t="shared" si="61"/>
        <v>0</v>
      </c>
      <c r="J3943" s="11">
        <f>1/(H3943*Utilities!$B$11)</f>
        <v>8</v>
      </c>
      <c r="K3943" s="11">
        <f>IF(B3943&lt;C3943,1,EXP(-1*(B3943-C3943)/(Utilities!$B$11*IterData!H3943)))</f>
        <v>1</v>
      </c>
    </row>
    <row r="3944" spans="8:11" x14ac:dyDescent="0.3">
      <c r="H3944">
        <v>0.5</v>
      </c>
      <c r="I3944" s="11">
        <f t="shared" si="61"/>
        <v>0</v>
      </c>
      <c r="J3944" s="11">
        <f>1/(H3944*Utilities!$B$11)</f>
        <v>8</v>
      </c>
      <c r="K3944" s="11">
        <f>IF(B3944&lt;C3944,1,EXP(-1*(B3944-C3944)/(Utilities!$B$11*IterData!H3944)))</f>
        <v>1</v>
      </c>
    </row>
    <row r="3945" spans="8:11" x14ac:dyDescent="0.3">
      <c r="H3945">
        <v>0.5</v>
      </c>
      <c r="I3945" s="11">
        <f t="shared" si="61"/>
        <v>0</v>
      </c>
      <c r="J3945" s="11">
        <f>1/(H3945*Utilities!$B$11)</f>
        <v>8</v>
      </c>
      <c r="K3945" s="11">
        <f>IF(B3945&lt;C3945,1,EXP(-1*(B3945-C3945)/(Utilities!$B$11*IterData!H3945)))</f>
        <v>1</v>
      </c>
    </row>
    <row r="3946" spans="8:11" x14ac:dyDescent="0.3">
      <c r="H3946">
        <v>0.5</v>
      </c>
      <c r="I3946" s="11">
        <f t="shared" si="61"/>
        <v>0</v>
      </c>
      <c r="J3946" s="11">
        <f>1/(H3946*Utilities!$B$11)</f>
        <v>8</v>
      </c>
      <c r="K3946" s="11">
        <f>IF(B3946&lt;C3946,1,EXP(-1*(B3946-C3946)/(Utilities!$B$11*IterData!H3946)))</f>
        <v>1</v>
      </c>
    </row>
    <row r="3947" spans="8:11" x14ac:dyDescent="0.3">
      <c r="H3947">
        <v>0.5</v>
      </c>
      <c r="I3947" s="11">
        <f t="shared" si="61"/>
        <v>0</v>
      </c>
      <c r="J3947" s="11">
        <f>1/(H3947*Utilities!$B$11)</f>
        <v>8</v>
      </c>
      <c r="K3947" s="11">
        <f>IF(B3947&lt;C3947,1,EXP(-1*(B3947-C3947)/(Utilities!$B$11*IterData!H3947)))</f>
        <v>1</v>
      </c>
    </row>
    <row r="3948" spans="8:11" x14ac:dyDescent="0.3">
      <c r="H3948">
        <v>0.5</v>
      </c>
      <c r="I3948" s="11">
        <f t="shared" si="61"/>
        <v>0</v>
      </c>
      <c r="J3948" s="11">
        <f>1/(H3948*Utilities!$B$11)</f>
        <v>8</v>
      </c>
      <c r="K3948" s="11">
        <f>IF(B3948&lt;C3948,1,EXP(-1*(B3948-C3948)/(Utilities!$B$11*IterData!H3948)))</f>
        <v>1</v>
      </c>
    </row>
    <row r="3949" spans="8:11" x14ac:dyDescent="0.3">
      <c r="H3949">
        <v>0.5</v>
      </c>
      <c r="I3949" s="11">
        <f t="shared" si="61"/>
        <v>0</v>
      </c>
      <c r="J3949" s="11">
        <f>1/(H3949*Utilities!$B$11)</f>
        <v>8</v>
      </c>
      <c r="K3949" s="11">
        <f>IF(B3949&lt;C3949,1,EXP(-1*(B3949-C3949)/(Utilities!$B$11*IterData!H3949)))</f>
        <v>1</v>
      </c>
    </row>
    <row r="3950" spans="8:11" x14ac:dyDescent="0.3">
      <c r="H3950">
        <v>0.5</v>
      </c>
      <c r="I3950" s="11">
        <f t="shared" si="61"/>
        <v>0</v>
      </c>
      <c r="J3950" s="11">
        <f>1/(H3950*Utilities!$B$11)</f>
        <v>8</v>
      </c>
      <c r="K3950" s="11">
        <f>IF(B3950&lt;C3950,1,EXP(-1*(B3950-C3950)/(Utilities!$B$11*IterData!H3950)))</f>
        <v>1</v>
      </c>
    </row>
    <row r="3951" spans="8:11" x14ac:dyDescent="0.3">
      <c r="H3951">
        <v>0.5</v>
      </c>
      <c r="I3951" s="11">
        <f t="shared" si="61"/>
        <v>0</v>
      </c>
      <c r="J3951" s="11">
        <f>1/(H3951*Utilities!$B$11)</f>
        <v>8</v>
      </c>
      <c r="K3951" s="11">
        <f>IF(B3951&lt;C3951,1,EXP(-1*(B3951-C3951)/(Utilities!$B$11*IterData!H3951)))</f>
        <v>1</v>
      </c>
    </row>
    <row r="3952" spans="8:11" x14ac:dyDescent="0.3">
      <c r="H3952">
        <v>0.5</v>
      </c>
      <c r="I3952" s="11">
        <f t="shared" si="61"/>
        <v>0</v>
      </c>
      <c r="J3952" s="11">
        <f>1/(H3952*Utilities!$B$11)</f>
        <v>8</v>
      </c>
      <c r="K3952" s="11">
        <f>IF(B3952&lt;C3952,1,EXP(-1*(B3952-C3952)/(Utilities!$B$11*IterData!H3952)))</f>
        <v>1</v>
      </c>
    </row>
    <row r="3953" spans="8:11" x14ac:dyDescent="0.3">
      <c r="H3953">
        <v>0.5</v>
      </c>
      <c r="I3953" s="11">
        <f t="shared" si="61"/>
        <v>0</v>
      </c>
      <c r="J3953" s="11">
        <f>1/(H3953*Utilities!$B$11)</f>
        <v>8</v>
      </c>
      <c r="K3953" s="11">
        <f>IF(B3953&lt;C3953,1,EXP(-1*(B3953-C3953)/(Utilities!$B$11*IterData!H3953)))</f>
        <v>1</v>
      </c>
    </row>
    <row r="3954" spans="8:11" x14ac:dyDescent="0.3">
      <c r="H3954">
        <v>0.5</v>
      </c>
      <c r="I3954" s="11">
        <f t="shared" si="61"/>
        <v>0</v>
      </c>
      <c r="J3954" s="11">
        <f>1/(H3954*Utilities!$B$11)</f>
        <v>8</v>
      </c>
      <c r="K3954" s="11">
        <f>IF(B3954&lt;C3954,1,EXP(-1*(B3954-C3954)/(Utilities!$B$11*IterData!H3954)))</f>
        <v>1</v>
      </c>
    </row>
    <row r="3955" spans="8:11" x14ac:dyDescent="0.3">
      <c r="H3955">
        <v>0.5</v>
      </c>
      <c r="I3955" s="11">
        <f t="shared" si="61"/>
        <v>0</v>
      </c>
      <c r="J3955" s="11">
        <f>1/(H3955*Utilities!$B$11)</f>
        <v>8</v>
      </c>
      <c r="K3955" s="11">
        <f>IF(B3955&lt;C3955,1,EXP(-1*(B3955-C3955)/(Utilities!$B$11*IterData!H3955)))</f>
        <v>1</v>
      </c>
    </row>
    <row r="3956" spans="8:11" x14ac:dyDescent="0.3">
      <c r="H3956">
        <v>0.5</v>
      </c>
      <c r="I3956" s="11">
        <f t="shared" si="61"/>
        <v>0</v>
      </c>
      <c r="J3956" s="11">
        <f>1/(H3956*Utilities!$B$11)</f>
        <v>8</v>
      </c>
      <c r="K3956" s="11">
        <f>IF(B3956&lt;C3956,1,EXP(-1*(B3956-C3956)/(Utilities!$B$11*IterData!H3956)))</f>
        <v>1</v>
      </c>
    </row>
    <row r="3957" spans="8:11" x14ac:dyDescent="0.3">
      <c r="H3957">
        <v>0.5</v>
      </c>
      <c r="I3957" s="11">
        <f t="shared" si="61"/>
        <v>0</v>
      </c>
      <c r="J3957" s="11">
        <f>1/(H3957*Utilities!$B$11)</f>
        <v>8</v>
      </c>
      <c r="K3957" s="11">
        <f>IF(B3957&lt;C3957,1,EXP(-1*(B3957-C3957)/(Utilities!$B$11*IterData!H3957)))</f>
        <v>1</v>
      </c>
    </row>
    <row r="3958" spans="8:11" x14ac:dyDescent="0.3">
      <c r="H3958">
        <v>0.5</v>
      </c>
      <c r="I3958" s="11">
        <f t="shared" si="61"/>
        <v>0</v>
      </c>
      <c r="J3958" s="11">
        <f>1/(H3958*Utilities!$B$11)</f>
        <v>8</v>
      </c>
      <c r="K3958" s="11">
        <f>IF(B3958&lt;C3958,1,EXP(-1*(B3958-C3958)/(Utilities!$B$11*IterData!H3958)))</f>
        <v>1</v>
      </c>
    </row>
    <row r="3959" spans="8:11" x14ac:dyDescent="0.3">
      <c r="H3959">
        <v>0.5</v>
      </c>
      <c r="I3959" s="11">
        <f t="shared" si="61"/>
        <v>0</v>
      </c>
      <c r="J3959" s="11">
        <f>1/(H3959*Utilities!$B$11)</f>
        <v>8</v>
      </c>
      <c r="K3959" s="11">
        <f>IF(B3959&lt;C3959,1,EXP(-1*(B3959-C3959)/(Utilities!$B$11*IterData!H3959)))</f>
        <v>1</v>
      </c>
    </row>
    <row r="3960" spans="8:11" x14ac:dyDescent="0.3">
      <c r="H3960">
        <v>0.5</v>
      </c>
      <c r="I3960" s="11">
        <f t="shared" si="61"/>
        <v>0</v>
      </c>
      <c r="J3960" s="11">
        <f>1/(H3960*Utilities!$B$11)</f>
        <v>8</v>
      </c>
      <c r="K3960" s="11">
        <f>IF(B3960&lt;C3960,1,EXP(-1*(B3960-C3960)/(Utilities!$B$11*IterData!H3960)))</f>
        <v>1</v>
      </c>
    </row>
    <row r="3961" spans="8:11" x14ac:dyDescent="0.3">
      <c r="H3961">
        <v>0.5</v>
      </c>
      <c r="I3961" s="11">
        <f t="shared" si="61"/>
        <v>0</v>
      </c>
      <c r="J3961" s="11">
        <f>1/(H3961*Utilities!$B$11)</f>
        <v>8</v>
      </c>
      <c r="K3961" s="11">
        <f>IF(B3961&lt;C3961,1,EXP(-1*(B3961-C3961)/(Utilities!$B$11*IterData!H3961)))</f>
        <v>1</v>
      </c>
    </row>
    <row r="3962" spans="8:11" x14ac:dyDescent="0.3">
      <c r="H3962">
        <v>0.5</v>
      </c>
      <c r="I3962" s="11">
        <f t="shared" si="61"/>
        <v>0</v>
      </c>
      <c r="J3962" s="11">
        <f>1/(H3962*Utilities!$B$11)</f>
        <v>8</v>
      </c>
      <c r="K3962" s="11">
        <f>IF(B3962&lt;C3962,1,EXP(-1*(B3962-C3962)/(Utilities!$B$11*IterData!H3962)))</f>
        <v>1</v>
      </c>
    </row>
    <row r="3963" spans="8:11" x14ac:dyDescent="0.3">
      <c r="H3963">
        <v>0.5</v>
      </c>
      <c r="I3963" s="11">
        <f t="shared" si="61"/>
        <v>0</v>
      </c>
      <c r="J3963" s="11">
        <f>1/(H3963*Utilities!$B$11)</f>
        <v>8</v>
      </c>
      <c r="K3963" s="11">
        <f>IF(B3963&lt;C3963,1,EXP(-1*(B3963-C3963)/(Utilities!$B$11*IterData!H3963)))</f>
        <v>1</v>
      </c>
    </row>
    <row r="3964" spans="8:11" x14ac:dyDescent="0.3">
      <c r="H3964">
        <v>0.5</v>
      </c>
      <c r="I3964" s="11">
        <f t="shared" si="61"/>
        <v>0</v>
      </c>
      <c r="J3964" s="11">
        <f>1/(H3964*Utilities!$B$11)</f>
        <v>8</v>
      </c>
      <c r="K3964" s="11">
        <f>IF(B3964&lt;C3964,1,EXP(-1*(B3964-C3964)/(Utilities!$B$11*IterData!H3964)))</f>
        <v>1</v>
      </c>
    </row>
    <row r="3965" spans="8:11" x14ac:dyDescent="0.3">
      <c r="H3965">
        <v>0.5</v>
      </c>
      <c r="I3965" s="11">
        <f t="shared" si="61"/>
        <v>0</v>
      </c>
      <c r="J3965" s="11">
        <f>1/(H3965*Utilities!$B$11)</f>
        <v>8</v>
      </c>
      <c r="K3965" s="11">
        <f>IF(B3965&lt;C3965,1,EXP(-1*(B3965-C3965)/(Utilities!$B$11*IterData!H3965)))</f>
        <v>1</v>
      </c>
    </row>
    <row r="3966" spans="8:11" x14ac:dyDescent="0.3">
      <c r="H3966">
        <v>0.5</v>
      </c>
      <c r="I3966" s="11">
        <f t="shared" si="61"/>
        <v>0</v>
      </c>
      <c r="J3966" s="11">
        <f>1/(H3966*Utilities!$B$11)</f>
        <v>8</v>
      </c>
      <c r="K3966" s="11">
        <f>IF(B3966&lt;C3966,1,EXP(-1*(B3966-C3966)/(Utilities!$B$11*IterData!H3966)))</f>
        <v>1</v>
      </c>
    </row>
    <row r="3967" spans="8:11" x14ac:dyDescent="0.3">
      <c r="H3967">
        <v>0.5</v>
      </c>
      <c r="I3967" s="11">
        <f t="shared" si="61"/>
        <v>0</v>
      </c>
      <c r="J3967" s="11">
        <f>1/(H3967*Utilities!$B$11)</f>
        <v>8</v>
      </c>
      <c r="K3967" s="11">
        <f>IF(B3967&lt;C3967,1,EXP(-1*(B3967-C3967)/(Utilities!$B$11*IterData!H3967)))</f>
        <v>1</v>
      </c>
    </row>
    <row r="3968" spans="8:11" x14ac:dyDescent="0.3">
      <c r="H3968">
        <v>0.5</v>
      </c>
      <c r="I3968" s="11">
        <f t="shared" si="61"/>
        <v>0</v>
      </c>
      <c r="J3968" s="11">
        <f>1/(H3968*Utilities!$B$11)</f>
        <v>8</v>
      </c>
      <c r="K3968" s="11">
        <f>IF(B3968&lt;C3968,1,EXP(-1*(B3968-C3968)/(Utilities!$B$11*IterData!H3968)))</f>
        <v>1</v>
      </c>
    </row>
    <row r="3969" spans="8:11" x14ac:dyDescent="0.3">
      <c r="H3969">
        <v>0.5</v>
      </c>
      <c r="I3969" s="11">
        <f t="shared" si="61"/>
        <v>0</v>
      </c>
      <c r="J3969" s="11">
        <f>1/(H3969*Utilities!$B$11)</f>
        <v>8</v>
      </c>
      <c r="K3969" s="11">
        <f>IF(B3969&lt;C3969,1,EXP(-1*(B3969-C3969)/(Utilities!$B$11*IterData!H3969)))</f>
        <v>1</v>
      </c>
    </row>
    <row r="3970" spans="8:11" x14ac:dyDescent="0.3">
      <c r="H3970">
        <v>0.5</v>
      </c>
      <c r="I3970" s="11">
        <f t="shared" si="61"/>
        <v>0</v>
      </c>
      <c r="J3970" s="11">
        <f>1/(H3970*Utilities!$B$11)</f>
        <v>8</v>
      </c>
      <c r="K3970" s="11">
        <f>IF(B3970&lt;C3970,1,EXP(-1*(B3970-C3970)/(Utilities!$B$11*IterData!H3970)))</f>
        <v>1</v>
      </c>
    </row>
    <row r="3971" spans="8:11" x14ac:dyDescent="0.3">
      <c r="H3971">
        <v>0.5</v>
      </c>
      <c r="I3971" s="11">
        <f t="shared" ref="I3971:I4034" si="62">B3971-C3971</f>
        <v>0</v>
      </c>
      <c r="J3971" s="11">
        <f>1/(H3971*Utilities!$B$11)</f>
        <v>8</v>
      </c>
      <c r="K3971" s="11">
        <f>IF(B3971&lt;C3971,1,EXP(-1*(B3971-C3971)/(Utilities!$B$11*IterData!H3971)))</f>
        <v>1</v>
      </c>
    </row>
    <row r="3972" spans="8:11" x14ac:dyDescent="0.3">
      <c r="H3972">
        <v>0.5</v>
      </c>
      <c r="I3972" s="11">
        <f t="shared" si="62"/>
        <v>0</v>
      </c>
      <c r="J3972" s="11">
        <f>1/(H3972*Utilities!$B$11)</f>
        <v>8</v>
      </c>
      <c r="K3972" s="11">
        <f>IF(B3972&lt;C3972,1,EXP(-1*(B3972-C3972)/(Utilities!$B$11*IterData!H3972)))</f>
        <v>1</v>
      </c>
    </row>
    <row r="3973" spans="8:11" x14ac:dyDescent="0.3">
      <c r="H3973">
        <v>0.5</v>
      </c>
      <c r="I3973" s="11">
        <f t="shared" si="62"/>
        <v>0</v>
      </c>
      <c r="J3973" s="11">
        <f>1/(H3973*Utilities!$B$11)</f>
        <v>8</v>
      </c>
      <c r="K3973" s="11">
        <f>IF(B3973&lt;C3973,1,EXP(-1*(B3973-C3973)/(Utilities!$B$11*IterData!H3973)))</f>
        <v>1</v>
      </c>
    </row>
    <row r="3974" spans="8:11" x14ac:dyDescent="0.3">
      <c r="H3974">
        <v>0.5</v>
      </c>
      <c r="I3974" s="11">
        <f t="shared" si="62"/>
        <v>0</v>
      </c>
      <c r="J3974" s="11">
        <f>1/(H3974*Utilities!$B$11)</f>
        <v>8</v>
      </c>
      <c r="K3974" s="11">
        <f>IF(B3974&lt;C3974,1,EXP(-1*(B3974-C3974)/(Utilities!$B$11*IterData!H3974)))</f>
        <v>1</v>
      </c>
    </row>
    <row r="3975" spans="8:11" x14ac:dyDescent="0.3">
      <c r="H3975">
        <v>0.5</v>
      </c>
      <c r="I3975" s="11">
        <f t="shared" si="62"/>
        <v>0</v>
      </c>
      <c r="J3975" s="11">
        <f>1/(H3975*Utilities!$B$11)</f>
        <v>8</v>
      </c>
      <c r="K3975" s="11">
        <f>IF(B3975&lt;C3975,1,EXP(-1*(B3975-C3975)/(Utilities!$B$11*IterData!H3975)))</f>
        <v>1</v>
      </c>
    </row>
    <row r="3976" spans="8:11" x14ac:dyDescent="0.3">
      <c r="H3976">
        <v>0.5</v>
      </c>
      <c r="I3976" s="11">
        <f t="shared" si="62"/>
        <v>0</v>
      </c>
      <c r="J3976" s="11">
        <f>1/(H3976*Utilities!$B$11)</f>
        <v>8</v>
      </c>
      <c r="K3976" s="11">
        <f>IF(B3976&lt;C3976,1,EXP(-1*(B3976-C3976)/(Utilities!$B$11*IterData!H3976)))</f>
        <v>1</v>
      </c>
    </row>
    <row r="3977" spans="8:11" x14ac:dyDescent="0.3">
      <c r="H3977">
        <v>0.5</v>
      </c>
      <c r="I3977" s="11">
        <f t="shared" si="62"/>
        <v>0</v>
      </c>
      <c r="J3977" s="11">
        <f>1/(H3977*Utilities!$B$11)</f>
        <v>8</v>
      </c>
      <c r="K3977" s="11">
        <f>IF(B3977&lt;C3977,1,EXP(-1*(B3977-C3977)/(Utilities!$B$11*IterData!H3977)))</f>
        <v>1</v>
      </c>
    </row>
    <row r="3978" spans="8:11" x14ac:dyDescent="0.3">
      <c r="H3978">
        <v>0.5</v>
      </c>
      <c r="I3978" s="11">
        <f t="shared" si="62"/>
        <v>0</v>
      </c>
      <c r="J3978" s="11">
        <f>1/(H3978*Utilities!$B$11)</f>
        <v>8</v>
      </c>
      <c r="K3978" s="11">
        <f>IF(B3978&lt;C3978,1,EXP(-1*(B3978-C3978)/(Utilities!$B$11*IterData!H3978)))</f>
        <v>1</v>
      </c>
    </row>
    <row r="3979" spans="8:11" x14ac:dyDescent="0.3">
      <c r="H3979">
        <v>0.5</v>
      </c>
      <c r="I3979" s="11">
        <f t="shared" si="62"/>
        <v>0</v>
      </c>
      <c r="J3979" s="11">
        <f>1/(H3979*Utilities!$B$11)</f>
        <v>8</v>
      </c>
      <c r="K3979" s="11">
        <f>IF(B3979&lt;C3979,1,EXP(-1*(B3979-C3979)/(Utilities!$B$11*IterData!H3979)))</f>
        <v>1</v>
      </c>
    </row>
    <row r="3980" spans="8:11" x14ac:dyDescent="0.3">
      <c r="H3980">
        <v>0.5</v>
      </c>
      <c r="I3980" s="11">
        <f t="shared" si="62"/>
        <v>0</v>
      </c>
      <c r="J3980" s="11">
        <f>1/(H3980*Utilities!$B$11)</f>
        <v>8</v>
      </c>
      <c r="K3980" s="11">
        <f>IF(B3980&lt;C3980,1,EXP(-1*(B3980-C3980)/(Utilities!$B$11*IterData!H3980)))</f>
        <v>1</v>
      </c>
    </row>
    <row r="3981" spans="8:11" x14ac:dyDescent="0.3">
      <c r="H3981">
        <v>0.5</v>
      </c>
      <c r="I3981" s="11">
        <f t="shared" si="62"/>
        <v>0</v>
      </c>
      <c r="J3981" s="11">
        <f>1/(H3981*Utilities!$B$11)</f>
        <v>8</v>
      </c>
      <c r="K3981" s="11">
        <f>IF(B3981&lt;C3981,1,EXP(-1*(B3981-C3981)/(Utilities!$B$11*IterData!H3981)))</f>
        <v>1</v>
      </c>
    </row>
    <row r="3982" spans="8:11" x14ac:dyDescent="0.3">
      <c r="H3982">
        <v>0.5</v>
      </c>
      <c r="I3982" s="11">
        <f t="shared" si="62"/>
        <v>0</v>
      </c>
      <c r="J3982" s="11">
        <f>1/(H3982*Utilities!$B$11)</f>
        <v>8</v>
      </c>
      <c r="K3982" s="11">
        <f>IF(B3982&lt;C3982,1,EXP(-1*(B3982-C3982)/(Utilities!$B$11*IterData!H3982)))</f>
        <v>1</v>
      </c>
    </row>
    <row r="3983" spans="8:11" x14ac:dyDescent="0.3">
      <c r="H3983">
        <v>0.5</v>
      </c>
      <c r="I3983" s="11">
        <f t="shared" si="62"/>
        <v>0</v>
      </c>
      <c r="J3983" s="11">
        <f>1/(H3983*Utilities!$B$11)</f>
        <v>8</v>
      </c>
      <c r="K3983" s="11">
        <f>IF(B3983&lt;C3983,1,EXP(-1*(B3983-C3983)/(Utilities!$B$11*IterData!H3983)))</f>
        <v>1</v>
      </c>
    </row>
    <row r="3984" spans="8:11" x14ac:dyDescent="0.3">
      <c r="H3984">
        <v>0.5</v>
      </c>
      <c r="I3984" s="11">
        <f t="shared" si="62"/>
        <v>0</v>
      </c>
      <c r="J3984" s="11">
        <f>1/(H3984*Utilities!$B$11)</f>
        <v>8</v>
      </c>
      <c r="K3984" s="11">
        <f>IF(B3984&lt;C3984,1,EXP(-1*(B3984-C3984)/(Utilities!$B$11*IterData!H3984)))</f>
        <v>1</v>
      </c>
    </row>
    <row r="3985" spans="8:11" x14ac:dyDescent="0.3">
      <c r="H3985">
        <v>0.5</v>
      </c>
      <c r="I3985" s="11">
        <f t="shared" si="62"/>
        <v>0</v>
      </c>
      <c r="J3985" s="11">
        <f>1/(H3985*Utilities!$B$11)</f>
        <v>8</v>
      </c>
      <c r="K3985" s="11">
        <f>IF(B3985&lt;C3985,1,EXP(-1*(B3985-C3985)/(Utilities!$B$11*IterData!H3985)))</f>
        <v>1</v>
      </c>
    </row>
    <row r="3986" spans="8:11" x14ac:dyDescent="0.3">
      <c r="H3986">
        <v>0.5</v>
      </c>
      <c r="I3986" s="11">
        <f t="shared" si="62"/>
        <v>0</v>
      </c>
      <c r="J3986" s="11">
        <f>1/(H3986*Utilities!$B$11)</f>
        <v>8</v>
      </c>
      <c r="K3986" s="11">
        <f>IF(B3986&lt;C3986,1,EXP(-1*(B3986-C3986)/(Utilities!$B$11*IterData!H3986)))</f>
        <v>1</v>
      </c>
    </row>
    <row r="3987" spans="8:11" x14ac:dyDescent="0.3">
      <c r="H3987">
        <v>0.5</v>
      </c>
      <c r="I3987" s="11">
        <f t="shared" si="62"/>
        <v>0</v>
      </c>
      <c r="J3987" s="11">
        <f>1/(H3987*Utilities!$B$11)</f>
        <v>8</v>
      </c>
      <c r="K3987" s="11">
        <f>IF(B3987&lt;C3987,1,EXP(-1*(B3987-C3987)/(Utilities!$B$11*IterData!H3987)))</f>
        <v>1</v>
      </c>
    </row>
    <row r="3988" spans="8:11" x14ac:dyDescent="0.3">
      <c r="H3988">
        <v>0.5</v>
      </c>
      <c r="I3988" s="11">
        <f t="shared" si="62"/>
        <v>0</v>
      </c>
      <c r="J3988" s="11">
        <f>1/(H3988*Utilities!$B$11)</f>
        <v>8</v>
      </c>
      <c r="K3988" s="11">
        <f>IF(B3988&lt;C3988,1,EXP(-1*(B3988-C3988)/(Utilities!$B$11*IterData!H3988)))</f>
        <v>1</v>
      </c>
    </row>
    <row r="3989" spans="8:11" x14ac:dyDescent="0.3">
      <c r="H3989">
        <v>0.5</v>
      </c>
      <c r="I3989" s="11">
        <f t="shared" si="62"/>
        <v>0</v>
      </c>
      <c r="J3989" s="11">
        <f>1/(H3989*Utilities!$B$11)</f>
        <v>8</v>
      </c>
      <c r="K3989" s="11">
        <f>IF(B3989&lt;C3989,1,EXP(-1*(B3989-C3989)/(Utilities!$B$11*IterData!H3989)))</f>
        <v>1</v>
      </c>
    </row>
    <row r="3990" spans="8:11" x14ac:dyDescent="0.3">
      <c r="H3990">
        <v>0.5</v>
      </c>
      <c r="I3990" s="11">
        <f t="shared" si="62"/>
        <v>0</v>
      </c>
      <c r="J3990" s="11">
        <f>1/(H3990*Utilities!$B$11)</f>
        <v>8</v>
      </c>
      <c r="K3990" s="11">
        <f>IF(B3990&lt;C3990,1,EXP(-1*(B3990-C3990)/(Utilities!$B$11*IterData!H3990)))</f>
        <v>1</v>
      </c>
    </row>
    <row r="3991" spans="8:11" x14ac:dyDescent="0.3">
      <c r="H3991">
        <v>0.5</v>
      </c>
      <c r="I3991" s="11">
        <f t="shared" si="62"/>
        <v>0</v>
      </c>
      <c r="J3991" s="11">
        <f>1/(H3991*Utilities!$B$11)</f>
        <v>8</v>
      </c>
      <c r="K3991" s="11">
        <f>IF(B3991&lt;C3991,1,EXP(-1*(B3991-C3991)/(Utilities!$B$11*IterData!H3991)))</f>
        <v>1</v>
      </c>
    </row>
    <row r="3992" spans="8:11" x14ac:dyDescent="0.3">
      <c r="H3992">
        <v>0.5</v>
      </c>
      <c r="I3992" s="11">
        <f t="shared" si="62"/>
        <v>0</v>
      </c>
      <c r="J3992" s="11">
        <f>1/(H3992*Utilities!$B$11)</f>
        <v>8</v>
      </c>
      <c r="K3992" s="11">
        <f>IF(B3992&lt;C3992,1,EXP(-1*(B3992-C3992)/(Utilities!$B$11*IterData!H3992)))</f>
        <v>1</v>
      </c>
    </row>
    <row r="3993" spans="8:11" x14ac:dyDescent="0.3">
      <c r="H3993">
        <v>0.5</v>
      </c>
      <c r="I3993" s="11">
        <f t="shared" si="62"/>
        <v>0</v>
      </c>
      <c r="J3993" s="11">
        <f>1/(H3993*Utilities!$B$11)</f>
        <v>8</v>
      </c>
      <c r="K3993" s="11">
        <f>IF(B3993&lt;C3993,1,EXP(-1*(B3993-C3993)/(Utilities!$B$11*IterData!H3993)))</f>
        <v>1</v>
      </c>
    </row>
    <row r="3994" spans="8:11" x14ac:dyDescent="0.3">
      <c r="H3994">
        <v>0.5</v>
      </c>
      <c r="I3994" s="11">
        <f t="shared" si="62"/>
        <v>0</v>
      </c>
      <c r="J3994" s="11">
        <f>1/(H3994*Utilities!$B$11)</f>
        <v>8</v>
      </c>
      <c r="K3994" s="11">
        <f>IF(B3994&lt;C3994,1,EXP(-1*(B3994-C3994)/(Utilities!$B$11*IterData!H3994)))</f>
        <v>1</v>
      </c>
    </row>
    <row r="3995" spans="8:11" x14ac:dyDescent="0.3">
      <c r="H3995">
        <v>0.5</v>
      </c>
      <c r="I3995" s="11">
        <f t="shared" si="62"/>
        <v>0</v>
      </c>
      <c r="J3995" s="11">
        <f>1/(H3995*Utilities!$B$11)</f>
        <v>8</v>
      </c>
      <c r="K3995" s="11">
        <f>IF(B3995&lt;C3995,1,EXP(-1*(B3995-C3995)/(Utilities!$B$11*IterData!H3995)))</f>
        <v>1</v>
      </c>
    </row>
    <row r="3996" spans="8:11" x14ac:dyDescent="0.3">
      <c r="H3996">
        <v>0.5</v>
      </c>
      <c r="I3996" s="11">
        <f t="shared" si="62"/>
        <v>0</v>
      </c>
      <c r="J3996" s="11">
        <f>1/(H3996*Utilities!$B$11)</f>
        <v>8</v>
      </c>
      <c r="K3996" s="11">
        <f>IF(B3996&lt;C3996,1,EXP(-1*(B3996-C3996)/(Utilities!$B$11*IterData!H3996)))</f>
        <v>1</v>
      </c>
    </row>
    <row r="3997" spans="8:11" x14ac:dyDescent="0.3">
      <c r="H3997">
        <v>0.5</v>
      </c>
      <c r="I3997" s="11">
        <f t="shared" si="62"/>
        <v>0</v>
      </c>
      <c r="J3997" s="11">
        <f>1/(H3997*Utilities!$B$11)</f>
        <v>8</v>
      </c>
      <c r="K3997" s="11">
        <f>IF(B3997&lt;C3997,1,EXP(-1*(B3997-C3997)/(Utilities!$B$11*IterData!H3997)))</f>
        <v>1</v>
      </c>
    </row>
    <row r="3998" spans="8:11" x14ac:dyDescent="0.3">
      <c r="H3998">
        <v>0.5</v>
      </c>
      <c r="I3998" s="11">
        <f t="shared" si="62"/>
        <v>0</v>
      </c>
      <c r="J3998" s="11">
        <f>1/(H3998*Utilities!$B$11)</f>
        <v>8</v>
      </c>
      <c r="K3998" s="11">
        <f>IF(B3998&lt;C3998,1,EXP(-1*(B3998-C3998)/(Utilities!$B$11*IterData!H3998)))</f>
        <v>1</v>
      </c>
    </row>
    <row r="3999" spans="8:11" x14ac:dyDescent="0.3">
      <c r="H3999">
        <v>0.5</v>
      </c>
      <c r="I3999" s="11">
        <f t="shared" si="62"/>
        <v>0</v>
      </c>
      <c r="J3999" s="11">
        <f>1/(H3999*Utilities!$B$11)</f>
        <v>8</v>
      </c>
      <c r="K3999" s="11">
        <f>IF(B3999&lt;C3999,1,EXP(-1*(B3999-C3999)/(Utilities!$B$11*IterData!H3999)))</f>
        <v>1</v>
      </c>
    </row>
    <row r="4000" spans="8:11" x14ac:dyDescent="0.3">
      <c r="H4000">
        <v>0.5</v>
      </c>
      <c r="I4000" s="11">
        <f t="shared" si="62"/>
        <v>0</v>
      </c>
      <c r="J4000" s="11">
        <f>1/(H4000*Utilities!$B$11)</f>
        <v>8</v>
      </c>
      <c r="K4000" s="11">
        <f>IF(B4000&lt;C4000,1,EXP(-1*(B4000-C4000)/(Utilities!$B$11*IterData!H4000)))</f>
        <v>1</v>
      </c>
    </row>
    <row r="4001" spans="8:11" x14ac:dyDescent="0.3">
      <c r="H4001">
        <v>0.5</v>
      </c>
      <c r="I4001" s="11">
        <f t="shared" si="62"/>
        <v>0</v>
      </c>
      <c r="J4001" s="11">
        <f>1/(H4001*Utilities!$B$11)</f>
        <v>8</v>
      </c>
      <c r="K4001" s="11">
        <f>IF(B4001&lt;C4001,1,EXP(-1*(B4001-C4001)/(Utilities!$B$11*IterData!H4001)))</f>
        <v>1</v>
      </c>
    </row>
    <row r="4002" spans="8:11" x14ac:dyDescent="0.3">
      <c r="H4002">
        <v>0.5</v>
      </c>
      <c r="I4002" s="11">
        <f t="shared" si="62"/>
        <v>0</v>
      </c>
      <c r="J4002" s="11">
        <f>1/(H4002*Utilities!$B$11)</f>
        <v>8</v>
      </c>
      <c r="K4002" s="11">
        <f>IF(B4002&lt;C4002,1,EXP(-1*(B4002-C4002)/(Utilities!$B$11*IterData!H4002)))</f>
        <v>1</v>
      </c>
    </row>
    <row r="4003" spans="8:11" x14ac:dyDescent="0.3">
      <c r="H4003">
        <v>0.5</v>
      </c>
      <c r="I4003" s="11">
        <f t="shared" si="62"/>
        <v>0</v>
      </c>
      <c r="J4003" s="11">
        <f>1/(H4003*Utilities!$B$11)</f>
        <v>8</v>
      </c>
      <c r="K4003" s="11">
        <f>IF(B4003&lt;C4003,1,EXP(-1*(B4003-C4003)/(Utilities!$B$11*IterData!H4003)))</f>
        <v>1</v>
      </c>
    </row>
    <row r="4004" spans="8:11" x14ac:dyDescent="0.3">
      <c r="H4004">
        <v>0.5</v>
      </c>
      <c r="I4004" s="11">
        <f t="shared" si="62"/>
        <v>0</v>
      </c>
      <c r="J4004" s="11">
        <f>1/(H4004*Utilities!$B$11)</f>
        <v>8</v>
      </c>
      <c r="K4004" s="11">
        <f>IF(B4004&lt;C4004,1,EXP(-1*(B4004-C4004)/(Utilities!$B$11*IterData!H4004)))</f>
        <v>1</v>
      </c>
    </row>
    <row r="4005" spans="8:11" x14ac:dyDescent="0.3">
      <c r="H4005">
        <v>0.5</v>
      </c>
      <c r="I4005" s="11">
        <f t="shared" si="62"/>
        <v>0</v>
      </c>
      <c r="J4005" s="11">
        <f>1/(H4005*Utilities!$B$11)</f>
        <v>8</v>
      </c>
      <c r="K4005" s="11">
        <f>IF(B4005&lt;C4005,1,EXP(-1*(B4005-C4005)/(Utilities!$B$11*IterData!H4005)))</f>
        <v>1</v>
      </c>
    </row>
    <row r="4006" spans="8:11" x14ac:dyDescent="0.3">
      <c r="H4006">
        <v>0.5</v>
      </c>
      <c r="I4006" s="11">
        <f t="shared" si="62"/>
        <v>0</v>
      </c>
      <c r="J4006" s="11">
        <f>1/(H4006*Utilities!$B$11)</f>
        <v>8</v>
      </c>
      <c r="K4006" s="11">
        <f>IF(B4006&lt;C4006,1,EXP(-1*(B4006-C4006)/(Utilities!$B$11*IterData!H4006)))</f>
        <v>1</v>
      </c>
    </row>
    <row r="4007" spans="8:11" x14ac:dyDescent="0.3">
      <c r="H4007">
        <v>0.5</v>
      </c>
      <c r="I4007" s="11">
        <f t="shared" si="62"/>
        <v>0</v>
      </c>
      <c r="J4007" s="11">
        <f>1/(H4007*Utilities!$B$11)</f>
        <v>8</v>
      </c>
      <c r="K4007" s="11">
        <f>IF(B4007&lt;C4007,1,EXP(-1*(B4007-C4007)/(Utilities!$B$11*IterData!H4007)))</f>
        <v>1</v>
      </c>
    </row>
    <row r="4008" spans="8:11" x14ac:dyDescent="0.3">
      <c r="H4008">
        <v>0.5</v>
      </c>
      <c r="I4008" s="11">
        <f t="shared" si="62"/>
        <v>0</v>
      </c>
      <c r="J4008" s="11">
        <f>1/(H4008*Utilities!$B$11)</f>
        <v>8</v>
      </c>
      <c r="K4008" s="11">
        <f>IF(B4008&lt;C4008,1,EXP(-1*(B4008-C4008)/(Utilities!$B$11*IterData!H4008)))</f>
        <v>1</v>
      </c>
    </row>
    <row r="4009" spans="8:11" x14ac:dyDescent="0.3">
      <c r="H4009">
        <v>0.5</v>
      </c>
      <c r="I4009" s="11">
        <f t="shared" si="62"/>
        <v>0</v>
      </c>
      <c r="J4009" s="11">
        <f>1/(H4009*Utilities!$B$11)</f>
        <v>8</v>
      </c>
      <c r="K4009" s="11">
        <f>IF(B4009&lt;C4009,1,EXP(-1*(B4009-C4009)/(Utilities!$B$11*IterData!H4009)))</f>
        <v>1</v>
      </c>
    </row>
    <row r="4010" spans="8:11" x14ac:dyDescent="0.3">
      <c r="H4010">
        <v>0.5</v>
      </c>
      <c r="I4010" s="11">
        <f t="shared" si="62"/>
        <v>0</v>
      </c>
      <c r="J4010" s="11">
        <f>1/(H4010*Utilities!$B$11)</f>
        <v>8</v>
      </c>
      <c r="K4010" s="11">
        <f>IF(B4010&lt;C4010,1,EXP(-1*(B4010-C4010)/(Utilities!$B$11*IterData!H4010)))</f>
        <v>1</v>
      </c>
    </row>
    <row r="4011" spans="8:11" x14ac:dyDescent="0.3">
      <c r="H4011">
        <v>0.5</v>
      </c>
      <c r="I4011" s="11">
        <f t="shared" si="62"/>
        <v>0</v>
      </c>
      <c r="J4011" s="11">
        <f>1/(H4011*Utilities!$B$11)</f>
        <v>8</v>
      </c>
      <c r="K4011" s="11">
        <f>IF(B4011&lt;C4011,1,EXP(-1*(B4011-C4011)/(Utilities!$B$11*IterData!H4011)))</f>
        <v>1</v>
      </c>
    </row>
    <row r="4012" spans="8:11" x14ac:dyDescent="0.3">
      <c r="H4012">
        <v>0.5</v>
      </c>
      <c r="I4012" s="11">
        <f t="shared" si="62"/>
        <v>0</v>
      </c>
      <c r="J4012" s="11">
        <f>1/(H4012*Utilities!$B$11)</f>
        <v>8</v>
      </c>
      <c r="K4012" s="11">
        <f>IF(B4012&lt;C4012,1,EXP(-1*(B4012-C4012)/(Utilities!$B$11*IterData!H4012)))</f>
        <v>1</v>
      </c>
    </row>
    <row r="4013" spans="8:11" x14ac:dyDescent="0.3">
      <c r="H4013">
        <v>0.5</v>
      </c>
      <c r="I4013" s="11">
        <f t="shared" si="62"/>
        <v>0</v>
      </c>
      <c r="J4013" s="11">
        <f>1/(H4013*Utilities!$B$11)</f>
        <v>8</v>
      </c>
      <c r="K4013" s="11">
        <f>IF(B4013&lt;C4013,1,EXP(-1*(B4013-C4013)/(Utilities!$B$11*IterData!H4013)))</f>
        <v>1</v>
      </c>
    </row>
    <row r="4014" spans="8:11" x14ac:dyDescent="0.3">
      <c r="H4014">
        <v>0.5</v>
      </c>
      <c r="I4014" s="11">
        <f t="shared" si="62"/>
        <v>0</v>
      </c>
      <c r="J4014" s="11">
        <f>1/(H4014*Utilities!$B$11)</f>
        <v>8</v>
      </c>
      <c r="K4014" s="11">
        <f>IF(B4014&lt;C4014,1,EXP(-1*(B4014-C4014)/(Utilities!$B$11*IterData!H4014)))</f>
        <v>1</v>
      </c>
    </row>
    <row r="4015" spans="8:11" x14ac:dyDescent="0.3">
      <c r="H4015">
        <v>0.5</v>
      </c>
      <c r="I4015" s="11">
        <f t="shared" si="62"/>
        <v>0</v>
      </c>
      <c r="J4015" s="11">
        <f>1/(H4015*Utilities!$B$11)</f>
        <v>8</v>
      </c>
      <c r="K4015" s="11">
        <f>IF(B4015&lt;C4015,1,EXP(-1*(B4015-C4015)/(Utilities!$B$11*IterData!H4015)))</f>
        <v>1</v>
      </c>
    </row>
    <row r="4016" spans="8:11" x14ac:dyDescent="0.3">
      <c r="H4016">
        <v>0.5</v>
      </c>
      <c r="I4016" s="11">
        <f t="shared" si="62"/>
        <v>0</v>
      </c>
      <c r="J4016" s="11">
        <f>1/(H4016*Utilities!$B$11)</f>
        <v>8</v>
      </c>
      <c r="K4016" s="11">
        <f>IF(B4016&lt;C4016,1,EXP(-1*(B4016-C4016)/(Utilities!$B$11*IterData!H4016)))</f>
        <v>1</v>
      </c>
    </row>
    <row r="4017" spans="8:11" x14ac:dyDescent="0.3">
      <c r="H4017">
        <v>0.5</v>
      </c>
      <c r="I4017" s="11">
        <f t="shared" si="62"/>
        <v>0</v>
      </c>
      <c r="J4017" s="11">
        <f>1/(H4017*Utilities!$B$11)</f>
        <v>8</v>
      </c>
      <c r="K4017" s="11">
        <f>IF(B4017&lt;C4017,1,EXP(-1*(B4017-C4017)/(Utilities!$B$11*IterData!H4017)))</f>
        <v>1</v>
      </c>
    </row>
    <row r="4018" spans="8:11" x14ac:dyDescent="0.3">
      <c r="H4018">
        <v>0.5</v>
      </c>
      <c r="I4018" s="11">
        <f t="shared" si="62"/>
        <v>0</v>
      </c>
      <c r="J4018" s="11">
        <f>1/(H4018*Utilities!$B$11)</f>
        <v>8</v>
      </c>
      <c r="K4018" s="11">
        <f>IF(B4018&lt;C4018,1,EXP(-1*(B4018-C4018)/(Utilities!$B$11*IterData!H4018)))</f>
        <v>1</v>
      </c>
    </row>
    <row r="4019" spans="8:11" x14ac:dyDescent="0.3">
      <c r="H4019">
        <v>0.5</v>
      </c>
      <c r="I4019" s="11">
        <f t="shared" si="62"/>
        <v>0</v>
      </c>
      <c r="J4019" s="11">
        <f>1/(H4019*Utilities!$B$11)</f>
        <v>8</v>
      </c>
      <c r="K4019" s="11">
        <f>IF(B4019&lt;C4019,1,EXP(-1*(B4019-C4019)/(Utilities!$B$11*IterData!H4019)))</f>
        <v>1</v>
      </c>
    </row>
    <row r="4020" spans="8:11" x14ac:dyDescent="0.3">
      <c r="H4020">
        <v>0.5</v>
      </c>
      <c r="I4020" s="11">
        <f t="shared" si="62"/>
        <v>0</v>
      </c>
      <c r="J4020" s="11">
        <f>1/(H4020*Utilities!$B$11)</f>
        <v>8</v>
      </c>
      <c r="K4020" s="11">
        <f>IF(B4020&lt;C4020,1,EXP(-1*(B4020-C4020)/(Utilities!$B$11*IterData!H4020)))</f>
        <v>1</v>
      </c>
    </row>
    <row r="4021" spans="8:11" x14ac:dyDescent="0.3">
      <c r="H4021">
        <v>0.5</v>
      </c>
      <c r="I4021" s="11">
        <f t="shared" si="62"/>
        <v>0</v>
      </c>
      <c r="J4021" s="11">
        <f>1/(H4021*Utilities!$B$11)</f>
        <v>8</v>
      </c>
      <c r="K4021" s="11">
        <f>IF(B4021&lt;C4021,1,EXP(-1*(B4021-C4021)/(Utilities!$B$11*IterData!H4021)))</f>
        <v>1</v>
      </c>
    </row>
    <row r="4022" spans="8:11" x14ac:dyDescent="0.3">
      <c r="H4022">
        <v>0.5</v>
      </c>
      <c r="I4022" s="11">
        <f t="shared" si="62"/>
        <v>0</v>
      </c>
      <c r="J4022" s="11">
        <f>1/(H4022*Utilities!$B$11)</f>
        <v>8</v>
      </c>
      <c r="K4022" s="11">
        <f>IF(B4022&lt;C4022,1,EXP(-1*(B4022-C4022)/(Utilities!$B$11*IterData!H4022)))</f>
        <v>1</v>
      </c>
    </row>
    <row r="4023" spans="8:11" x14ac:dyDescent="0.3">
      <c r="H4023">
        <v>0.5</v>
      </c>
      <c r="I4023" s="11">
        <f t="shared" si="62"/>
        <v>0</v>
      </c>
      <c r="J4023" s="11">
        <f>1/(H4023*Utilities!$B$11)</f>
        <v>8</v>
      </c>
      <c r="K4023" s="11">
        <f>IF(B4023&lt;C4023,1,EXP(-1*(B4023-C4023)/(Utilities!$B$11*IterData!H4023)))</f>
        <v>1</v>
      </c>
    </row>
    <row r="4024" spans="8:11" x14ac:dyDescent="0.3">
      <c r="H4024">
        <v>0.5</v>
      </c>
      <c r="I4024" s="11">
        <f t="shared" si="62"/>
        <v>0</v>
      </c>
      <c r="J4024" s="11">
        <f>1/(H4024*Utilities!$B$11)</f>
        <v>8</v>
      </c>
      <c r="K4024" s="11">
        <f>IF(B4024&lt;C4024,1,EXP(-1*(B4024-C4024)/(Utilities!$B$11*IterData!H4024)))</f>
        <v>1</v>
      </c>
    </row>
    <row r="4025" spans="8:11" x14ac:dyDescent="0.3">
      <c r="H4025">
        <v>0.5</v>
      </c>
      <c r="I4025" s="11">
        <f t="shared" si="62"/>
        <v>0</v>
      </c>
      <c r="J4025" s="11">
        <f>1/(H4025*Utilities!$B$11)</f>
        <v>8</v>
      </c>
      <c r="K4025" s="11">
        <f>IF(B4025&lt;C4025,1,EXP(-1*(B4025-C4025)/(Utilities!$B$11*IterData!H4025)))</f>
        <v>1</v>
      </c>
    </row>
    <row r="4026" spans="8:11" x14ac:dyDescent="0.3">
      <c r="H4026">
        <v>0.5</v>
      </c>
      <c r="I4026" s="11">
        <f t="shared" si="62"/>
        <v>0</v>
      </c>
      <c r="J4026" s="11">
        <f>1/(H4026*Utilities!$B$11)</f>
        <v>8</v>
      </c>
      <c r="K4026" s="11">
        <f>IF(B4026&lt;C4026,1,EXP(-1*(B4026-C4026)/(Utilities!$B$11*IterData!H4026)))</f>
        <v>1</v>
      </c>
    </row>
    <row r="4027" spans="8:11" x14ac:dyDescent="0.3">
      <c r="H4027">
        <v>0.5</v>
      </c>
      <c r="I4027" s="11">
        <f t="shared" si="62"/>
        <v>0</v>
      </c>
      <c r="J4027" s="11">
        <f>1/(H4027*Utilities!$B$11)</f>
        <v>8</v>
      </c>
      <c r="K4027" s="11">
        <f>IF(B4027&lt;C4027,1,EXP(-1*(B4027-C4027)/(Utilities!$B$11*IterData!H4027)))</f>
        <v>1</v>
      </c>
    </row>
    <row r="4028" spans="8:11" x14ac:dyDescent="0.3">
      <c r="H4028">
        <v>0.5</v>
      </c>
      <c r="I4028" s="11">
        <f t="shared" si="62"/>
        <v>0</v>
      </c>
      <c r="J4028" s="11">
        <f>1/(H4028*Utilities!$B$11)</f>
        <v>8</v>
      </c>
      <c r="K4028" s="11">
        <f>IF(B4028&lt;C4028,1,EXP(-1*(B4028-C4028)/(Utilities!$B$11*IterData!H4028)))</f>
        <v>1</v>
      </c>
    </row>
    <row r="4029" spans="8:11" x14ac:dyDescent="0.3">
      <c r="H4029">
        <v>0.5</v>
      </c>
      <c r="I4029" s="11">
        <f t="shared" si="62"/>
        <v>0</v>
      </c>
      <c r="J4029" s="11">
        <f>1/(H4029*Utilities!$B$11)</f>
        <v>8</v>
      </c>
      <c r="K4029" s="11">
        <f>IF(B4029&lt;C4029,1,EXP(-1*(B4029-C4029)/(Utilities!$B$11*IterData!H4029)))</f>
        <v>1</v>
      </c>
    </row>
    <row r="4030" spans="8:11" x14ac:dyDescent="0.3">
      <c r="H4030">
        <v>0.5</v>
      </c>
      <c r="I4030" s="11">
        <f t="shared" si="62"/>
        <v>0</v>
      </c>
      <c r="J4030" s="11">
        <f>1/(H4030*Utilities!$B$11)</f>
        <v>8</v>
      </c>
      <c r="K4030" s="11">
        <f>IF(B4030&lt;C4030,1,EXP(-1*(B4030-C4030)/(Utilities!$B$11*IterData!H4030)))</f>
        <v>1</v>
      </c>
    </row>
    <row r="4031" spans="8:11" x14ac:dyDescent="0.3">
      <c r="H4031">
        <v>0.5</v>
      </c>
      <c r="I4031" s="11">
        <f t="shared" si="62"/>
        <v>0</v>
      </c>
      <c r="J4031" s="11">
        <f>1/(H4031*Utilities!$B$11)</f>
        <v>8</v>
      </c>
      <c r="K4031" s="11">
        <f>IF(B4031&lt;C4031,1,EXP(-1*(B4031-C4031)/(Utilities!$B$11*IterData!H4031)))</f>
        <v>1</v>
      </c>
    </row>
    <row r="4032" spans="8:11" x14ac:dyDescent="0.3">
      <c r="H4032">
        <v>0.5</v>
      </c>
      <c r="I4032" s="11">
        <f t="shared" si="62"/>
        <v>0</v>
      </c>
      <c r="J4032" s="11">
        <f>1/(H4032*Utilities!$B$11)</f>
        <v>8</v>
      </c>
      <c r="K4032" s="11">
        <f>IF(B4032&lt;C4032,1,EXP(-1*(B4032-C4032)/(Utilities!$B$11*IterData!H4032)))</f>
        <v>1</v>
      </c>
    </row>
    <row r="4033" spans="8:11" x14ac:dyDescent="0.3">
      <c r="H4033">
        <v>0.5</v>
      </c>
      <c r="I4033" s="11">
        <f t="shared" si="62"/>
        <v>0</v>
      </c>
      <c r="J4033" s="11">
        <f>1/(H4033*Utilities!$B$11)</f>
        <v>8</v>
      </c>
      <c r="K4033" s="11">
        <f>IF(B4033&lt;C4033,1,EXP(-1*(B4033-C4033)/(Utilities!$B$11*IterData!H4033)))</f>
        <v>1</v>
      </c>
    </row>
    <row r="4034" spans="8:11" x14ac:dyDescent="0.3">
      <c r="H4034">
        <v>0.5</v>
      </c>
      <c r="I4034" s="11">
        <f t="shared" si="62"/>
        <v>0</v>
      </c>
      <c r="J4034" s="11">
        <f>1/(H4034*Utilities!$B$11)</f>
        <v>8</v>
      </c>
      <c r="K4034" s="11">
        <f>IF(B4034&lt;C4034,1,EXP(-1*(B4034-C4034)/(Utilities!$B$11*IterData!H4034)))</f>
        <v>1</v>
      </c>
    </row>
    <row r="4035" spans="8:11" x14ac:dyDescent="0.3">
      <c r="H4035">
        <v>0.5</v>
      </c>
      <c r="I4035" s="11">
        <f t="shared" ref="I4035:I4098" si="63">B4035-C4035</f>
        <v>0</v>
      </c>
      <c r="J4035" s="11">
        <f>1/(H4035*Utilities!$B$11)</f>
        <v>8</v>
      </c>
      <c r="K4035" s="11">
        <f>IF(B4035&lt;C4035,1,EXP(-1*(B4035-C4035)/(Utilities!$B$11*IterData!H4035)))</f>
        <v>1</v>
      </c>
    </row>
    <row r="4036" spans="8:11" x14ac:dyDescent="0.3">
      <c r="H4036">
        <v>0.5</v>
      </c>
      <c r="I4036" s="11">
        <f t="shared" si="63"/>
        <v>0</v>
      </c>
      <c r="J4036" s="11">
        <f>1/(H4036*Utilities!$B$11)</f>
        <v>8</v>
      </c>
      <c r="K4036" s="11">
        <f>IF(B4036&lt;C4036,1,EXP(-1*(B4036-C4036)/(Utilities!$B$11*IterData!H4036)))</f>
        <v>1</v>
      </c>
    </row>
    <row r="4037" spans="8:11" x14ac:dyDescent="0.3">
      <c r="H4037">
        <v>0.5</v>
      </c>
      <c r="I4037" s="11">
        <f t="shared" si="63"/>
        <v>0</v>
      </c>
      <c r="J4037" s="11">
        <f>1/(H4037*Utilities!$B$11)</f>
        <v>8</v>
      </c>
      <c r="K4037" s="11">
        <f>IF(B4037&lt;C4037,1,EXP(-1*(B4037-C4037)/(Utilities!$B$11*IterData!H4037)))</f>
        <v>1</v>
      </c>
    </row>
    <row r="4038" spans="8:11" x14ac:dyDescent="0.3">
      <c r="H4038">
        <v>0.5</v>
      </c>
      <c r="I4038" s="11">
        <f t="shared" si="63"/>
        <v>0</v>
      </c>
      <c r="J4038" s="11">
        <f>1/(H4038*Utilities!$B$11)</f>
        <v>8</v>
      </c>
      <c r="K4038" s="11">
        <f>IF(B4038&lt;C4038,1,EXP(-1*(B4038-C4038)/(Utilities!$B$11*IterData!H4038)))</f>
        <v>1</v>
      </c>
    </row>
    <row r="4039" spans="8:11" x14ac:dyDescent="0.3">
      <c r="H4039">
        <v>0.5</v>
      </c>
      <c r="I4039" s="11">
        <f t="shared" si="63"/>
        <v>0</v>
      </c>
      <c r="J4039" s="11">
        <f>1/(H4039*Utilities!$B$11)</f>
        <v>8</v>
      </c>
      <c r="K4039" s="11">
        <f>IF(B4039&lt;C4039,1,EXP(-1*(B4039-C4039)/(Utilities!$B$11*IterData!H4039)))</f>
        <v>1</v>
      </c>
    </row>
    <row r="4040" spans="8:11" x14ac:dyDescent="0.3">
      <c r="H4040">
        <v>0.5</v>
      </c>
      <c r="I4040" s="11">
        <f t="shared" si="63"/>
        <v>0</v>
      </c>
      <c r="J4040" s="11">
        <f>1/(H4040*Utilities!$B$11)</f>
        <v>8</v>
      </c>
      <c r="K4040" s="11">
        <f>IF(B4040&lt;C4040,1,EXP(-1*(B4040-C4040)/(Utilities!$B$11*IterData!H4040)))</f>
        <v>1</v>
      </c>
    </row>
    <row r="4041" spans="8:11" x14ac:dyDescent="0.3">
      <c r="H4041">
        <v>0.5</v>
      </c>
      <c r="I4041" s="11">
        <f t="shared" si="63"/>
        <v>0</v>
      </c>
      <c r="J4041" s="11">
        <f>1/(H4041*Utilities!$B$11)</f>
        <v>8</v>
      </c>
      <c r="K4041" s="11">
        <f>IF(B4041&lt;C4041,1,EXP(-1*(B4041-C4041)/(Utilities!$B$11*IterData!H4041)))</f>
        <v>1</v>
      </c>
    </row>
    <row r="4042" spans="8:11" x14ac:dyDescent="0.3">
      <c r="H4042">
        <v>0.5</v>
      </c>
      <c r="I4042" s="11">
        <f t="shared" si="63"/>
        <v>0</v>
      </c>
      <c r="J4042" s="11">
        <f>1/(H4042*Utilities!$B$11)</f>
        <v>8</v>
      </c>
      <c r="K4042" s="11">
        <f>IF(B4042&lt;C4042,1,EXP(-1*(B4042-C4042)/(Utilities!$B$11*IterData!H4042)))</f>
        <v>1</v>
      </c>
    </row>
    <row r="4043" spans="8:11" x14ac:dyDescent="0.3">
      <c r="H4043">
        <v>0.5</v>
      </c>
      <c r="I4043" s="11">
        <f t="shared" si="63"/>
        <v>0</v>
      </c>
      <c r="J4043" s="11">
        <f>1/(H4043*Utilities!$B$11)</f>
        <v>8</v>
      </c>
      <c r="K4043" s="11">
        <f>IF(B4043&lt;C4043,1,EXP(-1*(B4043-C4043)/(Utilities!$B$11*IterData!H4043)))</f>
        <v>1</v>
      </c>
    </row>
    <row r="4044" spans="8:11" x14ac:dyDescent="0.3">
      <c r="H4044">
        <v>0.5</v>
      </c>
      <c r="I4044" s="11">
        <f t="shared" si="63"/>
        <v>0</v>
      </c>
      <c r="J4044" s="11">
        <f>1/(H4044*Utilities!$B$11)</f>
        <v>8</v>
      </c>
      <c r="K4044" s="11">
        <f>IF(B4044&lt;C4044,1,EXP(-1*(B4044-C4044)/(Utilities!$B$11*IterData!H4044)))</f>
        <v>1</v>
      </c>
    </row>
    <row r="4045" spans="8:11" x14ac:dyDescent="0.3">
      <c r="H4045">
        <v>0.5</v>
      </c>
      <c r="I4045" s="11">
        <f t="shared" si="63"/>
        <v>0</v>
      </c>
      <c r="J4045" s="11">
        <f>1/(H4045*Utilities!$B$11)</f>
        <v>8</v>
      </c>
      <c r="K4045" s="11">
        <f>IF(B4045&lt;C4045,1,EXP(-1*(B4045-C4045)/(Utilities!$B$11*IterData!H4045)))</f>
        <v>1</v>
      </c>
    </row>
    <row r="4046" spans="8:11" x14ac:dyDescent="0.3">
      <c r="H4046">
        <v>0.5</v>
      </c>
      <c r="I4046" s="11">
        <f t="shared" si="63"/>
        <v>0</v>
      </c>
      <c r="J4046" s="11">
        <f>1/(H4046*Utilities!$B$11)</f>
        <v>8</v>
      </c>
      <c r="K4046" s="11">
        <f>IF(B4046&lt;C4046,1,EXP(-1*(B4046-C4046)/(Utilities!$B$11*IterData!H4046)))</f>
        <v>1</v>
      </c>
    </row>
    <row r="4047" spans="8:11" x14ac:dyDescent="0.3">
      <c r="H4047">
        <v>0.5</v>
      </c>
      <c r="I4047" s="11">
        <f t="shared" si="63"/>
        <v>0</v>
      </c>
      <c r="J4047" s="11">
        <f>1/(H4047*Utilities!$B$11)</f>
        <v>8</v>
      </c>
      <c r="K4047" s="11">
        <f>IF(B4047&lt;C4047,1,EXP(-1*(B4047-C4047)/(Utilities!$B$11*IterData!H4047)))</f>
        <v>1</v>
      </c>
    </row>
    <row r="4048" spans="8:11" x14ac:dyDescent="0.3">
      <c r="H4048">
        <v>0.5</v>
      </c>
      <c r="I4048" s="11">
        <f t="shared" si="63"/>
        <v>0</v>
      </c>
      <c r="J4048" s="11">
        <f>1/(H4048*Utilities!$B$11)</f>
        <v>8</v>
      </c>
      <c r="K4048" s="11">
        <f>IF(B4048&lt;C4048,1,EXP(-1*(B4048-C4048)/(Utilities!$B$11*IterData!H4048)))</f>
        <v>1</v>
      </c>
    </row>
    <row r="4049" spans="8:11" x14ac:dyDescent="0.3">
      <c r="H4049">
        <v>0.5</v>
      </c>
      <c r="I4049" s="11">
        <f t="shared" si="63"/>
        <v>0</v>
      </c>
      <c r="J4049" s="11">
        <f>1/(H4049*Utilities!$B$11)</f>
        <v>8</v>
      </c>
      <c r="K4049" s="11">
        <f>IF(B4049&lt;C4049,1,EXP(-1*(B4049-C4049)/(Utilities!$B$11*IterData!H4049)))</f>
        <v>1</v>
      </c>
    </row>
    <row r="4050" spans="8:11" x14ac:dyDescent="0.3">
      <c r="H4050">
        <v>0.5</v>
      </c>
      <c r="I4050" s="11">
        <f t="shared" si="63"/>
        <v>0</v>
      </c>
      <c r="J4050" s="11">
        <f>1/(H4050*Utilities!$B$11)</f>
        <v>8</v>
      </c>
      <c r="K4050" s="11">
        <f>IF(B4050&lt;C4050,1,EXP(-1*(B4050-C4050)/(Utilities!$B$11*IterData!H4050)))</f>
        <v>1</v>
      </c>
    </row>
    <row r="4051" spans="8:11" x14ac:dyDescent="0.3">
      <c r="H4051">
        <v>0.5</v>
      </c>
      <c r="I4051" s="11">
        <f t="shared" si="63"/>
        <v>0</v>
      </c>
      <c r="J4051" s="11">
        <f>1/(H4051*Utilities!$B$11)</f>
        <v>8</v>
      </c>
      <c r="K4051" s="11">
        <f>IF(B4051&lt;C4051,1,EXP(-1*(B4051-C4051)/(Utilities!$B$11*IterData!H4051)))</f>
        <v>1</v>
      </c>
    </row>
    <row r="4052" spans="8:11" x14ac:dyDescent="0.3">
      <c r="H4052">
        <v>0.5</v>
      </c>
      <c r="I4052" s="11">
        <f t="shared" si="63"/>
        <v>0</v>
      </c>
      <c r="J4052" s="11">
        <f>1/(H4052*Utilities!$B$11)</f>
        <v>8</v>
      </c>
      <c r="K4052" s="11">
        <f>IF(B4052&lt;C4052,1,EXP(-1*(B4052-C4052)/(Utilities!$B$11*IterData!H4052)))</f>
        <v>1</v>
      </c>
    </row>
    <row r="4053" spans="8:11" x14ac:dyDescent="0.3">
      <c r="H4053">
        <v>0.5</v>
      </c>
      <c r="I4053" s="11">
        <f t="shared" si="63"/>
        <v>0</v>
      </c>
      <c r="J4053" s="11">
        <f>1/(H4053*Utilities!$B$11)</f>
        <v>8</v>
      </c>
      <c r="K4053" s="11">
        <f>IF(B4053&lt;C4053,1,EXP(-1*(B4053-C4053)/(Utilities!$B$11*IterData!H4053)))</f>
        <v>1</v>
      </c>
    </row>
    <row r="4054" spans="8:11" x14ac:dyDescent="0.3">
      <c r="H4054">
        <v>0.5</v>
      </c>
      <c r="I4054" s="11">
        <f t="shared" si="63"/>
        <v>0</v>
      </c>
      <c r="J4054" s="11">
        <f>1/(H4054*Utilities!$B$11)</f>
        <v>8</v>
      </c>
      <c r="K4054" s="11">
        <f>IF(B4054&lt;C4054,1,EXP(-1*(B4054-C4054)/(Utilities!$B$11*IterData!H4054)))</f>
        <v>1</v>
      </c>
    </row>
    <row r="4055" spans="8:11" x14ac:dyDescent="0.3">
      <c r="H4055">
        <v>0.5</v>
      </c>
      <c r="I4055" s="11">
        <f t="shared" si="63"/>
        <v>0</v>
      </c>
      <c r="J4055" s="11">
        <f>1/(H4055*Utilities!$B$11)</f>
        <v>8</v>
      </c>
      <c r="K4055" s="11">
        <f>IF(B4055&lt;C4055,1,EXP(-1*(B4055-C4055)/(Utilities!$B$11*IterData!H4055)))</f>
        <v>1</v>
      </c>
    </row>
    <row r="4056" spans="8:11" x14ac:dyDescent="0.3">
      <c r="H4056">
        <v>0.5</v>
      </c>
      <c r="I4056" s="11">
        <f t="shared" si="63"/>
        <v>0</v>
      </c>
      <c r="J4056" s="11">
        <f>1/(H4056*Utilities!$B$11)</f>
        <v>8</v>
      </c>
      <c r="K4056" s="11">
        <f>IF(B4056&lt;C4056,1,EXP(-1*(B4056-C4056)/(Utilities!$B$11*IterData!H4056)))</f>
        <v>1</v>
      </c>
    </row>
    <row r="4057" spans="8:11" x14ac:dyDescent="0.3">
      <c r="H4057">
        <v>0.5</v>
      </c>
      <c r="I4057" s="11">
        <f t="shared" si="63"/>
        <v>0</v>
      </c>
      <c r="J4057" s="11">
        <f>1/(H4057*Utilities!$B$11)</f>
        <v>8</v>
      </c>
      <c r="K4057" s="11">
        <f>IF(B4057&lt;C4057,1,EXP(-1*(B4057-C4057)/(Utilities!$B$11*IterData!H4057)))</f>
        <v>1</v>
      </c>
    </row>
    <row r="4058" spans="8:11" x14ac:dyDescent="0.3">
      <c r="H4058">
        <v>0.5</v>
      </c>
      <c r="I4058" s="11">
        <f t="shared" si="63"/>
        <v>0</v>
      </c>
      <c r="J4058" s="11">
        <f>1/(H4058*Utilities!$B$11)</f>
        <v>8</v>
      </c>
      <c r="K4058" s="11">
        <f>IF(B4058&lt;C4058,1,EXP(-1*(B4058-C4058)/(Utilities!$B$11*IterData!H4058)))</f>
        <v>1</v>
      </c>
    </row>
    <row r="4059" spans="8:11" x14ac:dyDescent="0.3">
      <c r="H4059">
        <v>0.5</v>
      </c>
      <c r="I4059" s="11">
        <f t="shared" si="63"/>
        <v>0</v>
      </c>
      <c r="J4059" s="11">
        <f>1/(H4059*Utilities!$B$11)</f>
        <v>8</v>
      </c>
      <c r="K4059" s="11">
        <f>IF(B4059&lt;C4059,1,EXP(-1*(B4059-C4059)/(Utilities!$B$11*IterData!H4059)))</f>
        <v>1</v>
      </c>
    </row>
    <row r="4060" spans="8:11" x14ac:dyDescent="0.3">
      <c r="H4060">
        <v>0.5</v>
      </c>
      <c r="I4060" s="11">
        <f t="shared" si="63"/>
        <v>0</v>
      </c>
      <c r="J4060" s="11">
        <f>1/(H4060*Utilities!$B$11)</f>
        <v>8</v>
      </c>
      <c r="K4060" s="11">
        <f>IF(B4060&lt;C4060,1,EXP(-1*(B4060-C4060)/(Utilities!$B$11*IterData!H4060)))</f>
        <v>1</v>
      </c>
    </row>
    <row r="4061" spans="8:11" x14ac:dyDescent="0.3">
      <c r="H4061">
        <v>0.5</v>
      </c>
      <c r="I4061" s="11">
        <f t="shared" si="63"/>
        <v>0</v>
      </c>
      <c r="J4061" s="11">
        <f>1/(H4061*Utilities!$B$11)</f>
        <v>8</v>
      </c>
      <c r="K4061" s="11">
        <f>IF(B4061&lt;C4061,1,EXP(-1*(B4061-C4061)/(Utilities!$B$11*IterData!H4061)))</f>
        <v>1</v>
      </c>
    </row>
    <row r="4062" spans="8:11" x14ac:dyDescent="0.3">
      <c r="H4062">
        <v>0.5</v>
      </c>
      <c r="I4062" s="11">
        <f t="shared" si="63"/>
        <v>0</v>
      </c>
      <c r="J4062" s="11">
        <f>1/(H4062*Utilities!$B$11)</f>
        <v>8</v>
      </c>
      <c r="K4062" s="11">
        <f>IF(B4062&lt;C4062,1,EXP(-1*(B4062-C4062)/(Utilities!$B$11*IterData!H4062)))</f>
        <v>1</v>
      </c>
    </row>
    <row r="4063" spans="8:11" x14ac:dyDescent="0.3">
      <c r="H4063">
        <v>0.5</v>
      </c>
      <c r="I4063" s="11">
        <f t="shared" si="63"/>
        <v>0</v>
      </c>
      <c r="J4063" s="11">
        <f>1/(H4063*Utilities!$B$11)</f>
        <v>8</v>
      </c>
      <c r="K4063" s="11">
        <f>IF(B4063&lt;C4063,1,EXP(-1*(B4063-C4063)/(Utilities!$B$11*IterData!H4063)))</f>
        <v>1</v>
      </c>
    </row>
    <row r="4064" spans="8:11" x14ac:dyDescent="0.3">
      <c r="H4064">
        <v>0.5</v>
      </c>
      <c r="I4064" s="11">
        <f t="shared" si="63"/>
        <v>0</v>
      </c>
      <c r="J4064" s="11">
        <f>1/(H4064*Utilities!$B$11)</f>
        <v>8</v>
      </c>
      <c r="K4064" s="11">
        <f>IF(B4064&lt;C4064,1,EXP(-1*(B4064-C4064)/(Utilities!$B$11*IterData!H4064)))</f>
        <v>1</v>
      </c>
    </row>
    <row r="4065" spans="8:11" x14ac:dyDescent="0.3">
      <c r="H4065">
        <v>0.5</v>
      </c>
      <c r="I4065" s="11">
        <f t="shared" si="63"/>
        <v>0</v>
      </c>
      <c r="J4065" s="11">
        <f>1/(H4065*Utilities!$B$11)</f>
        <v>8</v>
      </c>
      <c r="K4065" s="11">
        <f>IF(B4065&lt;C4065,1,EXP(-1*(B4065-C4065)/(Utilities!$B$11*IterData!H4065)))</f>
        <v>1</v>
      </c>
    </row>
    <row r="4066" spans="8:11" x14ac:dyDescent="0.3">
      <c r="H4066">
        <v>0.5</v>
      </c>
      <c r="I4066" s="11">
        <f t="shared" si="63"/>
        <v>0</v>
      </c>
      <c r="J4066" s="11">
        <f>1/(H4066*Utilities!$B$11)</f>
        <v>8</v>
      </c>
      <c r="K4066" s="11">
        <f>IF(B4066&lt;C4066,1,EXP(-1*(B4066-C4066)/(Utilities!$B$11*IterData!H4066)))</f>
        <v>1</v>
      </c>
    </row>
    <row r="4067" spans="8:11" x14ac:dyDescent="0.3">
      <c r="H4067">
        <v>0.5</v>
      </c>
      <c r="I4067" s="11">
        <f t="shared" si="63"/>
        <v>0</v>
      </c>
      <c r="J4067" s="11">
        <f>1/(H4067*Utilities!$B$11)</f>
        <v>8</v>
      </c>
      <c r="K4067" s="11">
        <f>IF(B4067&lt;C4067,1,EXP(-1*(B4067-C4067)/(Utilities!$B$11*IterData!H4067)))</f>
        <v>1</v>
      </c>
    </row>
    <row r="4068" spans="8:11" x14ac:dyDescent="0.3">
      <c r="H4068">
        <v>0.5</v>
      </c>
      <c r="I4068" s="11">
        <f t="shared" si="63"/>
        <v>0</v>
      </c>
      <c r="J4068" s="11">
        <f>1/(H4068*Utilities!$B$11)</f>
        <v>8</v>
      </c>
      <c r="K4068" s="11">
        <f>IF(B4068&lt;C4068,1,EXP(-1*(B4068-C4068)/(Utilities!$B$11*IterData!H4068)))</f>
        <v>1</v>
      </c>
    </row>
    <row r="4069" spans="8:11" x14ac:dyDescent="0.3">
      <c r="H4069">
        <v>0.5</v>
      </c>
      <c r="I4069" s="11">
        <f t="shared" si="63"/>
        <v>0</v>
      </c>
      <c r="J4069" s="11">
        <f>1/(H4069*Utilities!$B$11)</f>
        <v>8</v>
      </c>
      <c r="K4069" s="11">
        <f>IF(B4069&lt;C4069,1,EXP(-1*(B4069-C4069)/(Utilities!$B$11*IterData!H4069)))</f>
        <v>1</v>
      </c>
    </row>
    <row r="4070" spans="8:11" x14ac:dyDescent="0.3">
      <c r="H4070">
        <v>0.5</v>
      </c>
      <c r="I4070" s="11">
        <f t="shared" si="63"/>
        <v>0</v>
      </c>
      <c r="J4070" s="11">
        <f>1/(H4070*Utilities!$B$11)</f>
        <v>8</v>
      </c>
      <c r="K4070" s="11">
        <f>IF(B4070&lt;C4070,1,EXP(-1*(B4070-C4070)/(Utilities!$B$11*IterData!H4070)))</f>
        <v>1</v>
      </c>
    </row>
    <row r="4071" spans="8:11" x14ac:dyDescent="0.3">
      <c r="H4071">
        <v>0.5</v>
      </c>
      <c r="I4071" s="11">
        <f t="shared" si="63"/>
        <v>0</v>
      </c>
      <c r="J4071" s="11">
        <f>1/(H4071*Utilities!$B$11)</f>
        <v>8</v>
      </c>
      <c r="K4071" s="11">
        <f>IF(B4071&lt;C4071,1,EXP(-1*(B4071-C4071)/(Utilities!$B$11*IterData!H4071)))</f>
        <v>1</v>
      </c>
    </row>
    <row r="4072" spans="8:11" x14ac:dyDescent="0.3">
      <c r="H4072">
        <v>0.5</v>
      </c>
      <c r="I4072" s="11">
        <f t="shared" si="63"/>
        <v>0</v>
      </c>
      <c r="J4072" s="11">
        <f>1/(H4072*Utilities!$B$11)</f>
        <v>8</v>
      </c>
      <c r="K4072" s="11">
        <f>IF(B4072&lt;C4072,1,EXP(-1*(B4072-C4072)/(Utilities!$B$11*IterData!H4072)))</f>
        <v>1</v>
      </c>
    </row>
    <row r="4073" spans="8:11" x14ac:dyDescent="0.3">
      <c r="H4073">
        <v>0.5</v>
      </c>
      <c r="I4073" s="11">
        <f t="shared" si="63"/>
        <v>0</v>
      </c>
      <c r="J4073" s="11">
        <f>1/(H4073*Utilities!$B$11)</f>
        <v>8</v>
      </c>
      <c r="K4073" s="11">
        <f>IF(B4073&lt;C4073,1,EXP(-1*(B4073-C4073)/(Utilities!$B$11*IterData!H4073)))</f>
        <v>1</v>
      </c>
    </row>
    <row r="4074" spans="8:11" x14ac:dyDescent="0.3">
      <c r="H4074">
        <v>0.5</v>
      </c>
      <c r="I4074" s="11">
        <f t="shared" si="63"/>
        <v>0</v>
      </c>
      <c r="J4074" s="11">
        <f>1/(H4074*Utilities!$B$11)</f>
        <v>8</v>
      </c>
      <c r="K4074" s="11">
        <f>IF(B4074&lt;C4074,1,EXP(-1*(B4074-C4074)/(Utilities!$B$11*IterData!H4074)))</f>
        <v>1</v>
      </c>
    </row>
    <row r="4075" spans="8:11" x14ac:dyDescent="0.3">
      <c r="H4075">
        <v>0.5</v>
      </c>
      <c r="I4075" s="11">
        <f t="shared" si="63"/>
        <v>0</v>
      </c>
      <c r="J4075" s="11">
        <f>1/(H4075*Utilities!$B$11)</f>
        <v>8</v>
      </c>
      <c r="K4075" s="11">
        <f>IF(B4075&lt;C4075,1,EXP(-1*(B4075-C4075)/(Utilities!$B$11*IterData!H4075)))</f>
        <v>1</v>
      </c>
    </row>
    <row r="4076" spans="8:11" x14ac:dyDescent="0.3">
      <c r="H4076">
        <v>0.5</v>
      </c>
      <c r="I4076" s="11">
        <f t="shared" si="63"/>
        <v>0</v>
      </c>
      <c r="J4076" s="11">
        <f>1/(H4076*Utilities!$B$11)</f>
        <v>8</v>
      </c>
      <c r="K4076" s="11">
        <f>IF(B4076&lt;C4076,1,EXP(-1*(B4076-C4076)/(Utilities!$B$11*IterData!H4076)))</f>
        <v>1</v>
      </c>
    </row>
    <row r="4077" spans="8:11" x14ac:dyDescent="0.3">
      <c r="H4077">
        <v>0.5</v>
      </c>
      <c r="I4077" s="11">
        <f t="shared" si="63"/>
        <v>0</v>
      </c>
      <c r="J4077" s="11">
        <f>1/(H4077*Utilities!$B$11)</f>
        <v>8</v>
      </c>
      <c r="K4077" s="11">
        <f>IF(B4077&lt;C4077,1,EXP(-1*(B4077-C4077)/(Utilities!$B$11*IterData!H4077)))</f>
        <v>1</v>
      </c>
    </row>
    <row r="4078" spans="8:11" x14ac:dyDescent="0.3">
      <c r="H4078">
        <v>0.5</v>
      </c>
      <c r="I4078" s="11">
        <f t="shared" si="63"/>
        <v>0</v>
      </c>
      <c r="J4078" s="11">
        <f>1/(H4078*Utilities!$B$11)</f>
        <v>8</v>
      </c>
      <c r="K4078" s="11">
        <f>IF(B4078&lt;C4078,1,EXP(-1*(B4078-C4078)/(Utilities!$B$11*IterData!H4078)))</f>
        <v>1</v>
      </c>
    </row>
    <row r="4079" spans="8:11" x14ac:dyDescent="0.3">
      <c r="H4079">
        <v>0.5</v>
      </c>
      <c r="I4079" s="11">
        <f t="shared" si="63"/>
        <v>0</v>
      </c>
      <c r="J4079" s="11">
        <f>1/(H4079*Utilities!$B$11)</f>
        <v>8</v>
      </c>
      <c r="K4079" s="11">
        <f>IF(B4079&lt;C4079,1,EXP(-1*(B4079-C4079)/(Utilities!$B$11*IterData!H4079)))</f>
        <v>1</v>
      </c>
    </row>
    <row r="4080" spans="8:11" x14ac:dyDescent="0.3">
      <c r="H4080">
        <v>0.5</v>
      </c>
      <c r="I4080" s="11">
        <f t="shared" si="63"/>
        <v>0</v>
      </c>
      <c r="J4080" s="11">
        <f>1/(H4080*Utilities!$B$11)</f>
        <v>8</v>
      </c>
      <c r="K4080" s="11">
        <f>IF(B4080&lt;C4080,1,EXP(-1*(B4080-C4080)/(Utilities!$B$11*IterData!H4080)))</f>
        <v>1</v>
      </c>
    </row>
    <row r="4081" spans="8:11" x14ac:dyDescent="0.3">
      <c r="H4081">
        <v>0.5</v>
      </c>
      <c r="I4081" s="11">
        <f t="shared" si="63"/>
        <v>0</v>
      </c>
      <c r="J4081" s="11">
        <f>1/(H4081*Utilities!$B$11)</f>
        <v>8</v>
      </c>
      <c r="K4081" s="11">
        <f>IF(B4081&lt;C4081,1,EXP(-1*(B4081-C4081)/(Utilities!$B$11*IterData!H4081)))</f>
        <v>1</v>
      </c>
    </row>
    <row r="4082" spans="8:11" x14ac:dyDescent="0.3">
      <c r="H4082">
        <v>0.5</v>
      </c>
      <c r="I4082" s="11">
        <f t="shared" si="63"/>
        <v>0</v>
      </c>
      <c r="J4082" s="11">
        <f>1/(H4082*Utilities!$B$11)</f>
        <v>8</v>
      </c>
      <c r="K4082" s="11">
        <f>IF(B4082&lt;C4082,1,EXP(-1*(B4082-C4082)/(Utilities!$B$11*IterData!H4082)))</f>
        <v>1</v>
      </c>
    </row>
    <row r="4083" spans="8:11" x14ac:dyDescent="0.3">
      <c r="H4083">
        <v>0.5</v>
      </c>
      <c r="I4083" s="11">
        <f t="shared" si="63"/>
        <v>0</v>
      </c>
      <c r="J4083" s="11">
        <f>1/(H4083*Utilities!$B$11)</f>
        <v>8</v>
      </c>
      <c r="K4083" s="11">
        <f>IF(B4083&lt;C4083,1,EXP(-1*(B4083-C4083)/(Utilities!$B$11*IterData!H4083)))</f>
        <v>1</v>
      </c>
    </row>
    <row r="4084" spans="8:11" x14ac:dyDescent="0.3">
      <c r="H4084">
        <v>0.5</v>
      </c>
      <c r="I4084" s="11">
        <f t="shared" si="63"/>
        <v>0</v>
      </c>
      <c r="J4084" s="11">
        <f>1/(H4084*Utilities!$B$11)</f>
        <v>8</v>
      </c>
      <c r="K4084" s="11">
        <f>IF(B4084&lt;C4084,1,EXP(-1*(B4084-C4084)/(Utilities!$B$11*IterData!H4084)))</f>
        <v>1</v>
      </c>
    </row>
    <row r="4085" spans="8:11" x14ac:dyDescent="0.3">
      <c r="H4085">
        <v>0.5</v>
      </c>
      <c r="I4085" s="11">
        <f t="shared" si="63"/>
        <v>0</v>
      </c>
      <c r="J4085" s="11">
        <f>1/(H4085*Utilities!$B$11)</f>
        <v>8</v>
      </c>
      <c r="K4085" s="11">
        <f>IF(B4085&lt;C4085,1,EXP(-1*(B4085-C4085)/(Utilities!$B$11*IterData!H4085)))</f>
        <v>1</v>
      </c>
    </row>
    <row r="4086" spans="8:11" x14ac:dyDescent="0.3">
      <c r="H4086">
        <v>0.5</v>
      </c>
      <c r="I4086" s="11">
        <f t="shared" si="63"/>
        <v>0</v>
      </c>
      <c r="J4086" s="11">
        <f>1/(H4086*Utilities!$B$11)</f>
        <v>8</v>
      </c>
      <c r="K4086" s="11">
        <f>IF(B4086&lt;C4086,1,EXP(-1*(B4086-C4086)/(Utilities!$B$11*IterData!H4086)))</f>
        <v>1</v>
      </c>
    </row>
    <row r="4087" spans="8:11" x14ac:dyDescent="0.3">
      <c r="H4087">
        <v>0.5</v>
      </c>
      <c r="I4087" s="11">
        <f t="shared" si="63"/>
        <v>0</v>
      </c>
      <c r="J4087" s="11">
        <f>1/(H4087*Utilities!$B$11)</f>
        <v>8</v>
      </c>
      <c r="K4087" s="11">
        <f>IF(B4087&lt;C4087,1,EXP(-1*(B4087-C4087)/(Utilities!$B$11*IterData!H4087)))</f>
        <v>1</v>
      </c>
    </row>
    <row r="4088" spans="8:11" x14ac:dyDescent="0.3">
      <c r="H4088">
        <v>0.5</v>
      </c>
      <c r="I4088" s="11">
        <f t="shared" si="63"/>
        <v>0</v>
      </c>
      <c r="J4088" s="11">
        <f>1/(H4088*Utilities!$B$11)</f>
        <v>8</v>
      </c>
      <c r="K4088" s="11">
        <f>IF(B4088&lt;C4088,1,EXP(-1*(B4088-C4088)/(Utilities!$B$11*IterData!H4088)))</f>
        <v>1</v>
      </c>
    </row>
    <row r="4089" spans="8:11" x14ac:dyDescent="0.3">
      <c r="H4089">
        <v>0.5</v>
      </c>
      <c r="I4089" s="11">
        <f t="shared" si="63"/>
        <v>0</v>
      </c>
      <c r="J4089" s="11">
        <f>1/(H4089*Utilities!$B$11)</f>
        <v>8</v>
      </c>
      <c r="K4089" s="11">
        <f>IF(B4089&lt;C4089,1,EXP(-1*(B4089-C4089)/(Utilities!$B$11*IterData!H4089)))</f>
        <v>1</v>
      </c>
    </row>
    <row r="4090" spans="8:11" x14ac:dyDescent="0.3">
      <c r="H4090">
        <v>0.5</v>
      </c>
      <c r="I4090" s="11">
        <f t="shared" si="63"/>
        <v>0</v>
      </c>
      <c r="J4090" s="11">
        <f>1/(H4090*Utilities!$B$11)</f>
        <v>8</v>
      </c>
      <c r="K4090" s="11">
        <f>IF(B4090&lt;C4090,1,EXP(-1*(B4090-C4090)/(Utilities!$B$11*IterData!H4090)))</f>
        <v>1</v>
      </c>
    </row>
    <row r="4091" spans="8:11" x14ac:dyDescent="0.3">
      <c r="H4091">
        <v>0.5</v>
      </c>
      <c r="I4091" s="11">
        <f t="shared" si="63"/>
        <v>0</v>
      </c>
      <c r="J4091" s="11">
        <f>1/(H4091*Utilities!$B$11)</f>
        <v>8</v>
      </c>
      <c r="K4091" s="11">
        <f>IF(B4091&lt;C4091,1,EXP(-1*(B4091-C4091)/(Utilities!$B$11*IterData!H4091)))</f>
        <v>1</v>
      </c>
    </row>
    <row r="4092" spans="8:11" x14ac:dyDescent="0.3">
      <c r="H4092">
        <v>0.5</v>
      </c>
      <c r="I4092" s="11">
        <f t="shared" si="63"/>
        <v>0</v>
      </c>
      <c r="J4092" s="11">
        <f>1/(H4092*Utilities!$B$11)</f>
        <v>8</v>
      </c>
      <c r="K4092" s="11">
        <f>IF(B4092&lt;C4092,1,EXP(-1*(B4092-C4092)/(Utilities!$B$11*IterData!H4092)))</f>
        <v>1</v>
      </c>
    </row>
    <row r="4093" spans="8:11" x14ac:dyDescent="0.3">
      <c r="H4093">
        <v>0.5</v>
      </c>
      <c r="I4093" s="11">
        <f t="shared" si="63"/>
        <v>0</v>
      </c>
      <c r="J4093" s="11">
        <f>1/(H4093*Utilities!$B$11)</f>
        <v>8</v>
      </c>
      <c r="K4093" s="11">
        <f>IF(B4093&lt;C4093,1,EXP(-1*(B4093-C4093)/(Utilities!$B$11*IterData!H4093)))</f>
        <v>1</v>
      </c>
    </row>
    <row r="4094" spans="8:11" x14ac:dyDescent="0.3">
      <c r="H4094">
        <v>0.5</v>
      </c>
      <c r="I4094" s="11">
        <f t="shared" si="63"/>
        <v>0</v>
      </c>
      <c r="J4094" s="11">
        <f>1/(H4094*Utilities!$B$11)</f>
        <v>8</v>
      </c>
      <c r="K4094" s="11">
        <f>IF(B4094&lt;C4094,1,EXP(-1*(B4094-C4094)/(Utilities!$B$11*IterData!H4094)))</f>
        <v>1</v>
      </c>
    </row>
    <row r="4095" spans="8:11" x14ac:dyDescent="0.3">
      <c r="H4095">
        <v>0.5</v>
      </c>
      <c r="I4095" s="11">
        <f t="shared" si="63"/>
        <v>0</v>
      </c>
      <c r="J4095" s="11">
        <f>1/(H4095*Utilities!$B$11)</f>
        <v>8</v>
      </c>
      <c r="K4095" s="11">
        <f>IF(B4095&lt;C4095,1,EXP(-1*(B4095-C4095)/(Utilities!$B$11*IterData!H4095)))</f>
        <v>1</v>
      </c>
    </row>
    <row r="4096" spans="8:11" x14ac:dyDescent="0.3">
      <c r="H4096">
        <v>0.5</v>
      </c>
      <c r="I4096" s="11">
        <f t="shared" si="63"/>
        <v>0</v>
      </c>
      <c r="J4096" s="11">
        <f>1/(H4096*Utilities!$B$11)</f>
        <v>8</v>
      </c>
      <c r="K4096" s="11">
        <f>IF(B4096&lt;C4096,1,EXP(-1*(B4096-C4096)/(Utilities!$B$11*IterData!H4096)))</f>
        <v>1</v>
      </c>
    </row>
    <row r="4097" spans="8:11" x14ac:dyDescent="0.3">
      <c r="H4097">
        <v>0.5</v>
      </c>
      <c r="I4097" s="11">
        <f t="shared" si="63"/>
        <v>0</v>
      </c>
      <c r="J4097" s="11">
        <f>1/(H4097*Utilities!$B$11)</f>
        <v>8</v>
      </c>
      <c r="K4097" s="11">
        <f>IF(B4097&lt;C4097,1,EXP(-1*(B4097-C4097)/(Utilities!$B$11*IterData!H4097)))</f>
        <v>1</v>
      </c>
    </row>
    <row r="4098" spans="8:11" x14ac:dyDescent="0.3">
      <c r="H4098">
        <v>0.5</v>
      </c>
      <c r="I4098" s="11">
        <f t="shared" si="63"/>
        <v>0</v>
      </c>
      <c r="J4098" s="11">
        <f>1/(H4098*Utilities!$B$11)</f>
        <v>8</v>
      </c>
      <c r="K4098" s="11">
        <f>IF(B4098&lt;C4098,1,EXP(-1*(B4098-C4098)/(Utilities!$B$11*IterData!H4098)))</f>
        <v>1</v>
      </c>
    </row>
    <row r="4099" spans="8:11" x14ac:dyDescent="0.3">
      <c r="H4099">
        <v>0.5</v>
      </c>
      <c r="I4099" s="11">
        <f t="shared" ref="I4099:I4162" si="64">B4099-C4099</f>
        <v>0</v>
      </c>
      <c r="J4099" s="11">
        <f>1/(H4099*Utilities!$B$11)</f>
        <v>8</v>
      </c>
      <c r="K4099" s="11">
        <f>IF(B4099&lt;C4099,1,EXP(-1*(B4099-C4099)/(Utilities!$B$11*IterData!H4099)))</f>
        <v>1</v>
      </c>
    </row>
    <row r="4100" spans="8:11" x14ac:dyDescent="0.3">
      <c r="H4100">
        <v>0.5</v>
      </c>
      <c r="I4100" s="11">
        <f t="shared" si="64"/>
        <v>0</v>
      </c>
      <c r="J4100" s="11">
        <f>1/(H4100*Utilities!$B$11)</f>
        <v>8</v>
      </c>
      <c r="K4100" s="11">
        <f>IF(B4100&lt;C4100,1,EXP(-1*(B4100-C4100)/(Utilities!$B$11*IterData!H4100)))</f>
        <v>1</v>
      </c>
    </row>
    <row r="4101" spans="8:11" x14ac:dyDescent="0.3">
      <c r="H4101">
        <v>0.5</v>
      </c>
      <c r="I4101" s="11">
        <f t="shared" si="64"/>
        <v>0</v>
      </c>
      <c r="J4101" s="11">
        <f>1/(H4101*Utilities!$B$11)</f>
        <v>8</v>
      </c>
      <c r="K4101" s="11">
        <f>IF(B4101&lt;C4101,1,EXP(-1*(B4101-C4101)/(Utilities!$B$11*IterData!H4101)))</f>
        <v>1</v>
      </c>
    </row>
    <row r="4102" spans="8:11" x14ac:dyDescent="0.3">
      <c r="H4102">
        <v>0.5</v>
      </c>
      <c r="I4102" s="11">
        <f t="shared" si="64"/>
        <v>0</v>
      </c>
      <c r="J4102" s="11">
        <f>1/(H4102*Utilities!$B$11)</f>
        <v>8</v>
      </c>
      <c r="K4102" s="11">
        <f>IF(B4102&lt;C4102,1,EXP(-1*(B4102-C4102)/(Utilities!$B$11*IterData!H4102)))</f>
        <v>1</v>
      </c>
    </row>
    <row r="4103" spans="8:11" x14ac:dyDescent="0.3">
      <c r="H4103">
        <v>0.5</v>
      </c>
      <c r="I4103" s="11">
        <f t="shared" si="64"/>
        <v>0</v>
      </c>
      <c r="J4103" s="11">
        <f>1/(H4103*Utilities!$B$11)</f>
        <v>8</v>
      </c>
      <c r="K4103" s="11">
        <f>IF(B4103&lt;C4103,1,EXP(-1*(B4103-C4103)/(Utilities!$B$11*IterData!H4103)))</f>
        <v>1</v>
      </c>
    </row>
    <row r="4104" spans="8:11" x14ac:dyDescent="0.3">
      <c r="H4104">
        <v>0.5</v>
      </c>
      <c r="I4104" s="11">
        <f t="shared" si="64"/>
        <v>0</v>
      </c>
      <c r="J4104" s="11">
        <f>1/(H4104*Utilities!$B$11)</f>
        <v>8</v>
      </c>
      <c r="K4104" s="11">
        <f>IF(B4104&lt;C4104,1,EXP(-1*(B4104-C4104)/(Utilities!$B$11*IterData!H4104)))</f>
        <v>1</v>
      </c>
    </row>
    <row r="4105" spans="8:11" x14ac:dyDescent="0.3">
      <c r="H4105">
        <v>0.5</v>
      </c>
      <c r="I4105" s="11">
        <f t="shared" si="64"/>
        <v>0</v>
      </c>
      <c r="J4105" s="11">
        <f>1/(H4105*Utilities!$B$11)</f>
        <v>8</v>
      </c>
      <c r="K4105" s="11">
        <f>IF(B4105&lt;C4105,1,EXP(-1*(B4105-C4105)/(Utilities!$B$11*IterData!H4105)))</f>
        <v>1</v>
      </c>
    </row>
    <row r="4106" spans="8:11" x14ac:dyDescent="0.3">
      <c r="H4106">
        <v>0.5</v>
      </c>
      <c r="I4106" s="11">
        <f t="shared" si="64"/>
        <v>0</v>
      </c>
      <c r="J4106" s="11">
        <f>1/(H4106*Utilities!$B$11)</f>
        <v>8</v>
      </c>
      <c r="K4106" s="11">
        <f>IF(B4106&lt;C4106,1,EXP(-1*(B4106-C4106)/(Utilities!$B$11*IterData!H4106)))</f>
        <v>1</v>
      </c>
    </row>
    <row r="4107" spans="8:11" x14ac:dyDescent="0.3">
      <c r="H4107">
        <v>0.5</v>
      </c>
      <c r="I4107" s="11">
        <f t="shared" si="64"/>
        <v>0</v>
      </c>
      <c r="J4107" s="11">
        <f>1/(H4107*Utilities!$B$11)</f>
        <v>8</v>
      </c>
      <c r="K4107" s="11">
        <f>IF(B4107&lt;C4107,1,EXP(-1*(B4107-C4107)/(Utilities!$B$11*IterData!H4107)))</f>
        <v>1</v>
      </c>
    </row>
    <row r="4108" spans="8:11" x14ac:dyDescent="0.3">
      <c r="H4108">
        <v>0.5</v>
      </c>
      <c r="I4108" s="11">
        <f t="shared" si="64"/>
        <v>0</v>
      </c>
      <c r="J4108" s="11">
        <f>1/(H4108*Utilities!$B$11)</f>
        <v>8</v>
      </c>
      <c r="K4108" s="11">
        <f>IF(B4108&lt;C4108,1,EXP(-1*(B4108-C4108)/(Utilities!$B$11*IterData!H4108)))</f>
        <v>1</v>
      </c>
    </row>
    <row r="4109" spans="8:11" x14ac:dyDescent="0.3">
      <c r="H4109">
        <v>0.5</v>
      </c>
      <c r="I4109" s="11">
        <f t="shared" si="64"/>
        <v>0</v>
      </c>
      <c r="J4109" s="11">
        <f>1/(H4109*Utilities!$B$11)</f>
        <v>8</v>
      </c>
      <c r="K4109" s="11">
        <f>IF(B4109&lt;C4109,1,EXP(-1*(B4109-C4109)/(Utilities!$B$11*IterData!H4109)))</f>
        <v>1</v>
      </c>
    </row>
    <row r="4110" spans="8:11" x14ac:dyDescent="0.3">
      <c r="H4110">
        <v>0.5</v>
      </c>
      <c r="I4110" s="11">
        <f t="shared" si="64"/>
        <v>0</v>
      </c>
      <c r="J4110" s="11">
        <f>1/(H4110*Utilities!$B$11)</f>
        <v>8</v>
      </c>
      <c r="K4110" s="11">
        <f>IF(B4110&lt;C4110,1,EXP(-1*(B4110-C4110)/(Utilities!$B$11*IterData!H4110)))</f>
        <v>1</v>
      </c>
    </row>
    <row r="4111" spans="8:11" x14ac:dyDescent="0.3">
      <c r="H4111">
        <v>0.5</v>
      </c>
      <c r="I4111" s="11">
        <f t="shared" si="64"/>
        <v>0</v>
      </c>
      <c r="J4111" s="11">
        <f>1/(H4111*Utilities!$B$11)</f>
        <v>8</v>
      </c>
      <c r="K4111" s="11">
        <f>IF(B4111&lt;C4111,1,EXP(-1*(B4111-C4111)/(Utilities!$B$11*IterData!H4111)))</f>
        <v>1</v>
      </c>
    </row>
    <row r="4112" spans="8:11" x14ac:dyDescent="0.3">
      <c r="H4112">
        <v>0.5</v>
      </c>
      <c r="I4112" s="11">
        <f t="shared" si="64"/>
        <v>0</v>
      </c>
      <c r="J4112" s="11">
        <f>1/(H4112*Utilities!$B$11)</f>
        <v>8</v>
      </c>
      <c r="K4112" s="11">
        <f>IF(B4112&lt;C4112,1,EXP(-1*(B4112-C4112)/(Utilities!$B$11*IterData!H4112)))</f>
        <v>1</v>
      </c>
    </row>
    <row r="4113" spans="8:11" x14ac:dyDescent="0.3">
      <c r="H4113">
        <v>0.5</v>
      </c>
      <c r="I4113" s="11">
        <f t="shared" si="64"/>
        <v>0</v>
      </c>
      <c r="J4113" s="11">
        <f>1/(H4113*Utilities!$B$11)</f>
        <v>8</v>
      </c>
      <c r="K4113" s="11">
        <f>IF(B4113&lt;C4113,1,EXP(-1*(B4113-C4113)/(Utilities!$B$11*IterData!H4113)))</f>
        <v>1</v>
      </c>
    </row>
    <row r="4114" spans="8:11" x14ac:dyDescent="0.3">
      <c r="H4114">
        <v>0.5</v>
      </c>
      <c r="I4114" s="11">
        <f t="shared" si="64"/>
        <v>0</v>
      </c>
      <c r="J4114" s="11">
        <f>1/(H4114*Utilities!$B$11)</f>
        <v>8</v>
      </c>
      <c r="K4114" s="11">
        <f>IF(B4114&lt;C4114,1,EXP(-1*(B4114-C4114)/(Utilities!$B$11*IterData!H4114)))</f>
        <v>1</v>
      </c>
    </row>
    <row r="4115" spans="8:11" x14ac:dyDescent="0.3">
      <c r="H4115">
        <v>0.5</v>
      </c>
      <c r="I4115" s="11">
        <f t="shared" si="64"/>
        <v>0</v>
      </c>
      <c r="J4115" s="11">
        <f>1/(H4115*Utilities!$B$11)</f>
        <v>8</v>
      </c>
      <c r="K4115" s="11">
        <f>IF(B4115&lt;C4115,1,EXP(-1*(B4115-C4115)/(Utilities!$B$11*IterData!H4115)))</f>
        <v>1</v>
      </c>
    </row>
    <row r="4116" spans="8:11" x14ac:dyDescent="0.3">
      <c r="H4116">
        <v>0.5</v>
      </c>
      <c r="I4116" s="11">
        <f t="shared" si="64"/>
        <v>0</v>
      </c>
      <c r="J4116" s="11">
        <f>1/(H4116*Utilities!$B$11)</f>
        <v>8</v>
      </c>
      <c r="K4116" s="11">
        <f>IF(B4116&lt;C4116,1,EXP(-1*(B4116-C4116)/(Utilities!$B$11*IterData!H4116)))</f>
        <v>1</v>
      </c>
    </row>
    <row r="4117" spans="8:11" x14ac:dyDescent="0.3">
      <c r="H4117">
        <v>0.5</v>
      </c>
      <c r="I4117" s="11">
        <f t="shared" si="64"/>
        <v>0</v>
      </c>
      <c r="J4117" s="11">
        <f>1/(H4117*Utilities!$B$11)</f>
        <v>8</v>
      </c>
      <c r="K4117" s="11">
        <f>IF(B4117&lt;C4117,1,EXP(-1*(B4117-C4117)/(Utilities!$B$11*IterData!H4117)))</f>
        <v>1</v>
      </c>
    </row>
    <row r="4118" spans="8:11" x14ac:dyDescent="0.3">
      <c r="H4118">
        <v>0.5</v>
      </c>
      <c r="I4118" s="11">
        <f t="shared" si="64"/>
        <v>0</v>
      </c>
      <c r="J4118" s="11">
        <f>1/(H4118*Utilities!$B$11)</f>
        <v>8</v>
      </c>
      <c r="K4118" s="11">
        <f>IF(B4118&lt;C4118,1,EXP(-1*(B4118-C4118)/(Utilities!$B$11*IterData!H4118)))</f>
        <v>1</v>
      </c>
    </row>
    <row r="4119" spans="8:11" x14ac:dyDescent="0.3">
      <c r="H4119">
        <v>0.5</v>
      </c>
      <c r="I4119" s="11">
        <f t="shared" si="64"/>
        <v>0</v>
      </c>
      <c r="J4119" s="11">
        <f>1/(H4119*Utilities!$B$11)</f>
        <v>8</v>
      </c>
      <c r="K4119" s="11">
        <f>IF(B4119&lt;C4119,1,EXP(-1*(B4119-C4119)/(Utilities!$B$11*IterData!H4119)))</f>
        <v>1</v>
      </c>
    </row>
    <row r="4120" spans="8:11" x14ac:dyDescent="0.3">
      <c r="H4120">
        <v>0.5</v>
      </c>
      <c r="I4120" s="11">
        <f t="shared" si="64"/>
        <v>0</v>
      </c>
      <c r="J4120" s="11">
        <f>1/(H4120*Utilities!$B$11)</f>
        <v>8</v>
      </c>
      <c r="K4120" s="11">
        <f>IF(B4120&lt;C4120,1,EXP(-1*(B4120-C4120)/(Utilities!$B$11*IterData!H4120)))</f>
        <v>1</v>
      </c>
    </row>
    <row r="4121" spans="8:11" x14ac:dyDescent="0.3">
      <c r="H4121">
        <v>0.5</v>
      </c>
      <c r="I4121" s="11">
        <f t="shared" si="64"/>
        <v>0</v>
      </c>
      <c r="J4121" s="11">
        <f>1/(H4121*Utilities!$B$11)</f>
        <v>8</v>
      </c>
      <c r="K4121" s="11">
        <f>IF(B4121&lt;C4121,1,EXP(-1*(B4121-C4121)/(Utilities!$B$11*IterData!H4121)))</f>
        <v>1</v>
      </c>
    </row>
    <row r="4122" spans="8:11" x14ac:dyDescent="0.3">
      <c r="H4122">
        <v>0.5</v>
      </c>
      <c r="I4122" s="11">
        <f t="shared" si="64"/>
        <v>0</v>
      </c>
      <c r="J4122" s="11">
        <f>1/(H4122*Utilities!$B$11)</f>
        <v>8</v>
      </c>
      <c r="K4122" s="11">
        <f>IF(B4122&lt;C4122,1,EXP(-1*(B4122-C4122)/(Utilities!$B$11*IterData!H4122)))</f>
        <v>1</v>
      </c>
    </row>
    <row r="4123" spans="8:11" x14ac:dyDescent="0.3">
      <c r="H4123">
        <v>0.5</v>
      </c>
      <c r="I4123" s="11">
        <f t="shared" si="64"/>
        <v>0</v>
      </c>
      <c r="J4123" s="11">
        <f>1/(H4123*Utilities!$B$11)</f>
        <v>8</v>
      </c>
      <c r="K4123" s="11">
        <f>IF(B4123&lt;C4123,1,EXP(-1*(B4123-C4123)/(Utilities!$B$11*IterData!H4123)))</f>
        <v>1</v>
      </c>
    </row>
    <row r="4124" spans="8:11" x14ac:dyDescent="0.3">
      <c r="H4124">
        <v>0.5</v>
      </c>
      <c r="I4124" s="11">
        <f t="shared" si="64"/>
        <v>0</v>
      </c>
      <c r="J4124" s="11">
        <f>1/(H4124*Utilities!$B$11)</f>
        <v>8</v>
      </c>
      <c r="K4124" s="11">
        <f>IF(B4124&lt;C4124,1,EXP(-1*(B4124-C4124)/(Utilities!$B$11*IterData!H4124)))</f>
        <v>1</v>
      </c>
    </row>
    <row r="4125" spans="8:11" x14ac:dyDescent="0.3">
      <c r="H4125">
        <v>0.5</v>
      </c>
      <c r="I4125" s="11">
        <f t="shared" si="64"/>
        <v>0</v>
      </c>
      <c r="J4125" s="11">
        <f>1/(H4125*Utilities!$B$11)</f>
        <v>8</v>
      </c>
      <c r="K4125" s="11">
        <f>IF(B4125&lt;C4125,1,EXP(-1*(B4125-C4125)/(Utilities!$B$11*IterData!H4125)))</f>
        <v>1</v>
      </c>
    </row>
    <row r="4126" spans="8:11" x14ac:dyDescent="0.3">
      <c r="H4126">
        <v>0.5</v>
      </c>
      <c r="I4126" s="11">
        <f t="shared" si="64"/>
        <v>0</v>
      </c>
      <c r="J4126" s="11">
        <f>1/(H4126*Utilities!$B$11)</f>
        <v>8</v>
      </c>
      <c r="K4126" s="11">
        <f>IF(B4126&lt;C4126,1,EXP(-1*(B4126-C4126)/(Utilities!$B$11*IterData!H4126)))</f>
        <v>1</v>
      </c>
    </row>
    <row r="4127" spans="8:11" x14ac:dyDescent="0.3">
      <c r="H4127">
        <v>0.5</v>
      </c>
      <c r="I4127" s="11">
        <f t="shared" si="64"/>
        <v>0</v>
      </c>
      <c r="J4127" s="11">
        <f>1/(H4127*Utilities!$B$11)</f>
        <v>8</v>
      </c>
      <c r="K4127" s="11">
        <f>IF(B4127&lt;C4127,1,EXP(-1*(B4127-C4127)/(Utilities!$B$11*IterData!H4127)))</f>
        <v>1</v>
      </c>
    </row>
    <row r="4128" spans="8:11" x14ac:dyDescent="0.3">
      <c r="H4128">
        <v>0.5</v>
      </c>
      <c r="I4128" s="11">
        <f t="shared" si="64"/>
        <v>0</v>
      </c>
      <c r="J4128" s="11">
        <f>1/(H4128*Utilities!$B$11)</f>
        <v>8</v>
      </c>
      <c r="K4128" s="11">
        <f>IF(B4128&lt;C4128,1,EXP(-1*(B4128-C4128)/(Utilities!$B$11*IterData!H4128)))</f>
        <v>1</v>
      </c>
    </row>
    <row r="4129" spans="8:11" x14ac:dyDescent="0.3">
      <c r="H4129">
        <v>0.5</v>
      </c>
      <c r="I4129" s="11">
        <f t="shared" si="64"/>
        <v>0</v>
      </c>
      <c r="J4129" s="11">
        <f>1/(H4129*Utilities!$B$11)</f>
        <v>8</v>
      </c>
      <c r="K4129" s="11">
        <f>IF(B4129&lt;C4129,1,EXP(-1*(B4129-C4129)/(Utilities!$B$11*IterData!H4129)))</f>
        <v>1</v>
      </c>
    </row>
    <row r="4130" spans="8:11" x14ac:dyDescent="0.3">
      <c r="H4130">
        <v>0.5</v>
      </c>
      <c r="I4130" s="11">
        <f t="shared" si="64"/>
        <v>0</v>
      </c>
      <c r="J4130" s="11">
        <f>1/(H4130*Utilities!$B$11)</f>
        <v>8</v>
      </c>
      <c r="K4130" s="11">
        <f>IF(B4130&lt;C4130,1,EXP(-1*(B4130-C4130)/(Utilities!$B$11*IterData!H4130)))</f>
        <v>1</v>
      </c>
    </row>
    <row r="4131" spans="8:11" x14ac:dyDescent="0.3">
      <c r="H4131">
        <v>0.5</v>
      </c>
      <c r="I4131" s="11">
        <f t="shared" si="64"/>
        <v>0</v>
      </c>
      <c r="J4131" s="11">
        <f>1/(H4131*Utilities!$B$11)</f>
        <v>8</v>
      </c>
      <c r="K4131" s="11">
        <f>IF(B4131&lt;C4131,1,EXP(-1*(B4131-C4131)/(Utilities!$B$11*IterData!H4131)))</f>
        <v>1</v>
      </c>
    </row>
    <row r="4132" spans="8:11" x14ac:dyDescent="0.3">
      <c r="H4132">
        <v>0.5</v>
      </c>
      <c r="I4132" s="11">
        <f t="shared" si="64"/>
        <v>0</v>
      </c>
      <c r="J4132" s="11">
        <f>1/(H4132*Utilities!$B$11)</f>
        <v>8</v>
      </c>
      <c r="K4132" s="11">
        <f>IF(B4132&lt;C4132,1,EXP(-1*(B4132-C4132)/(Utilities!$B$11*IterData!H4132)))</f>
        <v>1</v>
      </c>
    </row>
    <row r="4133" spans="8:11" x14ac:dyDescent="0.3">
      <c r="H4133">
        <v>0.5</v>
      </c>
      <c r="I4133" s="11">
        <f t="shared" si="64"/>
        <v>0</v>
      </c>
      <c r="J4133" s="11">
        <f>1/(H4133*Utilities!$B$11)</f>
        <v>8</v>
      </c>
      <c r="K4133" s="11">
        <f>IF(B4133&lt;C4133,1,EXP(-1*(B4133-C4133)/(Utilities!$B$11*IterData!H4133)))</f>
        <v>1</v>
      </c>
    </row>
    <row r="4134" spans="8:11" x14ac:dyDescent="0.3">
      <c r="H4134">
        <v>0.5</v>
      </c>
      <c r="I4134" s="11">
        <f t="shared" si="64"/>
        <v>0</v>
      </c>
      <c r="J4134" s="11">
        <f>1/(H4134*Utilities!$B$11)</f>
        <v>8</v>
      </c>
      <c r="K4134" s="11">
        <f>IF(B4134&lt;C4134,1,EXP(-1*(B4134-C4134)/(Utilities!$B$11*IterData!H4134)))</f>
        <v>1</v>
      </c>
    </row>
    <row r="4135" spans="8:11" x14ac:dyDescent="0.3">
      <c r="H4135">
        <v>0.5</v>
      </c>
      <c r="I4135" s="11">
        <f t="shared" si="64"/>
        <v>0</v>
      </c>
      <c r="J4135" s="11">
        <f>1/(H4135*Utilities!$B$11)</f>
        <v>8</v>
      </c>
      <c r="K4135" s="11">
        <f>IF(B4135&lt;C4135,1,EXP(-1*(B4135-C4135)/(Utilities!$B$11*IterData!H4135)))</f>
        <v>1</v>
      </c>
    </row>
    <row r="4136" spans="8:11" x14ac:dyDescent="0.3">
      <c r="H4136">
        <v>0.5</v>
      </c>
      <c r="I4136" s="11">
        <f t="shared" si="64"/>
        <v>0</v>
      </c>
      <c r="J4136" s="11">
        <f>1/(H4136*Utilities!$B$11)</f>
        <v>8</v>
      </c>
      <c r="K4136" s="11">
        <f>IF(B4136&lt;C4136,1,EXP(-1*(B4136-C4136)/(Utilities!$B$11*IterData!H4136)))</f>
        <v>1</v>
      </c>
    </row>
    <row r="4137" spans="8:11" x14ac:dyDescent="0.3">
      <c r="H4137">
        <v>0.5</v>
      </c>
      <c r="I4137" s="11">
        <f t="shared" si="64"/>
        <v>0</v>
      </c>
      <c r="J4137" s="11">
        <f>1/(H4137*Utilities!$B$11)</f>
        <v>8</v>
      </c>
      <c r="K4137" s="11">
        <f>IF(B4137&lt;C4137,1,EXP(-1*(B4137-C4137)/(Utilities!$B$11*IterData!H4137)))</f>
        <v>1</v>
      </c>
    </row>
    <row r="4138" spans="8:11" x14ac:dyDescent="0.3">
      <c r="H4138">
        <v>0.5</v>
      </c>
      <c r="I4138" s="11">
        <f t="shared" si="64"/>
        <v>0</v>
      </c>
      <c r="J4138" s="11">
        <f>1/(H4138*Utilities!$B$11)</f>
        <v>8</v>
      </c>
      <c r="K4138" s="11">
        <f>IF(B4138&lt;C4138,1,EXP(-1*(B4138-C4138)/(Utilities!$B$11*IterData!H4138)))</f>
        <v>1</v>
      </c>
    </row>
    <row r="4139" spans="8:11" x14ac:dyDescent="0.3">
      <c r="H4139">
        <v>0.5</v>
      </c>
      <c r="I4139" s="11">
        <f t="shared" si="64"/>
        <v>0</v>
      </c>
      <c r="J4139" s="11">
        <f>1/(H4139*Utilities!$B$11)</f>
        <v>8</v>
      </c>
      <c r="K4139" s="11">
        <f>IF(B4139&lt;C4139,1,EXP(-1*(B4139-C4139)/(Utilities!$B$11*IterData!H4139)))</f>
        <v>1</v>
      </c>
    </row>
    <row r="4140" spans="8:11" x14ac:dyDescent="0.3">
      <c r="H4140">
        <v>0.5</v>
      </c>
      <c r="I4140" s="11">
        <f t="shared" si="64"/>
        <v>0</v>
      </c>
      <c r="J4140" s="11">
        <f>1/(H4140*Utilities!$B$11)</f>
        <v>8</v>
      </c>
      <c r="K4140" s="11">
        <f>IF(B4140&lt;C4140,1,EXP(-1*(B4140-C4140)/(Utilities!$B$11*IterData!H4140)))</f>
        <v>1</v>
      </c>
    </row>
    <row r="4141" spans="8:11" x14ac:dyDescent="0.3">
      <c r="H4141">
        <v>0.5</v>
      </c>
      <c r="I4141" s="11">
        <f t="shared" si="64"/>
        <v>0</v>
      </c>
      <c r="J4141" s="11">
        <f>1/(H4141*Utilities!$B$11)</f>
        <v>8</v>
      </c>
      <c r="K4141" s="11">
        <f>IF(B4141&lt;C4141,1,EXP(-1*(B4141-C4141)/(Utilities!$B$11*IterData!H4141)))</f>
        <v>1</v>
      </c>
    </row>
    <row r="4142" spans="8:11" x14ac:dyDescent="0.3">
      <c r="H4142">
        <v>0.5</v>
      </c>
      <c r="I4142" s="11">
        <f t="shared" si="64"/>
        <v>0</v>
      </c>
      <c r="J4142" s="11">
        <f>1/(H4142*Utilities!$B$11)</f>
        <v>8</v>
      </c>
      <c r="K4142" s="11">
        <f>IF(B4142&lt;C4142,1,EXP(-1*(B4142-C4142)/(Utilities!$B$11*IterData!H4142)))</f>
        <v>1</v>
      </c>
    </row>
    <row r="4143" spans="8:11" x14ac:dyDescent="0.3">
      <c r="H4143">
        <v>0.5</v>
      </c>
      <c r="I4143" s="11">
        <f t="shared" si="64"/>
        <v>0</v>
      </c>
      <c r="J4143" s="11">
        <f>1/(H4143*Utilities!$B$11)</f>
        <v>8</v>
      </c>
      <c r="K4143" s="11">
        <f>IF(B4143&lt;C4143,1,EXP(-1*(B4143-C4143)/(Utilities!$B$11*IterData!H4143)))</f>
        <v>1</v>
      </c>
    </row>
    <row r="4144" spans="8:11" x14ac:dyDescent="0.3">
      <c r="H4144">
        <v>0.5</v>
      </c>
      <c r="I4144" s="11">
        <f t="shared" si="64"/>
        <v>0</v>
      </c>
      <c r="J4144" s="11">
        <f>1/(H4144*Utilities!$B$11)</f>
        <v>8</v>
      </c>
      <c r="K4144" s="11">
        <f>IF(B4144&lt;C4144,1,EXP(-1*(B4144-C4144)/(Utilities!$B$11*IterData!H4144)))</f>
        <v>1</v>
      </c>
    </row>
    <row r="4145" spans="8:11" x14ac:dyDescent="0.3">
      <c r="H4145">
        <v>0.5</v>
      </c>
      <c r="I4145" s="11">
        <f t="shared" si="64"/>
        <v>0</v>
      </c>
      <c r="J4145" s="11">
        <f>1/(H4145*Utilities!$B$11)</f>
        <v>8</v>
      </c>
      <c r="K4145" s="11">
        <f>IF(B4145&lt;C4145,1,EXP(-1*(B4145-C4145)/(Utilities!$B$11*IterData!H4145)))</f>
        <v>1</v>
      </c>
    </row>
    <row r="4146" spans="8:11" x14ac:dyDescent="0.3">
      <c r="H4146">
        <v>0.5</v>
      </c>
      <c r="I4146" s="11">
        <f t="shared" si="64"/>
        <v>0</v>
      </c>
      <c r="J4146" s="11">
        <f>1/(H4146*Utilities!$B$11)</f>
        <v>8</v>
      </c>
      <c r="K4146" s="11">
        <f>IF(B4146&lt;C4146,1,EXP(-1*(B4146-C4146)/(Utilities!$B$11*IterData!H4146)))</f>
        <v>1</v>
      </c>
    </row>
    <row r="4147" spans="8:11" x14ac:dyDescent="0.3">
      <c r="H4147">
        <v>0.5</v>
      </c>
      <c r="I4147" s="11">
        <f t="shared" si="64"/>
        <v>0</v>
      </c>
      <c r="J4147" s="11">
        <f>1/(H4147*Utilities!$B$11)</f>
        <v>8</v>
      </c>
      <c r="K4147" s="11">
        <f>IF(B4147&lt;C4147,1,EXP(-1*(B4147-C4147)/(Utilities!$B$11*IterData!H4147)))</f>
        <v>1</v>
      </c>
    </row>
    <row r="4148" spans="8:11" x14ac:dyDescent="0.3">
      <c r="H4148">
        <v>0.5</v>
      </c>
      <c r="I4148" s="11">
        <f t="shared" si="64"/>
        <v>0</v>
      </c>
      <c r="J4148" s="11">
        <f>1/(H4148*Utilities!$B$11)</f>
        <v>8</v>
      </c>
      <c r="K4148" s="11">
        <f>IF(B4148&lt;C4148,1,EXP(-1*(B4148-C4148)/(Utilities!$B$11*IterData!H4148)))</f>
        <v>1</v>
      </c>
    </row>
    <row r="4149" spans="8:11" x14ac:dyDescent="0.3">
      <c r="H4149">
        <v>0.5</v>
      </c>
      <c r="I4149" s="11">
        <f t="shared" si="64"/>
        <v>0</v>
      </c>
      <c r="J4149" s="11">
        <f>1/(H4149*Utilities!$B$11)</f>
        <v>8</v>
      </c>
      <c r="K4149" s="11">
        <f>IF(B4149&lt;C4149,1,EXP(-1*(B4149-C4149)/(Utilities!$B$11*IterData!H4149)))</f>
        <v>1</v>
      </c>
    </row>
    <row r="4150" spans="8:11" x14ac:dyDescent="0.3">
      <c r="H4150">
        <v>0.5</v>
      </c>
      <c r="I4150" s="11">
        <f t="shared" si="64"/>
        <v>0</v>
      </c>
      <c r="J4150" s="11">
        <f>1/(H4150*Utilities!$B$11)</f>
        <v>8</v>
      </c>
      <c r="K4150" s="11">
        <f>IF(B4150&lt;C4150,1,EXP(-1*(B4150-C4150)/(Utilities!$B$11*IterData!H4150)))</f>
        <v>1</v>
      </c>
    </row>
    <row r="4151" spans="8:11" x14ac:dyDescent="0.3">
      <c r="H4151">
        <v>0.5</v>
      </c>
      <c r="I4151" s="11">
        <f t="shared" si="64"/>
        <v>0</v>
      </c>
      <c r="J4151" s="11">
        <f>1/(H4151*Utilities!$B$11)</f>
        <v>8</v>
      </c>
      <c r="K4151" s="11">
        <f>IF(B4151&lt;C4151,1,EXP(-1*(B4151-C4151)/(Utilities!$B$11*IterData!H4151)))</f>
        <v>1</v>
      </c>
    </row>
    <row r="4152" spans="8:11" x14ac:dyDescent="0.3">
      <c r="H4152">
        <v>0.5</v>
      </c>
      <c r="I4152" s="11">
        <f t="shared" si="64"/>
        <v>0</v>
      </c>
      <c r="J4152" s="11">
        <f>1/(H4152*Utilities!$B$11)</f>
        <v>8</v>
      </c>
      <c r="K4152" s="11">
        <f>IF(B4152&lt;C4152,1,EXP(-1*(B4152-C4152)/(Utilities!$B$11*IterData!H4152)))</f>
        <v>1</v>
      </c>
    </row>
    <row r="4153" spans="8:11" x14ac:dyDescent="0.3">
      <c r="H4153">
        <v>0.5</v>
      </c>
      <c r="I4153" s="11">
        <f t="shared" si="64"/>
        <v>0</v>
      </c>
      <c r="J4153" s="11">
        <f>1/(H4153*Utilities!$B$11)</f>
        <v>8</v>
      </c>
      <c r="K4153" s="11">
        <f>IF(B4153&lt;C4153,1,EXP(-1*(B4153-C4153)/(Utilities!$B$11*IterData!H4153)))</f>
        <v>1</v>
      </c>
    </row>
    <row r="4154" spans="8:11" x14ac:dyDescent="0.3">
      <c r="H4154">
        <v>0.5</v>
      </c>
      <c r="I4154" s="11">
        <f t="shared" si="64"/>
        <v>0</v>
      </c>
      <c r="J4154" s="11">
        <f>1/(H4154*Utilities!$B$11)</f>
        <v>8</v>
      </c>
      <c r="K4154" s="11">
        <f>IF(B4154&lt;C4154,1,EXP(-1*(B4154-C4154)/(Utilities!$B$11*IterData!H4154)))</f>
        <v>1</v>
      </c>
    </row>
    <row r="4155" spans="8:11" x14ac:dyDescent="0.3">
      <c r="H4155">
        <v>0.5</v>
      </c>
      <c r="I4155" s="11">
        <f t="shared" si="64"/>
        <v>0</v>
      </c>
      <c r="J4155" s="11">
        <f>1/(H4155*Utilities!$B$11)</f>
        <v>8</v>
      </c>
      <c r="K4155" s="11">
        <f>IF(B4155&lt;C4155,1,EXP(-1*(B4155-C4155)/(Utilities!$B$11*IterData!H4155)))</f>
        <v>1</v>
      </c>
    </row>
    <row r="4156" spans="8:11" x14ac:dyDescent="0.3">
      <c r="H4156">
        <v>0.5</v>
      </c>
      <c r="I4156" s="11">
        <f t="shared" si="64"/>
        <v>0</v>
      </c>
      <c r="J4156" s="11">
        <f>1/(H4156*Utilities!$B$11)</f>
        <v>8</v>
      </c>
      <c r="K4156" s="11">
        <f>IF(B4156&lt;C4156,1,EXP(-1*(B4156-C4156)/(Utilities!$B$11*IterData!H4156)))</f>
        <v>1</v>
      </c>
    </row>
    <row r="4157" spans="8:11" x14ac:dyDescent="0.3">
      <c r="H4157">
        <v>0.5</v>
      </c>
      <c r="I4157" s="11">
        <f t="shared" si="64"/>
        <v>0</v>
      </c>
      <c r="J4157" s="11">
        <f>1/(H4157*Utilities!$B$11)</f>
        <v>8</v>
      </c>
      <c r="K4157" s="11">
        <f>IF(B4157&lt;C4157,1,EXP(-1*(B4157-C4157)/(Utilities!$B$11*IterData!H4157)))</f>
        <v>1</v>
      </c>
    </row>
    <row r="4158" spans="8:11" x14ac:dyDescent="0.3">
      <c r="H4158">
        <v>0.5</v>
      </c>
      <c r="I4158" s="11">
        <f t="shared" si="64"/>
        <v>0</v>
      </c>
      <c r="J4158" s="11">
        <f>1/(H4158*Utilities!$B$11)</f>
        <v>8</v>
      </c>
      <c r="K4158" s="11">
        <f>IF(B4158&lt;C4158,1,EXP(-1*(B4158-C4158)/(Utilities!$B$11*IterData!H4158)))</f>
        <v>1</v>
      </c>
    </row>
    <row r="4159" spans="8:11" x14ac:dyDescent="0.3">
      <c r="H4159">
        <v>0.5</v>
      </c>
      <c r="I4159" s="11">
        <f t="shared" si="64"/>
        <v>0</v>
      </c>
      <c r="J4159" s="11">
        <f>1/(H4159*Utilities!$B$11)</f>
        <v>8</v>
      </c>
      <c r="K4159" s="11">
        <f>IF(B4159&lt;C4159,1,EXP(-1*(B4159-C4159)/(Utilities!$B$11*IterData!H4159)))</f>
        <v>1</v>
      </c>
    </row>
    <row r="4160" spans="8:11" x14ac:dyDescent="0.3">
      <c r="H4160">
        <v>0.5</v>
      </c>
      <c r="I4160" s="11">
        <f t="shared" si="64"/>
        <v>0</v>
      </c>
      <c r="J4160" s="11">
        <f>1/(H4160*Utilities!$B$11)</f>
        <v>8</v>
      </c>
      <c r="K4160" s="11">
        <f>IF(B4160&lt;C4160,1,EXP(-1*(B4160-C4160)/(Utilities!$B$11*IterData!H4160)))</f>
        <v>1</v>
      </c>
    </row>
    <row r="4161" spans="8:11" x14ac:dyDescent="0.3">
      <c r="H4161">
        <v>0.5</v>
      </c>
      <c r="I4161" s="11">
        <f t="shared" si="64"/>
        <v>0</v>
      </c>
      <c r="J4161" s="11">
        <f>1/(H4161*Utilities!$B$11)</f>
        <v>8</v>
      </c>
      <c r="K4161" s="11">
        <f>IF(B4161&lt;C4161,1,EXP(-1*(B4161-C4161)/(Utilities!$B$11*IterData!H4161)))</f>
        <v>1</v>
      </c>
    </row>
    <row r="4162" spans="8:11" x14ac:dyDescent="0.3">
      <c r="H4162">
        <v>0.5</v>
      </c>
      <c r="I4162" s="11">
        <f t="shared" si="64"/>
        <v>0</v>
      </c>
      <c r="J4162" s="11">
        <f>1/(H4162*Utilities!$B$11)</f>
        <v>8</v>
      </c>
      <c r="K4162" s="11">
        <f>IF(B4162&lt;C4162,1,EXP(-1*(B4162-C4162)/(Utilities!$B$11*IterData!H4162)))</f>
        <v>1</v>
      </c>
    </row>
    <row r="4163" spans="8:11" x14ac:dyDescent="0.3">
      <c r="H4163">
        <v>0.5</v>
      </c>
      <c r="I4163" s="11">
        <f t="shared" ref="I4163:I4226" si="65">B4163-C4163</f>
        <v>0</v>
      </c>
      <c r="J4163" s="11">
        <f>1/(H4163*Utilities!$B$11)</f>
        <v>8</v>
      </c>
      <c r="K4163" s="11">
        <f>IF(B4163&lt;C4163,1,EXP(-1*(B4163-C4163)/(Utilities!$B$11*IterData!H4163)))</f>
        <v>1</v>
      </c>
    </row>
    <row r="4164" spans="8:11" x14ac:dyDescent="0.3">
      <c r="H4164">
        <v>0.5</v>
      </c>
      <c r="I4164" s="11">
        <f t="shared" si="65"/>
        <v>0</v>
      </c>
      <c r="J4164" s="11">
        <f>1/(H4164*Utilities!$B$11)</f>
        <v>8</v>
      </c>
      <c r="K4164" s="11">
        <f>IF(B4164&lt;C4164,1,EXP(-1*(B4164-C4164)/(Utilities!$B$11*IterData!H4164)))</f>
        <v>1</v>
      </c>
    </row>
    <row r="4165" spans="8:11" x14ac:dyDescent="0.3">
      <c r="H4165">
        <v>0.5</v>
      </c>
      <c r="I4165" s="11">
        <f t="shared" si="65"/>
        <v>0</v>
      </c>
      <c r="J4165" s="11">
        <f>1/(H4165*Utilities!$B$11)</f>
        <v>8</v>
      </c>
      <c r="K4165" s="11">
        <f>IF(B4165&lt;C4165,1,EXP(-1*(B4165-C4165)/(Utilities!$B$11*IterData!H4165)))</f>
        <v>1</v>
      </c>
    </row>
    <row r="4166" spans="8:11" x14ac:dyDescent="0.3">
      <c r="H4166">
        <v>0.5</v>
      </c>
      <c r="I4166" s="11">
        <f t="shared" si="65"/>
        <v>0</v>
      </c>
      <c r="J4166" s="11">
        <f>1/(H4166*Utilities!$B$11)</f>
        <v>8</v>
      </c>
      <c r="K4166" s="11">
        <f>IF(B4166&lt;C4166,1,EXP(-1*(B4166-C4166)/(Utilities!$B$11*IterData!H4166)))</f>
        <v>1</v>
      </c>
    </row>
    <row r="4167" spans="8:11" x14ac:dyDescent="0.3">
      <c r="H4167">
        <v>0.5</v>
      </c>
      <c r="I4167" s="11">
        <f t="shared" si="65"/>
        <v>0</v>
      </c>
      <c r="J4167" s="11">
        <f>1/(H4167*Utilities!$B$11)</f>
        <v>8</v>
      </c>
      <c r="K4167" s="11">
        <f>IF(B4167&lt;C4167,1,EXP(-1*(B4167-C4167)/(Utilities!$B$11*IterData!H4167)))</f>
        <v>1</v>
      </c>
    </row>
    <row r="4168" spans="8:11" x14ac:dyDescent="0.3">
      <c r="H4168">
        <v>0.5</v>
      </c>
      <c r="I4168" s="11">
        <f t="shared" si="65"/>
        <v>0</v>
      </c>
      <c r="J4168" s="11">
        <f>1/(H4168*Utilities!$B$11)</f>
        <v>8</v>
      </c>
      <c r="K4168" s="11">
        <f>IF(B4168&lt;C4168,1,EXP(-1*(B4168-C4168)/(Utilities!$B$11*IterData!H4168)))</f>
        <v>1</v>
      </c>
    </row>
    <row r="4169" spans="8:11" x14ac:dyDescent="0.3">
      <c r="H4169">
        <v>0.5</v>
      </c>
      <c r="I4169" s="11">
        <f t="shared" si="65"/>
        <v>0</v>
      </c>
      <c r="J4169" s="11">
        <f>1/(H4169*Utilities!$B$11)</f>
        <v>8</v>
      </c>
      <c r="K4169" s="11">
        <f>IF(B4169&lt;C4169,1,EXP(-1*(B4169-C4169)/(Utilities!$B$11*IterData!H4169)))</f>
        <v>1</v>
      </c>
    </row>
    <row r="4170" spans="8:11" x14ac:dyDescent="0.3">
      <c r="H4170">
        <v>0.5</v>
      </c>
      <c r="I4170" s="11">
        <f t="shared" si="65"/>
        <v>0</v>
      </c>
      <c r="J4170" s="11">
        <f>1/(H4170*Utilities!$B$11)</f>
        <v>8</v>
      </c>
      <c r="K4170" s="11">
        <f>IF(B4170&lt;C4170,1,EXP(-1*(B4170-C4170)/(Utilities!$B$11*IterData!H4170)))</f>
        <v>1</v>
      </c>
    </row>
    <row r="4171" spans="8:11" x14ac:dyDescent="0.3">
      <c r="H4171">
        <v>0.5</v>
      </c>
      <c r="I4171" s="11">
        <f t="shared" si="65"/>
        <v>0</v>
      </c>
      <c r="J4171" s="11">
        <f>1/(H4171*Utilities!$B$11)</f>
        <v>8</v>
      </c>
      <c r="K4171" s="11">
        <f>IF(B4171&lt;C4171,1,EXP(-1*(B4171-C4171)/(Utilities!$B$11*IterData!H4171)))</f>
        <v>1</v>
      </c>
    </row>
    <row r="4172" spans="8:11" x14ac:dyDescent="0.3">
      <c r="H4172">
        <v>0.5</v>
      </c>
      <c r="I4172" s="11">
        <f t="shared" si="65"/>
        <v>0</v>
      </c>
      <c r="J4172" s="11">
        <f>1/(H4172*Utilities!$B$11)</f>
        <v>8</v>
      </c>
      <c r="K4172" s="11">
        <f>IF(B4172&lt;C4172,1,EXP(-1*(B4172-C4172)/(Utilities!$B$11*IterData!H4172)))</f>
        <v>1</v>
      </c>
    </row>
    <row r="4173" spans="8:11" x14ac:dyDescent="0.3">
      <c r="H4173">
        <v>0.5</v>
      </c>
      <c r="I4173" s="11">
        <f t="shared" si="65"/>
        <v>0</v>
      </c>
      <c r="J4173" s="11">
        <f>1/(H4173*Utilities!$B$11)</f>
        <v>8</v>
      </c>
      <c r="K4173" s="11">
        <f>IF(B4173&lt;C4173,1,EXP(-1*(B4173-C4173)/(Utilities!$B$11*IterData!H4173)))</f>
        <v>1</v>
      </c>
    </row>
    <row r="4174" spans="8:11" x14ac:dyDescent="0.3">
      <c r="H4174">
        <v>0.5</v>
      </c>
      <c r="I4174" s="11">
        <f t="shared" si="65"/>
        <v>0</v>
      </c>
      <c r="J4174" s="11">
        <f>1/(H4174*Utilities!$B$11)</f>
        <v>8</v>
      </c>
      <c r="K4174" s="11">
        <f>IF(B4174&lt;C4174,1,EXP(-1*(B4174-C4174)/(Utilities!$B$11*IterData!H4174)))</f>
        <v>1</v>
      </c>
    </row>
    <row r="4175" spans="8:11" x14ac:dyDescent="0.3">
      <c r="H4175">
        <v>0.5</v>
      </c>
      <c r="I4175" s="11">
        <f t="shared" si="65"/>
        <v>0</v>
      </c>
      <c r="J4175" s="11">
        <f>1/(H4175*Utilities!$B$11)</f>
        <v>8</v>
      </c>
      <c r="K4175" s="11">
        <f>IF(B4175&lt;C4175,1,EXP(-1*(B4175-C4175)/(Utilities!$B$11*IterData!H4175)))</f>
        <v>1</v>
      </c>
    </row>
    <row r="4176" spans="8:11" x14ac:dyDescent="0.3">
      <c r="H4176">
        <v>0.5</v>
      </c>
      <c r="I4176" s="11">
        <f t="shared" si="65"/>
        <v>0</v>
      </c>
      <c r="J4176" s="11">
        <f>1/(H4176*Utilities!$B$11)</f>
        <v>8</v>
      </c>
      <c r="K4176" s="11">
        <f>IF(B4176&lt;C4176,1,EXP(-1*(B4176-C4176)/(Utilities!$B$11*IterData!H4176)))</f>
        <v>1</v>
      </c>
    </row>
    <row r="4177" spans="8:11" x14ac:dyDescent="0.3">
      <c r="H4177">
        <v>0.5</v>
      </c>
      <c r="I4177" s="11">
        <f t="shared" si="65"/>
        <v>0</v>
      </c>
      <c r="J4177" s="11">
        <f>1/(H4177*Utilities!$B$11)</f>
        <v>8</v>
      </c>
      <c r="K4177" s="11">
        <f>IF(B4177&lt;C4177,1,EXP(-1*(B4177-C4177)/(Utilities!$B$11*IterData!H4177)))</f>
        <v>1</v>
      </c>
    </row>
    <row r="4178" spans="8:11" x14ac:dyDescent="0.3">
      <c r="H4178">
        <v>0.5</v>
      </c>
      <c r="I4178" s="11">
        <f t="shared" si="65"/>
        <v>0</v>
      </c>
      <c r="J4178" s="11">
        <f>1/(H4178*Utilities!$B$11)</f>
        <v>8</v>
      </c>
      <c r="K4178" s="11">
        <f>IF(B4178&lt;C4178,1,EXP(-1*(B4178-C4178)/(Utilities!$B$11*IterData!H4178)))</f>
        <v>1</v>
      </c>
    </row>
    <row r="4179" spans="8:11" x14ac:dyDescent="0.3">
      <c r="H4179">
        <v>0.5</v>
      </c>
      <c r="I4179" s="11">
        <f t="shared" si="65"/>
        <v>0</v>
      </c>
      <c r="J4179" s="11">
        <f>1/(H4179*Utilities!$B$11)</f>
        <v>8</v>
      </c>
      <c r="K4179" s="11">
        <f>IF(B4179&lt;C4179,1,EXP(-1*(B4179-C4179)/(Utilities!$B$11*IterData!H4179)))</f>
        <v>1</v>
      </c>
    </row>
    <row r="4180" spans="8:11" x14ac:dyDescent="0.3">
      <c r="H4180">
        <v>0.5</v>
      </c>
      <c r="I4180" s="11">
        <f t="shared" si="65"/>
        <v>0</v>
      </c>
      <c r="J4180" s="11">
        <f>1/(H4180*Utilities!$B$11)</f>
        <v>8</v>
      </c>
      <c r="K4180" s="11">
        <f>IF(B4180&lt;C4180,1,EXP(-1*(B4180-C4180)/(Utilities!$B$11*IterData!H4180)))</f>
        <v>1</v>
      </c>
    </row>
    <row r="4181" spans="8:11" x14ac:dyDescent="0.3">
      <c r="H4181">
        <v>0.5</v>
      </c>
      <c r="I4181" s="11">
        <f t="shared" si="65"/>
        <v>0</v>
      </c>
      <c r="J4181" s="11">
        <f>1/(H4181*Utilities!$B$11)</f>
        <v>8</v>
      </c>
      <c r="K4181" s="11">
        <f>IF(B4181&lt;C4181,1,EXP(-1*(B4181-C4181)/(Utilities!$B$11*IterData!H4181)))</f>
        <v>1</v>
      </c>
    </row>
    <row r="4182" spans="8:11" x14ac:dyDescent="0.3">
      <c r="H4182">
        <v>0.5</v>
      </c>
      <c r="I4182" s="11">
        <f t="shared" si="65"/>
        <v>0</v>
      </c>
      <c r="J4182" s="11">
        <f>1/(H4182*Utilities!$B$11)</f>
        <v>8</v>
      </c>
      <c r="K4182" s="11">
        <f>IF(B4182&lt;C4182,1,EXP(-1*(B4182-C4182)/(Utilities!$B$11*IterData!H4182)))</f>
        <v>1</v>
      </c>
    </row>
    <row r="4183" spans="8:11" x14ac:dyDescent="0.3">
      <c r="H4183">
        <v>0.5</v>
      </c>
      <c r="I4183" s="11">
        <f t="shared" si="65"/>
        <v>0</v>
      </c>
      <c r="J4183" s="11">
        <f>1/(H4183*Utilities!$B$11)</f>
        <v>8</v>
      </c>
      <c r="K4183" s="11">
        <f>IF(B4183&lt;C4183,1,EXP(-1*(B4183-C4183)/(Utilities!$B$11*IterData!H4183)))</f>
        <v>1</v>
      </c>
    </row>
    <row r="4184" spans="8:11" x14ac:dyDescent="0.3">
      <c r="H4184">
        <v>0.5</v>
      </c>
      <c r="I4184" s="11">
        <f t="shared" si="65"/>
        <v>0</v>
      </c>
      <c r="J4184" s="11">
        <f>1/(H4184*Utilities!$B$11)</f>
        <v>8</v>
      </c>
      <c r="K4184" s="11">
        <f>IF(B4184&lt;C4184,1,EXP(-1*(B4184-C4184)/(Utilities!$B$11*IterData!H4184)))</f>
        <v>1</v>
      </c>
    </row>
    <row r="4185" spans="8:11" x14ac:dyDescent="0.3">
      <c r="H4185">
        <v>0.5</v>
      </c>
      <c r="I4185" s="11">
        <f t="shared" si="65"/>
        <v>0</v>
      </c>
      <c r="J4185" s="11">
        <f>1/(H4185*Utilities!$B$11)</f>
        <v>8</v>
      </c>
      <c r="K4185" s="11">
        <f>IF(B4185&lt;C4185,1,EXP(-1*(B4185-C4185)/(Utilities!$B$11*IterData!H4185)))</f>
        <v>1</v>
      </c>
    </row>
    <row r="4186" spans="8:11" x14ac:dyDescent="0.3">
      <c r="H4186">
        <v>0.5</v>
      </c>
      <c r="I4186" s="11">
        <f t="shared" si="65"/>
        <v>0</v>
      </c>
      <c r="J4186" s="11">
        <f>1/(H4186*Utilities!$B$11)</f>
        <v>8</v>
      </c>
      <c r="K4186" s="11">
        <f>IF(B4186&lt;C4186,1,EXP(-1*(B4186-C4186)/(Utilities!$B$11*IterData!H4186)))</f>
        <v>1</v>
      </c>
    </row>
    <row r="4187" spans="8:11" x14ac:dyDescent="0.3">
      <c r="H4187">
        <v>0.5</v>
      </c>
      <c r="I4187" s="11">
        <f t="shared" si="65"/>
        <v>0</v>
      </c>
      <c r="J4187" s="11">
        <f>1/(H4187*Utilities!$B$11)</f>
        <v>8</v>
      </c>
      <c r="K4187" s="11">
        <f>IF(B4187&lt;C4187,1,EXP(-1*(B4187-C4187)/(Utilities!$B$11*IterData!H4187)))</f>
        <v>1</v>
      </c>
    </row>
    <row r="4188" spans="8:11" x14ac:dyDescent="0.3">
      <c r="H4188">
        <v>0.5</v>
      </c>
      <c r="I4188" s="11">
        <f t="shared" si="65"/>
        <v>0</v>
      </c>
      <c r="J4188" s="11">
        <f>1/(H4188*Utilities!$B$11)</f>
        <v>8</v>
      </c>
      <c r="K4188" s="11">
        <f>IF(B4188&lt;C4188,1,EXP(-1*(B4188-C4188)/(Utilities!$B$11*IterData!H4188)))</f>
        <v>1</v>
      </c>
    </row>
    <row r="4189" spans="8:11" x14ac:dyDescent="0.3">
      <c r="H4189">
        <v>0.5</v>
      </c>
      <c r="I4189" s="11">
        <f t="shared" si="65"/>
        <v>0</v>
      </c>
      <c r="J4189" s="11">
        <f>1/(H4189*Utilities!$B$11)</f>
        <v>8</v>
      </c>
      <c r="K4189" s="11">
        <f>IF(B4189&lt;C4189,1,EXP(-1*(B4189-C4189)/(Utilities!$B$11*IterData!H4189)))</f>
        <v>1</v>
      </c>
    </row>
    <row r="4190" spans="8:11" x14ac:dyDescent="0.3">
      <c r="H4190">
        <v>0.5</v>
      </c>
      <c r="I4190" s="11">
        <f t="shared" si="65"/>
        <v>0</v>
      </c>
      <c r="J4190" s="11">
        <f>1/(H4190*Utilities!$B$11)</f>
        <v>8</v>
      </c>
      <c r="K4190" s="11">
        <f>IF(B4190&lt;C4190,1,EXP(-1*(B4190-C4190)/(Utilities!$B$11*IterData!H4190)))</f>
        <v>1</v>
      </c>
    </row>
    <row r="4191" spans="8:11" x14ac:dyDescent="0.3">
      <c r="H4191">
        <v>0.5</v>
      </c>
      <c r="I4191" s="11">
        <f t="shared" si="65"/>
        <v>0</v>
      </c>
      <c r="J4191" s="11">
        <f>1/(H4191*Utilities!$B$11)</f>
        <v>8</v>
      </c>
      <c r="K4191" s="11">
        <f>IF(B4191&lt;C4191,1,EXP(-1*(B4191-C4191)/(Utilities!$B$11*IterData!H4191)))</f>
        <v>1</v>
      </c>
    </row>
    <row r="4192" spans="8:11" x14ac:dyDescent="0.3">
      <c r="H4192">
        <v>0.5</v>
      </c>
      <c r="I4192" s="11">
        <f t="shared" si="65"/>
        <v>0</v>
      </c>
      <c r="J4192" s="11">
        <f>1/(H4192*Utilities!$B$11)</f>
        <v>8</v>
      </c>
      <c r="K4192" s="11">
        <f>IF(B4192&lt;C4192,1,EXP(-1*(B4192-C4192)/(Utilities!$B$11*IterData!H4192)))</f>
        <v>1</v>
      </c>
    </row>
    <row r="4193" spans="8:11" x14ac:dyDescent="0.3">
      <c r="H4193">
        <v>0.5</v>
      </c>
      <c r="I4193" s="11">
        <f t="shared" si="65"/>
        <v>0</v>
      </c>
      <c r="J4193" s="11">
        <f>1/(H4193*Utilities!$B$11)</f>
        <v>8</v>
      </c>
      <c r="K4193" s="11">
        <f>IF(B4193&lt;C4193,1,EXP(-1*(B4193-C4193)/(Utilities!$B$11*IterData!H4193)))</f>
        <v>1</v>
      </c>
    </row>
    <row r="4194" spans="8:11" x14ac:dyDescent="0.3">
      <c r="H4194">
        <v>0.5</v>
      </c>
      <c r="I4194" s="11">
        <f t="shared" si="65"/>
        <v>0</v>
      </c>
      <c r="J4194" s="11">
        <f>1/(H4194*Utilities!$B$11)</f>
        <v>8</v>
      </c>
      <c r="K4194" s="11">
        <f>IF(B4194&lt;C4194,1,EXP(-1*(B4194-C4194)/(Utilities!$B$11*IterData!H4194)))</f>
        <v>1</v>
      </c>
    </row>
    <row r="4195" spans="8:11" x14ac:dyDescent="0.3">
      <c r="H4195">
        <v>0.5</v>
      </c>
      <c r="I4195" s="11">
        <f t="shared" si="65"/>
        <v>0</v>
      </c>
      <c r="J4195" s="11">
        <f>1/(H4195*Utilities!$B$11)</f>
        <v>8</v>
      </c>
      <c r="K4195" s="11">
        <f>IF(B4195&lt;C4195,1,EXP(-1*(B4195-C4195)/(Utilities!$B$11*IterData!H4195)))</f>
        <v>1</v>
      </c>
    </row>
    <row r="4196" spans="8:11" x14ac:dyDescent="0.3">
      <c r="H4196">
        <v>0.5</v>
      </c>
      <c r="I4196" s="11">
        <f t="shared" si="65"/>
        <v>0</v>
      </c>
      <c r="J4196" s="11">
        <f>1/(H4196*Utilities!$B$11)</f>
        <v>8</v>
      </c>
      <c r="K4196" s="11">
        <f>IF(B4196&lt;C4196,1,EXP(-1*(B4196-C4196)/(Utilities!$B$11*IterData!H4196)))</f>
        <v>1</v>
      </c>
    </row>
    <row r="4197" spans="8:11" x14ac:dyDescent="0.3">
      <c r="H4197">
        <v>0.5</v>
      </c>
      <c r="I4197" s="11">
        <f t="shared" si="65"/>
        <v>0</v>
      </c>
      <c r="J4197" s="11">
        <f>1/(H4197*Utilities!$B$11)</f>
        <v>8</v>
      </c>
      <c r="K4197" s="11">
        <f>IF(B4197&lt;C4197,1,EXP(-1*(B4197-C4197)/(Utilities!$B$11*IterData!H4197)))</f>
        <v>1</v>
      </c>
    </row>
    <row r="4198" spans="8:11" x14ac:dyDescent="0.3">
      <c r="H4198">
        <v>0.5</v>
      </c>
      <c r="I4198" s="11">
        <f t="shared" si="65"/>
        <v>0</v>
      </c>
      <c r="J4198" s="11">
        <f>1/(H4198*Utilities!$B$11)</f>
        <v>8</v>
      </c>
      <c r="K4198" s="11">
        <f>IF(B4198&lt;C4198,1,EXP(-1*(B4198-C4198)/(Utilities!$B$11*IterData!H4198)))</f>
        <v>1</v>
      </c>
    </row>
    <row r="4199" spans="8:11" x14ac:dyDescent="0.3">
      <c r="H4199">
        <v>0.5</v>
      </c>
      <c r="I4199" s="11">
        <f t="shared" si="65"/>
        <v>0</v>
      </c>
      <c r="J4199" s="11">
        <f>1/(H4199*Utilities!$B$11)</f>
        <v>8</v>
      </c>
      <c r="K4199" s="11">
        <f>IF(B4199&lt;C4199,1,EXP(-1*(B4199-C4199)/(Utilities!$B$11*IterData!H4199)))</f>
        <v>1</v>
      </c>
    </row>
    <row r="4200" spans="8:11" x14ac:dyDescent="0.3">
      <c r="H4200">
        <v>0.5</v>
      </c>
      <c r="I4200" s="11">
        <f t="shared" si="65"/>
        <v>0</v>
      </c>
      <c r="J4200" s="11">
        <f>1/(H4200*Utilities!$B$11)</f>
        <v>8</v>
      </c>
      <c r="K4200" s="11">
        <f>IF(B4200&lt;C4200,1,EXP(-1*(B4200-C4200)/(Utilities!$B$11*IterData!H4200)))</f>
        <v>1</v>
      </c>
    </row>
    <row r="4201" spans="8:11" x14ac:dyDescent="0.3">
      <c r="H4201">
        <v>0.5</v>
      </c>
      <c r="I4201" s="11">
        <f t="shared" si="65"/>
        <v>0</v>
      </c>
      <c r="J4201" s="11">
        <f>1/(H4201*Utilities!$B$11)</f>
        <v>8</v>
      </c>
      <c r="K4201" s="11">
        <f>IF(B4201&lt;C4201,1,EXP(-1*(B4201-C4201)/(Utilities!$B$11*IterData!H4201)))</f>
        <v>1</v>
      </c>
    </row>
    <row r="4202" spans="8:11" x14ac:dyDescent="0.3">
      <c r="H4202">
        <v>0.5</v>
      </c>
      <c r="I4202" s="11">
        <f t="shared" si="65"/>
        <v>0</v>
      </c>
      <c r="J4202" s="11">
        <f>1/(H4202*Utilities!$B$11)</f>
        <v>8</v>
      </c>
      <c r="K4202" s="11">
        <f>IF(B4202&lt;C4202,1,EXP(-1*(B4202-C4202)/(Utilities!$B$11*IterData!H4202)))</f>
        <v>1</v>
      </c>
    </row>
    <row r="4203" spans="8:11" x14ac:dyDescent="0.3">
      <c r="H4203">
        <v>0.5</v>
      </c>
      <c r="I4203" s="11">
        <f t="shared" si="65"/>
        <v>0</v>
      </c>
      <c r="J4203" s="11">
        <f>1/(H4203*Utilities!$B$11)</f>
        <v>8</v>
      </c>
      <c r="K4203" s="11">
        <f>IF(B4203&lt;C4203,1,EXP(-1*(B4203-C4203)/(Utilities!$B$11*IterData!H4203)))</f>
        <v>1</v>
      </c>
    </row>
    <row r="4204" spans="8:11" x14ac:dyDescent="0.3">
      <c r="H4204">
        <v>0.5</v>
      </c>
      <c r="I4204" s="11">
        <f t="shared" si="65"/>
        <v>0</v>
      </c>
      <c r="J4204" s="11">
        <f>1/(H4204*Utilities!$B$11)</f>
        <v>8</v>
      </c>
      <c r="K4204" s="11">
        <f>IF(B4204&lt;C4204,1,EXP(-1*(B4204-C4204)/(Utilities!$B$11*IterData!H4204)))</f>
        <v>1</v>
      </c>
    </row>
    <row r="4205" spans="8:11" x14ac:dyDescent="0.3">
      <c r="H4205">
        <v>0.5</v>
      </c>
      <c r="I4205" s="11">
        <f t="shared" si="65"/>
        <v>0</v>
      </c>
      <c r="J4205" s="11">
        <f>1/(H4205*Utilities!$B$11)</f>
        <v>8</v>
      </c>
      <c r="K4205" s="11">
        <f>IF(B4205&lt;C4205,1,EXP(-1*(B4205-C4205)/(Utilities!$B$11*IterData!H4205)))</f>
        <v>1</v>
      </c>
    </row>
    <row r="4206" spans="8:11" x14ac:dyDescent="0.3">
      <c r="H4206">
        <v>0.5</v>
      </c>
      <c r="I4206" s="11">
        <f t="shared" si="65"/>
        <v>0</v>
      </c>
      <c r="J4206" s="11">
        <f>1/(H4206*Utilities!$B$11)</f>
        <v>8</v>
      </c>
      <c r="K4206" s="11">
        <f>IF(B4206&lt;C4206,1,EXP(-1*(B4206-C4206)/(Utilities!$B$11*IterData!H4206)))</f>
        <v>1</v>
      </c>
    </row>
    <row r="4207" spans="8:11" x14ac:dyDescent="0.3">
      <c r="H4207">
        <v>0.5</v>
      </c>
      <c r="I4207" s="11">
        <f t="shared" si="65"/>
        <v>0</v>
      </c>
      <c r="J4207" s="11">
        <f>1/(H4207*Utilities!$B$11)</f>
        <v>8</v>
      </c>
      <c r="K4207" s="11">
        <f>IF(B4207&lt;C4207,1,EXP(-1*(B4207-C4207)/(Utilities!$B$11*IterData!H4207)))</f>
        <v>1</v>
      </c>
    </row>
    <row r="4208" spans="8:11" x14ac:dyDescent="0.3">
      <c r="H4208">
        <v>0.5</v>
      </c>
      <c r="I4208" s="11">
        <f t="shared" si="65"/>
        <v>0</v>
      </c>
      <c r="J4208" s="11">
        <f>1/(H4208*Utilities!$B$11)</f>
        <v>8</v>
      </c>
      <c r="K4208" s="11">
        <f>IF(B4208&lt;C4208,1,EXP(-1*(B4208-C4208)/(Utilities!$B$11*IterData!H4208)))</f>
        <v>1</v>
      </c>
    </row>
    <row r="4209" spans="8:11" x14ac:dyDescent="0.3">
      <c r="H4209">
        <v>0.5</v>
      </c>
      <c r="I4209" s="11">
        <f t="shared" si="65"/>
        <v>0</v>
      </c>
      <c r="J4209" s="11">
        <f>1/(H4209*Utilities!$B$11)</f>
        <v>8</v>
      </c>
      <c r="K4209" s="11">
        <f>IF(B4209&lt;C4209,1,EXP(-1*(B4209-C4209)/(Utilities!$B$11*IterData!H4209)))</f>
        <v>1</v>
      </c>
    </row>
    <row r="4210" spans="8:11" x14ac:dyDescent="0.3">
      <c r="H4210">
        <v>0.5</v>
      </c>
      <c r="I4210" s="11">
        <f t="shared" si="65"/>
        <v>0</v>
      </c>
      <c r="J4210" s="11">
        <f>1/(H4210*Utilities!$B$11)</f>
        <v>8</v>
      </c>
      <c r="K4210" s="11">
        <f>IF(B4210&lt;C4210,1,EXP(-1*(B4210-C4210)/(Utilities!$B$11*IterData!H4210)))</f>
        <v>1</v>
      </c>
    </row>
    <row r="4211" spans="8:11" x14ac:dyDescent="0.3">
      <c r="H4211">
        <v>0.5</v>
      </c>
      <c r="I4211" s="11">
        <f t="shared" si="65"/>
        <v>0</v>
      </c>
      <c r="J4211" s="11">
        <f>1/(H4211*Utilities!$B$11)</f>
        <v>8</v>
      </c>
      <c r="K4211" s="11">
        <f>IF(B4211&lt;C4211,1,EXP(-1*(B4211-C4211)/(Utilities!$B$11*IterData!H4211)))</f>
        <v>1</v>
      </c>
    </row>
    <row r="4212" spans="8:11" x14ac:dyDescent="0.3">
      <c r="H4212">
        <v>0.5</v>
      </c>
      <c r="I4212" s="11">
        <f t="shared" si="65"/>
        <v>0</v>
      </c>
      <c r="J4212" s="11">
        <f>1/(H4212*Utilities!$B$11)</f>
        <v>8</v>
      </c>
      <c r="K4212" s="11">
        <f>IF(B4212&lt;C4212,1,EXP(-1*(B4212-C4212)/(Utilities!$B$11*IterData!H4212)))</f>
        <v>1</v>
      </c>
    </row>
    <row r="4213" spans="8:11" x14ac:dyDescent="0.3">
      <c r="H4213">
        <v>0.5</v>
      </c>
      <c r="I4213" s="11">
        <f t="shared" si="65"/>
        <v>0</v>
      </c>
      <c r="J4213" s="11">
        <f>1/(H4213*Utilities!$B$11)</f>
        <v>8</v>
      </c>
      <c r="K4213" s="11">
        <f>IF(B4213&lt;C4213,1,EXP(-1*(B4213-C4213)/(Utilities!$B$11*IterData!H4213)))</f>
        <v>1</v>
      </c>
    </row>
    <row r="4214" spans="8:11" x14ac:dyDescent="0.3">
      <c r="H4214">
        <v>0.5</v>
      </c>
      <c r="I4214" s="11">
        <f t="shared" si="65"/>
        <v>0</v>
      </c>
      <c r="J4214" s="11">
        <f>1/(H4214*Utilities!$B$11)</f>
        <v>8</v>
      </c>
      <c r="K4214" s="11">
        <f>IF(B4214&lt;C4214,1,EXP(-1*(B4214-C4214)/(Utilities!$B$11*IterData!H4214)))</f>
        <v>1</v>
      </c>
    </row>
    <row r="4215" spans="8:11" x14ac:dyDescent="0.3">
      <c r="H4215">
        <v>0.5</v>
      </c>
      <c r="I4215" s="11">
        <f t="shared" si="65"/>
        <v>0</v>
      </c>
      <c r="J4215" s="11">
        <f>1/(H4215*Utilities!$B$11)</f>
        <v>8</v>
      </c>
      <c r="K4215" s="11">
        <f>IF(B4215&lt;C4215,1,EXP(-1*(B4215-C4215)/(Utilities!$B$11*IterData!H4215)))</f>
        <v>1</v>
      </c>
    </row>
    <row r="4216" spans="8:11" x14ac:dyDescent="0.3">
      <c r="H4216">
        <v>0.5</v>
      </c>
      <c r="I4216" s="11">
        <f t="shared" si="65"/>
        <v>0</v>
      </c>
      <c r="J4216" s="11">
        <f>1/(H4216*Utilities!$B$11)</f>
        <v>8</v>
      </c>
      <c r="K4216" s="11">
        <f>IF(B4216&lt;C4216,1,EXP(-1*(B4216-C4216)/(Utilities!$B$11*IterData!H4216)))</f>
        <v>1</v>
      </c>
    </row>
    <row r="4217" spans="8:11" x14ac:dyDescent="0.3">
      <c r="H4217">
        <v>0.5</v>
      </c>
      <c r="I4217" s="11">
        <f t="shared" si="65"/>
        <v>0</v>
      </c>
      <c r="J4217" s="11">
        <f>1/(H4217*Utilities!$B$11)</f>
        <v>8</v>
      </c>
      <c r="K4217" s="11">
        <f>IF(B4217&lt;C4217,1,EXP(-1*(B4217-C4217)/(Utilities!$B$11*IterData!H4217)))</f>
        <v>1</v>
      </c>
    </row>
    <row r="4218" spans="8:11" x14ac:dyDescent="0.3">
      <c r="H4218">
        <v>0.5</v>
      </c>
      <c r="I4218" s="11">
        <f t="shared" si="65"/>
        <v>0</v>
      </c>
      <c r="J4218" s="11">
        <f>1/(H4218*Utilities!$B$11)</f>
        <v>8</v>
      </c>
      <c r="K4218" s="11">
        <f>IF(B4218&lt;C4218,1,EXP(-1*(B4218-C4218)/(Utilities!$B$11*IterData!H4218)))</f>
        <v>1</v>
      </c>
    </row>
    <row r="4219" spans="8:11" x14ac:dyDescent="0.3">
      <c r="H4219">
        <v>0.5</v>
      </c>
      <c r="I4219" s="11">
        <f t="shared" si="65"/>
        <v>0</v>
      </c>
      <c r="J4219" s="11">
        <f>1/(H4219*Utilities!$B$11)</f>
        <v>8</v>
      </c>
      <c r="K4219" s="11">
        <f>IF(B4219&lt;C4219,1,EXP(-1*(B4219-C4219)/(Utilities!$B$11*IterData!H4219)))</f>
        <v>1</v>
      </c>
    </row>
    <row r="4220" spans="8:11" x14ac:dyDescent="0.3">
      <c r="H4220">
        <v>0.5</v>
      </c>
      <c r="I4220" s="11">
        <f t="shared" si="65"/>
        <v>0</v>
      </c>
      <c r="J4220" s="11">
        <f>1/(H4220*Utilities!$B$11)</f>
        <v>8</v>
      </c>
      <c r="K4220" s="11">
        <f>IF(B4220&lt;C4220,1,EXP(-1*(B4220-C4220)/(Utilities!$B$11*IterData!H4220)))</f>
        <v>1</v>
      </c>
    </row>
    <row r="4221" spans="8:11" x14ac:dyDescent="0.3">
      <c r="H4221">
        <v>0.5</v>
      </c>
      <c r="I4221" s="11">
        <f t="shared" si="65"/>
        <v>0</v>
      </c>
      <c r="J4221" s="11">
        <f>1/(H4221*Utilities!$B$11)</f>
        <v>8</v>
      </c>
      <c r="K4221" s="11">
        <f>IF(B4221&lt;C4221,1,EXP(-1*(B4221-C4221)/(Utilities!$B$11*IterData!H4221)))</f>
        <v>1</v>
      </c>
    </row>
    <row r="4222" spans="8:11" x14ac:dyDescent="0.3">
      <c r="H4222">
        <v>0.5</v>
      </c>
      <c r="I4222" s="11">
        <f t="shared" si="65"/>
        <v>0</v>
      </c>
      <c r="J4222" s="11">
        <f>1/(H4222*Utilities!$B$11)</f>
        <v>8</v>
      </c>
      <c r="K4222" s="11">
        <f>IF(B4222&lt;C4222,1,EXP(-1*(B4222-C4222)/(Utilities!$B$11*IterData!H4222)))</f>
        <v>1</v>
      </c>
    </row>
    <row r="4223" spans="8:11" x14ac:dyDescent="0.3">
      <c r="H4223">
        <v>0.5</v>
      </c>
      <c r="I4223" s="11">
        <f t="shared" si="65"/>
        <v>0</v>
      </c>
      <c r="J4223" s="11">
        <f>1/(H4223*Utilities!$B$11)</f>
        <v>8</v>
      </c>
      <c r="K4223" s="11">
        <f>IF(B4223&lt;C4223,1,EXP(-1*(B4223-C4223)/(Utilities!$B$11*IterData!H4223)))</f>
        <v>1</v>
      </c>
    </row>
    <row r="4224" spans="8:11" x14ac:dyDescent="0.3">
      <c r="H4224">
        <v>0.5</v>
      </c>
      <c r="I4224" s="11">
        <f t="shared" si="65"/>
        <v>0</v>
      </c>
      <c r="J4224" s="11">
        <f>1/(H4224*Utilities!$B$11)</f>
        <v>8</v>
      </c>
      <c r="K4224" s="11">
        <f>IF(B4224&lt;C4224,1,EXP(-1*(B4224-C4224)/(Utilities!$B$11*IterData!H4224)))</f>
        <v>1</v>
      </c>
    </row>
    <row r="4225" spans="8:11" x14ac:dyDescent="0.3">
      <c r="H4225">
        <v>0.5</v>
      </c>
      <c r="I4225" s="11">
        <f t="shared" si="65"/>
        <v>0</v>
      </c>
      <c r="J4225" s="11">
        <f>1/(H4225*Utilities!$B$11)</f>
        <v>8</v>
      </c>
      <c r="K4225" s="11">
        <f>IF(B4225&lt;C4225,1,EXP(-1*(B4225-C4225)/(Utilities!$B$11*IterData!H4225)))</f>
        <v>1</v>
      </c>
    </row>
    <row r="4226" spans="8:11" x14ac:dyDescent="0.3">
      <c r="H4226">
        <v>0.5</v>
      </c>
      <c r="I4226" s="11">
        <f t="shared" si="65"/>
        <v>0</v>
      </c>
      <c r="J4226" s="11">
        <f>1/(H4226*Utilities!$B$11)</f>
        <v>8</v>
      </c>
      <c r="K4226" s="11">
        <f>IF(B4226&lt;C4226,1,EXP(-1*(B4226-C4226)/(Utilities!$B$11*IterData!H4226)))</f>
        <v>1</v>
      </c>
    </row>
    <row r="4227" spans="8:11" x14ac:dyDescent="0.3">
      <c r="H4227">
        <v>0.5</v>
      </c>
      <c r="I4227" s="11">
        <f t="shared" ref="I4227:I4290" si="66">B4227-C4227</f>
        <v>0</v>
      </c>
      <c r="J4227" s="11">
        <f>1/(H4227*Utilities!$B$11)</f>
        <v>8</v>
      </c>
      <c r="K4227" s="11">
        <f>IF(B4227&lt;C4227,1,EXP(-1*(B4227-C4227)/(Utilities!$B$11*IterData!H4227)))</f>
        <v>1</v>
      </c>
    </row>
    <row r="4228" spans="8:11" x14ac:dyDescent="0.3">
      <c r="H4228">
        <v>0.5</v>
      </c>
      <c r="I4228" s="11">
        <f t="shared" si="66"/>
        <v>0</v>
      </c>
      <c r="J4228" s="11">
        <f>1/(H4228*Utilities!$B$11)</f>
        <v>8</v>
      </c>
      <c r="K4228" s="11">
        <f>IF(B4228&lt;C4228,1,EXP(-1*(B4228-C4228)/(Utilities!$B$11*IterData!H4228)))</f>
        <v>1</v>
      </c>
    </row>
    <row r="4229" spans="8:11" x14ac:dyDescent="0.3">
      <c r="H4229">
        <v>0.5</v>
      </c>
      <c r="I4229" s="11">
        <f t="shared" si="66"/>
        <v>0</v>
      </c>
      <c r="J4229" s="11">
        <f>1/(H4229*Utilities!$B$11)</f>
        <v>8</v>
      </c>
      <c r="K4229" s="11">
        <f>IF(B4229&lt;C4229,1,EXP(-1*(B4229-C4229)/(Utilities!$B$11*IterData!H4229)))</f>
        <v>1</v>
      </c>
    </row>
    <row r="4230" spans="8:11" x14ac:dyDescent="0.3">
      <c r="H4230">
        <v>0.5</v>
      </c>
      <c r="I4230" s="11">
        <f t="shared" si="66"/>
        <v>0</v>
      </c>
      <c r="J4230" s="11">
        <f>1/(H4230*Utilities!$B$11)</f>
        <v>8</v>
      </c>
      <c r="K4230" s="11">
        <f>IF(B4230&lt;C4230,1,EXP(-1*(B4230-C4230)/(Utilities!$B$11*IterData!H4230)))</f>
        <v>1</v>
      </c>
    </row>
    <row r="4231" spans="8:11" x14ac:dyDescent="0.3">
      <c r="H4231">
        <v>0.5</v>
      </c>
      <c r="I4231" s="11">
        <f t="shared" si="66"/>
        <v>0</v>
      </c>
      <c r="J4231" s="11">
        <f>1/(H4231*Utilities!$B$11)</f>
        <v>8</v>
      </c>
      <c r="K4231" s="11">
        <f>IF(B4231&lt;C4231,1,EXP(-1*(B4231-C4231)/(Utilities!$B$11*IterData!H4231)))</f>
        <v>1</v>
      </c>
    </row>
    <row r="4232" spans="8:11" x14ac:dyDescent="0.3">
      <c r="H4232">
        <v>0.5</v>
      </c>
      <c r="I4232" s="11">
        <f t="shared" si="66"/>
        <v>0</v>
      </c>
      <c r="J4232" s="11">
        <f>1/(H4232*Utilities!$B$11)</f>
        <v>8</v>
      </c>
      <c r="K4232" s="11">
        <f>IF(B4232&lt;C4232,1,EXP(-1*(B4232-C4232)/(Utilities!$B$11*IterData!H4232)))</f>
        <v>1</v>
      </c>
    </row>
    <row r="4233" spans="8:11" x14ac:dyDescent="0.3">
      <c r="H4233">
        <v>0.5</v>
      </c>
      <c r="I4233" s="11">
        <f t="shared" si="66"/>
        <v>0</v>
      </c>
      <c r="J4233" s="11">
        <f>1/(H4233*Utilities!$B$11)</f>
        <v>8</v>
      </c>
      <c r="K4233" s="11">
        <f>IF(B4233&lt;C4233,1,EXP(-1*(B4233-C4233)/(Utilities!$B$11*IterData!H4233)))</f>
        <v>1</v>
      </c>
    </row>
    <row r="4234" spans="8:11" x14ac:dyDescent="0.3">
      <c r="H4234">
        <v>0.5</v>
      </c>
      <c r="I4234" s="11">
        <f t="shared" si="66"/>
        <v>0</v>
      </c>
      <c r="J4234" s="11">
        <f>1/(H4234*Utilities!$B$11)</f>
        <v>8</v>
      </c>
      <c r="K4234" s="11">
        <f>IF(B4234&lt;C4234,1,EXP(-1*(B4234-C4234)/(Utilities!$B$11*IterData!H4234)))</f>
        <v>1</v>
      </c>
    </row>
    <row r="4235" spans="8:11" x14ac:dyDescent="0.3">
      <c r="H4235">
        <v>0.5</v>
      </c>
      <c r="I4235" s="11">
        <f t="shared" si="66"/>
        <v>0</v>
      </c>
      <c r="J4235" s="11">
        <f>1/(H4235*Utilities!$B$11)</f>
        <v>8</v>
      </c>
      <c r="K4235" s="11">
        <f>IF(B4235&lt;C4235,1,EXP(-1*(B4235-C4235)/(Utilities!$B$11*IterData!H4235)))</f>
        <v>1</v>
      </c>
    </row>
    <row r="4236" spans="8:11" x14ac:dyDescent="0.3">
      <c r="H4236">
        <v>0.5</v>
      </c>
      <c r="I4236" s="11">
        <f t="shared" si="66"/>
        <v>0</v>
      </c>
      <c r="J4236" s="11">
        <f>1/(H4236*Utilities!$B$11)</f>
        <v>8</v>
      </c>
      <c r="K4236" s="11">
        <f>IF(B4236&lt;C4236,1,EXP(-1*(B4236-C4236)/(Utilities!$B$11*IterData!H4236)))</f>
        <v>1</v>
      </c>
    </row>
    <row r="4237" spans="8:11" x14ac:dyDescent="0.3">
      <c r="H4237">
        <v>0.5</v>
      </c>
      <c r="I4237" s="11">
        <f t="shared" si="66"/>
        <v>0</v>
      </c>
      <c r="J4237" s="11">
        <f>1/(H4237*Utilities!$B$11)</f>
        <v>8</v>
      </c>
      <c r="K4237" s="11">
        <f>IF(B4237&lt;C4237,1,EXP(-1*(B4237-C4237)/(Utilities!$B$11*IterData!H4237)))</f>
        <v>1</v>
      </c>
    </row>
    <row r="4238" spans="8:11" x14ac:dyDescent="0.3">
      <c r="H4238">
        <v>0.5</v>
      </c>
      <c r="I4238" s="11">
        <f t="shared" si="66"/>
        <v>0</v>
      </c>
      <c r="J4238" s="11">
        <f>1/(H4238*Utilities!$B$11)</f>
        <v>8</v>
      </c>
      <c r="K4238" s="11">
        <f>IF(B4238&lt;C4238,1,EXP(-1*(B4238-C4238)/(Utilities!$B$11*IterData!H4238)))</f>
        <v>1</v>
      </c>
    </row>
    <row r="4239" spans="8:11" x14ac:dyDescent="0.3">
      <c r="H4239">
        <v>0.5</v>
      </c>
      <c r="I4239" s="11">
        <f t="shared" si="66"/>
        <v>0</v>
      </c>
      <c r="J4239" s="11">
        <f>1/(H4239*Utilities!$B$11)</f>
        <v>8</v>
      </c>
      <c r="K4239" s="11">
        <f>IF(B4239&lt;C4239,1,EXP(-1*(B4239-C4239)/(Utilities!$B$11*IterData!H4239)))</f>
        <v>1</v>
      </c>
    </row>
    <row r="4240" spans="8:11" x14ac:dyDescent="0.3">
      <c r="H4240">
        <v>0.5</v>
      </c>
      <c r="I4240" s="11">
        <f t="shared" si="66"/>
        <v>0</v>
      </c>
      <c r="J4240" s="11">
        <f>1/(H4240*Utilities!$B$11)</f>
        <v>8</v>
      </c>
      <c r="K4240" s="11">
        <f>IF(B4240&lt;C4240,1,EXP(-1*(B4240-C4240)/(Utilities!$B$11*IterData!H4240)))</f>
        <v>1</v>
      </c>
    </row>
    <row r="4241" spans="8:11" x14ac:dyDescent="0.3">
      <c r="H4241">
        <v>0.5</v>
      </c>
      <c r="I4241" s="11">
        <f t="shared" si="66"/>
        <v>0</v>
      </c>
      <c r="J4241" s="11">
        <f>1/(H4241*Utilities!$B$11)</f>
        <v>8</v>
      </c>
      <c r="K4241" s="11">
        <f>IF(B4241&lt;C4241,1,EXP(-1*(B4241-C4241)/(Utilities!$B$11*IterData!H4241)))</f>
        <v>1</v>
      </c>
    </row>
    <row r="4242" spans="8:11" x14ac:dyDescent="0.3">
      <c r="H4242">
        <v>0.5</v>
      </c>
      <c r="I4242" s="11">
        <f t="shared" si="66"/>
        <v>0</v>
      </c>
      <c r="J4242" s="11">
        <f>1/(H4242*Utilities!$B$11)</f>
        <v>8</v>
      </c>
      <c r="K4242" s="11">
        <f>IF(B4242&lt;C4242,1,EXP(-1*(B4242-C4242)/(Utilities!$B$11*IterData!H4242)))</f>
        <v>1</v>
      </c>
    </row>
    <row r="4243" spans="8:11" x14ac:dyDescent="0.3">
      <c r="H4243">
        <v>0.5</v>
      </c>
      <c r="I4243" s="11">
        <f t="shared" si="66"/>
        <v>0</v>
      </c>
      <c r="J4243" s="11">
        <f>1/(H4243*Utilities!$B$11)</f>
        <v>8</v>
      </c>
      <c r="K4243" s="11">
        <f>IF(B4243&lt;C4243,1,EXP(-1*(B4243-C4243)/(Utilities!$B$11*IterData!H4243)))</f>
        <v>1</v>
      </c>
    </row>
    <row r="4244" spans="8:11" x14ac:dyDescent="0.3">
      <c r="H4244">
        <v>0.5</v>
      </c>
      <c r="I4244" s="11">
        <f t="shared" si="66"/>
        <v>0</v>
      </c>
      <c r="J4244" s="11">
        <f>1/(H4244*Utilities!$B$11)</f>
        <v>8</v>
      </c>
      <c r="K4244" s="11">
        <f>IF(B4244&lt;C4244,1,EXP(-1*(B4244-C4244)/(Utilities!$B$11*IterData!H4244)))</f>
        <v>1</v>
      </c>
    </row>
    <row r="4245" spans="8:11" x14ac:dyDescent="0.3">
      <c r="H4245">
        <v>0.5</v>
      </c>
      <c r="I4245" s="11">
        <f t="shared" si="66"/>
        <v>0</v>
      </c>
      <c r="J4245" s="11">
        <f>1/(H4245*Utilities!$B$11)</f>
        <v>8</v>
      </c>
      <c r="K4245" s="11">
        <f>IF(B4245&lt;C4245,1,EXP(-1*(B4245-C4245)/(Utilities!$B$11*IterData!H4245)))</f>
        <v>1</v>
      </c>
    </row>
    <row r="4246" spans="8:11" x14ac:dyDescent="0.3">
      <c r="H4246">
        <v>0.5</v>
      </c>
      <c r="I4246" s="11">
        <f t="shared" si="66"/>
        <v>0</v>
      </c>
      <c r="J4246" s="11">
        <f>1/(H4246*Utilities!$B$11)</f>
        <v>8</v>
      </c>
      <c r="K4246" s="11">
        <f>IF(B4246&lt;C4246,1,EXP(-1*(B4246-C4246)/(Utilities!$B$11*IterData!H4246)))</f>
        <v>1</v>
      </c>
    </row>
    <row r="4247" spans="8:11" x14ac:dyDescent="0.3">
      <c r="H4247">
        <v>0.5</v>
      </c>
      <c r="I4247" s="11">
        <f t="shared" si="66"/>
        <v>0</v>
      </c>
      <c r="J4247" s="11">
        <f>1/(H4247*Utilities!$B$11)</f>
        <v>8</v>
      </c>
      <c r="K4247" s="11">
        <f>IF(B4247&lt;C4247,1,EXP(-1*(B4247-C4247)/(Utilities!$B$11*IterData!H4247)))</f>
        <v>1</v>
      </c>
    </row>
    <row r="4248" spans="8:11" x14ac:dyDescent="0.3">
      <c r="H4248">
        <v>0.5</v>
      </c>
      <c r="I4248" s="11">
        <f t="shared" si="66"/>
        <v>0</v>
      </c>
      <c r="J4248" s="11">
        <f>1/(H4248*Utilities!$B$11)</f>
        <v>8</v>
      </c>
      <c r="K4248" s="11">
        <f>IF(B4248&lt;C4248,1,EXP(-1*(B4248-C4248)/(Utilities!$B$11*IterData!H4248)))</f>
        <v>1</v>
      </c>
    </row>
    <row r="4249" spans="8:11" x14ac:dyDescent="0.3">
      <c r="H4249">
        <v>0.5</v>
      </c>
      <c r="I4249" s="11">
        <f t="shared" si="66"/>
        <v>0</v>
      </c>
      <c r="J4249" s="11">
        <f>1/(H4249*Utilities!$B$11)</f>
        <v>8</v>
      </c>
      <c r="K4249" s="11">
        <f>IF(B4249&lt;C4249,1,EXP(-1*(B4249-C4249)/(Utilities!$B$11*IterData!H4249)))</f>
        <v>1</v>
      </c>
    </row>
    <row r="4250" spans="8:11" x14ac:dyDescent="0.3">
      <c r="H4250">
        <v>0.5</v>
      </c>
      <c r="I4250" s="11">
        <f t="shared" si="66"/>
        <v>0</v>
      </c>
      <c r="J4250" s="11">
        <f>1/(H4250*Utilities!$B$11)</f>
        <v>8</v>
      </c>
      <c r="K4250" s="11">
        <f>IF(B4250&lt;C4250,1,EXP(-1*(B4250-C4250)/(Utilities!$B$11*IterData!H4250)))</f>
        <v>1</v>
      </c>
    </row>
    <row r="4251" spans="8:11" x14ac:dyDescent="0.3">
      <c r="H4251">
        <v>0.5</v>
      </c>
      <c r="I4251" s="11">
        <f t="shared" si="66"/>
        <v>0</v>
      </c>
      <c r="J4251" s="11">
        <f>1/(H4251*Utilities!$B$11)</f>
        <v>8</v>
      </c>
      <c r="K4251" s="11">
        <f>IF(B4251&lt;C4251,1,EXP(-1*(B4251-C4251)/(Utilities!$B$11*IterData!H4251)))</f>
        <v>1</v>
      </c>
    </row>
    <row r="4252" spans="8:11" x14ac:dyDescent="0.3">
      <c r="H4252">
        <v>0.5</v>
      </c>
      <c r="I4252" s="11">
        <f t="shared" si="66"/>
        <v>0</v>
      </c>
      <c r="J4252" s="11">
        <f>1/(H4252*Utilities!$B$11)</f>
        <v>8</v>
      </c>
      <c r="K4252" s="11">
        <f>IF(B4252&lt;C4252,1,EXP(-1*(B4252-C4252)/(Utilities!$B$11*IterData!H4252)))</f>
        <v>1</v>
      </c>
    </row>
    <row r="4253" spans="8:11" x14ac:dyDescent="0.3">
      <c r="H4253">
        <v>0.5</v>
      </c>
      <c r="I4253" s="11">
        <f t="shared" si="66"/>
        <v>0</v>
      </c>
      <c r="J4253" s="11">
        <f>1/(H4253*Utilities!$B$11)</f>
        <v>8</v>
      </c>
      <c r="K4253" s="11">
        <f>IF(B4253&lt;C4253,1,EXP(-1*(B4253-C4253)/(Utilities!$B$11*IterData!H4253)))</f>
        <v>1</v>
      </c>
    </row>
    <row r="4254" spans="8:11" x14ac:dyDescent="0.3">
      <c r="H4254">
        <v>0.5</v>
      </c>
      <c r="I4254" s="11">
        <f t="shared" si="66"/>
        <v>0</v>
      </c>
      <c r="J4254" s="11">
        <f>1/(H4254*Utilities!$B$11)</f>
        <v>8</v>
      </c>
      <c r="K4254" s="11">
        <f>IF(B4254&lt;C4254,1,EXP(-1*(B4254-C4254)/(Utilities!$B$11*IterData!H4254)))</f>
        <v>1</v>
      </c>
    </row>
    <row r="4255" spans="8:11" x14ac:dyDescent="0.3">
      <c r="H4255">
        <v>0.5</v>
      </c>
      <c r="I4255" s="11">
        <f t="shared" si="66"/>
        <v>0</v>
      </c>
      <c r="J4255" s="11">
        <f>1/(H4255*Utilities!$B$11)</f>
        <v>8</v>
      </c>
      <c r="K4255" s="11">
        <f>IF(B4255&lt;C4255,1,EXP(-1*(B4255-C4255)/(Utilities!$B$11*IterData!H4255)))</f>
        <v>1</v>
      </c>
    </row>
    <row r="4256" spans="8:11" x14ac:dyDescent="0.3">
      <c r="H4256">
        <v>0.5</v>
      </c>
      <c r="I4256" s="11">
        <f t="shared" si="66"/>
        <v>0</v>
      </c>
      <c r="J4256" s="11">
        <f>1/(H4256*Utilities!$B$11)</f>
        <v>8</v>
      </c>
      <c r="K4256" s="11">
        <f>IF(B4256&lt;C4256,1,EXP(-1*(B4256-C4256)/(Utilities!$B$11*IterData!H4256)))</f>
        <v>1</v>
      </c>
    </row>
    <row r="4257" spans="8:11" x14ac:dyDescent="0.3">
      <c r="H4257">
        <v>0.5</v>
      </c>
      <c r="I4257" s="11">
        <f t="shared" si="66"/>
        <v>0</v>
      </c>
      <c r="J4257" s="11">
        <f>1/(H4257*Utilities!$B$11)</f>
        <v>8</v>
      </c>
      <c r="K4257" s="11">
        <f>IF(B4257&lt;C4257,1,EXP(-1*(B4257-C4257)/(Utilities!$B$11*IterData!H4257)))</f>
        <v>1</v>
      </c>
    </row>
    <row r="4258" spans="8:11" x14ac:dyDescent="0.3">
      <c r="H4258">
        <v>0.5</v>
      </c>
      <c r="I4258" s="11">
        <f t="shared" si="66"/>
        <v>0</v>
      </c>
      <c r="J4258" s="11">
        <f>1/(H4258*Utilities!$B$11)</f>
        <v>8</v>
      </c>
      <c r="K4258" s="11">
        <f>IF(B4258&lt;C4258,1,EXP(-1*(B4258-C4258)/(Utilities!$B$11*IterData!H4258)))</f>
        <v>1</v>
      </c>
    </row>
    <row r="4259" spans="8:11" x14ac:dyDescent="0.3">
      <c r="H4259">
        <v>0.5</v>
      </c>
      <c r="I4259" s="11">
        <f t="shared" si="66"/>
        <v>0</v>
      </c>
      <c r="J4259" s="11">
        <f>1/(H4259*Utilities!$B$11)</f>
        <v>8</v>
      </c>
      <c r="K4259" s="11">
        <f>IF(B4259&lt;C4259,1,EXP(-1*(B4259-C4259)/(Utilities!$B$11*IterData!H4259)))</f>
        <v>1</v>
      </c>
    </row>
    <row r="4260" spans="8:11" x14ac:dyDescent="0.3">
      <c r="H4260">
        <v>0.5</v>
      </c>
      <c r="I4260" s="11">
        <f t="shared" si="66"/>
        <v>0</v>
      </c>
      <c r="J4260" s="11">
        <f>1/(H4260*Utilities!$B$11)</f>
        <v>8</v>
      </c>
      <c r="K4260" s="11">
        <f>IF(B4260&lt;C4260,1,EXP(-1*(B4260-C4260)/(Utilities!$B$11*IterData!H4260)))</f>
        <v>1</v>
      </c>
    </row>
    <row r="4261" spans="8:11" x14ac:dyDescent="0.3">
      <c r="H4261">
        <v>0.5</v>
      </c>
      <c r="I4261" s="11">
        <f t="shared" si="66"/>
        <v>0</v>
      </c>
      <c r="J4261" s="11">
        <f>1/(H4261*Utilities!$B$11)</f>
        <v>8</v>
      </c>
      <c r="K4261" s="11">
        <f>IF(B4261&lt;C4261,1,EXP(-1*(B4261-C4261)/(Utilities!$B$11*IterData!H4261)))</f>
        <v>1</v>
      </c>
    </row>
    <row r="4262" spans="8:11" x14ac:dyDescent="0.3">
      <c r="H4262">
        <v>0.5</v>
      </c>
      <c r="I4262" s="11">
        <f t="shared" si="66"/>
        <v>0</v>
      </c>
      <c r="J4262" s="11">
        <f>1/(H4262*Utilities!$B$11)</f>
        <v>8</v>
      </c>
      <c r="K4262" s="11">
        <f>IF(B4262&lt;C4262,1,EXP(-1*(B4262-C4262)/(Utilities!$B$11*IterData!H4262)))</f>
        <v>1</v>
      </c>
    </row>
    <row r="4263" spans="8:11" x14ac:dyDescent="0.3">
      <c r="H4263">
        <v>0.5</v>
      </c>
      <c r="I4263" s="11">
        <f t="shared" si="66"/>
        <v>0</v>
      </c>
      <c r="J4263" s="11">
        <f>1/(H4263*Utilities!$B$11)</f>
        <v>8</v>
      </c>
      <c r="K4263" s="11">
        <f>IF(B4263&lt;C4263,1,EXP(-1*(B4263-C4263)/(Utilities!$B$11*IterData!H4263)))</f>
        <v>1</v>
      </c>
    </row>
    <row r="4264" spans="8:11" x14ac:dyDescent="0.3">
      <c r="H4264">
        <v>0.5</v>
      </c>
      <c r="I4264" s="11">
        <f t="shared" si="66"/>
        <v>0</v>
      </c>
      <c r="J4264" s="11">
        <f>1/(H4264*Utilities!$B$11)</f>
        <v>8</v>
      </c>
      <c r="K4264" s="11">
        <f>IF(B4264&lt;C4264,1,EXP(-1*(B4264-C4264)/(Utilities!$B$11*IterData!H4264)))</f>
        <v>1</v>
      </c>
    </row>
    <row r="4265" spans="8:11" x14ac:dyDescent="0.3">
      <c r="H4265">
        <v>0.5</v>
      </c>
      <c r="I4265" s="11">
        <f t="shared" si="66"/>
        <v>0</v>
      </c>
      <c r="J4265" s="11">
        <f>1/(H4265*Utilities!$B$11)</f>
        <v>8</v>
      </c>
      <c r="K4265" s="11">
        <f>IF(B4265&lt;C4265,1,EXP(-1*(B4265-C4265)/(Utilities!$B$11*IterData!H4265)))</f>
        <v>1</v>
      </c>
    </row>
    <row r="4266" spans="8:11" x14ac:dyDescent="0.3">
      <c r="H4266">
        <v>0.5</v>
      </c>
      <c r="I4266" s="11">
        <f t="shared" si="66"/>
        <v>0</v>
      </c>
      <c r="J4266" s="11">
        <f>1/(H4266*Utilities!$B$11)</f>
        <v>8</v>
      </c>
      <c r="K4266" s="11">
        <f>IF(B4266&lt;C4266,1,EXP(-1*(B4266-C4266)/(Utilities!$B$11*IterData!H4266)))</f>
        <v>1</v>
      </c>
    </row>
    <row r="4267" spans="8:11" x14ac:dyDescent="0.3">
      <c r="H4267">
        <v>0.5</v>
      </c>
      <c r="I4267" s="11">
        <f t="shared" si="66"/>
        <v>0</v>
      </c>
      <c r="J4267" s="11">
        <f>1/(H4267*Utilities!$B$11)</f>
        <v>8</v>
      </c>
      <c r="K4267" s="11">
        <f>IF(B4267&lt;C4267,1,EXP(-1*(B4267-C4267)/(Utilities!$B$11*IterData!H4267)))</f>
        <v>1</v>
      </c>
    </row>
    <row r="4268" spans="8:11" x14ac:dyDescent="0.3">
      <c r="H4268">
        <v>0.5</v>
      </c>
      <c r="I4268" s="11">
        <f t="shared" si="66"/>
        <v>0</v>
      </c>
      <c r="J4268" s="11">
        <f>1/(H4268*Utilities!$B$11)</f>
        <v>8</v>
      </c>
      <c r="K4268" s="11">
        <f>IF(B4268&lt;C4268,1,EXP(-1*(B4268-C4268)/(Utilities!$B$11*IterData!H4268)))</f>
        <v>1</v>
      </c>
    </row>
    <row r="4269" spans="8:11" x14ac:dyDescent="0.3">
      <c r="H4269">
        <v>0.5</v>
      </c>
      <c r="I4269" s="11">
        <f t="shared" si="66"/>
        <v>0</v>
      </c>
      <c r="J4269" s="11">
        <f>1/(H4269*Utilities!$B$11)</f>
        <v>8</v>
      </c>
      <c r="K4269" s="11">
        <f>IF(B4269&lt;C4269,1,EXP(-1*(B4269-C4269)/(Utilities!$B$11*IterData!H4269)))</f>
        <v>1</v>
      </c>
    </row>
    <row r="4270" spans="8:11" x14ac:dyDescent="0.3">
      <c r="H4270">
        <v>0.5</v>
      </c>
      <c r="I4270" s="11">
        <f t="shared" si="66"/>
        <v>0</v>
      </c>
      <c r="J4270" s="11">
        <f>1/(H4270*Utilities!$B$11)</f>
        <v>8</v>
      </c>
      <c r="K4270" s="11">
        <f>IF(B4270&lt;C4270,1,EXP(-1*(B4270-C4270)/(Utilities!$B$11*IterData!H4270)))</f>
        <v>1</v>
      </c>
    </row>
    <row r="4271" spans="8:11" x14ac:dyDescent="0.3">
      <c r="H4271">
        <v>0.5</v>
      </c>
      <c r="I4271" s="11">
        <f t="shared" si="66"/>
        <v>0</v>
      </c>
      <c r="J4271" s="11">
        <f>1/(H4271*Utilities!$B$11)</f>
        <v>8</v>
      </c>
      <c r="K4271" s="11">
        <f>IF(B4271&lt;C4271,1,EXP(-1*(B4271-C4271)/(Utilities!$B$11*IterData!H4271)))</f>
        <v>1</v>
      </c>
    </row>
    <row r="4272" spans="8:11" x14ac:dyDescent="0.3">
      <c r="H4272">
        <v>0.5</v>
      </c>
      <c r="I4272" s="11">
        <f t="shared" si="66"/>
        <v>0</v>
      </c>
      <c r="J4272" s="11">
        <f>1/(H4272*Utilities!$B$11)</f>
        <v>8</v>
      </c>
      <c r="K4272" s="11">
        <f>IF(B4272&lt;C4272,1,EXP(-1*(B4272-C4272)/(Utilities!$B$11*IterData!H4272)))</f>
        <v>1</v>
      </c>
    </row>
    <row r="4273" spans="8:11" x14ac:dyDescent="0.3">
      <c r="H4273">
        <v>0.5</v>
      </c>
      <c r="I4273" s="11">
        <f t="shared" si="66"/>
        <v>0</v>
      </c>
      <c r="J4273" s="11">
        <f>1/(H4273*Utilities!$B$11)</f>
        <v>8</v>
      </c>
      <c r="K4273" s="11">
        <f>IF(B4273&lt;C4273,1,EXP(-1*(B4273-C4273)/(Utilities!$B$11*IterData!H4273)))</f>
        <v>1</v>
      </c>
    </row>
    <row r="4274" spans="8:11" x14ac:dyDescent="0.3">
      <c r="H4274">
        <v>0.5</v>
      </c>
      <c r="I4274" s="11">
        <f t="shared" si="66"/>
        <v>0</v>
      </c>
      <c r="J4274" s="11">
        <f>1/(H4274*Utilities!$B$11)</f>
        <v>8</v>
      </c>
      <c r="K4274" s="11">
        <f>IF(B4274&lt;C4274,1,EXP(-1*(B4274-C4274)/(Utilities!$B$11*IterData!H4274)))</f>
        <v>1</v>
      </c>
    </row>
    <row r="4275" spans="8:11" x14ac:dyDescent="0.3">
      <c r="H4275">
        <v>0.5</v>
      </c>
      <c r="I4275" s="11">
        <f t="shared" si="66"/>
        <v>0</v>
      </c>
      <c r="J4275" s="11">
        <f>1/(H4275*Utilities!$B$11)</f>
        <v>8</v>
      </c>
      <c r="K4275" s="11">
        <f>IF(B4275&lt;C4275,1,EXP(-1*(B4275-C4275)/(Utilities!$B$11*IterData!H4275)))</f>
        <v>1</v>
      </c>
    </row>
    <row r="4276" spans="8:11" x14ac:dyDescent="0.3">
      <c r="H4276">
        <v>0.5</v>
      </c>
      <c r="I4276" s="11">
        <f t="shared" si="66"/>
        <v>0</v>
      </c>
      <c r="J4276" s="11">
        <f>1/(H4276*Utilities!$B$11)</f>
        <v>8</v>
      </c>
      <c r="K4276" s="11">
        <f>IF(B4276&lt;C4276,1,EXP(-1*(B4276-C4276)/(Utilities!$B$11*IterData!H4276)))</f>
        <v>1</v>
      </c>
    </row>
    <row r="4277" spans="8:11" x14ac:dyDescent="0.3">
      <c r="H4277">
        <v>0.5</v>
      </c>
      <c r="I4277" s="11">
        <f t="shared" si="66"/>
        <v>0</v>
      </c>
      <c r="J4277" s="11">
        <f>1/(H4277*Utilities!$B$11)</f>
        <v>8</v>
      </c>
      <c r="K4277" s="11">
        <f>IF(B4277&lt;C4277,1,EXP(-1*(B4277-C4277)/(Utilities!$B$11*IterData!H4277)))</f>
        <v>1</v>
      </c>
    </row>
    <row r="4278" spans="8:11" x14ac:dyDescent="0.3">
      <c r="H4278">
        <v>0.5</v>
      </c>
      <c r="I4278" s="11">
        <f t="shared" si="66"/>
        <v>0</v>
      </c>
      <c r="J4278" s="11">
        <f>1/(H4278*Utilities!$B$11)</f>
        <v>8</v>
      </c>
      <c r="K4278" s="11">
        <f>IF(B4278&lt;C4278,1,EXP(-1*(B4278-C4278)/(Utilities!$B$11*IterData!H4278)))</f>
        <v>1</v>
      </c>
    </row>
    <row r="4279" spans="8:11" x14ac:dyDescent="0.3">
      <c r="H4279">
        <v>0.5</v>
      </c>
      <c r="I4279" s="11">
        <f t="shared" si="66"/>
        <v>0</v>
      </c>
      <c r="J4279" s="11">
        <f>1/(H4279*Utilities!$B$11)</f>
        <v>8</v>
      </c>
      <c r="K4279" s="11">
        <f>IF(B4279&lt;C4279,1,EXP(-1*(B4279-C4279)/(Utilities!$B$11*IterData!H4279)))</f>
        <v>1</v>
      </c>
    </row>
    <row r="4280" spans="8:11" x14ac:dyDescent="0.3">
      <c r="H4280">
        <v>0.5</v>
      </c>
      <c r="I4280" s="11">
        <f t="shared" si="66"/>
        <v>0</v>
      </c>
      <c r="J4280" s="11">
        <f>1/(H4280*Utilities!$B$11)</f>
        <v>8</v>
      </c>
      <c r="K4280" s="11">
        <f>IF(B4280&lt;C4280,1,EXP(-1*(B4280-C4280)/(Utilities!$B$11*IterData!H4280)))</f>
        <v>1</v>
      </c>
    </row>
    <row r="4281" spans="8:11" x14ac:dyDescent="0.3">
      <c r="H4281">
        <v>0.5</v>
      </c>
      <c r="I4281" s="11">
        <f t="shared" si="66"/>
        <v>0</v>
      </c>
      <c r="J4281" s="11">
        <f>1/(H4281*Utilities!$B$11)</f>
        <v>8</v>
      </c>
      <c r="K4281" s="11">
        <f>IF(B4281&lt;C4281,1,EXP(-1*(B4281-C4281)/(Utilities!$B$11*IterData!H4281)))</f>
        <v>1</v>
      </c>
    </row>
    <row r="4282" spans="8:11" x14ac:dyDescent="0.3">
      <c r="H4282">
        <v>0.5</v>
      </c>
      <c r="I4282" s="11">
        <f t="shared" si="66"/>
        <v>0</v>
      </c>
      <c r="J4282" s="11">
        <f>1/(H4282*Utilities!$B$11)</f>
        <v>8</v>
      </c>
      <c r="K4282" s="11">
        <f>IF(B4282&lt;C4282,1,EXP(-1*(B4282-C4282)/(Utilities!$B$11*IterData!H4282)))</f>
        <v>1</v>
      </c>
    </row>
    <row r="4283" spans="8:11" x14ac:dyDescent="0.3">
      <c r="H4283">
        <v>0.5</v>
      </c>
      <c r="I4283" s="11">
        <f t="shared" si="66"/>
        <v>0</v>
      </c>
      <c r="J4283" s="11">
        <f>1/(H4283*Utilities!$B$11)</f>
        <v>8</v>
      </c>
      <c r="K4283" s="11">
        <f>IF(B4283&lt;C4283,1,EXP(-1*(B4283-C4283)/(Utilities!$B$11*IterData!H4283)))</f>
        <v>1</v>
      </c>
    </row>
    <row r="4284" spans="8:11" x14ac:dyDescent="0.3">
      <c r="H4284">
        <v>0.5</v>
      </c>
      <c r="I4284" s="11">
        <f t="shared" si="66"/>
        <v>0</v>
      </c>
      <c r="J4284" s="11">
        <f>1/(H4284*Utilities!$B$11)</f>
        <v>8</v>
      </c>
      <c r="K4284" s="11">
        <f>IF(B4284&lt;C4284,1,EXP(-1*(B4284-C4284)/(Utilities!$B$11*IterData!H4284)))</f>
        <v>1</v>
      </c>
    </row>
    <row r="4285" spans="8:11" x14ac:dyDescent="0.3">
      <c r="H4285">
        <v>0.5</v>
      </c>
      <c r="I4285" s="11">
        <f t="shared" si="66"/>
        <v>0</v>
      </c>
      <c r="J4285" s="11">
        <f>1/(H4285*Utilities!$B$11)</f>
        <v>8</v>
      </c>
      <c r="K4285" s="11">
        <f>IF(B4285&lt;C4285,1,EXP(-1*(B4285-C4285)/(Utilities!$B$11*IterData!H4285)))</f>
        <v>1</v>
      </c>
    </row>
    <row r="4286" spans="8:11" x14ac:dyDescent="0.3">
      <c r="H4286">
        <v>0.5</v>
      </c>
      <c r="I4286" s="11">
        <f t="shared" si="66"/>
        <v>0</v>
      </c>
      <c r="J4286" s="11">
        <f>1/(H4286*Utilities!$B$11)</f>
        <v>8</v>
      </c>
      <c r="K4286" s="11">
        <f>IF(B4286&lt;C4286,1,EXP(-1*(B4286-C4286)/(Utilities!$B$11*IterData!H4286)))</f>
        <v>1</v>
      </c>
    </row>
    <row r="4287" spans="8:11" x14ac:dyDescent="0.3">
      <c r="H4287">
        <v>0.5</v>
      </c>
      <c r="I4287" s="11">
        <f t="shared" si="66"/>
        <v>0</v>
      </c>
      <c r="J4287" s="11">
        <f>1/(H4287*Utilities!$B$11)</f>
        <v>8</v>
      </c>
      <c r="K4287" s="11">
        <f>IF(B4287&lt;C4287,1,EXP(-1*(B4287-C4287)/(Utilities!$B$11*IterData!H4287)))</f>
        <v>1</v>
      </c>
    </row>
    <row r="4288" spans="8:11" x14ac:dyDescent="0.3">
      <c r="H4288">
        <v>0.5</v>
      </c>
      <c r="I4288" s="11">
        <f t="shared" si="66"/>
        <v>0</v>
      </c>
      <c r="J4288" s="11">
        <f>1/(H4288*Utilities!$B$11)</f>
        <v>8</v>
      </c>
      <c r="K4288" s="11">
        <f>IF(B4288&lt;C4288,1,EXP(-1*(B4288-C4288)/(Utilities!$B$11*IterData!H4288)))</f>
        <v>1</v>
      </c>
    </row>
    <row r="4289" spans="8:11" x14ac:dyDescent="0.3">
      <c r="H4289">
        <v>0.5</v>
      </c>
      <c r="I4289" s="11">
        <f t="shared" si="66"/>
        <v>0</v>
      </c>
      <c r="J4289" s="11">
        <f>1/(H4289*Utilities!$B$11)</f>
        <v>8</v>
      </c>
      <c r="K4289" s="11">
        <f>IF(B4289&lt;C4289,1,EXP(-1*(B4289-C4289)/(Utilities!$B$11*IterData!H4289)))</f>
        <v>1</v>
      </c>
    </row>
    <row r="4290" spans="8:11" x14ac:dyDescent="0.3">
      <c r="H4290">
        <v>0.5</v>
      </c>
      <c r="I4290" s="11">
        <f t="shared" si="66"/>
        <v>0</v>
      </c>
      <c r="J4290" s="11">
        <f>1/(H4290*Utilities!$B$11)</f>
        <v>8</v>
      </c>
      <c r="K4290" s="11">
        <f>IF(B4290&lt;C4290,1,EXP(-1*(B4290-C4290)/(Utilities!$B$11*IterData!H4290)))</f>
        <v>1</v>
      </c>
    </row>
    <row r="4291" spans="8:11" x14ac:dyDescent="0.3">
      <c r="H4291">
        <v>0.5</v>
      </c>
      <c r="I4291" s="11">
        <f t="shared" ref="I4291:I4354" si="67">B4291-C4291</f>
        <v>0</v>
      </c>
      <c r="J4291" s="11">
        <f>1/(H4291*Utilities!$B$11)</f>
        <v>8</v>
      </c>
      <c r="K4291" s="11">
        <f>IF(B4291&lt;C4291,1,EXP(-1*(B4291-C4291)/(Utilities!$B$11*IterData!H4291)))</f>
        <v>1</v>
      </c>
    </row>
    <row r="4292" spans="8:11" x14ac:dyDescent="0.3">
      <c r="H4292">
        <v>0.5</v>
      </c>
      <c r="I4292" s="11">
        <f t="shared" si="67"/>
        <v>0</v>
      </c>
      <c r="J4292" s="11">
        <f>1/(H4292*Utilities!$B$11)</f>
        <v>8</v>
      </c>
      <c r="K4292" s="11">
        <f>IF(B4292&lt;C4292,1,EXP(-1*(B4292-C4292)/(Utilities!$B$11*IterData!H4292)))</f>
        <v>1</v>
      </c>
    </row>
    <row r="4293" spans="8:11" x14ac:dyDescent="0.3">
      <c r="H4293">
        <v>0.5</v>
      </c>
      <c r="I4293" s="11">
        <f t="shared" si="67"/>
        <v>0</v>
      </c>
      <c r="J4293" s="11">
        <f>1/(H4293*Utilities!$B$11)</f>
        <v>8</v>
      </c>
      <c r="K4293" s="11">
        <f>IF(B4293&lt;C4293,1,EXP(-1*(B4293-C4293)/(Utilities!$B$11*IterData!H4293)))</f>
        <v>1</v>
      </c>
    </row>
    <row r="4294" spans="8:11" x14ac:dyDescent="0.3">
      <c r="H4294">
        <v>0.5</v>
      </c>
      <c r="I4294" s="11">
        <f t="shared" si="67"/>
        <v>0</v>
      </c>
      <c r="J4294" s="11">
        <f>1/(H4294*Utilities!$B$11)</f>
        <v>8</v>
      </c>
      <c r="K4294" s="11">
        <f>IF(B4294&lt;C4294,1,EXP(-1*(B4294-C4294)/(Utilities!$B$11*IterData!H4294)))</f>
        <v>1</v>
      </c>
    </row>
    <row r="4295" spans="8:11" x14ac:dyDescent="0.3">
      <c r="H4295">
        <v>0.5</v>
      </c>
      <c r="I4295" s="11">
        <f t="shared" si="67"/>
        <v>0</v>
      </c>
      <c r="J4295" s="11">
        <f>1/(H4295*Utilities!$B$11)</f>
        <v>8</v>
      </c>
      <c r="K4295" s="11">
        <f>IF(B4295&lt;C4295,1,EXP(-1*(B4295-C4295)/(Utilities!$B$11*IterData!H4295)))</f>
        <v>1</v>
      </c>
    </row>
    <row r="4296" spans="8:11" x14ac:dyDescent="0.3">
      <c r="H4296">
        <v>0.5</v>
      </c>
      <c r="I4296" s="11">
        <f t="shared" si="67"/>
        <v>0</v>
      </c>
      <c r="J4296" s="11">
        <f>1/(H4296*Utilities!$B$11)</f>
        <v>8</v>
      </c>
      <c r="K4296" s="11">
        <f>IF(B4296&lt;C4296,1,EXP(-1*(B4296-C4296)/(Utilities!$B$11*IterData!H4296)))</f>
        <v>1</v>
      </c>
    </row>
    <row r="4297" spans="8:11" x14ac:dyDescent="0.3">
      <c r="H4297">
        <v>0.5</v>
      </c>
      <c r="I4297" s="11">
        <f t="shared" si="67"/>
        <v>0</v>
      </c>
      <c r="J4297" s="11">
        <f>1/(H4297*Utilities!$B$11)</f>
        <v>8</v>
      </c>
      <c r="K4297" s="11">
        <f>IF(B4297&lt;C4297,1,EXP(-1*(B4297-C4297)/(Utilities!$B$11*IterData!H4297)))</f>
        <v>1</v>
      </c>
    </row>
    <row r="4298" spans="8:11" x14ac:dyDescent="0.3">
      <c r="H4298">
        <v>0.5</v>
      </c>
      <c r="I4298" s="11">
        <f t="shared" si="67"/>
        <v>0</v>
      </c>
      <c r="J4298" s="11">
        <f>1/(H4298*Utilities!$B$11)</f>
        <v>8</v>
      </c>
      <c r="K4298" s="11">
        <f>IF(B4298&lt;C4298,1,EXP(-1*(B4298-C4298)/(Utilities!$B$11*IterData!H4298)))</f>
        <v>1</v>
      </c>
    </row>
    <row r="4299" spans="8:11" x14ac:dyDescent="0.3">
      <c r="H4299">
        <v>0.5</v>
      </c>
      <c r="I4299" s="11">
        <f t="shared" si="67"/>
        <v>0</v>
      </c>
      <c r="J4299" s="11">
        <f>1/(H4299*Utilities!$B$11)</f>
        <v>8</v>
      </c>
      <c r="K4299" s="11">
        <f>IF(B4299&lt;C4299,1,EXP(-1*(B4299-C4299)/(Utilities!$B$11*IterData!H4299)))</f>
        <v>1</v>
      </c>
    </row>
    <row r="4300" spans="8:11" x14ac:dyDescent="0.3">
      <c r="H4300">
        <v>0.5</v>
      </c>
      <c r="I4300" s="11">
        <f t="shared" si="67"/>
        <v>0</v>
      </c>
      <c r="J4300" s="11">
        <f>1/(H4300*Utilities!$B$11)</f>
        <v>8</v>
      </c>
      <c r="K4300" s="11">
        <f>IF(B4300&lt;C4300,1,EXP(-1*(B4300-C4300)/(Utilities!$B$11*IterData!H4300)))</f>
        <v>1</v>
      </c>
    </row>
    <row r="4301" spans="8:11" x14ac:dyDescent="0.3">
      <c r="H4301">
        <v>0.5</v>
      </c>
      <c r="I4301" s="11">
        <f t="shared" si="67"/>
        <v>0</v>
      </c>
      <c r="J4301" s="11">
        <f>1/(H4301*Utilities!$B$11)</f>
        <v>8</v>
      </c>
      <c r="K4301" s="11">
        <f>IF(B4301&lt;C4301,1,EXP(-1*(B4301-C4301)/(Utilities!$B$11*IterData!H4301)))</f>
        <v>1</v>
      </c>
    </row>
    <row r="4302" spans="8:11" x14ac:dyDescent="0.3">
      <c r="H4302">
        <v>0.5</v>
      </c>
      <c r="I4302" s="11">
        <f t="shared" si="67"/>
        <v>0</v>
      </c>
      <c r="J4302" s="11">
        <f>1/(H4302*Utilities!$B$11)</f>
        <v>8</v>
      </c>
      <c r="K4302" s="11">
        <f>IF(B4302&lt;C4302,1,EXP(-1*(B4302-C4302)/(Utilities!$B$11*IterData!H4302)))</f>
        <v>1</v>
      </c>
    </row>
    <row r="4303" spans="8:11" x14ac:dyDescent="0.3">
      <c r="H4303">
        <v>0.5</v>
      </c>
      <c r="I4303" s="11">
        <f t="shared" si="67"/>
        <v>0</v>
      </c>
      <c r="J4303" s="11">
        <f>1/(H4303*Utilities!$B$11)</f>
        <v>8</v>
      </c>
      <c r="K4303" s="11">
        <f>IF(B4303&lt;C4303,1,EXP(-1*(B4303-C4303)/(Utilities!$B$11*IterData!H4303)))</f>
        <v>1</v>
      </c>
    </row>
    <row r="4304" spans="8:11" x14ac:dyDescent="0.3">
      <c r="H4304">
        <v>0.5</v>
      </c>
      <c r="I4304" s="11">
        <f t="shared" si="67"/>
        <v>0</v>
      </c>
      <c r="J4304" s="11">
        <f>1/(H4304*Utilities!$B$11)</f>
        <v>8</v>
      </c>
      <c r="K4304" s="11">
        <f>IF(B4304&lt;C4304,1,EXP(-1*(B4304-C4304)/(Utilities!$B$11*IterData!H4304)))</f>
        <v>1</v>
      </c>
    </row>
    <row r="4305" spans="8:11" x14ac:dyDescent="0.3">
      <c r="H4305">
        <v>0.5</v>
      </c>
      <c r="I4305" s="11">
        <f t="shared" si="67"/>
        <v>0</v>
      </c>
      <c r="J4305" s="11">
        <f>1/(H4305*Utilities!$B$11)</f>
        <v>8</v>
      </c>
      <c r="K4305" s="11">
        <f>IF(B4305&lt;C4305,1,EXP(-1*(B4305-C4305)/(Utilities!$B$11*IterData!H4305)))</f>
        <v>1</v>
      </c>
    </row>
    <row r="4306" spans="8:11" x14ac:dyDescent="0.3">
      <c r="H4306">
        <v>0.5</v>
      </c>
      <c r="I4306" s="11">
        <f t="shared" si="67"/>
        <v>0</v>
      </c>
      <c r="J4306" s="11">
        <f>1/(H4306*Utilities!$B$11)</f>
        <v>8</v>
      </c>
      <c r="K4306" s="11">
        <f>IF(B4306&lt;C4306,1,EXP(-1*(B4306-C4306)/(Utilities!$B$11*IterData!H4306)))</f>
        <v>1</v>
      </c>
    </row>
    <row r="4307" spans="8:11" x14ac:dyDescent="0.3">
      <c r="H4307">
        <v>0.5</v>
      </c>
      <c r="I4307" s="11">
        <f t="shared" si="67"/>
        <v>0</v>
      </c>
      <c r="J4307" s="11">
        <f>1/(H4307*Utilities!$B$11)</f>
        <v>8</v>
      </c>
      <c r="K4307" s="11">
        <f>IF(B4307&lt;C4307,1,EXP(-1*(B4307-C4307)/(Utilities!$B$11*IterData!H4307)))</f>
        <v>1</v>
      </c>
    </row>
    <row r="4308" spans="8:11" x14ac:dyDescent="0.3">
      <c r="H4308">
        <v>0.5</v>
      </c>
      <c r="I4308" s="11">
        <f t="shared" si="67"/>
        <v>0</v>
      </c>
      <c r="J4308" s="11">
        <f>1/(H4308*Utilities!$B$11)</f>
        <v>8</v>
      </c>
      <c r="K4308" s="11">
        <f>IF(B4308&lt;C4308,1,EXP(-1*(B4308-C4308)/(Utilities!$B$11*IterData!H4308)))</f>
        <v>1</v>
      </c>
    </row>
    <row r="4309" spans="8:11" x14ac:dyDescent="0.3">
      <c r="H4309">
        <v>0.5</v>
      </c>
      <c r="I4309" s="11">
        <f t="shared" si="67"/>
        <v>0</v>
      </c>
      <c r="J4309" s="11">
        <f>1/(H4309*Utilities!$B$11)</f>
        <v>8</v>
      </c>
      <c r="K4309" s="11">
        <f>IF(B4309&lt;C4309,1,EXP(-1*(B4309-C4309)/(Utilities!$B$11*IterData!H4309)))</f>
        <v>1</v>
      </c>
    </row>
    <row r="4310" spans="8:11" x14ac:dyDescent="0.3">
      <c r="H4310">
        <v>0.5</v>
      </c>
      <c r="I4310" s="11">
        <f t="shared" si="67"/>
        <v>0</v>
      </c>
      <c r="J4310" s="11">
        <f>1/(H4310*Utilities!$B$11)</f>
        <v>8</v>
      </c>
      <c r="K4310" s="11">
        <f>IF(B4310&lt;C4310,1,EXP(-1*(B4310-C4310)/(Utilities!$B$11*IterData!H4310)))</f>
        <v>1</v>
      </c>
    </row>
    <row r="4311" spans="8:11" x14ac:dyDescent="0.3">
      <c r="H4311">
        <v>0.5</v>
      </c>
      <c r="I4311" s="11">
        <f t="shared" si="67"/>
        <v>0</v>
      </c>
      <c r="J4311" s="11">
        <f>1/(H4311*Utilities!$B$11)</f>
        <v>8</v>
      </c>
      <c r="K4311" s="11">
        <f>IF(B4311&lt;C4311,1,EXP(-1*(B4311-C4311)/(Utilities!$B$11*IterData!H4311)))</f>
        <v>1</v>
      </c>
    </row>
    <row r="4312" spans="8:11" x14ac:dyDescent="0.3">
      <c r="H4312">
        <v>0.5</v>
      </c>
      <c r="I4312" s="11">
        <f t="shared" si="67"/>
        <v>0</v>
      </c>
      <c r="J4312" s="11">
        <f>1/(H4312*Utilities!$B$11)</f>
        <v>8</v>
      </c>
      <c r="K4312" s="11">
        <f>IF(B4312&lt;C4312,1,EXP(-1*(B4312-C4312)/(Utilities!$B$11*IterData!H4312)))</f>
        <v>1</v>
      </c>
    </row>
    <row r="4313" spans="8:11" x14ac:dyDescent="0.3">
      <c r="H4313">
        <v>0.5</v>
      </c>
      <c r="I4313" s="11">
        <f t="shared" si="67"/>
        <v>0</v>
      </c>
      <c r="J4313" s="11">
        <f>1/(H4313*Utilities!$B$11)</f>
        <v>8</v>
      </c>
      <c r="K4313" s="11">
        <f>IF(B4313&lt;C4313,1,EXP(-1*(B4313-C4313)/(Utilities!$B$11*IterData!H4313)))</f>
        <v>1</v>
      </c>
    </row>
    <row r="4314" spans="8:11" x14ac:dyDescent="0.3">
      <c r="H4314">
        <v>0.5</v>
      </c>
      <c r="I4314" s="11">
        <f t="shared" si="67"/>
        <v>0</v>
      </c>
      <c r="J4314" s="11">
        <f>1/(H4314*Utilities!$B$11)</f>
        <v>8</v>
      </c>
      <c r="K4314" s="11">
        <f>IF(B4314&lt;C4314,1,EXP(-1*(B4314-C4314)/(Utilities!$B$11*IterData!H4314)))</f>
        <v>1</v>
      </c>
    </row>
    <row r="4315" spans="8:11" x14ac:dyDescent="0.3">
      <c r="H4315">
        <v>0.5</v>
      </c>
      <c r="I4315" s="11">
        <f t="shared" si="67"/>
        <v>0</v>
      </c>
      <c r="J4315" s="11">
        <f>1/(H4315*Utilities!$B$11)</f>
        <v>8</v>
      </c>
      <c r="K4315" s="11">
        <f>IF(B4315&lt;C4315,1,EXP(-1*(B4315-C4315)/(Utilities!$B$11*IterData!H4315)))</f>
        <v>1</v>
      </c>
    </row>
    <row r="4316" spans="8:11" x14ac:dyDescent="0.3">
      <c r="H4316">
        <v>0.5</v>
      </c>
      <c r="I4316" s="11">
        <f t="shared" si="67"/>
        <v>0</v>
      </c>
      <c r="J4316" s="11">
        <f>1/(H4316*Utilities!$B$11)</f>
        <v>8</v>
      </c>
      <c r="K4316" s="11">
        <f>IF(B4316&lt;C4316,1,EXP(-1*(B4316-C4316)/(Utilities!$B$11*IterData!H4316)))</f>
        <v>1</v>
      </c>
    </row>
    <row r="4317" spans="8:11" x14ac:dyDescent="0.3">
      <c r="H4317">
        <v>0.5</v>
      </c>
      <c r="I4317" s="11">
        <f t="shared" si="67"/>
        <v>0</v>
      </c>
      <c r="J4317" s="11">
        <f>1/(H4317*Utilities!$B$11)</f>
        <v>8</v>
      </c>
      <c r="K4317" s="11">
        <f>IF(B4317&lt;C4317,1,EXP(-1*(B4317-C4317)/(Utilities!$B$11*IterData!H4317)))</f>
        <v>1</v>
      </c>
    </row>
    <row r="4318" spans="8:11" x14ac:dyDescent="0.3">
      <c r="H4318">
        <v>0.5</v>
      </c>
      <c r="I4318" s="11">
        <f t="shared" si="67"/>
        <v>0</v>
      </c>
      <c r="J4318" s="11">
        <f>1/(H4318*Utilities!$B$11)</f>
        <v>8</v>
      </c>
      <c r="K4318" s="11">
        <f>IF(B4318&lt;C4318,1,EXP(-1*(B4318-C4318)/(Utilities!$B$11*IterData!H4318)))</f>
        <v>1</v>
      </c>
    </row>
    <row r="4319" spans="8:11" x14ac:dyDescent="0.3">
      <c r="H4319">
        <v>0.5</v>
      </c>
      <c r="I4319" s="11">
        <f t="shared" si="67"/>
        <v>0</v>
      </c>
      <c r="J4319" s="11">
        <f>1/(H4319*Utilities!$B$11)</f>
        <v>8</v>
      </c>
      <c r="K4319" s="11">
        <f>IF(B4319&lt;C4319,1,EXP(-1*(B4319-C4319)/(Utilities!$B$11*IterData!H4319)))</f>
        <v>1</v>
      </c>
    </row>
    <row r="4320" spans="8:11" x14ac:dyDescent="0.3">
      <c r="H4320">
        <v>0.5</v>
      </c>
      <c r="I4320" s="11">
        <f t="shared" si="67"/>
        <v>0</v>
      </c>
      <c r="J4320" s="11">
        <f>1/(H4320*Utilities!$B$11)</f>
        <v>8</v>
      </c>
      <c r="K4320" s="11">
        <f>IF(B4320&lt;C4320,1,EXP(-1*(B4320-C4320)/(Utilities!$B$11*IterData!H4320)))</f>
        <v>1</v>
      </c>
    </row>
    <row r="4321" spans="8:11" x14ac:dyDescent="0.3">
      <c r="H4321">
        <v>0.5</v>
      </c>
      <c r="I4321" s="11">
        <f t="shared" si="67"/>
        <v>0</v>
      </c>
      <c r="J4321" s="11">
        <f>1/(H4321*Utilities!$B$11)</f>
        <v>8</v>
      </c>
      <c r="K4321" s="11">
        <f>IF(B4321&lt;C4321,1,EXP(-1*(B4321-C4321)/(Utilities!$B$11*IterData!H4321)))</f>
        <v>1</v>
      </c>
    </row>
    <row r="4322" spans="8:11" x14ac:dyDescent="0.3">
      <c r="H4322">
        <v>0.5</v>
      </c>
      <c r="I4322" s="11">
        <f t="shared" si="67"/>
        <v>0</v>
      </c>
      <c r="J4322" s="11">
        <f>1/(H4322*Utilities!$B$11)</f>
        <v>8</v>
      </c>
      <c r="K4322" s="11">
        <f>IF(B4322&lt;C4322,1,EXP(-1*(B4322-C4322)/(Utilities!$B$11*IterData!H4322)))</f>
        <v>1</v>
      </c>
    </row>
    <row r="4323" spans="8:11" x14ac:dyDescent="0.3">
      <c r="H4323">
        <v>0.5</v>
      </c>
      <c r="I4323" s="11">
        <f t="shared" si="67"/>
        <v>0</v>
      </c>
      <c r="J4323" s="11">
        <f>1/(H4323*Utilities!$B$11)</f>
        <v>8</v>
      </c>
      <c r="K4323" s="11">
        <f>IF(B4323&lt;C4323,1,EXP(-1*(B4323-C4323)/(Utilities!$B$11*IterData!H4323)))</f>
        <v>1</v>
      </c>
    </row>
    <row r="4324" spans="8:11" x14ac:dyDescent="0.3">
      <c r="H4324">
        <v>0.5</v>
      </c>
      <c r="I4324" s="11">
        <f t="shared" si="67"/>
        <v>0</v>
      </c>
      <c r="J4324" s="11">
        <f>1/(H4324*Utilities!$B$11)</f>
        <v>8</v>
      </c>
      <c r="K4324" s="11">
        <f>IF(B4324&lt;C4324,1,EXP(-1*(B4324-C4324)/(Utilities!$B$11*IterData!H4324)))</f>
        <v>1</v>
      </c>
    </row>
    <row r="4325" spans="8:11" x14ac:dyDescent="0.3">
      <c r="H4325">
        <v>0.5</v>
      </c>
      <c r="I4325" s="11">
        <f t="shared" si="67"/>
        <v>0</v>
      </c>
      <c r="J4325" s="11">
        <f>1/(H4325*Utilities!$B$11)</f>
        <v>8</v>
      </c>
      <c r="K4325" s="11">
        <f>IF(B4325&lt;C4325,1,EXP(-1*(B4325-C4325)/(Utilities!$B$11*IterData!H4325)))</f>
        <v>1</v>
      </c>
    </row>
    <row r="4326" spans="8:11" x14ac:dyDescent="0.3">
      <c r="H4326">
        <v>0.5</v>
      </c>
      <c r="I4326" s="11">
        <f t="shared" si="67"/>
        <v>0</v>
      </c>
      <c r="J4326" s="11">
        <f>1/(H4326*Utilities!$B$11)</f>
        <v>8</v>
      </c>
      <c r="K4326" s="11">
        <f>IF(B4326&lt;C4326,1,EXP(-1*(B4326-C4326)/(Utilities!$B$11*IterData!H4326)))</f>
        <v>1</v>
      </c>
    </row>
    <row r="4327" spans="8:11" x14ac:dyDescent="0.3">
      <c r="H4327">
        <v>0.5</v>
      </c>
      <c r="I4327" s="11">
        <f t="shared" si="67"/>
        <v>0</v>
      </c>
      <c r="J4327" s="11">
        <f>1/(H4327*Utilities!$B$11)</f>
        <v>8</v>
      </c>
      <c r="K4327" s="11">
        <f>IF(B4327&lt;C4327,1,EXP(-1*(B4327-C4327)/(Utilities!$B$11*IterData!H4327)))</f>
        <v>1</v>
      </c>
    </row>
    <row r="4328" spans="8:11" x14ac:dyDescent="0.3">
      <c r="H4328">
        <v>0.5</v>
      </c>
      <c r="I4328" s="11">
        <f t="shared" si="67"/>
        <v>0</v>
      </c>
      <c r="J4328" s="11">
        <f>1/(H4328*Utilities!$B$11)</f>
        <v>8</v>
      </c>
      <c r="K4328" s="11">
        <f>IF(B4328&lt;C4328,1,EXP(-1*(B4328-C4328)/(Utilities!$B$11*IterData!H4328)))</f>
        <v>1</v>
      </c>
    </row>
    <row r="4329" spans="8:11" x14ac:dyDescent="0.3">
      <c r="H4329">
        <v>0.5</v>
      </c>
      <c r="I4329" s="11">
        <f t="shared" si="67"/>
        <v>0</v>
      </c>
      <c r="J4329" s="11">
        <f>1/(H4329*Utilities!$B$11)</f>
        <v>8</v>
      </c>
      <c r="K4329" s="11">
        <f>IF(B4329&lt;C4329,1,EXP(-1*(B4329-C4329)/(Utilities!$B$11*IterData!H4329)))</f>
        <v>1</v>
      </c>
    </row>
    <row r="4330" spans="8:11" x14ac:dyDescent="0.3">
      <c r="H4330">
        <v>0.5</v>
      </c>
      <c r="I4330" s="11">
        <f t="shared" si="67"/>
        <v>0</v>
      </c>
      <c r="J4330" s="11">
        <f>1/(H4330*Utilities!$B$11)</f>
        <v>8</v>
      </c>
      <c r="K4330" s="11">
        <f>IF(B4330&lt;C4330,1,EXP(-1*(B4330-C4330)/(Utilities!$B$11*IterData!H4330)))</f>
        <v>1</v>
      </c>
    </row>
    <row r="4331" spans="8:11" x14ac:dyDescent="0.3">
      <c r="H4331">
        <v>0.5</v>
      </c>
      <c r="I4331" s="11">
        <f t="shared" si="67"/>
        <v>0</v>
      </c>
      <c r="J4331" s="11">
        <f>1/(H4331*Utilities!$B$11)</f>
        <v>8</v>
      </c>
      <c r="K4331" s="11">
        <f>IF(B4331&lt;C4331,1,EXP(-1*(B4331-C4331)/(Utilities!$B$11*IterData!H4331)))</f>
        <v>1</v>
      </c>
    </row>
    <row r="4332" spans="8:11" x14ac:dyDescent="0.3">
      <c r="H4332">
        <v>0.5</v>
      </c>
      <c r="I4332" s="11">
        <f t="shared" si="67"/>
        <v>0</v>
      </c>
      <c r="J4332" s="11">
        <f>1/(H4332*Utilities!$B$11)</f>
        <v>8</v>
      </c>
      <c r="K4332" s="11">
        <f>IF(B4332&lt;C4332,1,EXP(-1*(B4332-C4332)/(Utilities!$B$11*IterData!H4332)))</f>
        <v>1</v>
      </c>
    </row>
    <row r="4333" spans="8:11" x14ac:dyDescent="0.3">
      <c r="H4333">
        <v>0.5</v>
      </c>
      <c r="I4333" s="11">
        <f t="shared" si="67"/>
        <v>0</v>
      </c>
      <c r="J4333" s="11">
        <f>1/(H4333*Utilities!$B$11)</f>
        <v>8</v>
      </c>
      <c r="K4333" s="11">
        <f>IF(B4333&lt;C4333,1,EXP(-1*(B4333-C4333)/(Utilities!$B$11*IterData!H4333)))</f>
        <v>1</v>
      </c>
    </row>
    <row r="4334" spans="8:11" x14ac:dyDescent="0.3">
      <c r="H4334">
        <v>0.5</v>
      </c>
      <c r="I4334" s="11">
        <f t="shared" si="67"/>
        <v>0</v>
      </c>
      <c r="J4334" s="11">
        <f>1/(H4334*Utilities!$B$11)</f>
        <v>8</v>
      </c>
      <c r="K4334" s="11">
        <f>IF(B4334&lt;C4334,1,EXP(-1*(B4334-C4334)/(Utilities!$B$11*IterData!H4334)))</f>
        <v>1</v>
      </c>
    </row>
    <row r="4335" spans="8:11" x14ac:dyDescent="0.3">
      <c r="H4335">
        <v>0.5</v>
      </c>
      <c r="I4335" s="11">
        <f t="shared" si="67"/>
        <v>0</v>
      </c>
      <c r="J4335" s="11">
        <f>1/(H4335*Utilities!$B$11)</f>
        <v>8</v>
      </c>
      <c r="K4335" s="11">
        <f>IF(B4335&lt;C4335,1,EXP(-1*(B4335-C4335)/(Utilities!$B$11*IterData!H4335)))</f>
        <v>1</v>
      </c>
    </row>
    <row r="4336" spans="8:11" x14ac:dyDescent="0.3">
      <c r="H4336">
        <v>0.5</v>
      </c>
      <c r="I4336" s="11">
        <f t="shared" si="67"/>
        <v>0</v>
      </c>
      <c r="J4336" s="11">
        <f>1/(H4336*Utilities!$B$11)</f>
        <v>8</v>
      </c>
      <c r="K4336" s="11">
        <f>IF(B4336&lt;C4336,1,EXP(-1*(B4336-C4336)/(Utilities!$B$11*IterData!H4336)))</f>
        <v>1</v>
      </c>
    </row>
    <row r="4337" spans="8:11" x14ac:dyDescent="0.3">
      <c r="H4337">
        <v>0.5</v>
      </c>
      <c r="I4337" s="11">
        <f t="shared" si="67"/>
        <v>0</v>
      </c>
      <c r="J4337" s="11">
        <f>1/(H4337*Utilities!$B$11)</f>
        <v>8</v>
      </c>
      <c r="K4337" s="11">
        <f>IF(B4337&lt;C4337,1,EXP(-1*(B4337-C4337)/(Utilities!$B$11*IterData!H4337)))</f>
        <v>1</v>
      </c>
    </row>
    <row r="4338" spans="8:11" x14ac:dyDescent="0.3">
      <c r="H4338">
        <v>0.5</v>
      </c>
      <c r="I4338" s="11">
        <f t="shared" si="67"/>
        <v>0</v>
      </c>
      <c r="J4338" s="11">
        <f>1/(H4338*Utilities!$B$11)</f>
        <v>8</v>
      </c>
      <c r="K4338" s="11">
        <f>IF(B4338&lt;C4338,1,EXP(-1*(B4338-C4338)/(Utilities!$B$11*IterData!H4338)))</f>
        <v>1</v>
      </c>
    </row>
    <row r="4339" spans="8:11" x14ac:dyDescent="0.3">
      <c r="H4339">
        <v>0.5</v>
      </c>
      <c r="I4339" s="11">
        <f t="shared" si="67"/>
        <v>0</v>
      </c>
      <c r="J4339" s="11">
        <f>1/(H4339*Utilities!$B$11)</f>
        <v>8</v>
      </c>
      <c r="K4339" s="11">
        <f>IF(B4339&lt;C4339,1,EXP(-1*(B4339-C4339)/(Utilities!$B$11*IterData!H4339)))</f>
        <v>1</v>
      </c>
    </row>
    <row r="4340" spans="8:11" x14ac:dyDescent="0.3">
      <c r="H4340">
        <v>0.5</v>
      </c>
      <c r="I4340" s="11">
        <f t="shared" si="67"/>
        <v>0</v>
      </c>
      <c r="J4340" s="11">
        <f>1/(H4340*Utilities!$B$11)</f>
        <v>8</v>
      </c>
      <c r="K4340" s="11">
        <f>IF(B4340&lt;C4340,1,EXP(-1*(B4340-C4340)/(Utilities!$B$11*IterData!H4340)))</f>
        <v>1</v>
      </c>
    </row>
    <row r="4341" spans="8:11" x14ac:dyDescent="0.3">
      <c r="H4341">
        <v>0.5</v>
      </c>
      <c r="I4341" s="11">
        <f t="shared" si="67"/>
        <v>0</v>
      </c>
      <c r="J4341" s="11">
        <f>1/(H4341*Utilities!$B$11)</f>
        <v>8</v>
      </c>
      <c r="K4341" s="11">
        <f>IF(B4341&lt;C4341,1,EXP(-1*(B4341-C4341)/(Utilities!$B$11*IterData!H4341)))</f>
        <v>1</v>
      </c>
    </row>
    <row r="4342" spans="8:11" x14ac:dyDescent="0.3">
      <c r="H4342">
        <v>0.5</v>
      </c>
      <c r="I4342" s="11">
        <f t="shared" si="67"/>
        <v>0</v>
      </c>
      <c r="J4342" s="11">
        <f>1/(H4342*Utilities!$B$11)</f>
        <v>8</v>
      </c>
      <c r="K4342" s="11">
        <f>IF(B4342&lt;C4342,1,EXP(-1*(B4342-C4342)/(Utilities!$B$11*IterData!H4342)))</f>
        <v>1</v>
      </c>
    </row>
    <row r="4343" spans="8:11" x14ac:dyDescent="0.3">
      <c r="H4343">
        <v>0.5</v>
      </c>
      <c r="I4343" s="11">
        <f t="shared" si="67"/>
        <v>0</v>
      </c>
      <c r="J4343" s="11">
        <f>1/(H4343*Utilities!$B$11)</f>
        <v>8</v>
      </c>
      <c r="K4343" s="11">
        <f>IF(B4343&lt;C4343,1,EXP(-1*(B4343-C4343)/(Utilities!$B$11*IterData!H4343)))</f>
        <v>1</v>
      </c>
    </row>
    <row r="4344" spans="8:11" x14ac:dyDescent="0.3">
      <c r="H4344">
        <v>0.5</v>
      </c>
      <c r="I4344" s="11">
        <f t="shared" si="67"/>
        <v>0</v>
      </c>
      <c r="J4344" s="11">
        <f>1/(H4344*Utilities!$B$11)</f>
        <v>8</v>
      </c>
      <c r="K4344" s="11">
        <f>IF(B4344&lt;C4344,1,EXP(-1*(B4344-C4344)/(Utilities!$B$11*IterData!H4344)))</f>
        <v>1</v>
      </c>
    </row>
    <row r="4345" spans="8:11" x14ac:dyDescent="0.3">
      <c r="H4345">
        <v>0.5</v>
      </c>
      <c r="I4345" s="11">
        <f t="shared" si="67"/>
        <v>0</v>
      </c>
      <c r="J4345" s="11">
        <f>1/(H4345*Utilities!$B$11)</f>
        <v>8</v>
      </c>
      <c r="K4345" s="11">
        <f>IF(B4345&lt;C4345,1,EXP(-1*(B4345-C4345)/(Utilities!$B$11*IterData!H4345)))</f>
        <v>1</v>
      </c>
    </row>
    <row r="4346" spans="8:11" x14ac:dyDescent="0.3">
      <c r="H4346">
        <v>0.5</v>
      </c>
      <c r="I4346" s="11">
        <f t="shared" si="67"/>
        <v>0</v>
      </c>
      <c r="J4346" s="11">
        <f>1/(H4346*Utilities!$B$11)</f>
        <v>8</v>
      </c>
      <c r="K4346" s="11">
        <f>IF(B4346&lt;C4346,1,EXP(-1*(B4346-C4346)/(Utilities!$B$11*IterData!H4346)))</f>
        <v>1</v>
      </c>
    </row>
    <row r="4347" spans="8:11" x14ac:dyDescent="0.3">
      <c r="H4347">
        <v>0.5</v>
      </c>
      <c r="I4347" s="11">
        <f t="shared" si="67"/>
        <v>0</v>
      </c>
      <c r="J4347" s="11">
        <f>1/(H4347*Utilities!$B$11)</f>
        <v>8</v>
      </c>
      <c r="K4347" s="11">
        <f>IF(B4347&lt;C4347,1,EXP(-1*(B4347-C4347)/(Utilities!$B$11*IterData!H4347)))</f>
        <v>1</v>
      </c>
    </row>
    <row r="4348" spans="8:11" x14ac:dyDescent="0.3">
      <c r="H4348">
        <v>0.5</v>
      </c>
      <c r="I4348" s="11">
        <f t="shared" si="67"/>
        <v>0</v>
      </c>
      <c r="J4348" s="11">
        <f>1/(H4348*Utilities!$B$11)</f>
        <v>8</v>
      </c>
      <c r="K4348" s="11">
        <f>IF(B4348&lt;C4348,1,EXP(-1*(B4348-C4348)/(Utilities!$B$11*IterData!H4348)))</f>
        <v>1</v>
      </c>
    </row>
    <row r="4349" spans="8:11" x14ac:dyDescent="0.3">
      <c r="H4349">
        <v>0.5</v>
      </c>
      <c r="I4349" s="11">
        <f t="shared" si="67"/>
        <v>0</v>
      </c>
      <c r="J4349" s="11">
        <f>1/(H4349*Utilities!$B$11)</f>
        <v>8</v>
      </c>
      <c r="K4349" s="11">
        <f>IF(B4349&lt;C4349,1,EXP(-1*(B4349-C4349)/(Utilities!$B$11*IterData!H4349)))</f>
        <v>1</v>
      </c>
    </row>
    <row r="4350" spans="8:11" x14ac:dyDescent="0.3">
      <c r="H4350">
        <v>0.5</v>
      </c>
      <c r="I4350" s="11">
        <f t="shared" si="67"/>
        <v>0</v>
      </c>
      <c r="J4350" s="11">
        <f>1/(H4350*Utilities!$B$11)</f>
        <v>8</v>
      </c>
      <c r="K4350" s="11">
        <f>IF(B4350&lt;C4350,1,EXP(-1*(B4350-C4350)/(Utilities!$B$11*IterData!H4350)))</f>
        <v>1</v>
      </c>
    </row>
    <row r="4351" spans="8:11" x14ac:dyDescent="0.3">
      <c r="H4351">
        <v>0.5</v>
      </c>
      <c r="I4351" s="11">
        <f t="shared" si="67"/>
        <v>0</v>
      </c>
      <c r="J4351" s="11">
        <f>1/(H4351*Utilities!$B$11)</f>
        <v>8</v>
      </c>
      <c r="K4351" s="11">
        <f>IF(B4351&lt;C4351,1,EXP(-1*(B4351-C4351)/(Utilities!$B$11*IterData!H4351)))</f>
        <v>1</v>
      </c>
    </row>
    <row r="4352" spans="8:11" x14ac:dyDescent="0.3">
      <c r="H4352">
        <v>0.5</v>
      </c>
      <c r="I4352" s="11">
        <f t="shared" si="67"/>
        <v>0</v>
      </c>
      <c r="J4352" s="11">
        <f>1/(H4352*Utilities!$B$11)</f>
        <v>8</v>
      </c>
      <c r="K4352" s="11">
        <f>IF(B4352&lt;C4352,1,EXP(-1*(B4352-C4352)/(Utilities!$B$11*IterData!H4352)))</f>
        <v>1</v>
      </c>
    </row>
    <row r="4353" spans="8:11" x14ac:dyDescent="0.3">
      <c r="H4353">
        <v>0.5</v>
      </c>
      <c r="I4353" s="11">
        <f t="shared" si="67"/>
        <v>0</v>
      </c>
      <c r="J4353" s="11">
        <f>1/(H4353*Utilities!$B$11)</f>
        <v>8</v>
      </c>
      <c r="K4353" s="11">
        <f>IF(B4353&lt;C4353,1,EXP(-1*(B4353-C4353)/(Utilities!$B$11*IterData!H4353)))</f>
        <v>1</v>
      </c>
    </row>
    <row r="4354" spans="8:11" x14ac:dyDescent="0.3">
      <c r="H4354">
        <v>0.5</v>
      </c>
      <c r="I4354" s="11">
        <f t="shared" si="67"/>
        <v>0</v>
      </c>
      <c r="J4354" s="11">
        <f>1/(H4354*Utilities!$B$11)</f>
        <v>8</v>
      </c>
      <c r="K4354" s="11">
        <f>IF(B4354&lt;C4354,1,EXP(-1*(B4354-C4354)/(Utilities!$B$11*IterData!H4354)))</f>
        <v>1</v>
      </c>
    </row>
    <row r="4355" spans="8:11" x14ac:dyDescent="0.3">
      <c r="H4355">
        <v>0.5</v>
      </c>
      <c r="I4355" s="11">
        <f t="shared" ref="I4355:I4418" si="68">B4355-C4355</f>
        <v>0</v>
      </c>
      <c r="J4355" s="11">
        <f>1/(H4355*Utilities!$B$11)</f>
        <v>8</v>
      </c>
      <c r="K4355" s="11">
        <f>IF(B4355&lt;C4355,1,EXP(-1*(B4355-C4355)/(Utilities!$B$11*IterData!H4355)))</f>
        <v>1</v>
      </c>
    </row>
    <row r="4356" spans="8:11" x14ac:dyDescent="0.3">
      <c r="H4356">
        <v>0.5</v>
      </c>
      <c r="I4356" s="11">
        <f t="shared" si="68"/>
        <v>0</v>
      </c>
      <c r="J4356" s="11">
        <f>1/(H4356*Utilities!$B$11)</f>
        <v>8</v>
      </c>
      <c r="K4356" s="11">
        <f>IF(B4356&lt;C4356,1,EXP(-1*(B4356-C4356)/(Utilities!$B$11*IterData!H4356)))</f>
        <v>1</v>
      </c>
    </row>
    <row r="4357" spans="8:11" x14ac:dyDescent="0.3">
      <c r="H4357">
        <v>0.5</v>
      </c>
      <c r="I4357" s="11">
        <f t="shared" si="68"/>
        <v>0</v>
      </c>
      <c r="J4357" s="11">
        <f>1/(H4357*Utilities!$B$11)</f>
        <v>8</v>
      </c>
      <c r="K4357" s="11">
        <f>IF(B4357&lt;C4357,1,EXP(-1*(B4357-C4357)/(Utilities!$B$11*IterData!H4357)))</f>
        <v>1</v>
      </c>
    </row>
    <row r="4358" spans="8:11" x14ac:dyDescent="0.3">
      <c r="H4358">
        <v>0.5</v>
      </c>
      <c r="I4358" s="11">
        <f t="shared" si="68"/>
        <v>0</v>
      </c>
      <c r="J4358" s="11">
        <f>1/(H4358*Utilities!$B$11)</f>
        <v>8</v>
      </c>
      <c r="K4358" s="11">
        <f>IF(B4358&lt;C4358,1,EXP(-1*(B4358-C4358)/(Utilities!$B$11*IterData!H4358)))</f>
        <v>1</v>
      </c>
    </row>
    <row r="4359" spans="8:11" x14ac:dyDescent="0.3">
      <c r="H4359">
        <v>0.5</v>
      </c>
      <c r="I4359" s="11">
        <f t="shared" si="68"/>
        <v>0</v>
      </c>
      <c r="J4359" s="11">
        <f>1/(H4359*Utilities!$B$11)</f>
        <v>8</v>
      </c>
      <c r="K4359" s="11">
        <f>IF(B4359&lt;C4359,1,EXP(-1*(B4359-C4359)/(Utilities!$B$11*IterData!H4359)))</f>
        <v>1</v>
      </c>
    </row>
    <row r="4360" spans="8:11" x14ac:dyDescent="0.3">
      <c r="H4360">
        <v>0.5</v>
      </c>
      <c r="I4360" s="11">
        <f t="shared" si="68"/>
        <v>0</v>
      </c>
      <c r="J4360" s="11">
        <f>1/(H4360*Utilities!$B$11)</f>
        <v>8</v>
      </c>
      <c r="K4360" s="11">
        <f>IF(B4360&lt;C4360,1,EXP(-1*(B4360-C4360)/(Utilities!$B$11*IterData!H4360)))</f>
        <v>1</v>
      </c>
    </row>
    <row r="4361" spans="8:11" x14ac:dyDescent="0.3">
      <c r="H4361">
        <v>0.5</v>
      </c>
      <c r="I4361" s="11">
        <f t="shared" si="68"/>
        <v>0</v>
      </c>
      <c r="J4361" s="11">
        <f>1/(H4361*Utilities!$B$11)</f>
        <v>8</v>
      </c>
      <c r="K4361" s="11">
        <f>IF(B4361&lt;C4361,1,EXP(-1*(B4361-C4361)/(Utilities!$B$11*IterData!H4361)))</f>
        <v>1</v>
      </c>
    </row>
    <row r="4362" spans="8:11" x14ac:dyDescent="0.3">
      <c r="H4362">
        <v>0.5</v>
      </c>
      <c r="I4362" s="11">
        <f t="shared" si="68"/>
        <v>0</v>
      </c>
      <c r="J4362" s="11">
        <f>1/(H4362*Utilities!$B$11)</f>
        <v>8</v>
      </c>
      <c r="K4362" s="11">
        <f>IF(B4362&lt;C4362,1,EXP(-1*(B4362-C4362)/(Utilities!$B$11*IterData!H4362)))</f>
        <v>1</v>
      </c>
    </row>
    <row r="4363" spans="8:11" x14ac:dyDescent="0.3">
      <c r="H4363">
        <v>0.5</v>
      </c>
      <c r="I4363" s="11">
        <f t="shared" si="68"/>
        <v>0</v>
      </c>
      <c r="J4363" s="11">
        <f>1/(H4363*Utilities!$B$11)</f>
        <v>8</v>
      </c>
      <c r="K4363" s="11">
        <f>IF(B4363&lt;C4363,1,EXP(-1*(B4363-C4363)/(Utilities!$B$11*IterData!H4363)))</f>
        <v>1</v>
      </c>
    </row>
    <row r="4364" spans="8:11" x14ac:dyDescent="0.3">
      <c r="H4364">
        <v>0.5</v>
      </c>
      <c r="I4364" s="11">
        <f t="shared" si="68"/>
        <v>0</v>
      </c>
      <c r="J4364" s="11">
        <f>1/(H4364*Utilities!$B$11)</f>
        <v>8</v>
      </c>
      <c r="K4364" s="11">
        <f>IF(B4364&lt;C4364,1,EXP(-1*(B4364-C4364)/(Utilities!$B$11*IterData!H4364)))</f>
        <v>1</v>
      </c>
    </row>
    <row r="4365" spans="8:11" x14ac:dyDescent="0.3">
      <c r="H4365">
        <v>0.5</v>
      </c>
      <c r="I4365" s="11">
        <f t="shared" si="68"/>
        <v>0</v>
      </c>
      <c r="J4365" s="11">
        <f>1/(H4365*Utilities!$B$11)</f>
        <v>8</v>
      </c>
      <c r="K4365" s="11">
        <f>IF(B4365&lt;C4365,1,EXP(-1*(B4365-C4365)/(Utilities!$B$11*IterData!H4365)))</f>
        <v>1</v>
      </c>
    </row>
    <row r="4366" spans="8:11" x14ac:dyDescent="0.3">
      <c r="H4366">
        <v>0.5</v>
      </c>
      <c r="I4366" s="11">
        <f t="shared" si="68"/>
        <v>0</v>
      </c>
      <c r="J4366" s="11">
        <f>1/(H4366*Utilities!$B$11)</f>
        <v>8</v>
      </c>
      <c r="K4366" s="11">
        <f>IF(B4366&lt;C4366,1,EXP(-1*(B4366-C4366)/(Utilities!$B$11*IterData!H4366)))</f>
        <v>1</v>
      </c>
    </row>
    <row r="4367" spans="8:11" x14ac:dyDescent="0.3">
      <c r="H4367">
        <v>0.5</v>
      </c>
      <c r="I4367" s="11">
        <f t="shared" si="68"/>
        <v>0</v>
      </c>
      <c r="J4367" s="11">
        <f>1/(H4367*Utilities!$B$11)</f>
        <v>8</v>
      </c>
      <c r="K4367" s="11">
        <f>IF(B4367&lt;C4367,1,EXP(-1*(B4367-C4367)/(Utilities!$B$11*IterData!H4367)))</f>
        <v>1</v>
      </c>
    </row>
    <row r="4368" spans="8:11" x14ac:dyDescent="0.3">
      <c r="H4368">
        <v>0.5</v>
      </c>
      <c r="I4368" s="11">
        <f t="shared" si="68"/>
        <v>0</v>
      </c>
      <c r="J4368" s="11">
        <f>1/(H4368*Utilities!$B$11)</f>
        <v>8</v>
      </c>
      <c r="K4368" s="11">
        <f>IF(B4368&lt;C4368,1,EXP(-1*(B4368-C4368)/(Utilities!$B$11*IterData!H4368)))</f>
        <v>1</v>
      </c>
    </row>
    <row r="4369" spans="8:11" x14ac:dyDescent="0.3">
      <c r="H4369">
        <v>0.5</v>
      </c>
      <c r="I4369" s="11">
        <f t="shared" si="68"/>
        <v>0</v>
      </c>
      <c r="J4369" s="11">
        <f>1/(H4369*Utilities!$B$11)</f>
        <v>8</v>
      </c>
      <c r="K4369" s="11">
        <f>IF(B4369&lt;C4369,1,EXP(-1*(B4369-C4369)/(Utilities!$B$11*IterData!H4369)))</f>
        <v>1</v>
      </c>
    </row>
    <row r="4370" spans="8:11" x14ac:dyDescent="0.3">
      <c r="H4370">
        <v>0.5</v>
      </c>
      <c r="I4370" s="11">
        <f t="shared" si="68"/>
        <v>0</v>
      </c>
      <c r="J4370" s="11">
        <f>1/(H4370*Utilities!$B$11)</f>
        <v>8</v>
      </c>
      <c r="K4370" s="11">
        <f>IF(B4370&lt;C4370,1,EXP(-1*(B4370-C4370)/(Utilities!$B$11*IterData!H4370)))</f>
        <v>1</v>
      </c>
    </row>
    <row r="4371" spans="8:11" x14ac:dyDescent="0.3">
      <c r="H4371">
        <v>0.5</v>
      </c>
      <c r="I4371" s="11">
        <f t="shared" si="68"/>
        <v>0</v>
      </c>
      <c r="J4371" s="11">
        <f>1/(H4371*Utilities!$B$11)</f>
        <v>8</v>
      </c>
      <c r="K4371" s="11">
        <f>IF(B4371&lt;C4371,1,EXP(-1*(B4371-C4371)/(Utilities!$B$11*IterData!H4371)))</f>
        <v>1</v>
      </c>
    </row>
    <row r="4372" spans="8:11" x14ac:dyDescent="0.3">
      <c r="H4372">
        <v>0.5</v>
      </c>
      <c r="I4372" s="11">
        <f t="shared" si="68"/>
        <v>0</v>
      </c>
      <c r="J4372" s="11">
        <f>1/(H4372*Utilities!$B$11)</f>
        <v>8</v>
      </c>
      <c r="K4372" s="11">
        <f>IF(B4372&lt;C4372,1,EXP(-1*(B4372-C4372)/(Utilities!$B$11*IterData!H4372)))</f>
        <v>1</v>
      </c>
    </row>
    <row r="4373" spans="8:11" x14ac:dyDescent="0.3">
      <c r="H4373">
        <v>0.5</v>
      </c>
      <c r="I4373" s="11">
        <f t="shared" si="68"/>
        <v>0</v>
      </c>
      <c r="J4373" s="11">
        <f>1/(H4373*Utilities!$B$11)</f>
        <v>8</v>
      </c>
      <c r="K4373" s="11">
        <f>IF(B4373&lt;C4373,1,EXP(-1*(B4373-C4373)/(Utilities!$B$11*IterData!H4373)))</f>
        <v>1</v>
      </c>
    </row>
    <row r="4374" spans="8:11" x14ac:dyDescent="0.3">
      <c r="H4374">
        <v>0.5</v>
      </c>
      <c r="I4374" s="11">
        <f t="shared" si="68"/>
        <v>0</v>
      </c>
      <c r="J4374" s="11">
        <f>1/(H4374*Utilities!$B$11)</f>
        <v>8</v>
      </c>
      <c r="K4374" s="11">
        <f>IF(B4374&lt;C4374,1,EXP(-1*(B4374-C4374)/(Utilities!$B$11*IterData!H4374)))</f>
        <v>1</v>
      </c>
    </row>
    <row r="4375" spans="8:11" x14ac:dyDescent="0.3">
      <c r="H4375">
        <v>0.5</v>
      </c>
      <c r="I4375" s="11">
        <f t="shared" si="68"/>
        <v>0</v>
      </c>
      <c r="J4375" s="11">
        <f>1/(H4375*Utilities!$B$11)</f>
        <v>8</v>
      </c>
      <c r="K4375" s="11">
        <f>IF(B4375&lt;C4375,1,EXP(-1*(B4375-C4375)/(Utilities!$B$11*IterData!H4375)))</f>
        <v>1</v>
      </c>
    </row>
    <row r="4376" spans="8:11" x14ac:dyDescent="0.3">
      <c r="H4376">
        <v>0.5</v>
      </c>
      <c r="I4376" s="11">
        <f t="shared" si="68"/>
        <v>0</v>
      </c>
      <c r="J4376" s="11">
        <f>1/(H4376*Utilities!$B$11)</f>
        <v>8</v>
      </c>
      <c r="K4376" s="11">
        <f>IF(B4376&lt;C4376,1,EXP(-1*(B4376-C4376)/(Utilities!$B$11*IterData!H4376)))</f>
        <v>1</v>
      </c>
    </row>
    <row r="4377" spans="8:11" x14ac:dyDescent="0.3">
      <c r="H4377">
        <v>0.5</v>
      </c>
      <c r="I4377" s="11">
        <f t="shared" si="68"/>
        <v>0</v>
      </c>
      <c r="J4377" s="11">
        <f>1/(H4377*Utilities!$B$11)</f>
        <v>8</v>
      </c>
      <c r="K4377" s="11">
        <f>IF(B4377&lt;C4377,1,EXP(-1*(B4377-C4377)/(Utilities!$B$11*IterData!H4377)))</f>
        <v>1</v>
      </c>
    </row>
    <row r="4378" spans="8:11" x14ac:dyDescent="0.3">
      <c r="H4378">
        <v>0.5</v>
      </c>
      <c r="I4378" s="11">
        <f t="shared" si="68"/>
        <v>0</v>
      </c>
      <c r="J4378" s="11">
        <f>1/(H4378*Utilities!$B$11)</f>
        <v>8</v>
      </c>
      <c r="K4378" s="11">
        <f>IF(B4378&lt;C4378,1,EXP(-1*(B4378-C4378)/(Utilities!$B$11*IterData!H4378)))</f>
        <v>1</v>
      </c>
    </row>
    <row r="4379" spans="8:11" x14ac:dyDescent="0.3">
      <c r="H4379">
        <v>0.5</v>
      </c>
      <c r="I4379" s="11">
        <f t="shared" si="68"/>
        <v>0</v>
      </c>
      <c r="J4379" s="11">
        <f>1/(H4379*Utilities!$B$11)</f>
        <v>8</v>
      </c>
      <c r="K4379" s="11">
        <f>IF(B4379&lt;C4379,1,EXP(-1*(B4379-C4379)/(Utilities!$B$11*IterData!H4379)))</f>
        <v>1</v>
      </c>
    </row>
    <row r="4380" spans="8:11" x14ac:dyDescent="0.3">
      <c r="H4380">
        <v>0.5</v>
      </c>
      <c r="I4380" s="11">
        <f t="shared" si="68"/>
        <v>0</v>
      </c>
      <c r="J4380" s="11">
        <f>1/(H4380*Utilities!$B$11)</f>
        <v>8</v>
      </c>
      <c r="K4380" s="11">
        <f>IF(B4380&lt;C4380,1,EXP(-1*(B4380-C4380)/(Utilities!$B$11*IterData!H4380)))</f>
        <v>1</v>
      </c>
    </row>
    <row r="4381" spans="8:11" x14ac:dyDescent="0.3">
      <c r="H4381">
        <v>0.5</v>
      </c>
      <c r="I4381" s="11">
        <f t="shared" si="68"/>
        <v>0</v>
      </c>
      <c r="J4381" s="11">
        <f>1/(H4381*Utilities!$B$11)</f>
        <v>8</v>
      </c>
      <c r="K4381" s="11">
        <f>IF(B4381&lt;C4381,1,EXP(-1*(B4381-C4381)/(Utilities!$B$11*IterData!H4381)))</f>
        <v>1</v>
      </c>
    </row>
    <row r="4382" spans="8:11" x14ac:dyDescent="0.3">
      <c r="H4382">
        <v>0.5</v>
      </c>
      <c r="I4382" s="11">
        <f t="shared" si="68"/>
        <v>0</v>
      </c>
      <c r="J4382" s="11">
        <f>1/(H4382*Utilities!$B$11)</f>
        <v>8</v>
      </c>
      <c r="K4382" s="11">
        <f>IF(B4382&lt;C4382,1,EXP(-1*(B4382-C4382)/(Utilities!$B$11*IterData!H4382)))</f>
        <v>1</v>
      </c>
    </row>
    <row r="4383" spans="8:11" x14ac:dyDescent="0.3">
      <c r="H4383">
        <v>0.5</v>
      </c>
      <c r="I4383" s="11">
        <f t="shared" si="68"/>
        <v>0</v>
      </c>
      <c r="J4383" s="11">
        <f>1/(H4383*Utilities!$B$11)</f>
        <v>8</v>
      </c>
      <c r="K4383" s="11">
        <f>IF(B4383&lt;C4383,1,EXP(-1*(B4383-C4383)/(Utilities!$B$11*IterData!H4383)))</f>
        <v>1</v>
      </c>
    </row>
    <row r="4384" spans="8:11" x14ac:dyDescent="0.3">
      <c r="H4384">
        <v>0.5</v>
      </c>
      <c r="I4384" s="11">
        <f t="shared" si="68"/>
        <v>0</v>
      </c>
      <c r="J4384" s="11">
        <f>1/(H4384*Utilities!$B$11)</f>
        <v>8</v>
      </c>
      <c r="K4384" s="11">
        <f>IF(B4384&lt;C4384,1,EXP(-1*(B4384-C4384)/(Utilities!$B$11*IterData!H4384)))</f>
        <v>1</v>
      </c>
    </row>
    <row r="4385" spans="8:11" x14ac:dyDescent="0.3">
      <c r="H4385">
        <v>0.5</v>
      </c>
      <c r="I4385" s="11">
        <f t="shared" si="68"/>
        <v>0</v>
      </c>
      <c r="J4385" s="11">
        <f>1/(H4385*Utilities!$B$11)</f>
        <v>8</v>
      </c>
      <c r="K4385" s="11">
        <f>IF(B4385&lt;C4385,1,EXP(-1*(B4385-C4385)/(Utilities!$B$11*IterData!H4385)))</f>
        <v>1</v>
      </c>
    </row>
    <row r="4386" spans="8:11" x14ac:dyDescent="0.3">
      <c r="H4386">
        <v>0.5</v>
      </c>
      <c r="I4386" s="11">
        <f t="shared" si="68"/>
        <v>0</v>
      </c>
      <c r="J4386" s="11">
        <f>1/(H4386*Utilities!$B$11)</f>
        <v>8</v>
      </c>
      <c r="K4386" s="11">
        <f>IF(B4386&lt;C4386,1,EXP(-1*(B4386-C4386)/(Utilities!$B$11*IterData!H4386)))</f>
        <v>1</v>
      </c>
    </row>
    <row r="4387" spans="8:11" x14ac:dyDescent="0.3">
      <c r="H4387">
        <v>0.5</v>
      </c>
      <c r="I4387" s="11">
        <f t="shared" si="68"/>
        <v>0</v>
      </c>
      <c r="J4387" s="11">
        <f>1/(H4387*Utilities!$B$11)</f>
        <v>8</v>
      </c>
      <c r="K4387" s="11">
        <f>IF(B4387&lt;C4387,1,EXP(-1*(B4387-C4387)/(Utilities!$B$11*IterData!H4387)))</f>
        <v>1</v>
      </c>
    </row>
    <row r="4388" spans="8:11" x14ac:dyDescent="0.3">
      <c r="H4388">
        <v>0.5</v>
      </c>
      <c r="I4388" s="11">
        <f t="shared" si="68"/>
        <v>0</v>
      </c>
      <c r="J4388" s="11">
        <f>1/(H4388*Utilities!$B$11)</f>
        <v>8</v>
      </c>
      <c r="K4388" s="11">
        <f>IF(B4388&lt;C4388,1,EXP(-1*(B4388-C4388)/(Utilities!$B$11*IterData!H4388)))</f>
        <v>1</v>
      </c>
    </row>
    <row r="4389" spans="8:11" x14ac:dyDescent="0.3">
      <c r="H4389">
        <v>0.5</v>
      </c>
      <c r="I4389" s="11">
        <f t="shared" si="68"/>
        <v>0</v>
      </c>
      <c r="J4389" s="11">
        <f>1/(H4389*Utilities!$B$11)</f>
        <v>8</v>
      </c>
      <c r="K4389" s="11">
        <f>IF(B4389&lt;C4389,1,EXP(-1*(B4389-C4389)/(Utilities!$B$11*IterData!H4389)))</f>
        <v>1</v>
      </c>
    </row>
    <row r="4390" spans="8:11" x14ac:dyDescent="0.3">
      <c r="H4390">
        <v>0.5</v>
      </c>
      <c r="I4390" s="11">
        <f t="shared" si="68"/>
        <v>0</v>
      </c>
      <c r="J4390" s="11">
        <f>1/(H4390*Utilities!$B$11)</f>
        <v>8</v>
      </c>
      <c r="K4390" s="11">
        <f>IF(B4390&lt;C4390,1,EXP(-1*(B4390-C4390)/(Utilities!$B$11*IterData!H4390)))</f>
        <v>1</v>
      </c>
    </row>
    <row r="4391" spans="8:11" x14ac:dyDescent="0.3">
      <c r="H4391">
        <v>0.5</v>
      </c>
      <c r="I4391" s="11">
        <f t="shared" si="68"/>
        <v>0</v>
      </c>
      <c r="J4391" s="11">
        <f>1/(H4391*Utilities!$B$11)</f>
        <v>8</v>
      </c>
      <c r="K4391" s="11">
        <f>IF(B4391&lt;C4391,1,EXP(-1*(B4391-C4391)/(Utilities!$B$11*IterData!H4391)))</f>
        <v>1</v>
      </c>
    </row>
    <row r="4392" spans="8:11" x14ac:dyDescent="0.3">
      <c r="H4392">
        <v>0.5</v>
      </c>
      <c r="I4392" s="11">
        <f t="shared" si="68"/>
        <v>0</v>
      </c>
      <c r="J4392" s="11">
        <f>1/(H4392*Utilities!$B$11)</f>
        <v>8</v>
      </c>
      <c r="K4392" s="11">
        <f>IF(B4392&lt;C4392,1,EXP(-1*(B4392-C4392)/(Utilities!$B$11*IterData!H4392)))</f>
        <v>1</v>
      </c>
    </row>
    <row r="4393" spans="8:11" x14ac:dyDescent="0.3">
      <c r="H4393">
        <v>0.5</v>
      </c>
      <c r="I4393" s="11">
        <f t="shared" si="68"/>
        <v>0</v>
      </c>
      <c r="J4393" s="11">
        <f>1/(H4393*Utilities!$B$11)</f>
        <v>8</v>
      </c>
      <c r="K4393" s="11">
        <f>IF(B4393&lt;C4393,1,EXP(-1*(B4393-C4393)/(Utilities!$B$11*IterData!H4393)))</f>
        <v>1</v>
      </c>
    </row>
    <row r="4394" spans="8:11" x14ac:dyDescent="0.3">
      <c r="H4394">
        <v>0.5</v>
      </c>
      <c r="I4394" s="11">
        <f t="shared" si="68"/>
        <v>0</v>
      </c>
      <c r="J4394" s="11">
        <f>1/(H4394*Utilities!$B$11)</f>
        <v>8</v>
      </c>
      <c r="K4394" s="11">
        <f>IF(B4394&lt;C4394,1,EXP(-1*(B4394-C4394)/(Utilities!$B$11*IterData!H4394)))</f>
        <v>1</v>
      </c>
    </row>
    <row r="4395" spans="8:11" x14ac:dyDescent="0.3">
      <c r="H4395">
        <v>0.5</v>
      </c>
      <c r="I4395" s="11">
        <f t="shared" si="68"/>
        <v>0</v>
      </c>
      <c r="J4395" s="11">
        <f>1/(H4395*Utilities!$B$11)</f>
        <v>8</v>
      </c>
      <c r="K4395" s="11">
        <f>IF(B4395&lt;C4395,1,EXP(-1*(B4395-C4395)/(Utilities!$B$11*IterData!H4395)))</f>
        <v>1</v>
      </c>
    </row>
    <row r="4396" spans="8:11" x14ac:dyDescent="0.3">
      <c r="H4396">
        <v>0.5</v>
      </c>
      <c r="I4396" s="11">
        <f t="shared" si="68"/>
        <v>0</v>
      </c>
      <c r="J4396" s="11">
        <f>1/(H4396*Utilities!$B$11)</f>
        <v>8</v>
      </c>
      <c r="K4396" s="11">
        <f>IF(B4396&lt;C4396,1,EXP(-1*(B4396-C4396)/(Utilities!$B$11*IterData!H4396)))</f>
        <v>1</v>
      </c>
    </row>
    <row r="4397" spans="8:11" x14ac:dyDescent="0.3">
      <c r="H4397">
        <v>0.5</v>
      </c>
      <c r="I4397" s="11">
        <f t="shared" si="68"/>
        <v>0</v>
      </c>
      <c r="J4397" s="11">
        <f>1/(H4397*Utilities!$B$11)</f>
        <v>8</v>
      </c>
      <c r="K4397" s="11">
        <f>IF(B4397&lt;C4397,1,EXP(-1*(B4397-C4397)/(Utilities!$B$11*IterData!H4397)))</f>
        <v>1</v>
      </c>
    </row>
    <row r="4398" spans="8:11" x14ac:dyDescent="0.3">
      <c r="H4398">
        <v>0.5</v>
      </c>
      <c r="I4398" s="11">
        <f t="shared" si="68"/>
        <v>0</v>
      </c>
      <c r="J4398" s="11">
        <f>1/(H4398*Utilities!$B$11)</f>
        <v>8</v>
      </c>
      <c r="K4398" s="11">
        <f>IF(B4398&lt;C4398,1,EXP(-1*(B4398-C4398)/(Utilities!$B$11*IterData!H4398)))</f>
        <v>1</v>
      </c>
    </row>
    <row r="4399" spans="8:11" x14ac:dyDescent="0.3">
      <c r="H4399">
        <v>0.5</v>
      </c>
      <c r="I4399" s="11">
        <f t="shared" si="68"/>
        <v>0</v>
      </c>
      <c r="J4399" s="11">
        <f>1/(H4399*Utilities!$B$11)</f>
        <v>8</v>
      </c>
      <c r="K4399" s="11">
        <f>IF(B4399&lt;C4399,1,EXP(-1*(B4399-C4399)/(Utilities!$B$11*IterData!H4399)))</f>
        <v>1</v>
      </c>
    </row>
    <row r="4400" spans="8:11" x14ac:dyDescent="0.3">
      <c r="H4400">
        <v>0.5</v>
      </c>
      <c r="I4400" s="11">
        <f t="shared" si="68"/>
        <v>0</v>
      </c>
      <c r="J4400" s="11">
        <f>1/(H4400*Utilities!$B$11)</f>
        <v>8</v>
      </c>
      <c r="K4400" s="11">
        <f>IF(B4400&lt;C4400,1,EXP(-1*(B4400-C4400)/(Utilities!$B$11*IterData!H4400)))</f>
        <v>1</v>
      </c>
    </row>
    <row r="4401" spans="8:11" x14ac:dyDescent="0.3">
      <c r="H4401">
        <v>0.5</v>
      </c>
      <c r="I4401" s="11">
        <f t="shared" si="68"/>
        <v>0</v>
      </c>
      <c r="J4401" s="11">
        <f>1/(H4401*Utilities!$B$11)</f>
        <v>8</v>
      </c>
      <c r="K4401" s="11">
        <f>IF(B4401&lt;C4401,1,EXP(-1*(B4401-C4401)/(Utilities!$B$11*IterData!H4401)))</f>
        <v>1</v>
      </c>
    </row>
    <row r="4402" spans="8:11" x14ac:dyDescent="0.3">
      <c r="H4402">
        <v>0.5</v>
      </c>
      <c r="I4402" s="11">
        <f t="shared" si="68"/>
        <v>0</v>
      </c>
      <c r="J4402" s="11">
        <f>1/(H4402*Utilities!$B$11)</f>
        <v>8</v>
      </c>
      <c r="K4402" s="11">
        <f>IF(B4402&lt;C4402,1,EXP(-1*(B4402-C4402)/(Utilities!$B$11*IterData!H4402)))</f>
        <v>1</v>
      </c>
    </row>
    <row r="4403" spans="8:11" x14ac:dyDescent="0.3">
      <c r="H4403">
        <v>0.5</v>
      </c>
      <c r="I4403" s="11">
        <f t="shared" si="68"/>
        <v>0</v>
      </c>
      <c r="J4403" s="11">
        <f>1/(H4403*Utilities!$B$11)</f>
        <v>8</v>
      </c>
      <c r="K4403" s="11">
        <f>IF(B4403&lt;C4403,1,EXP(-1*(B4403-C4403)/(Utilities!$B$11*IterData!H4403)))</f>
        <v>1</v>
      </c>
    </row>
    <row r="4404" spans="8:11" x14ac:dyDescent="0.3">
      <c r="H4404">
        <v>0.5</v>
      </c>
      <c r="I4404" s="11">
        <f t="shared" si="68"/>
        <v>0</v>
      </c>
      <c r="J4404" s="11">
        <f>1/(H4404*Utilities!$B$11)</f>
        <v>8</v>
      </c>
      <c r="K4404" s="11">
        <f>IF(B4404&lt;C4404,1,EXP(-1*(B4404-C4404)/(Utilities!$B$11*IterData!H4404)))</f>
        <v>1</v>
      </c>
    </row>
    <row r="4405" spans="8:11" x14ac:dyDescent="0.3">
      <c r="H4405">
        <v>0.5</v>
      </c>
      <c r="I4405" s="11">
        <f t="shared" si="68"/>
        <v>0</v>
      </c>
      <c r="J4405" s="11">
        <f>1/(H4405*Utilities!$B$11)</f>
        <v>8</v>
      </c>
      <c r="K4405" s="11">
        <f>IF(B4405&lt;C4405,1,EXP(-1*(B4405-C4405)/(Utilities!$B$11*IterData!H4405)))</f>
        <v>1</v>
      </c>
    </row>
    <row r="4406" spans="8:11" x14ac:dyDescent="0.3">
      <c r="H4406">
        <v>0.5</v>
      </c>
      <c r="I4406" s="11">
        <f t="shared" si="68"/>
        <v>0</v>
      </c>
      <c r="J4406" s="11">
        <f>1/(H4406*Utilities!$B$11)</f>
        <v>8</v>
      </c>
      <c r="K4406" s="11">
        <f>IF(B4406&lt;C4406,1,EXP(-1*(B4406-C4406)/(Utilities!$B$11*IterData!H4406)))</f>
        <v>1</v>
      </c>
    </row>
    <row r="4407" spans="8:11" x14ac:dyDescent="0.3">
      <c r="H4407">
        <v>0.5</v>
      </c>
      <c r="I4407" s="11">
        <f t="shared" si="68"/>
        <v>0</v>
      </c>
      <c r="J4407" s="11">
        <f>1/(H4407*Utilities!$B$11)</f>
        <v>8</v>
      </c>
      <c r="K4407" s="11">
        <f>IF(B4407&lt;C4407,1,EXP(-1*(B4407-C4407)/(Utilities!$B$11*IterData!H4407)))</f>
        <v>1</v>
      </c>
    </row>
    <row r="4408" spans="8:11" x14ac:dyDescent="0.3">
      <c r="H4408">
        <v>0.5</v>
      </c>
      <c r="I4408" s="11">
        <f t="shared" si="68"/>
        <v>0</v>
      </c>
      <c r="J4408" s="11">
        <f>1/(H4408*Utilities!$B$11)</f>
        <v>8</v>
      </c>
      <c r="K4408" s="11">
        <f>IF(B4408&lt;C4408,1,EXP(-1*(B4408-C4408)/(Utilities!$B$11*IterData!H4408)))</f>
        <v>1</v>
      </c>
    </row>
    <row r="4409" spans="8:11" x14ac:dyDescent="0.3">
      <c r="H4409">
        <v>0.5</v>
      </c>
      <c r="I4409" s="11">
        <f t="shared" si="68"/>
        <v>0</v>
      </c>
      <c r="J4409" s="11">
        <f>1/(H4409*Utilities!$B$11)</f>
        <v>8</v>
      </c>
      <c r="K4409" s="11">
        <f>IF(B4409&lt;C4409,1,EXP(-1*(B4409-C4409)/(Utilities!$B$11*IterData!H4409)))</f>
        <v>1</v>
      </c>
    </row>
    <row r="4410" spans="8:11" x14ac:dyDescent="0.3">
      <c r="H4410">
        <v>0.5</v>
      </c>
      <c r="I4410" s="11">
        <f t="shared" si="68"/>
        <v>0</v>
      </c>
      <c r="J4410" s="11">
        <f>1/(H4410*Utilities!$B$11)</f>
        <v>8</v>
      </c>
      <c r="K4410" s="11">
        <f>IF(B4410&lt;C4410,1,EXP(-1*(B4410-C4410)/(Utilities!$B$11*IterData!H4410)))</f>
        <v>1</v>
      </c>
    </row>
    <row r="4411" spans="8:11" x14ac:dyDescent="0.3">
      <c r="H4411">
        <v>0.5</v>
      </c>
      <c r="I4411" s="11">
        <f t="shared" si="68"/>
        <v>0</v>
      </c>
      <c r="J4411" s="11">
        <f>1/(H4411*Utilities!$B$11)</f>
        <v>8</v>
      </c>
      <c r="K4411" s="11">
        <f>IF(B4411&lt;C4411,1,EXP(-1*(B4411-C4411)/(Utilities!$B$11*IterData!H4411)))</f>
        <v>1</v>
      </c>
    </row>
    <row r="4412" spans="8:11" x14ac:dyDescent="0.3">
      <c r="H4412">
        <v>0.5</v>
      </c>
      <c r="I4412" s="11">
        <f t="shared" si="68"/>
        <v>0</v>
      </c>
      <c r="J4412" s="11">
        <f>1/(H4412*Utilities!$B$11)</f>
        <v>8</v>
      </c>
      <c r="K4412" s="11">
        <f>IF(B4412&lt;C4412,1,EXP(-1*(B4412-C4412)/(Utilities!$B$11*IterData!H4412)))</f>
        <v>1</v>
      </c>
    </row>
    <row r="4413" spans="8:11" x14ac:dyDescent="0.3">
      <c r="H4413">
        <v>0.5</v>
      </c>
      <c r="I4413" s="11">
        <f t="shared" si="68"/>
        <v>0</v>
      </c>
      <c r="J4413" s="11">
        <f>1/(H4413*Utilities!$B$11)</f>
        <v>8</v>
      </c>
      <c r="K4413" s="11">
        <f>IF(B4413&lt;C4413,1,EXP(-1*(B4413-C4413)/(Utilities!$B$11*IterData!H4413)))</f>
        <v>1</v>
      </c>
    </row>
    <row r="4414" spans="8:11" x14ac:dyDescent="0.3">
      <c r="H4414">
        <v>0.5</v>
      </c>
      <c r="I4414" s="11">
        <f t="shared" si="68"/>
        <v>0</v>
      </c>
      <c r="J4414" s="11">
        <f>1/(H4414*Utilities!$B$11)</f>
        <v>8</v>
      </c>
      <c r="K4414" s="11">
        <f>IF(B4414&lt;C4414,1,EXP(-1*(B4414-C4414)/(Utilities!$B$11*IterData!H4414)))</f>
        <v>1</v>
      </c>
    </row>
    <row r="4415" spans="8:11" x14ac:dyDescent="0.3">
      <c r="H4415">
        <v>0.5</v>
      </c>
      <c r="I4415" s="11">
        <f t="shared" si="68"/>
        <v>0</v>
      </c>
      <c r="J4415" s="11">
        <f>1/(H4415*Utilities!$B$11)</f>
        <v>8</v>
      </c>
      <c r="K4415" s="11">
        <f>IF(B4415&lt;C4415,1,EXP(-1*(B4415-C4415)/(Utilities!$B$11*IterData!H4415)))</f>
        <v>1</v>
      </c>
    </row>
    <row r="4416" spans="8:11" x14ac:dyDescent="0.3">
      <c r="H4416">
        <v>0.5</v>
      </c>
      <c r="I4416" s="11">
        <f t="shared" si="68"/>
        <v>0</v>
      </c>
      <c r="J4416" s="11">
        <f>1/(H4416*Utilities!$B$11)</f>
        <v>8</v>
      </c>
      <c r="K4416" s="11">
        <f>IF(B4416&lt;C4416,1,EXP(-1*(B4416-C4416)/(Utilities!$B$11*IterData!H4416)))</f>
        <v>1</v>
      </c>
    </row>
    <row r="4417" spans="8:11" x14ac:dyDescent="0.3">
      <c r="H4417">
        <v>0.5</v>
      </c>
      <c r="I4417" s="11">
        <f t="shared" si="68"/>
        <v>0</v>
      </c>
      <c r="J4417" s="11">
        <f>1/(H4417*Utilities!$B$11)</f>
        <v>8</v>
      </c>
      <c r="K4417" s="11">
        <f>IF(B4417&lt;C4417,1,EXP(-1*(B4417-C4417)/(Utilities!$B$11*IterData!H4417)))</f>
        <v>1</v>
      </c>
    </row>
    <row r="4418" spans="8:11" x14ac:dyDescent="0.3">
      <c r="H4418">
        <v>0.5</v>
      </c>
      <c r="I4418" s="11">
        <f t="shared" si="68"/>
        <v>0</v>
      </c>
      <c r="J4418" s="11">
        <f>1/(H4418*Utilities!$B$11)</f>
        <v>8</v>
      </c>
      <c r="K4418" s="11">
        <f>IF(B4418&lt;C4418,1,EXP(-1*(B4418-C4418)/(Utilities!$B$11*IterData!H4418)))</f>
        <v>1</v>
      </c>
    </row>
    <row r="4419" spans="8:11" x14ac:dyDescent="0.3">
      <c r="H4419">
        <v>0.5</v>
      </c>
      <c r="I4419" s="11">
        <f t="shared" ref="I4419:I4482" si="69">B4419-C4419</f>
        <v>0</v>
      </c>
      <c r="J4419" s="11">
        <f>1/(H4419*Utilities!$B$11)</f>
        <v>8</v>
      </c>
      <c r="K4419" s="11">
        <f>IF(B4419&lt;C4419,1,EXP(-1*(B4419-C4419)/(Utilities!$B$11*IterData!H4419)))</f>
        <v>1</v>
      </c>
    </row>
    <row r="4420" spans="8:11" x14ac:dyDescent="0.3">
      <c r="H4420">
        <v>0.5</v>
      </c>
      <c r="I4420" s="11">
        <f t="shared" si="69"/>
        <v>0</v>
      </c>
      <c r="J4420" s="11">
        <f>1/(H4420*Utilities!$B$11)</f>
        <v>8</v>
      </c>
      <c r="K4420" s="11">
        <f>IF(B4420&lt;C4420,1,EXP(-1*(B4420-C4420)/(Utilities!$B$11*IterData!H4420)))</f>
        <v>1</v>
      </c>
    </row>
    <row r="4421" spans="8:11" x14ac:dyDescent="0.3">
      <c r="H4421">
        <v>0.5</v>
      </c>
      <c r="I4421" s="11">
        <f t="shared" si="69"/>
        <v>0</v>
      </c>
      <c r="J4421" s="11">
        <f>1/(H4421*Utilities!$B$11)</f>
        <v>8</v>
      </c>
      <c r="K4421" s="11">
        <f>IF(B4421&lt;C4421,1,EXP(-1*(B4421-C4421)/(Utilities!$B$11*IterData!H4421)))</f>
        <v>1</v>
      </c>
    </row>
    <row r="4422" spans="8:11" x14ac:dyDescent="0.3">
      <c r="H4422">
        <v>0.5</v>
      </c>
      <c r="I4422" s="11">
        <f t="shared" si="69"/>
        <v>0</v>
      </c>
      <c r="J4422" s="11">
        <f>1/(H4422*Utilities!$B$11)</f>
        <v>8</v>
      </c>
      <c r="K4422" s="11">
        <f>IF(B4422&lt;C4422,1,EXP(-1*(B4422-C4422)/(Utilities!$B$11*IterData!H4422)))</f>
        <v>1</v>
      </c>
    </row>
    <row r="4423" spans="8:11" x14ac:dyDescent="0.3">
      <c r="H4423">
        <v>0.5</v>
      </c>
      <c r="I4423" s="11">
        <f t="shared" si="69"/>
        <v>0</v>
      </c>
      <c r="J4423" s="11">
        <f>1/(H4423*Utilities!$B$11)</f>
        <v>8</v>
      </c>
      <c r="K4423" s="11">
        <f>IF(B4423&lt;C4423,1,EXP(-1*(B4423-C4423)/(Utilities!$B$11*IterData!H4423)))</f>
        <v>1</v>
      </c>
    </row>
    <row r="4424" spans="8:11" x14ac:dyDescent="0.3">
      <c r="H4424">
        <v>0.5</v>
      </c>
      <c r="I4424" s="11">
        <f t="shared" si="69"/>
        <v>0</v>
      </c>
      <c r="J4424" s="11">
        <f>1/(H4424*Utilities!$B$11)</f>
        <v>8</v>
      </c>
      <c r="K4424" s="11">
        <f>IF(B4424&lt;C4424,1,EXP(-1*(B4424-C4424)/(Utilities!$B$11*IterData!H4424)))</f>
        <v>1</v>
      </c>
    </row>
    <row r="4425" spans="8:11" x14ac:dyDescent="0.3">
      <c r="H4425">
        <v>0.5</v>
      </c>
      <c r="I4425" s="11">
        <f t="shared" si="69"/>
        <v>0</v>
      </c>
      <c r="J4425" s="11">
        <f>1/(H4425*Utilities!$B$11)</f>
        <v>8</v>
      </c>
      <c r="K4425" s="11">
        <f>IF(B4425&lt;C4425,1,EXP(-1*(B4425-C4425)/(Utilities!$B$11*IterData!H4425)))</f>
        <v>1</v>
      </c>
    </row>
    <row r="4426" spans="8:11" x14ac:dyDescent="0.3">
      <c r="H4426">
        <v>0.5</v>
      </c>
      <c r="I4426" s="11">
        <f t="shared" si="69"/>
        <v>0</v>
      </c>
      <c r="J4426" s="11">
        <f>1/(H4426*Utilities!$B$11)</f>
        <v>8</v>
      </c>
      <c r="K4426" s="11">
        <f>IF(B4426&lt;C4426,1,EXP(-1*(B4426-C4426)/(Utilities!$B$11*IterData!H4426)))</f>
        <v>1</v>
      </c>
    </row>
    <row r="4427" spans="8:11" x14ac:dyDescent="0.3">
      <c r="H4427">
        <v>0.5</v>
      </c>
      <c r="I4427" s="11">
        <f t="shared" si="69"/>
        <v>0</v>
      </c>
      <c r="J4427" s="11">
        <f>1/(H4427*Utilities!$B$11)</f>
        <v>8</v>
      </c>
      <c r="K4427" s="11">
        <f>IF(B4427&lt;C4427,1,EXP(-1*(B4427-C4427)/(Utilities!$B$11*IterData!H4427)))</f>
        <v>1</v>
      </c>
    </row>
    <row r="4428" spans="8:11" x14ac:dyDescent="0.3">
      <c r="H4428">
        <v>0.5</v>
      </c>
      <c r="I4428" s="11">
        <f t="shared" si="69"/>
        <v>0</v>
      </c>
      <c r="J4428" s="11">
        <f>1/(H4428*Utilities!$B$11)</f>
        <v>8</v>
      </c>
      <c r="K4428" s="11">
        <f>IF(B4428&lt;C4428,1,EXP(-1*(B4428-C4428)/(Utilities!$B$11*IterData!H4428)))</f>
        <v>1</v>
      </c>
    </row>
    <row r="4429" spans="8:11" x14ac:dyDescent="0.3">
      <c r="H4429">
        <v>0.5</v>
      </c>
      <c r="I4429" s="11">
        <f t="shared" si="69"/>
        <v>0</v>
      </c>
      <c r="J4429" s="11">
        <f>1/(H4429*Utilities!$B$11)</f>
        <v>8</v>
      </c>
      <c r="K4429" s="11">
        <f>IF(B4429&lt;C4429,1,EXP(-1*(B4429-C4429)/(Utilities!$B$11*IterData!H4429)))</f>
        <v>1</v>
      </c>
    </row>
    <row r="4430" spans="8:11" x14ac:dyDescent="0.3">
      <c r="H4430">
        <v>0.5</v>
      </c>
      <c r="I4430" s="11">
        <f t="shared" si="69"/>
        <v>0</v>
      </c>
      <c r="J4430" s="11">
        <f>1/(H4430*Utilities!$B$11)</f>
        <v>8</v>
      </c>
      <c r="K4430" s="11">
        <f>IF(B4430&lt;C4430,1,EXP(-1*(B4430-C4430)/(Utilities!$B$11*IterData!H4430)))</f>
        <v>1</v>
      </c>
    </row>
    <row r="4431" spans="8:11" x14ac:dyDescent="0.3">
      <c r="H4431">
        <v>0.5</v>
      </c>
      <c r="I4431" s="11">
        <f t="shared" si="69"/>
        <v>0</v>
      </c>
      <c r="J4431" s="11">
        <f>1/(H4431*Utilities!$B$11)</f>
        <v>8</v>
      </c>
      <c r="K4431" s="11">
        <f>IF(B4431&lt;C4431,1,EXP(-1*(B4431-C4431)/(Utilities!$B$11*IterData!H4431)))</f>
        <v>1</v>
      </c>
    </row>
    <row r="4432" spans="8:11" x14ac:dyDescent="0.3">
      <c r="H4432">
        <v>0.5</v>
      </c>
      <c r="I4432" s="11">
        <f t="shared" si="69"/>
        <v>0</v>
      </c>
      <c r="J4432" s="11">
        <f>1/(H4432*Utilities!$B$11)</f>
        <v>8</v>
      </c>
      <c r="K4432" s="11">
        <f>IF(B4432&lt;C4432,1,EXP(-1*(B4432-C4432)/(Utilities!$B$11*IterData!H4432)))</f>
        <v>1</v>
      </c>
    </row>
    <row r="4433" spans="8:11" x14ac:dyDescent="0.3">
      <c r="H4433">
        <v>0.5</v>
      </c>
      <c r="I4433" s="11">
        <f t="shared" si="69"/>
        <v>0</v>
      </c>
      <c r="J4433" s="11">
        <f>1/(H4433*Utilities!$B$11)</f>
        <v>8</v>
      </c>
      <c r="K4433" s="11">
        <f>IF(B4433&lt;C4433,1,EXP(-1*(B4433-C4433)/(Utilities!$B$11*IterData!H4433)))</f>
        <v>1</v>
      </c>
    </row>
    <row r="4434" spans="8:11" x14ac:dyDescent="0.3">
      <c r="H4434">
        <v>0.5</v>
      </c>
      <c r="I4434" s="11">
        <f t="shared" si="69"/>
        <v>0</v>
      </c>
      <c r="J4434" s="11">
        <f>1/(H4434*Utilities!$B$11)</f>
        <v>8</v>
      </c>
      <c r="K4434" s="11">
        <f>IF(B4434&lt;C4434,1,EXP(-1*(B4434-C4434)/(Utilities!$B$11*IterData!H4434)))</f>
        <v>1</v>
      </c>
    </row>
    <row r="4435" spans="8:11" x14ac:dyDescent="0.3">
      <c r="H4435">
        <v>0.5</v>
      </c>
      <c r="I4435" s="11">
        <f t="shared" si="69"/>
        <v>0</v>
      </c>
      <c r="J4435" s="11">
        <f>1/(H4435*Utilities!$B$11)</f>
        <v>8</v>
      </c>
      <c r="K4435" s="11">
        <f>IF(B4435&lt;C4435,1,EXP(-1*(B4435-C4435)/(Utilities!$B$11*IterData!H4435)))</f>
        <v>1</v>
      </c>
    </row>
    <row r="4436" spans="8:11" x14ac:dyDescent="0.3">
      <c r="H4436">
        <v>0.5</v>
      </c>
      <c r="I4436" s="11">
        <f t="shared" si="69"/>
        <v>0</v>
      </c>
      <c r="J4436" s="11">
        <f>1/(H4436*Utilities!$B$11)</f>
        <v>8</v>
      </c>
      <c r="K4436" s="11">
        <f>IF(B4436&lt;C4436,1,EXP(-1*(B4436-C4436)/(Utilities!$B$11*IterData!H4436)))</f>
        <v>1</v>
      </c>
    </row>
    <row r="4437" spans="8:11" x14ac:dyDescent="0.3">
      <c r="H4437">
        <v>0.5</v>
      </c>
      <c r="I4437" s="11">
        <f t="shared" si="69"/>
        <v>0</v>
      </c>
      <c r="J4437" s="11">
        <f>1/(H4437*Utilities!$B$11)</f>
        <v>8</v>
      </c>
      <c r="K4437" s="11">
        <f>IF(B4437&lt;C4437,1,EXP(-1*(B4437-C4437)/(Utilities!$B$11*IterData!H4437)))</f>
        <v>1</v>
      </c>
    </row>
    <row r="4438" spans="8:11" x14ac:dyDescent="0.3">
      <c r="H4438">
        <v>0.5</v>
      </c>
      <c r="I4438" s="11">
        <f t="shared" si="69"/>
        <v>0</v>
      </c>
      <c r="J4438" s="11">
        <f>1/(H4438*Utilities!$B$11)</f>
        <v>8</v>
      </c>
      <c r="K4438" s="11">
        <f>IF(B4438&lt;C4438,1,EXP(-1*(B4438-C4438)/(Utilities!$B$11*IterData!H4438)))</f>
        <v>1</v>
      </c>
    </row>
    <row r="4439" spans="8:11" x14ac:dyDescent="0.3">
      <c r="H4439">
        <v>0.5</v>
      </c>
      <c r="I4439" s="11">
        <f t="shared" si="69"/>
        <v>0</v>
      </c>
      <c r="J4439" s="11">
        <f>1/(H4439*Utilities!$B$11)</f>
        <v>8</v>
      </c>
      <c r="K4439" s="11">
        <f>IF(B4439&lt;C4439,1,EXP(-1*(B4439-C4439)/(Utilities!$B$11*IterData!H4439)))</f>
        <v>1</v>
      </c>
    </row>
    <row r="4440" spans="8:11" x14ac:dyDescent="0.3">
      <c r="H4440">
        <v>0.5</v>
      </c>
      <c r="I4440" s="11">
        <f t="shared" si="69"/>
        <v>0</v>
      </c>
      <c r="J4440" s="11">
        <f>1/(H4440*Utilities!$B$11)</f>
        <v>8</v>
      </c>
      <c r="K4440" s="11">
        <f>IF(B4440&lt;C4440,1,EXP(-1*(B4440-C4440)/(Utilities!$B$11*IterData!H4440)))</f>
        <v>1</v>
      </c>
    </row>
    <row r="4441" spans="8:11" x14ac:dyDescent="0.3">
      <c r="H4441">
        <v>0.5</v>
      </c>
      <c r="I4441" s="11">
        <f t="shared" si="69"/>
        <v>0</v>
      </c>
      <c r="J4441" s="11">
        <f>1/(H4441*Utilities!$B$11)</f>
        <v>8</v>
      </c>
      <c r="K4441" s="11">
        <f>IF(B4441&lt;C4441,1,EXP(-1*(B4441-C4441)/(Utilities!$B$11*IterData!H4441)))</f>
        <v>1</v>
      </c>
    </row>
    <row r="4442" spans="8:11" x14ac:dyDescent="0.3">
      <c r="H4442">
        <v>0.5</v>
      </c>
      <c r="I4442" s="11">
        <f t="shared" si="69"/>
        <v>0</v>
      </c>
      <c r="J4442" s="11">
        <f>1/(H4442*Utilities!$B$11)</f>
        <v>8</v>
      </c>
      <c r="K4442" s="11">
        <f>IF(B4442&lt;C4442,1,EXP(-1*(B4442-C4442)/(Utilities!$B$11*IterData!H4442)))</f>
        <v>1</v>
      </c>
    </row>
    <row r="4443" spans="8:11" x14ac:dyDescent="0.3">
      <c r="H4443">
        <v>0.5</v>
      </c>
      <c r="I4443" s="11">
        <f t="shared" si="69"/>
        <v>0</v>
      </c>
      <c r="J4443" s="11">
        <f>1/(H4443*Utilities!$B$11)</f>
        <v>8</v>
      </c>
      <c r="K4443" s="11">
        <f>IF(B4443&lt;C4443,1,EXP(-1*(B4443-C4443)/(Utilities!$B$11*IterData!H4443)))</f>
        <v>1</v>
      </c>
    </row>
    <row r="4444" spans="8:11" x14ac:dyDescent="0.3">
      <c r="H4444">
        <v>0.5</v>
      </c>
      <c r="I4444" s="11">
        <f t="shared" si="69"/>
        <v>0</v>
      </c>
      <c r="J4444" s="11">
        <f>1/(H4444*Utilities!$B$11)</f>
        <v>8</v>
      </c>
      <c r="K4444" s="11">
        <f>IF(B4444&lt;C4444,1,EXP(-1*(B4444-C4444)/(Utilities!$B$11*IterData!H4444)))</f>
        <v>1</v>
      </c>
    </row>
    <row r="4445" spans="8:11" x14ac:dyDescent="0.3">
      <c r="H4445">
        <v>0.5</v>
      </c>
      <c r="I4445" s="11">
        <f t="shared" si="69"/>
        <v>0</v>
      </c>
      <c r="J4445" s="11">
        <f>1/(H4445*Utilities!$B$11)</f>
        <v>8</v>
      </c>
      <c r="K4445" s="11">
        <f>IF(B4445&lt;C4445,1,EXP(-1*(B4445-C4445)/(Utilities!$B$11*IterData!H4445)))</f>
        <v>1</v>
      </c>
    </row>
    <row r="4446" spans="8:11" x14ac:dyDescent="0.3">
      <c r="H4446">
        <v>0.5</v>
      </c>
      <c r="I4446" s="11">
        <f t="shared" si="69"/>
        <v>0</v>
      </c>
      <c r="J4446" s="11">
        <f>1/(H4446*Utilities!$B$11)</f>
        <v>8</v>
      </c>
      <c r="K4446" s="11">
        <f>IF(B4446&lt;C4446,1,EXP(-1*(B4446-C4446)/(Utilities!$B$11*IterData!H4446)))</f>
        <v>1</v>
      </c>
    </row>
    <row r="4447" spans="8:11" x14ac:dyDescent="0.3">
      <c r="H4447">
        <v>0.5</v>
      </c>
      <c r="I4447" s="11">
        <f t="shared" si="69"/>
        <v>0</v>
      </c>
      <c r="J4447" s="11">
        <f>1/(H4447*Utilities!$B$11)</f>
        <v>8</v>
      </c>
      <c r="K4447" s="11">
        <f>IF(B4447&lt;C4447,1,EXP(-1*(B4447-C4447)/(Utilities!$B$11*IterData!H4447)))</f>
        <v>1</v>
      </c>
    </row>
    <row r="4448" spans="8:11" x14ac:dyDescent="0.3">
      <c r="H4448">
        <v>0.5</v>
      </c>
      <c r="I4448" s="11">
        <f t="shared" si="69"/>
        <v>0</v>
      </c>
      <c r="J4448" s="11">
        <f>1/(H4448*Utilities!$B$11)</f>
        <v>8</v>
      </c>
      <c r="K4448" s="11">
        <f>IF(B4448&lt;C4448,1,EXP(-1*(B4448-C4448)/(Utilities!$B$11*IterData!H4448)))</f>
        <v>1</v>
      </c>
    </row>
    <row r="4449" spans="8:11" x14ac:dyDescent="0.3">
      <c r="H4449">
        <v>0.5</v>
      </c>
      <c r="I4449" s="11">
        <f t="shared" si="69"/>
        <v>0</v>
      </c>
      <c r="J4449" s="11">
        <f>1/(H4449*Utilities!$B$11)</f>
        <v>8</v>
      </c>
      <c r="K4449" s="11">
        <f>IF(B4449&lt;C4449,1,EXP(-1*(B4449-C4449)/(Utilities!$B$11*IterData!H4449)))</f>
        <v>1</v>
      </c>
    </row>
    <row r="4450" spans="8:11" x14ac:dyDescent="0.3">
      <c r="H4450">
        <v>0.5</v>
      </c>
      <c r="I4450" s="11">
        <f t="shared" si="69"/>
        <v>0</v>
      </c>
      <c r="J4450" s="11">
        <f>1/(H4450*Utilities!$B$11)</f>
        <v>8</v>
      </c>
      <c r="K4450" s="11">
        <f>IF(B4450&lt;C4450,1,EXP(-1*(B4450-C4450)/(Utilities!$B$11*IterData!H4450)))</f>
        <v>1</v>
      </c>
    </row>
    <row r="4451" spans="8:11" x14ac:dyDescent="0.3">
      <c r="H4451">
        <v>0.5</v>
      </c>
      <c r="I4451" s="11">
        <f t="shared" si="69"/>
        <v>0</v>
      </c>
      <c r="J4451" s="11">
        <f>1/(H4451*Utilities!$B$11)</f>
        <v>8</v>
      </c>
      <c r="K4451" s="11">
        <f>IF(B4451&lt;C4451,1,EXP(-1*(B4451-C4451)/(Utilities!$B$11*IterData!H4451)))</f>
        <v>1</v>
      </c>
    </row>
    <row r="4452" spans="8:11" x14ac:dyDescent="0.3">
      <c r="H4452">
        <v>0.5</v>
      </c>
      <c r="I4452" s="11">
        <f t="shared" si="69"/>
        <v>0</v>
      </c>
      <c r="J4452" s="11">
        <f>1/(H4452*Utilities!$B$11)</f>
        <v>8</v>
      </c>
      <c r="K4452" s="11">
        <f>IF(B4452&lt;C4452,1,EXP(-1*(B4452-C4452)/(Utilities!$B$11*IterData!H4452)))</f>
        <v>1</v>
      </c>
    </row>
    <row r="4453" spans="8:11" x14ac:dyDescent="0.3">
      <c r="H4453">
        <v>0.5</v>
      </c>
      <c r="I4453" s="11">
        <f t="shared" si="69"/>
        <v>0</v>
      </c>
      <c r="J4453" s="11">
        <f>1/(H4453*Utilities!$B$11)</f>
        <v>8</v>
      </c>
      <c r="K4453" s="11">
        <f>IF(B4453&lt;C4453,1,EXP(-1*(B4453-C4453)/(Utilities!$B$11*IterData!H4453)))</f>
        <v>1</v>
      </c>
    </row>
    <row r="4454" spans="8:11" x14ac:dyDescent="0.3">
      <c r="H4454">
        <v>0.5</v>
      </c>
      <c r="I4454" s="11">
        <f t="shared" si="69"/>
        <v>0</v>
      </c>
      <c r="J4454" s="11">
        <f>1/(H4454*Utilities!$B$11)</f>
        <v>8</v>
      </c>
      <c r="K4454" s="11">
        <f>IF(B4454&lt;C4454,1,EXP(-1*(B4454-C4454)/(Utilities!$B$11*IterData!H4454)))</f>
        <v>1</v>
      </c>
    </row>
    <row r="4455" spans="8:11" x14ac:dyDescent="0.3">
      <c r="H4455">
        <v>0.5</v>
      </c>
      <c r="I4455" s="11">
        <f t="shared" si="69"/>
        <v>0</v>
      </c>
      <c r="J4455" s="11">
        <f>1/(H4455*Utilities!$B$11)</f>
        <v>8</v>
      </c>
      <c r="K4455" s="11">
        <f>IF(B4455&lt;C4455,1,EXP(-1*(B4455-C4455)/(Utilities!$B$11*IterData!H4455)))</f>
        <v>1</v>
      </c>
    </row>
    <row r="4456" spans="8:11" x14ac:dyDescent="0.3">
      <c r="H4456">
        <v>0.5</v>
      </c>
      <c r="I4456" s="11">
        <f t="shared" si="69"/>
        <v>0</v>
      </c>
      <c r="J4456" s="11">
        <f>1/(H4456*Utilities!$B$11)</f>
        <v>8</v>
      </c>
      <c r="K4456" s="11">
        <f>IF(B4456&lt;C4456,1,EXP(-1*(B4456-C4456)/(Utilities!$B$11*IterData!H4456)))</f>
        <v>1</v>
      </c>
    </row>
    <row r="4457" spans="8:11" x14ac:dyDescent="0.3">
      <c r="H4457">
        <v>0.5</v>
      </c>
      <c r="I4457" s="11">
        <f t="shared" si="69"/>
        <v>0</v>
      </c>
      <c r="J4457" s="11">
        <f>1/(H4457*Utilities!$B$11)</f>
        <v>8</v>
      </c>
      <c r="K4457" s="11">
        <f>IF(B4457&lt;C4457,1,EXP(-1*(B4457-C4457)/(Utilities!$B$11*IterData!H4457)))</f>
        <v>1</v>
      </c>
    </row>
    <row r="4458" spans="8:11" x14ac:dyDescent="0.3">
      <c r="H4458">
        <v>0.5</v>
      </c>
      <c r="I4458" s="11">
        <f t="shared" si="69"/>
        <v>0</v>
      </c>
      <c r="J4458" s="11">
        <f>1/(H4458*Utilities!$B$11)</f>
        <v>8</v>
      </c>
      <c r="K4458" s="11">
        <f>IF(B4458&lt;C4458,1,EXP(-1*(B4458-C4458)/(Utilities!$B$11*IterData!H4458)))</f>
        <v>1</v>
      </c>
    </row>
    <row r="4459" spans="8:11" x14ac:dyDescent="0.3">
      <c r="H4459">
        <v>0.5</v>
      </c>
      <c r="I4459" s="11">
        <f t="shared" si="69"/>
        <v>0</v>
      </c>
      <c r="J4459" s="11">
        <f>1/(H4459*Utilities!$B$11)</f>
        <v>8</v>
      </c>
      <c r="K4459" s="11">
        <f>IF(B4459&lt;C4459,1,EXP(-1*(B4459-C4459)/(Utilities!$B$11*IterData!H4459)))</f>
        <v>1</v>
      </c>
    </row>
    <row r="4460" spans="8:11" x14ac:dyDescent="0.3">
      <c r="H4460">
        <v>0.5</v>
      </c>
      <c r="I4460" s="11">
        <f t="shared" si="69"/>
        <v>0</v>
      </c>
      <c r="J4460" s="11">
        <f>1/(H4460*Utilities!$B$11)</f>
        <v>8</v>
      </c>
      <c r="K4460" s="11">
        <f>IF(B4460&lt;C4460,1,EXP(-1*(B4460-C4460)/(Utilities!$B$11*IterData!H4460)))</f>
        <v>1</v>
      </c>
    </row>
    <row r="4461" spans="8:11" x14ac:dyDescent="0.3">
      <c r="H4461">
        <v>0.5</v>
      </c>
      <c r="I4461" s="11">
        <f t="shared" si="69"/>
        <v>0</v>
      </c>
      <c r="J4461" s="11">
        <f>1/(H4461*Utilities!$B$11)</f>
        <v>8</v>
      </c>
      <c r="K4461" s="11">
        <f>IF(B4461&lt;C4461,1,EXP(-1*(B4461-C4461)/(Utilities!$B$11*IterData!H4461)))</f>
        <v>1</v>
      </c>
    </row>
    <row r="4462" spans="8:11" x14ac:dyDescent="0.3">
      <c r="H4462">
        <v>0.5</v>
      </c>
      <c r="I4462" s="11">
        <f t="shared" si="69"/>
        <v>0</v>
      </c>
      <c r="J4462" s="11">
        <f>1/(H4462*Utilities!$B$11)</f>
        <v>8</v>
      </c>
      <c r="K4462" s="11">
        <f>IF(B4462&lt;C4462,1,EXP(-1*(B4462-C4462)/(Utilities!$B$11*IterData!H4462)))</f>
        <v>1</v>
      </c>
    </row>
    <row r="4463" spans="8:11" x14ac:dyDescent="0.3">
      <c r="H4463">
        <v>0.5</v>
      </c>
      <c r="I4463" s="11">
        <f t="shared" si="69"/>
        <v>0</v>
      </c>
      <c r="J4463" s="11">
        <f>1/(H4463*Utilities!$B$11)</f>
        <v>8</v>
      </c>
      <c r="K4463" s="11">
        <f>IF(B4463&lt;C4463,1,EXP(-1*(B4463-C4463)/(Utilities!$B$11*IterData!H4463)))</f>
        <v>1</v>
      </c>
    </row>
    <row r="4464" spans="8:11" x14ac:dyDescent="0.3">
      <c r="H4464">
        <v>0.5</v>
      </c>
      <c r="I4464" s="11">
        <f t="shared" si="69"/>
        <v>0</v>
      </c>
      <c r="J4464" s="11">
        <f>1/(H4464*Utilities!$B$11)</f>
        <v>8</v>
      </c>
      <c r="K4464" s="11">
        <f>IF(B4464&lt;C4464,1,EXP(-1*(B4464-C4464)/(Utilities!$B$11*IterData!H4464)))</f>
        <v>1</v>
      </c>
    </row>
    <row r="4465" spans="8:11" x14ac:dyDescent="0.3">
      <c r="H4465">
        <v>0.5</v>
      </c>
      <c r="I4465" s="11">
        <f t="shared" si="69"/>
        <v>0</v>
      </c>
      <c r="J4465" s="11">
        <f>1/(H4465*Utilities!$B$11)</f>
        <v>8</v>
      </c>
      <c r="K4465" s="11">
        <f>IF(B4465&lt;C4465,1,EXP(-1*(B4465-C4465)/(Utilities!$B$11*IterData!H4465)))</f>
        <v>1</v>
      </c>
    </row>
    <row r="4466" spans="8:11" x14ac:dyDescent="0.3">
      <c r="H4466">
        <v>0.5</v>
      </c>
      <c r="I4466" s="11">
        <f t="shared" si="69"/>
        <v>0</v>
      </c>
      <c r="J4466" s="11">
        <f>1/(H4466*Utilities!$B$11)</f>
        <v>8</v>
      </c>
      <c r="K4466" s="11">
        <f>IF(B4466&lt;C4466,1,EXP(-1*(B4466-C4466)/(Utilities!$B$11*IterData!H4466)))</f>
        <v>1</v>
      </c>
    </row>
    <row r="4467" spans="8:11" x14ac:dyDescent="0.3">
      <c r="H4467">
        <v>0.5</v>
      </c>
      <c r="I4467" s="11">
        <f t="shared" si="69"/>
        <v>0</v>
      </c>
      <c r="J4467" s="11">
        <f>1/(H4467*Utilities!$B$11)</f>
        <v>8</v>
      </c>
      <c r="K4467" s="11">
        <f>IF(B4467&lt;C4467,1,EXP(-1*(B4467-C4467)/(Utilities!$B$11*IterData!H4467)))</f>
        <v>1</v>
      </c>
    </row>
    <row r="4468" spans="8:11" x14ac:dyDescent="0.3">
      <c r="H4468">
        <v>0.5</v>
      </c>
      <c r="I4468" s="11">
        <f t="shared" si="69"/>
        <v>0</v>
      </c>
      <c r="J4468" s="11">
        <f>1/(H4468*Utilities!$B$11)</f>
        <v>8</v>
      </c>
      <c r="K4468" s="11">
        <f>IF(B4468&lt;C4468,1,EXP(-1*(B4468-C4468)/(Utilities!$B$11*IterData!H4468)))</f>
        <v>1</v>
      </c>
    </row>
    <row r="4469" spans="8:11" x14ac:dyDescent="0.3">
      <c r="H4469">
        <v>0.5</v>
      </c>
      <c r="I4469" s="11">
        <f t="shared" si="69"/>
        <v>0</v>
      </c>
      <c r="J4469" s="11">
        <f>1/(H4469*Utilities!$B$11)</f>
        <v>8</v>
      </c>
      <c r="K4469" s="11">
        <f>IF(B4469&lt;C4469,1,EXP(-1*(B4469-C4469)/(Utilities!$B$11*IterData!H4469)))</f>
        <v>1</v>
      </c>
    </row>
    <row r="4470" spans="8:11" x14ac:dyDescent="0.3">
      <c r="H4470">
        <v>0.5</v>
      </c>
      <c r="I4470" s="11">
        <f t="shared" si="69"/>
        <v>0</v>
      </c>
      <c r="J4470" s="11">
        <f>1/(H4470*Utilities!$B$11)</f>
        <v>8</v>
      </c>
      <c r="K4470" s="11">
        <f>IF(B4470&lt;C4470,1,EXP(-1*(B4470-C4470)/(Utilities!$B$11*IterData!H4470)))</f>
        <v>1</v>
      </c>
    </row>
    <row r="4471" spans="8:11" x14ac:dyDescent="0.3">
      <c r="H4471">
        <v>0.5</v>
      </c>
      <c r="I4471" s="11">
        <f t="shared" si="69"/>
        <v>0</v>
      </c>
      <c r="J4471" s="11">
        <f>1/(H4471*Utilities!$B$11)</f>
        <v>8</v>
      </c>
      <c r="K4471" s="11">
        <f>IF(B4471&lt;C4471,1,EXP(-1*(B4471-C4471)/(Utilities!$B$11*IterData!H4471)))</f>
        <v>1</v>
      </c>
    </row>
    <row r="4472" spans="8:11" x14ac:dyDescent="0.3">
      <c r="H4472">
        <v>0.5</v>
      </c>
      <c r="I4472" s="11">
        <f t="shared" si="69"/>
        <v>0</v>
      </c>
      <c r="J4472" s="11">
        <f>1/(H4472*Utilities!$B$11)</f>
        <v>8</v>
      </c>
      <c r="K4472" s="11">
        <f>IF(B4472&lt;C4472,1,EXP(-1*(B4472-C4472)/(Utilities!$B$11*IterData!H4472)))</f>
        <v>1</v>
      </c>
    </row>
    <row r="4473" spans="8:11" x14ac:dyDescent="0.3">
      <c r="H4473">
        <v>0.5</v>
      </c>
      <c r="I4473" s="11">
        <f t="shared" si="69"/>
        <v>0</v>
      </c>
      <c r="J4473" s="11">
        <f>1/(H4473*Utilities!$B$11)</f>
        <v>8</v>
      </c>
      <c r="K4473" s="11">
        <f>IF(B4473&lt;C4473,1,EXP(-1*(B4473-C4473)/(Utilities!$B$11*IterData!H4473)))</f>
        <v>1</v>
      </c>
    </row>
    <row r="4474" spans="8:11" x14ac:dyDescent="0.3">
      <c r="H4474">
        <v>0.5</v>
      </c>
      <c r="I4474" s="11">
        <f t="shared" si="69"/>
        <v>0</v>
      </c>
      <c r="J4474" s="11">
        <f>1/(H4474*Utilities!$B$11)</f>
        <v>8</v>
      </c>
      <c r="K4474" s="11">
        <f>IF(B4474&lt;C4474,1,EXP(-1*(B4474-C4474)/(Utilities!$B$11*IterData!H4474)))</f>
        <v>1</v>
      </c>
    </row>
    <row r="4475" spans="8:11" x14ac:dyDescent="0.3">
      <c r="H4475">
        <v>0.5</v>
      </c>
      <c r="I4475" s="11">
        <f t="shared" si="69"/>
        <v>0</v>
      </c>
      <c r="J4475" s="11">
        <f>1/(H4475*Utilities!$B$11)</f>
        <v>8</v>
      </c>
      <c r="K4475" s="11">
        <f>IF(B4475&lt;C4475,1,EXP(-1*(B4475-C4475)/(Utilities!$B$11*IterData!H4475)))</f>
        <v>1</v>
      </c>
    </row>
    <row r="4476" spans="8:11" x14ac:dyDescent="0.3">
      <c r="H4476">
        <v>0.5</v>
      </c>
      <c r="I4476" s="11">
        <f t="shared" si="69"/>
        <v>0</v>
      </c>
      <c r="J4476" s="11">
        <f>1/(H4476*Utilities!$B$11)</f>
        <v>8</v>
      </c>
      <c r="K4476" s="11">
        <f>IF(B4476&lt;C4476,1,EXP(-1*(B4476-C4476)/(Utilities!$B$11*IterData!H4476)))</f>
        <v>1</v>
      </c>
    </row>
    <row r="4477" spans="8:11" x14ac:dyDescent="0.3">
      <c r="H4477">
        <v>0.5</v>
      </c>
      <c r="I4477" s="11">
        <f t="shared" si="69"/>
        <v>0</v>
      </c>
      <c r="J4477" s="11">
        <f>1/(H4477*Utilities!$B$11)</f>
        <v>8</v>
      </c>
      <c r="K4477" s="11">
        <f>IF(B4477&lt;C4477,1,EXP(-1*(B4477-C4477)/(Utilities!$B$11*IterData!H4477)))</f>
        <v>1</v>
      </c>
    </row>
    <row r="4478" spans="8:11" x14ac:dyDescent="0.3">
      <c r="H4478">
        <v>0.5</v>
      </c>
      <c r="I4478" s="11">
        <f t="shared" si="69"/>
        <v>0</v>
      </c>
      <c r="J4478" s="11">
        <f>1/(H4478*Utilities!$B$11)</f>
        <v>8</v>
      </c>
      <c r="K4478" s="11">
        <f>IF(B4478&lt;C4478,1,EXP(-1*(B4478-C4478)/(Utilities!$B$11*IterData!H4478)))</f>
        <v>1</v>
      </c>
    </row>
    <row r="4479" spans="8:11" x14ac:dyDescent="0.3">
      <c r="H4479">
        <v>0.5</v>
      </c>
      <c r="I4479" s="11">
        <f t="shared" si="69"/>
        <v>0</v>
      </c>
      <c r="J4479" s="11">
        <f>1/(H4479*Utilities!$B$11)</f>
        <v>8</v>
      </c>
      <c r="K4479" s="11">
        <f>IF(B4479&lt;C4479,1,EXP(-1*(B4479-C4479)/(Utilities!$B$11*IterData!H4479)))</f>
        <v>1</v>
      </c>
    </row>
    <row r="4480" spans="8:11" x14ac:dyDescent="0.3">
      <c r="H4480">
        <v>0.5</v>
      </c>
      <c r="I4480" s="11">
        <f t="shared" si="69"/>
        <v>0</v>
      </c>
      <c r="J4480" s="11">
        <f>1/(H4480*Utilities!$B$11)</f>
        <v>8</v>
      </c>
      <c r="K4480" s="11">
        <f>IF(B4480&lt;C4480,1,EXP(-1*(B4480-C4480)/(Utilities!$B$11*IterData!H4480)))</f>
        <v>1</v>
      </c>
    </row>
    <row r="4481" spans="8:11" x14ac:dyDescent="0.3">
      <c r="H4481">
        <v>0.5</v>
      </c>
      <c r="I4481" s="11">
        <f t="shared" si="69"/>
        <v>0</v>
      </c>
      <c r="J4481" s="11">
        <f>1/(H4481*Utilities!$B$11)</f>
        <v>8</v>
      </c>
      <c r="K4481" s="11">
        <f>IF(B4481&lt;C4481,1,EXP(-1*(B4481-C4481)/(Utilities!$B$11*IterData!H4481)))</f>
        <v>1</v>
      </c>
    </row>
    <row r="4482" spans="8:11" x14ac:dyDescent="0.3">
      <c r="H4482">
        <v>0.5</v>
      </c>
      <c r="I4482" s="11">
        <f t="shared" si="69"/>
        <v>0</v>
      </c>
      <c r="J4482" s="11">
        <f>1/(H4482*Utilities!$B$11)</f>
        <v>8</v>
      </c>
      <c r="K4482" s="11">
        <f>IF(B4482&lt;C4482,1,EXP(-1*(B4482-C4482)/(Utilities!$B$11*IterData!H4482)))</f>
        <v>1</v>
      </c>
    </row>
    <row r="4483" spans="8:11" x14ac:dyDescent="0.3">
      <c r="H4483">
        <v>0.5</v>
      </c>
      <c r="I4483" s="11">
        <f t="shared" ref="I4483:I4546" si="70">B4483-C4483</f>
        <v>0</v>
      </c>
      <c r="J4483" s="11">
        <f>1/(H4483*Utilities!$B$11)</f>
        <v>8</v>
      </c>
      <c r="K4483" s="11">
        <f>IF(B4483&lt;C4483,1,EXP(-1*(B4483-C4483)/(Utilities!$B$11*IterData!H4483)))</f>
        <v>1</v>
      </c>
    </row>
    <row r="4484" spans="8:11" x14ac:dyDescent="0.3">
      <c r="H4484">
        <v>0.5</v>
      </c>
      <c r="I4484" s="11">
        <f t="shared" si="70"/>
        <v>0</v>
      </c>
      <c r="J4484" s="11">
        <f>1/(H4484*Utilities!$B$11)</f>
        <v>8</v>
      </c>
      <c r="K4484" s="11">
        <f>IF(B4484&lt;C4484,1,EXP(-1*(B4484-C4484)/(Utilities!$B$11*IterData!H4484)))</f>
        <v>1</v>
      </c>
    </row>
    <row r="4485" spans="8:11" x14ac:dyDescent="0.3">
      <c r="H4485">
        <v>0.5</v>
      </c>
      <c r="I4485" s="11">
        <f t="shared" si="70"/>
        <v>0</v>
      </c>
      <c r="J4485" s="11">
        <f>1/(H4485*Utilities!$B$11)</f>
        <v>8</v>
      </c>
      <c r="K4485" s="11">
        <f>IF(B4485&lt;C4485,1,EXP(-1*(B4485-C4485)/(Utilities!$B$11*IterData!H4485)))</f>
        <v>1</v>
      </c>
    </row>
    <row r="4486" spans="8:11" x14ac:dyDescent="0.3">
      <c r="H4486">
        <v>0.5</v>
      </c>
      <c r="I4486" s="11">
        <f t="shared" si="70"/>
        <v>0</v>
      </c>
      <c r="J4486" s="11">
        <f>1/(H4486*Utilities!$B$11)</f>
        <v>8</v>
      </c>
      <c r="K4486" s="11">
        <f>IF(B4486&lt;C4486,1,EXP(-1*(B4486-C4486)/(Utilities!$B$11*IterData!H4486)))</f>
        <v>1</v>
      </c>
    </row>
    <row r="4487" spans="8:11" x14ac:dyDescent="0.3">
      <c r="H4487">
        <v>0.5</v>
      </c>
      <c r="I4487" s="11">
        <f t="shared" si="70"/>
        <v>0</v>
      </c>
      <c r="J4487" s="11">
        <f>1/(H4487*Utilities!$B$11)</f>
        <v>8</v>
      </c>
      <c r="K4487" s="11">
        <f>IF(B4487&lt;C4487,1,EXP(-1*(B4487-C4487)/(Utilities!$B$11*IterData!H4487)))</f>
        <v>1</v>
      </c>
    </row>
    <row r="4488" spans="8:11" x14ac:dyDescent="0.3">
      <c r="H4488">
        <v>0.5</v>
      </c>
      <c r="I4488" s="11">
        <f t="shared" si="70"/>
        <v>0</v>
      </c>
      <c r="J4488" s="11">
        <f>1/(H4488*Utilities!$B$11)</f>
        <v>8</v>
      </c>
      <c r="K4488" s="11">
        <f>IF(B4488&lt;C4488,1,EXP(-1*(B4488-C4488)/(Utilities!$B$11*IterData!H4488)))</f>
        <v>1</v>
      </c>
    </row>
    <row r="4489" spans="8:11" x14ac:dyDescent="0.3">
      <c r="H4489">
        <v>0.5</v>
      </c>
      <c r="I4489" s="11">
        <f t="shared" si="70"/>
        <v>0</v>
      </c>
      <c r="J4489" s="11">
        <f>1/(H4489*Utilities!$B$11)</f>
        <v>8</v>
      </c>
      <c r="K4489" s="11">
        <f>IF(B4489&lt;C4489,1,EXP(-1*(B4489-C4489)/(Utilities!$B$11*IterData!H4489)))</f>
        <v>1</v>
      </c>
    </row>
    <row r="4490" spans="8:11" x14ac:dyDescent="0.3">
      <c r="H4490">
        <v>0.5</v>
      </c>
      <c r="I4490" s="11">
        <f t="shared" si="70"/>
        <v>0</v>
      </c>
      <c r="J4490" s="11">
        <f>1/(H4490*Utilities!$B$11)</f>
        <v>8</v>
      </c>
      <c r="K4490" s="11">
        <f>IF(B4490&lt;C4490,1,EXP(-1*(B4490-C4490)/(Utilities!$B$11*IterData!H4490)))</f>
        <v>1</v>
      </c>
    </row>
    <row r="4491" spans="8:11" x14ac:dyDescent="0.3">
      <c r="H4491">
        <v>0.5</v>
      </c>
      <c r="I4491" s="11">
        <f t="shared" si="70"/>
        <v>0</v>
      </c>
      <c r="J4491" s="11">
        <f>1/(H4491*Utilities!$B$11)</f>
        <v>8</v>
      </c>
      <c r="K4491" s="11">
        <f>IF(B4491&lt;C4491,1,EXP(-1*(B4491-C4491)/(Utilities!$B$11*IterData!H4491)))</f>
        <v>1</v>
      </c>
    </row>
    <row r="4492" spans="8:11" x14ac:dyDescent="0.3">
      <c r="H4492">
        <v>0.5</v>
      </c>
      <c r="I4492" s="11">
        <f t="shared" si="70"/>
        <v>0</v>
      </c>
      <c r="J4492" s="11">
        <f>1/(H4492*Utilities!$B$11)</f>
        <v>8</v>
      </c>
      <c r="K4492" s="11">
        <f>IF(B4492&lt;C4492,1,EXP(-1*(B4492-C4492)/(Utilities!$B$11*IterData!H4492)))</f>
        <v>1</v>
      </c>
    </row>
    <row r="4493" spans="8:11" x14ac:dyDescent="0.3">
      <c r="H4493">
        <v>0.5</v>
      </c>
      <c r="I4493" s="11">
        <f t="shared" si="70"/>
        <v>0</v>
      </c>
      <c r="J4493" s="11">
        <f>1/(H4493*Utilities!$B$11)</f>
        <v>8</v>
      </c>
      <c r="K4493" s="11">
        <f>IF(B4493&lt;C4493,1,EXP(-1*(B4493-C4493)/(Utilities!$B$11*IterData!H4493)))</f>
        <v>1</v>
      </c>
    </row>
    <row r="4494" spans="8:11" x14ac:dyDescent="0.3">
      <c r="H4494">
        <v>0.5</v>
      </c>
      <c r="I4494" s="11">
        <f t="shared" si="70"/>
        <v>0</v>
      </c>
      <c r="J4494" s="11">
        <f>1/(H4494*Utilities!$B$11)</f>
        <v>8</v>
      </c>
      <c r="K4494" s="11">
        <f>IF(B4494&lt;C4494,1,EXP(-1*(B4494-C4494)/(Utilities!$B$11*IterData!H4494)))</f>
        <v>1</v>
      </c>
    </row>
    <row r="4495" spans="8:11" x14ac:dyDescent="0.3">
      <c r="H4495">
        <v>0.5</v>
      </c>
      <c r="I4495" s="11">
        <f t="shared" si="70"/>
        <v>0</v>
      </c>
      <c r="J4495" s="11">
        <f>1/(H4495*Utilities!$B$11)</f>
        <v>8</v>
      </c>
      <c r="K4495" s="11">
        <f>IF(B4495&lt;C4495,1,EXP(-1*(B4495-C4495)/(Utilities!$B$11*IterData!H4495)))</f>
        <v>1</v>
      </c>
    </row>
    <row r="4496" spans="8:11" x14ac:dyDescent="0.3">
      <c r="H4496">
        <v>0.5</v>
      </c>
      <c r="I4496" s="11">
        <f t="shared" si="70"/>
        <v>0</v>
      </c>
      <c r="J4496" s="11">
        <f>1/(H4496*Utilities!$B$11)</f>
        <v>8</v>
      </c>
      <c r="K4496" s="11">
        <f>IF(B4496&lt;C4496,1,EXP(-1*(B4496-C4496)/(Utilities!$B$11*IterData!H4496)))</f>
        <v>1</v>
      </c>
    </row>
    <row r="4497" spans="8:11" x14ac:dyDescent="0.3">
      <c r="H4497">
        <v>0.5</v>
      </c>
      <c r="I4497" s="11">
        <f t="shared" si="70"/>
        <v>0</v>
      </c>
      <c r="J4497" s="11">
        <f>1/(H4497*Utilities!$B$11)</f>
        <v>8</v>
      </c>
      <c r="K4497" s="11">
        <f>IF(B4497&lt;C4497,1,EXP(-1*(B4497-C4497)/(Utilities!$B$11*IterData!H4497)))</f>
        <v>1</v>
      </c>
    </row>
    <row r="4498" spans="8:11" x14ac:dyDescent="0.3">
      <c r="H4498">
        <v>0.5</v>
      </c>
      <c r="I4498" s="11">
        <f t="shared" si="70"/>
        <v>0</v>
      </c>
      <c r="J4498" s="11">
        <f>1/(H4498*Utilities!$B$11)</f>
        <v>8</v>
      </c>
      <c r="K4498" s="11">
        <f>IF(B4498&lt;C4498,1,EXP(-1*(B4498-C4498)/(Utilities!$B$11*IterData!H4498)))</f>
        <v>1</v>
      </c>
    </row>
    <row r="4499" spans="8:11" x14ac:dyDescent="0.3">
      <c r="H4499">
        <v>0.5</v>
      </c>
      <c r="I4499" s="11">
        <f t="shared" si="70"/>
        <v>0</v>
      </c>
      <c r="J4499" s="11">
        <f>1/(H4499*Utilities!$B$11)</f>
        <v>8</v>
      </c>
      <c r="K4499" s="11">
        <f>IF(B4499&lt;C4499,1,EXP(-1*(B4499-C4499)/(Utilities!$B$11*IterData!H4499)))</f>
        <v>1</v>
      </c>
    </row>
    <row r="4500" spans="8:11" x14ac:dyDescent="0.3">
      <c r="H4500">
        <v>0.5</v>
      </c>
      <c r="I4500" s="11">
        <f t="shared" si="70"/>
        <v>0</v>
      </c>
      <c r="J4500" s="11">
        <f>1/(H4500*Utilities!$B$11)</f>
        <v>8</v>
      </c>
      <c r="K4500" s="11">
        <f>IF(B4500&lt;C4500,1,EXP(-1*(B4500-C4500)/(Utilities!$B$11*IterData!H4500)))</f>
        <v>1</v>
      </c>
    </row>
    <row r="4501" spans="8:11" x14ac:dyDescent="0.3">
      <c r="H4501">
        <v>0.5</v>
      </c>
      <c r="I4501" s="11">
        <f t="shared" si="70"/>
        <v>0</v>
      </c>
      <c r="J4501" s="11">
        <f>1/(H4501*Utilities!$B$11)</f>
        <v>8</v>
      </c>
      <c r="K4501" s="11">
        <f>IF(B4501&lt;C4501,1,EXP(-1*(B4501-C4501)/(Utilities!$B$11*IterData!H4501)))</f>
        <v>1</v>
      </c>
    </row>
    <row r="4502" spans="8:11" x14ac:dyDescent="0.3">
      <c r="H4502">
        <v>0.5</v>
      </c>
      <c r="I4502" s="11">
        <f t="shared" si="70"/>
        <v>0</v>
      </c>
      <c r="J4502" s="11">
        <f>1/(H4502*Utilities!$B$11)</f>
        <v>8</v>
      </c>
      <c r="K4502" s="11">
        <f>IF(B4502&lt;C4502,1,EXP(-1*(B4502-C4502)/(Utilities!$B$11*IterData!H4502)))</f>
        <v>1</v>
      </c>
    </row>
    <row r="4503" spans="8:11" x14ac:dyDescent="0.3">
      <c r="H4503">
        <v>0.5</v>
      </c>
      <c r="I4503" s="11">
        <f t="shared" si="70"/>
        <v>0</v>
      </c>
      <c r="J4503" s="11">
        <f>1/(H4503*Utilities!$B$11)</f>
        <v>8</v>
      </c>
      <c r="K4503" s="11">
        <f>IF(B4503&lt;C4503,1,EXP(-1*(B4503-C4503)/(Utilities!$B$11*IterData!H4503)))</f>
        <v>1</v>
      </c>
    </row>
    <row r="4504" spans="8:11" x14ac:dyDescent="0.3">
      <c r="H4504">
        <v>0.5</v>
      </c>
      <c r="I4504" s="11">
        <f t="shared" si="70"/>
        <v>0</v>
      </c>
      <c r="J4504" s="11">
        <f>1/(H4504*Utilities!$B$11)</f>
        <v>8</v>
      </c>
      <c r="K4504" s="11">
        <f>IF(B4504&lt;C4504,1,EXP(-1*(B4504-C4504)/(Utilities!$B$11*IterData!H4504)))</f>
        <v>1</v>
      </c>
    </row>
    <row r="4505" spans="8:11" x14ac:dyDescent="0.3">
      <c r="H4505">
        <v>0.5</v>
      </c>
      <c r="I4505" s="11">
        <f t="shared" si="70"/>
        <v>0</v>
      </c>
      <c r="J4505" s="11">
        <f>1/(H4505*Utilities!$B$11)</f>
        <v>8</v>
      </c>
      <c r="K4505" s="11">
        <f>IF(B4505&lt;C4505,1,EXP(-1*(B4505-C4505)/(Utilities!$B$11*IterData!H4505)))</f>
        <v>1</v>
      </c>
    </row>
    <row r="4506" spans="8:11" x14ac:dyDescent="0.3">
      <c r="H4506">
        <v>0.5</v>
      </c>
      <c r="I4506" s="11">
        <f t="shared" si="70"/>
        <v>0</v>
      </c>
      <c r="J4506" s="11">
        <f>1/(H4506*Utilities!$B$11)</f>
        <v>8</v>
      </c>
      <c r="K4506" s="11">
        <f>IF(B4506&lt;C4506,1,EXP(-1*(B4506-C4506)/(Utilities!$B$11*IterData!H4506)))</f>
        <v>1</v>
      </c>
    </row>
    <row r="4507" spans="8:11" x14ac:dyDescent="0.3">
      <c r="H4507">
        <v>0.5</v>
      </c>
      <c r="I4507" s="11">
        <f t="shared" si="70"/>
        <v>0</v>
      </c>
      <c r="J4507" s="11">
        <f>1/(H4507*Utilities!$B$11)</f>
        <v>8</v>
      </c>
      <c r="K4507" s="11">
        <f>IF(B4507&lt;C4507,1,EXP(-1*(B4507-C4507)/(Utilities!$B$11*IterData!H4507)))</f>
        <v>1</v>
      </c>
    </row>
    <row r="4508" spans="8:11" x14ac:dyDescent="0.3">
      <c r="H4508">
        <v>0.5</v>
      </c>
      <c r="I4508" s="11">
        <f t="shared" si="70"/>
        <v>0</v>
      </c>
      <c r="J4508" s="11">
        <f>1/(H4508*Utilities!$B$11)</f>
        <v>8</v>
      </c>
      <c r="K4508" s="11">
        <f>IF(B4508&lt;C4508,1,EXP(-1*(B4508-C4508)/(Utilities!$B$11*IterData!H4508)))</f>
        <v>1</v>
      </c>
    </row>
    <row r="4509" spans="8:11" x14ac:dyDescent="0.3">
      <c r="H4509">
        <v>0.5</v>
      </c>
      <c r="I4509" s="11">
        <f t="shared" si="70"/>
        <v>0</v>
      </c>
      <c r="J4509" s="11">
        <f>1/(H4509*Utilities!$B$11)</f>
        <v>8</v>
      </c>
      <c r="K4509" s="11">
        <f>IF(B4509&lt;C4509,1,EXP(-1*(B4509-C4509)/(Utilities!$B$11*IterData!H4509)))</f>
        <v>1</v>
      </c>
    </row>
    <row r="4510" spans="8:11" x14ac:dyDescent="0.3">
      <c r="H4510">
        <v>0.5</v>
      </c>
      <c r="I4510" s="11">
        <f t="shared" si="70"/>
        <v>0</v>
      </c>
      <c r="J4510" s="11">
        <f>1/(H4510*Utilities!$B$11)</f>
        <v>8</v>
      </c>
      <c r="K4510" s="11">
        <f>IF(B4510&lt;C4510,1,EXP(-1*(B4510-C4510)/(Utilities!$B$11*IterData!H4510)))</f>
        <v>1</v>
      </c>
    </row>
    <row r="4511" spans="8:11" x14ac:dyDescent="0.3">
      <c r="H4511">
        <v>0.5</v>
      </c>
      <c r="I4511" s="11">
        <f t="shared" si="70"/>
        <v>0</v>
      </c>
      <c r="J4511" s="11">
        <f>1/(H4511*Utilities!$B$11)</f>
        <v>8</v>
      </c>
      <c r="K4511" s="11">
        <f>IF(B4511&lt;C4511,1,EXP(-1*(B4511-C4511)/(Utilities!$B$11*IterData!H4511)))</f>
        <v>1</v>
      </c>
    </row>
    <row r="4512" spans="8:11" x14ac:dyDescent="0.3">
      <c r="H4512">
        <v>0.5</v>
      </c>
      <c r="I4512" s="11">
        <f t="shared" si="70"/>
        <v>0</v>
      </c>
      <c r="J4512" s="11">
        <f>1/(H4512*Utilities!$B$11)</f>
        <v>8</v>
      </c>
      <c r="K4512" s="11">
        <f>IF(B4512&lt;C4512,1,EXP(-1*(B4512-C4512)/(Utilities!$B$11*IterData!H4512)))</f>
        <v>1</v>
      </c>
    </row>
    <row r="4513" spans="8:11" x14ac:dyDescent="0.3">
      <c r="H4513">
        <v>0.5</v>
      </c>
      <c r="I4513" s="11">
        <f t="shared" si="70"/>
        <v>0</v>
      </c>
      <c r="J4513" s="11">
        <f>1/(H4513*Utilities!$B$11)</f>
        <v>8</v>
      </c>
      <c r="K4513" s="11">
        <f>IF(B4513&lt;C4513,1,EXP(-1*(B4513-C4513)/(Utilities!$B$11*IterData!H4513)))</f>
        <v>1</v>
      </c>
    </row>
    <row r="4514" spans="8:11" x14ac:dyDescent="0.3">
      <c r="H4514">
        <v>0.5</v>
      </c>
      <c r="I4514" s="11">
        <f t="shared" si="70"/>
        <v>0</v>
      </c>
      <c r="J4514" s="11">
        <f>1/(H4514*Utilities!$B$11)</f>
        <v>8</v>
      </c>
      <c r="K4514" s="11">
        <f>IF(B4514&lt;C4514,1,EXP(-1*(B4514-C4514)/(Utilities!$B$11*IterData!H4514)))</f>
        <v>1</v>
      </c>
    </row>
    <row r="4515" spans="8:11" x14ac:dyDescent="0.3">
      <c r="H4515">
        <v>0.5</v>
      </c>
      <c r="I4515" s="11">
        <f t="shared" si="70"/>
        <v>0</v>
      </c>
      <c r="J4515" s="11">
        <f>1/(H4515*Utilities!$B$11)</f>
        <v>8</v>
      </c>
      <c r="K4515" s="11">
        <f>IF(B4515&lt;C4515,1,EXP(-1*(B4515-C4515)/(Utilities!$B$11*IterData!H4515)))</f>
        <v>1</v>
      </c>
    </row>
    <row r="4516" spans="8:11" x14ac:dyDescent="0.3">
      <c r="H4516">
        <v>0.5</v>
      </c>
      <c r="I4516" s="11">
        <f t="shared" si="70"/>
        <v>0</v>
      </c>
      <c r="J4516" s="11">
        <f>1/(H4516*Utilities!$B$11)</f>
        <v>8</v>
      </c>
      <c r="K4516" s="11">
        <f>IF(B4516&lt;C4516,1,EXP(-1*(B4516-C4516)/(Utilities!$B$11*IterData!H4516)))</f>
        <v>1</v>
      </c>
    </row>
    <row r="4517" spans="8:11" x14ac:dyDescent="0.3">
      <c r="H4517">
        <v>0.5</v>
      </c>
      <c r="I4517" s="11">
        <f t="shared" si="70"/>
        <v>0</v>
      </c>
      <c r="J4517" s="11">
        <f>1/(H4517*Utilities!$B$11)</f>
        <v>8</v>
      </c>
      <c r="K4517" s="11">
        <f>IF(B4517&lt;C4517,1,EXP(-1*(B4517-C4517)/(Utilities!$B$11*IterData!H4517)))</f>
        <v>1</v>
      </c>
    </row>
    <row r="4518" spans="8:11" x14ac:dyDescent="0.3">
      <c r="H4518">
        <v>0.5</v>
      </c>
      <c r="I4518" s="11">
        <f t="shared" si="70"/>
        <v>0</v>
      </c>
      <c r="J4518" s="11">
        <f>1/(H4518*Utilities!$B$11)</f>
        <v>8</v>
      </c>
      <c r="K4518" s="11">
        <f>IF(B4518&lt;C4518,1,EXP(-1*(B4518-C4518)/(Utilities!$B$11*IterData!H4518)))</f>
        <v>1</v>
      </c>
    </row>
    <row r="4519" spans="8:11" x14ac:dyDescent="0.3">
      <c r="H4519">
        <v>0.5</v>
      </c>
      <c r="I4519" s="11">
        <f t="shared" si="70"/>
        <v>0</v>
      </c>
      <c r="J4519" s="11">
        <f>1/(H4519*Utilities!$B$11)</f>
        <v>8</v>
      </c>
      <c r="K4519" s="11">
        <f>IF(B4519&lt;C4519,1,EXP(-1*(B4519-C4519)/(Utilities!$B$11*IterData!H4519)))</f>
        <v>1</v>
      </c>
    </row>
    <row r="4520" spans="8:11" x14ac:dyDescent="0.3">
      <c r="H4520">
        <v>0.5</v>
      </c>
      <c r="I4520" s="11">
        <f t="shared" si="70"/>
        <v>0</v>
      </c>
      <c r="J4520" s="11">
        <f>1/(H4520*Utilities!$B$11)</f>
        <v>8</v>
      </c>
      <c r="K4520" s="11">
        <f>IF(B4520&lt;C4520,1,EXP(-1*(B4520-C4520)/(Utilities!$B$11*IterData!H4520)))</f>
        <v>1</v>
      </c>
    </row>
    <row r="4521" spans="8:11" x14ac:dyDescent="0.3">
      <c r="H4521">
        <v>0.5</v>
      </c>
      <c r="I4521" s="11">
        <f t="shared" si="70"/>
        <v>0</v>
      </c>
      <c r="J4521" s="11">
        <f>1/(H4521*Utilities!$B$11)</f>
        <v>8</v>
      </c>
      <c r="K4521" s="11">
        <f>IF(B4521&lt;C4521,1,EXP(-1*(B4521-C4521)/(Utilities!$B$11*IterData!H4521)))</f>
        <v>1</v>
      </c>
    </row>
    <row r="4522" spans="8:11" x14ac:dyDescent="0.3">
      <c r="H4522">
        <v>0.5</v>
      </c>
      <c r="I4522" s="11">
        <f t="shared" si="70"/>
        <v>0</v>
      </c>
      <c r="J4522" s="11">
        <f>1/(H4522*Utilities!$B$11)</f>
        <v>8</v>
      </c>
      <c r="K4522" s="11">
        <f>IF(B4522&lt;C4522,1,EXP(-1*(B4522-C4522)/(Utilities!$B$11*IterData!H4522)))</f>
        <v>1</v>
      </c>
    </row>
    <row r="4523" spans="8:11" x14ac:dyDescent="0.3">
      <c r="H4523">
        <v>0.5</v>
      </c>
      <c r="I4523" s="11">
        <f t="shared" si="70"/>
        <v>0</v>
      </c>
      <c r="J4523" s="11">
        <f>1/(H4523*Utilities!$B$11)</f>
        <v>8</v>
      </c>
      <c r="K4523" s="11">
        <f>IF(B4523&lt;C4523,1,EXP(-1*(B4523-C4523)/(Utilities!$B$11*IterData!H4523)))</f>
        <v>1</v>
      </c>
    </row>
    <row r="4524" spans="8:11" x14ac:dyDescent="0.3">
      <c r="H4524">
        <v>0.5</v>
      </c>
      <c r="I4524" s="11">
        <f t="shared" si="70"/>
        <v>0</v>
      </c>
      <c r="J4524" s="11">
        <f>1/(H4524*Utilities!$B$11)</f>
        <v>8</v>
      </c>
      <c r="K4524" s="11">
        <f>IF(B4524&lt;C4524,1,EXP(-1*(B4524-C4524)/(Utilities!$B$11*IterData!H4524)))</f>
        <v>1</v>
      </c>
    </row>
    <row r="4525" spans="8:11" x14ac:dyDescent="0.3">
      <c r="H4525">
        <v>0.5</v>
      </c>
      <c r="I4525" s="11">
        <f t="shared" si="70"/>
        <v>0</v>
      </c>
      <c r="J4525" s="11">
        <f>1/(H4525*Utilities!$B$11)</f>
        <v>8</v>
      </c>
      <c r="K4525" s="11">
        <f>IF(B4525&lt;C4525,1,EXP(-1*(B4525-C4525)/(Utilities!$B$11*IterData!H4525)))</f>
        <v>1</v>
      </c>
    </row>
    <row r="4526" spans="8:11" x14ac:dyDescent="0.3">
      <c r="H4526">
        <v>0.5</v>
      </c>
      <c r="I4526" s="11">
        <f t="shared" si="70"/>
        <v>0</v>
      </c>
      <c r="J4526" s="11">
        <f>1/(H4526*Utilities!$B$11)</f>
        <v>8</v>
      </c>
      <c r="K4526" s="11">
        <f>IF(B4526&lt;C4526,1,EXP(-1*(B4526-C4526)/(Utilities!$B$11*IterData!H4526)))</f>
        <v>1</v>
      </c>
    </row>
    <row r="4527" spans="8:11" x14ac:dyDescent="0.3">
      <c r="H4527">
        <v>0.5</v>
      </c>
      <c r="I4527" s="11">
        <f t="shared" si="70"/>
        <v>0</v>
      </c>
      <c r="J4527" s="11">
        <f>1/(H4527*Utilities!$B$11)</f>
        <v>8</v>
      </c>
      <c r="K4527" s="11">
        <f>IF(B4527&lt;C4527,1,EXP(-1*(B4527-C4527)/(Utilities!$B$11*IterData!H4527)))</f>
        <v>1</v>
      </c>
    </row>
    <row r="4528" spans="8:11" x14ac:dyDescent="0.3">
      <c r="H4528">
        <v>0.5</v>
      </c>
      <c r="I4528" s="11">
        <f t="shared" si="70"/>
        <v>0</v>
      </c>
      <c r="J4528" s="11">
        <f>1/(H4528*Utilities!$B$11)</f>
        <v>8</v>
      </c>
      <c r="K4528" s="11">
        <f>IF(B4528&lt;C4528,1,EXP(-1*(B4528-C4528)/(Utilities!$B$11*IterData!H4528)))</f>
        <v>1</v>
      </c>
    </row>
    <row r="4529" spans="8:11" x14ac:dyDescent="0.3">
      <c r="H4529">
        <v>0.5</v>
      </c>
      <c r="I4529" s="11">
        <f t="shared" si="70"/>
        <v>0</v>
      </c>
      <c r="J4529" s="11">
        <f>1/(H4529*Utilities!$B$11)</f>
        <v>8</v>
      </c>
      <c r="K4529" s="11">
        <f>IF(B4529&lt;C4529,1,EXP(-1*(B4529-C4529)/(Utilities!$B$11*IterData!H4529)))</f>
        <v>1</v>
      </c>
    </row>
    <row r="4530" spans="8:11" x14ac:dyDescent="0.3">
      <c r="H4530">
        <v>0.5</v>
      </c>
      <c r="I4530" s="11">
        <f t="shared" si="70"/>
        <v>0</v>
      </c>
      <c r="J4530" s="11">
        <f>1/(H4530*Utilities!$B$11)</f>
        <v>8</v>
      </c>
      <c r="K4530" s="11">
        <f>IF(B4530&lt;C4530,1,EXP(-1*(B4530-C4530)/(Utilities!$B$11*IterData!H4530)))</f>
        <v>1</v>
      </c>
    </row>
    <row r="4531" spans="8:11" x14ac:dyDescent="0.3">
      <c r="H4531">
        <v>0.5</v>
      </c>
      <c r="I4531" s="11">
        <f t="shared" si="70"/>
        <v>0</v>
      </c>
      <c r="J4531" s="11">
        <f>1/(H4531*Utilities!$B$11)</f>
        <v>8</v>
      </c>
      <c r="K4531" s="11">
        <f>IF(B4531&lt;C4531,1,EXP(-1*(B4531-C4531)/(Utilities!$B$11*IterData!H4531)))</f>
        <v>1</v>
      </c>
    </row>
    <row r="4532" spans="8:11" x14ac:dyDescent="0.3">
      <c r="H4532">
        <v>0.5</v>
      </c>
      <c r="I4532" s="11">
        <f t="shared" si="70"/>
        <v>0</v>
      </c>
      <c r="J4532" s="11">
        <f>1/(H4532*Utilities!$B$11)</f>
        <v>8</v>
      </c>
      <c r="K4532" s="11">
        <f>IF(B4532&lt;C4532,1,EXP(-1*(B4532-C4532)/(Utilities!$B$11*IterData!H4532)))</f>
        <v>1</v>
      </c>
    </row>
    <row r="4533" spans="8:11" x14ac:dyDescent="0.3">
      <c r="H4533">
        <v>0.5</v>
      </c>
      <c r="I4533" s="11">
        <f t="shared" si="70"/>
        <v>0</v>
      </c>
      <c r="J4533" s="11">
        <f>1/(H4533*Utilities!$B$11)</f>
        <v>8</v>
      </c>
      <c r="K4533" s="11">
        <f>IF(B4533&lt;C4533,1,EXP(-1*(B4533-C4533)/(Utilities!$B$11*IterData!H4533)))</f>
        <v>1</v>
      </c>
    </row>
    <row r="4534" spans="8:11" x14ac:dyDescent="0.3">
      <c r="H4534">
        <v>0.5</v>
      </c>
      <c r="I4534" s="11">
        <f t="shared" si="70"/>
        <v>0</v>
      </c>
      <c r="J4534" s="11">
        <f>1/(H4534*Utilities!$B$11)</f>
        <v>8</v>
      </c>
      <c r="K4534" s="11">
        <f>IF(B4534&lt;C4534,1,EXP(-1*(B4534-C4534)/(Utilities!$B$11*IterData!H4534)))</f>
        <v>1</v>
      </c>
    </row>
    <row r="4535" spans="8:11" x14ac:dyDescent="0.3">
      <c r="H4535">
        <v>0.5</v>
      </c>
      <c r="I4535" s="11">
        <f t="shared" si="70"/>
        <v>0</v>
      </c>
      <c r="J4535" s="11">
        <f>1/(H4535*Utilities!$B$11)</f>
        <v>8</v>
      </c>
      <c r="K4535" s="11">
        <f>IF(B4535&lt;C4535,1,EXP(-1*(B4535-C4535)/(Utilities!$B$11*IterData!H4535)))</f>
        <v>1</v>
      </c>
    </row>
    <row r="4536" spans="8:11" x14ac:dyDescent="0.3">
      <c r="H4536">
        <v>0.5</v>
      </c>
      <c r="I4536" s="11">
        <f t="shared" si="70"/>
        <v>0</v>
      </c>
      <c r="J4536" s="11">
        <f>1/(H4536*Utilities!$B$11)</f>
        <v>8</v>
      </c>
      <c r="K4536" s="11">
        <f>IF(B4536&lt;C4536,1,EXP(-1*(B4536-C4536)/(Utilities!$B$11*IterData!H4536)))</f>
        <v>1</v>
      </c>
    </row>
    <row r="4537" spans="8:11" x14ac:dyDescent="0.3">
      <c r="H4537">
        <v>0.5</v>
      </c>
      <c r="I4537" s="11">
        <f t="shared" si="70"/>
        <v>0</v>
      </c>
      <c r="J4537" s="11">
        <f>1/(H4537*Utilities!$B$11)</f>
        <v>8</v>
      </c>
      <c r="K4537" s="11">
        <f>IF(B4537&lt;C4537,1,EXP(-1*(B4537-C4537)/(Utilities!$B$11*IterData!H4537)))</f>
        <v>1</v>
      </c>
    </row>
    <row r="4538" spans="8:11" x14ac:dyDescent="0.3">
      <c r="H4538">
        <v>0.5</v>
      </c>
      <c r="I4538" s="11">
        <f t="shared" si="70"/>
        <v>0</v>
      </c>
      <c r="J4538" s="11">
        <f>1/(H4538*Utilities!$B$11)</f>
        <v>8</v>
      </c>
      <c r="K4538" s="11">
        <f>IF(B4538&lt;C4538,1,EXP(-1*(B4538-C4538)/(Utilities!$B$11*IterData!H4538)))</f>
        <v>1</v>
      </c>
    </row>
    <row r="4539" spans="8:11" x14ac:dyDescent="0.3">
      <c r="H4539">
        <v>0.5</v>
      </c>
      <c r="I4539" s="11">
        <f t="shared" si="70"/>
        <v>0</v>
      </c>
      <c r="J4539" s="11">
        <f>1/(H4539*Utilities!$B$11)</f>
        <v>8</v>
      </c>
      <c r="K4539" s="11">
        <f>IF(B4539&lt;C4539,1,EXP(-1*(B4539-C4539)/(Utilities!$B$11*IterData!H4539)))</f>
        <v>1</v>
      </c>
    </row>
    <row r="4540" spans="8:11" x14ac:dyDescent="0.3">
      <c r="H4540">
        <v>0.5</v>
      </c>
      <c r="I4540" s="11">
        <f t="shared" si="70"/>
        <v>0</v>
      </c>
      <c r="J4540" s="11">
        <f>1/(H4540*Utilities!$B$11)</f>
        <v>8</v>
      </c>
      <c r="K4540" s="11">
        <f>IF(B4540&lt;C4540,1,EXP(-1*(B4540-C4540)/(Utilities!$B$11*IterData!H4540)))</f>
        <v>1</v>
      </c>
    </row>
    <row r="4541" spans="8:11" x14ac:dyDescent="0.3">
      <c r="H4541">
        <v>0.5</v>
      </c>
      <c r="I4541" s="11">
        <f t="shared" si="70"/>
        <v>0</v>
      </c>
      <c r="J4541" s="11">
        <f>1/(H4541*Utilities!$B$11)</f>
        <v>8</v>
      </c>
      <c r="K4541" s="11">
        <f>IF(B4541&lt;C4541,1,EXP(-1*(B4541-C4541)/(Utilities!$B$11*IterData!H4541)))</f>
        <v>1</v>
      </c>
    </row>
    <row r="4542" spans="8:11" x14ac:dyDescent="0.3">
      <c r="H4542">
        <v>0.5</v>
      </c>
      <c r="I4542" s="11">
        <f t="shared" si="70"/>
        <v>0</v>
      </c>
      <c r="J4542" s="11">
        <f>1/(H4542*Utilities!$B$11)</f>
        <v>8</v>
      </c>
      <c r="K4542" s="11">
        <f>IF(B4542&lt;C4542,1,EXP(-1*(B4542-C4542)/(Utilities!$B$11*IterData!H4542)))</f>
        <v>1</v>
      </c>
    </row>
    <row r="4543" spans="8:11" x14ac:dyDescent="0.3">
      <c r="H4543">
        <v>0.5</v>
      </c>
      <c r="I4543" s="11">
        <f t="shared" si="70"/>
        <v>0</v>
      </c>
      <c r="J4543" s="11">
        <f>1/(H4543*Utilities!$B$11)</f>
        <v>8</v>
      </c>
      <c r="K4543" s="11">
        <f>IF(B4543&lt;C4543,1,EXP(-1*(B4543-C4543)/(Utilities!$B$11*IterData!H4543)))</f>
        <v>1</v>
      </c>
    </row>
    <row r="4544" spans="8:11" x14ac:dyDescent="0.3">
      <c r="H4544">
        <v>0.5</v>
      </c>
      <c r="I4544" s="11">
        <f t="shared" si="70"/>
        <v>0</v>
      </c>
      <c r="J4544" s="11">
        <f>1/(H4544*Utilities!$B$11)</f>
        <v>8</v>
      </c>
      <c r="K4544" s="11">
        <f>IF(B4544&lt;C4544,1,EXP(-1*(B4544-C4544)/(Utilities!$B$11*IterData!H4544)))</f>
        <v>1</v>
      </c>
    </row>
    <row r="4545" spans="8:11" x14ac:dyDescent="0.3">
      <c r="H4545">
        <v>0.5</v>
      </c>
      <c r="I4545" s="11">
        <f t="shared" si="70"/>
        <v>0</v>
      </c>
      <c r="J4545" s="11">
        <f>1/(H4545*Utilities!$B$11)</f>
        <v>8</v>
      </c>
      <c r="K4545" s="11">
        <f>IF(B4545&lt;C4545,1,EXP(-1*(B4545-C4545)/(Utilities!$B$11*IterData!H4545)))</f>
        <v>1</v>
      </c>
    </row>
    <row r="4546" spans="8:11" x14ac:dyDescent="0.3">
      <c r="H4546">
        <v>0.5</v>
      </c>
      <c r="I4546" s="11">
        <f t="shared" si="70"/>
        <v>0</v>
      </c>
      <c r="J4546" s="11">
        <f>1/(H4546*Utilities!$B$11)</f>
        <v>8</v>
      </c>
      <c r="K4546" s="11">
        <f>IF(B4546&lt;C4546,1,EXP(-1*(B4546-C4546)/(Utilities!$B$11*IterData!H4546)))</f>
        <v>1</v>
      </c>
    </row>
    <row r="4547" spans="8:11" x14ac:dyDescent="0.3">
      <c r="H4547">
        <v>0.5</v>
      </c>
      <c r="I4547" s="11">
        <f t="shared" ref="I4547:I4610" si="71">B4547-C4547</f>
        <v>0</v>
      </c>
      <c r="J4547" s="11">
        <f>1/(H4547*Utilities!$B$11)</f>
        <v>8</v>
      </c>
      <c r="K4547" s="11">
        <f>IF(B4547&lt;C4547,1,EXP(-1*(B4547-C4547)/(Utilities!$B$11*IterData!H4547)))</f>
        <v>1</v>
      </c>
    </row>
    <row r="4548" spans="8:11" x14ac:dyDescent="0.3">
      <c r="H4548">
        <v>0.5</v>
      </c>
      <c r="I4548" s="11">
        <f t="shared" si="71"/>
        <v>0</v>
      </c>
      <c r="J4548" s="11">
        <f>1/(H4548*Utilities!$B$11)</f>
        <v>8</v>
      </c>
      <c r="K4548" s="11">
        <f>IF(B4548&lt;C4548,1,EXP(-1*(B4548-C4548)/(Utilities!$B$11*IterData!H4548)))</f>
        <v>1</v>
      </c>
    </row>
    <row r="4549" spans="8:11" x14ac:dyDescent="0.3">
      <c r="H4549">
        <v>0.5</v>
      </c>
      <c r="I4549" s="11">
        <f t="shared" si="71"/>
        <v>0</v>
      </c>
      <c r="J4549" s="11">
        <f>1/(H4549*Utilities!$B$11)</f>
        <v>8</v>
      </c>
      <c r="K4549" s="11">
        <f>IF(B4549&lt;C4549,1,EXP(-1*(B4549-C4549)/(Utilities!$B$11*IterData!H4549)))</f>
        <v>1</v>
      </c>
    </row>
    <row r="4550" spans="8:11" x14ac:dyDescent="0.3">
      <c r="H4550">
        <v>0.5</v>
      </c>
      <c r="I4550" s="11">
        <f t="shared" si="71"/>
        <v>0</v>
      </c>
      <c r="J4550" s="11">
        <f>1/(H4550*Utilities!$B$11)</f>
        <v>8</v>
      </c>
      <c r="K4550" s="11">
        <f>IF(B4550&lt;C4550,1,EXP(-1*(B4550-C4550)/(Utilities!$B$11*IterData!H4550)))</f>
        <v>1</v>
      </c>
    </row>
    <row r="4551" spans="8:11" x14ac:dyDescent="0.3">
      <c r="H4551">
        <v>0.5</v>
      </c>
      <c r="I4551" s="11">
        <f t="shared" si="71"/>
        <v>0</v>
      </c>
      <c r="J4551" s="11">
        <f>1/(H4551*Utilities!$B$11)</f>
        <v>8</v>
      </c>
      <c r="K4551" s="11">
        <f>IF(B4551&lt;C4551,1,EXP(-1*(B4551-C4551)/(Utilities!$B$11*IterData!H4551)))</f>
        <v>1</v>
      </c>
    </row>
    <row r="4552" spans="8:11" x14ac:dyDescent="0.3">
      <c r="H4552">
        <v>0.5</v>
      </c>
      <c r="I4552" s="11">
        <f t="shared" si="71"/>
        <v>0</v>
      </c>
      <c r="J4552" s="11">
        <f>1/(H4552*Utilities!$B$11)</f>
        <v>8</v>
      </c>
      <c r="K4552" s="11">
        <f>IF(B4552&lt;C4552,1,EXP(-1*(B4552-C4552)/(Utilities!$B$11*IterData!H4552)))</f>
        <v>1</v>
      </c>
    </row>
    <row r="4553" spans="8:11" x14ac:dyDescent="0.3">
      <c r="H4553">
        <v>0.5</v>
      </c>
      <c r="I4553" s="11">
        <f t="shared" si="71"/>
        <v>0</v>
      </c>
      <c r="J4553" s="11">
        <f>1/(H4553*Utilities!$B$11)</f>
        <v>8</v>
      </c>
      <c r="K4553" s="11">
        <f>IF(B4553&lt;C4553,1,EXP(-1*(B4553-C4553)/(Utilities!$B$11*IterData!H4553)))</f>
        <v>1</v>
      </c>
    </row>
    <row r="4554" spans="8:11" x14ac:dyDescent="0.3">
      <c r="H4554">
        <v>0.5</v>
      </c>
      <c r="I4554" s="11">
        <f t="shared" si="71"/>
        <v>0</v>
      </c>
      <c r="J4554" s="11">
        <f>1/(H4554*Utilities!$B$11)</f>
        <v>8</v>
      </c>
      <c r="K4554" s="11">
        <f>IF(B4554&lt;C4554,1,EXP(-1*(B4554-C4554)/(Utilities!$B$11*IterData!H4554)))</f>
        <v>1</v>
      </c>
    </row>
    <row r="4555" spans="8:11" x14ac:dyDescent="0.3">
      <c r="H4555">
        <v>0.5</v>
      </c>
      <c r="I4555" s="11">
        <f t="shared" si="71"/>
        <v>0</v>
      </c>
      <c r="J4555" s="11">
        <f>1/(H4555*Utilities!$B$11)</f>
        <v>8</v>
      </c>
      <c r="K4555" s="11">
        <f>IF(B4555&lt;C4555,1,EXP(-1*(B4555-C4555)/(Utilities!$B$11*IterData!H4555)))</f>
        <v>1</v>
      </c>
    </row>
    <row r="4556" spans="8:11" x14ac:dyDescent="0.3">
      <c r="H4556">
        <v>0.5</v>
      </c>
      <c r="I4556" s="11">
        <f t="shared" si="71"/>
        <v>0</v>
      </c>
      <c r="J4556" s="11">
        <f>1/(H4556*Utilities!$B$11)</f>
        <v>8</v>
      </c>
      <c r="K4556" s="11">
        <f>IF(B4556&lt;C4556,1,EXP(-1*(B4556-C4556)/(Utilities!$B$11*IterData!H4556)))</f>
        <v>1</v>
      </c>
    </row>
    <row r="4557" spans="8:11" x14ac:dyDescent="0.3">
      <c r="H4557">
        <v>0.5</v>
      </c>
      <c r="I4557" s="11">
        <f t="shared" si="71"/>
        <v>0</v>
      </c>
      <c r="J4557" s="11">
        <f>1/(H4557*Utilities!$B$11)</f>
        <v>8</v>
      </c>
      <c r="K4557" s="11">
        <f>IF(B4557&lt;C4557,1,EXP(-1*(B4557-C4557)/(Utilities!$B$11*IterData!H4557)))</f>
        <v>1</v>
      </c>
    </row>
    <row r="4558" spans="8:11" x14ac:dyDescent="0.3">
      <c r="H4558">
        <v>0.5</v>
      </c>
      <c r="I4558" s="11">
        <f t="shared" si="71"/>
        <v>0</v>
      </c>
      <c r="J4558" s="11">
        <f>1/(H4558*Utilities!$B$11)</f>
        <v>8</v>
      </c>
      <c r="K4558" s="11">
        <f>IF(B4558&lt;C4558,1,EXP(-1*(B4558-C4558)/(Utilities!$B$11*IterData!H4558)))</f>
        <v>1</v>
      </c>
    </row>
    <row r="4559" spans="8:11" x14ac:dyDescent="0.3">
      <c r="H4559">
        <v>0.5</v>
      </c>
      <c r="I4559" s="11">
        <f t="shared" si="71"/>
        <v>0</v>
      </c>
      <c r="J4559" s="11">
        <f>1/(H4559*Utilities!$B$11)</f>
        <v>8</v>
      </c>
      <c r="K4559" s="11">
        <f>IF(B4559&lt;C4559,1,EXP(-1*(B4559-C4559)/(Utilities!$B$11*IterData!H4559)))</f>
        <v>1</v>
      </c>
    </row>
    <row r="4560" spans="8:11" x14ac:dyDescent="0.3">
      <c r="H4560">
        <v>0.5</v>
      </c>
      <c r="I4560" s="11">
        <f t="shared" si="71"/>
        <v>0</v>
      </c>
      <c r="J4560" s="11">
        <f>1/(H4560*Utilities!$B$11)</f>
        <v>8</v>
      </c>
      <c r="K4560" s="11">
        <f>IF(B4560&lt;C4560,1,EXP(-1*(B4560-C4560)/(Utilities!$B$11*IterData!H4560)))</f>
        <v>1</v>
      </c>
    </row>
    <row r="4561" spans="8:11" x14ac:dyDescent="0.3">
      <c r="H4561">
        <v>0.5</v>
      </c>
      <c r="I4561" s="11">
        <f t="shared" si="71"/>
        <v>0</v>
      </c>
      <c r="J4561" s="11">
        <f>1/(H4561*Utilities!$B$11)</f>
        <v>8</v>
      </c>
      <c r="K4561" s="11">
        <f>IF(B4561&lt;C4561,1,EXP(-1*(B4561-C4561)/(Utilities!$B$11*IterData!H4561)))</f>
        <v>1</v>
      </c>
    </row>
    <row r="4562" spans="8:11" x14ac:dyDescent="0.3">
      <c r="H4562">
        <v>0.5</v>
      </c>
      <c r="I4562" s="11">
        <f t="shared" si="71"/>
        <v>0</v>
      </c>
      <c r="J4562" s="11">
        <f>1/(H4562*Utilities!$B$11)</f>
        <v>8</v>
      </c>
      <c r="K4562" s="11">
        <f>IF(B4562&lt;C4562,1,EXP(-1*(B4562-C4562)/(Utilities!$B$11*IterData!H4562)))</f>
        <v>1</v>
      </c>
    </row>
    <row r="4563" spans="8:11" x14ac:dyDescent="0.3">
      <c r="H4563">
        <v>0.5</v>
      </c>
      <c r="I4563" s="11">
        <f t="shared" si="71"/>
        <v>0</v>
      </c>
      <c r="J4563" s="11">
        <f>1/(H4563*Utilities!$B$11)</f>
        <v>8</v>
      </c>
      <c r="K4563" s="11">
        <f>IF(B4563&lt;C4563,1,EXP(-1*(B4563-C4563)/(Utilities!$B$11*IterData!H4563)))</f>
        <v>1</v>
      </c>
    </row>
    <row r="4564" spans="8:11" x14ac:dyDescent="0.3">
      <c r="H4564">
        <v>0.5</v>
      </c>
      <c r="I4564" s="11">
        <f t="shared" si="71"/>
        <v>0</v>
      </c>
      <c r="J4564" s="11">
        <f>1/(H4564*Utilities!$B$11)</f>
        <v>8</v>
      </c>
      <c r="K4564" s="11">
        <f>IF(B4564&lt;C4564,1,EXP(-1*(B4564-C4564)/(Utilities!$B$11*IterData!H4564)))</f>
        <v>1</v>
      </c>
    </row>
    <row r="4565" spans="8:11" x14ac:dyDescent="0.3">
      <c r="H4565">
        <v>0.5</v>
      </c>
      <c r="I4565" s="11">
        <f t="shared" si="71"/>
        <v>0</v>
      </c>
      <c r="J4565" s="11">
        <f>1/(H4565*Utilities!$B$11)</f>
        <v>8</v>
      </c>
      <c r="K4565" s="11">
        <f>IF(B4565&lt;C4565,1,EXP(-1*(B4565-C4565)/(Utilities!$B$11*IterData!H4565)))</f>
        <v>1</v>
      </c>
    </row>
    <row r="4566" spans="8:11" x14ac:dyDescent="0.3">
      <c r="H4566">
        <v>0.5</v>
      </c>
      <c r="I4566" s="11">
        <f t="shared" si="71"/>
        <v>0</v>
      </c>
      <c r="J4566" s="11">
        <f>1/(H4566*Utilities!$B$11)</f>
        <v>8</v>
      </c>
      <c r="K4566" s="11">
        <f>IF(B4566&lt;C4566,1,EXP(-1*(B4566-C4566)/(Utilities!$B$11*IterData!H4566)))</f>
        <v>1</v>
      </c>
    </row>
    <row r="4567" spans="8:11" x14ac:dyDescent="0.3">
      <c r="H4567">
        <v>0.5</v>
      </c>
      <c r="I4567" s="11">
        <f t="shared" si="71"/>
        <v>0</v>
      </c>
      <c r="J4567" s="11">
        <f>1/(H4567*Utilities!$B$11)</f>
        <v>8</v>
      </c>
      <c r="K4567" s="11">
        <f>IF(B4567&lt;C4567,1,EXP(-1*(B4567-C4567)/(Utilities!$B$11*IterData!H4567)))</f>
        <v>1</v>
      </c>
    </row>
    <row r="4568" spans="8:11" x14ac:dyDescent="0.3">
      <c r="H4568">
        <v>0.5</v>
      </c>
      <c r="I4568" s="11">
        <f t="shared" si="71"/>
        <v>0</v>
      </c>
      <c r="J4568" s="11">
        <f>1/(H4568*Utilities!$B$11)</f>
        <v>8</v>
      </c>
      <c r="K4568" s="11">
        <f>IF(B4568&lt;C4568,1,EXP(-1*(B4568-C4568)/(Utilities!$B$11*IterData!H4568)))</f>
        <v>1</v>
      </c>
    </row>
    <row r="4569" spans="8:11" x14ac:dyDescent="0.3">
      <c r="H4569">
        <v>0.5</v>
      </c>
      <c r="I4569" s="11">
        <f t="shared" si="71"/>
        <v>0</v>
      </c>
      <c r="J4569" s="11">
        <f>1/(H4569*Utilities!$B$11)</f>
        <v>8</v>
      </c>
      <c r="K4569" s="11">
        <f>IF(B4569&lt;C4569,1,EXP(-1*(B4569-C4569)/(Utilities!$B$11*IterData!H4569)))</f>
        <v>1</v>
      </c>
    </row>
    <row r="4570" spans="8:11" x14ac:dyDescent="0.3">
      <c r="H4570">
        <v>0.5</v>
      </c>
      <c r="I4570" s="11">
        <f t="shared" si="71"/>
        <v>0</v>
      </c>
      <c r="J4570" s="11">
        <f>1/(H4570*Utilities!$B$11)</f>
        <v>8</v>
      </c>
      <c r="K4570" s="11">
        <f>IF(B4570&lt;C4570,1,EXP(-1*(B4570-C4570)/(Utilities!$B$11*IterData!H4570)))</f>
        <v>1</v>
      </c>
    </row>
    <row r="4571" spans="8:11" x14ac:dyDescent="0.3">
      <c r="H4571">
        <v>0.5</v>
      </c>
      <c r="I4571" s="11">
        <f t="shared" si="71"/>
        <v>0</v>
      </c>
      <c r="J4571" s="11">
        <f>1/(H4571*Utilities!$B$11)</f>
        <v>8</v>
      </c>
      <c r="K4571" s="11">
        <f>IF(B4571&lt;C4571,1,EXP(-1*(B4571-C4571)/(Utilities!$B$11*IterData!H4571)))</f>
        <v>1</v>
      </c>
    </row>
    <row r="4572" spans="8:11" x14ac:dyDescent="0.3">
      <c r="H4572">
        <v>0.5</v>
      </c>
      <c r="I4572" s="11">
        <f t="shared" si="71"/>
        <v>0</v>
      </c>
      <c r="J4572" s="11">
        <f>1/(H4572*Utilities!$B$11)</f>
        <v>8</v>
      </c>
      <c r="K4572" s="11">
        <f>IF(B4572&lt;C4572,1,EXP(-1*(B4572-C4572)/(Utilities!$B$11*IterData!H4572)))</f>
        <v>1</v>
      </c>
    </row>
    <row r="4573" spans="8:11" x14ac:dyDescent="0.3">
      <c r="H4573">
        <v>0.5</v>
      </c>
      <c r="I4573" s="11">
        <f t="shared" si="71"/>
        <v>0</v>
      </c>
      <c r="J4573" s="11">
        <f>1/(H4573*Utilities!$B$11)</f>
        <v>8</v>
      </c>
      <c r="K4573" s="11">
        <f>IF(B4573&lt;C4573,1,EXP(-1*(B4573-C4573)/(Utilities!$B$11*IterData!H4573)))</f>
        <v>1</v>
      </c>
    </row>
    <row r="4574" spans="8:11" x14ac:dyDescent="0.3">
      <c r="H4574">
        <v>0.5</v>
      </c>
      <c r="I4574" s="11">
        <f t="shared" si="71"/>
        <v>0</v>
      </c>
      <c r="J4574" s="11">
        <f>1/(H4574*Utilities!$B$11)</f>
        <v>8</v>
      </c>
      <c r="K4574" s="11">
        <f>IF(B4574&lt;C4574,1,EXP(-1*(B4574-C4574)/(Utilities!$B$11*IterData!H4574)))</f>
        <v>1</v>
      </c>
    </row>
    <row r="4575" spans="8:11" x14ac:dyDescent="0.3">
      <c r="H4575">
        <v>0.5</v>
      </c>
      <c r="I4575" s="11">
        <f t="shared" si="71"/>
        <v>0</v>
      </c>
      <c r="J4575" s="11">
        <f>1/(H4575*Utilities!$B$11)</f>
        <v>8</v>
      </c>
      <c r="K4575" s="11">
        <f>IF(B4575&lt;C4575,1,EXP(-1*(B4575-C4575)/(Utilities!$B$11*IterData!H4575)))</f>
        <v>1</v>
      </c>
    </row>
    <row r="4576" spans="8:11" x14ac:dyDescent="0.3">
      <c r="H4576">
        <v>0.5</v>
      </c>
      <c r="I4576" s="11">
        <f t="shared" si="71"/>
        <v>0</v>
      </c>
      <c r="J4576" s="11">
        <f>1/(H4576*Utilities!$B$11)</f>
        <v>8</v>
      </c>
      <c r="K4576" s="11">
        <f>IF(B4576&lt;C4576,1,EXP(-1*(B4576-C4576)/(Utilities!$B$11*IterData!H4576)))</f>
        <v>1</v>
      </c>
    </row>
    <row r="4577" spans="8:11" x14ac:dyDescent="0.3">
      <c r="H4577">
        <v>0.5</v>
      </c>
      <c r="I4577" s="11">
        <f t="shared" si="71"/>
        <v>0</v>
      </c>
      <c r="J4577" s="11">
        <f>1/(H4577*Utilities!$B$11)</f>
        <v>8</v>
      </c>
      <c r="K4577" s="11">
        <f>IF(B4577&lt;C4577,1,EXP(-1*(B4577-C4577)/(Utilities!$B$11*IterData!H4577)))</f>
        <v>1</v>
      </c>
    </row>
    <row r="4578" spans="8:11" x14ac:dyDescent="0.3">
      <c r="H4578">
        <v>0.5</v>
      </c>
      <c r="I4578" s="11">
        <f t="shared" si="71"/>
        <v>0</v>
      </c>
      <c r="J4578" s="11">
        <f>1/(H4578*Utilities!$B$11)</f>
        <v>8</v>
      </c>
      <c r="K4578" s="11">
        <f>IF(B4578&lt;C4578,1,EXP(-1*(B4578-C4578)/(Utilities!$B$11*IterData!H4578)))</f>
        <v>1</v>
      </c>
    </row>
    <row r="4579" spans="8:11" x14ac:dyDescent="0.3">
      <c r="H4579">
        <v>0.5</v>
      </c>
      <c r="I4579" s="11">
        <f t="shared" si="71"/>
        <v>0</v>
      </c>
      <c r="J4579" s="11">
        <f>1/(H4579*Utilities!$B$11)</f>
        <v>8</v>
      </c>
      <c r="K4579" s="11">
        <f>IF(B4579&lt;C4579,1,EXP(-1*(B4579-C4579)/(Utilities!$B$11*IterData!H4579)))</f>
        <v>1</v>
      </c>
    </row>
    <row r="4580" spans="8:11" x14ac:dyDescent="0.3">
      <c r="H4580">
        <v>0.5</v>
      </c>
      <c r="I4580" s="11">
        <f t="shared" si="71"/>
        <v>0</v>
      </c>
      <c r="J4580" s="11">
        <f>1/(H4580*Utilities!$B$11)</f>
        <v>8</v>
      </c>
      <c r="K4580" s="11">
        <f>IF(B4580&lt;C4580,1,EXP(-1*(B4580-C4580)/(Utilities!$B$11*IterData!H4580)))</f>
        <v>1</v>
      </c>
    </row>
    <row r="4581" spans="8:11" x14ac:dyDescent="0.3">
      <c r="H4581">
        <v>0.5</v>
      </c>
      <c r="I4581" s="11">
        <f t="shared" si="71"/>
        <v>0</v>
      </c>
      <c r="J4581" s="11">
        <f>1/(H4581*Utilities!$B$11)</f>
        <v>8</v>
      </c>
      <c r="K4581" s="11">
        <f>IF(B4581&lt;C4581,1,EXP(-1*(B4581-C4581)/(Utilities!$B$11*IterData!H4581)))</f>
        <v>1</v>
      </c>
    </row>
    <row r="4582" spans="8:11" x14ac:dyDescent="0.3">
      <c r="H4582">
        <v>0.5</v>
      </c>
      <c r="I4582" s="11">
        <f t="shared" si="71"/>
        <v>0</v>
      </c>
      <c r="J4582" s="11">
        <f>1/(H4582*Utilities!$B$11)</f>
        <v>8</v>
      </c>
      <c r="K4582" s="11">
        <f>IF(B4582&lt;C4582,1,EXP(-1*(B4582-C4582)/(Utilities!$B$11*IterData!H4582)))</f>
        <v>1</v>
      </c>
    </row>
    <row r="4583" spans="8:11" x14ac:dyDescent="0.3">
      <c r="H4583">
        <v>0.5</v>
      </c>
      <c r="I4583" s="11">
        <f t="shared" si="71"/>
        <v>0</v>
      </c>
      <c r="J4583" s="11">
        <f>1/(H4583*Utilities!$B$11)</f>
        <v>8</v>
      </c>
      <c r="K4583" s="11">
        <f>IF(B4583&lt;C4583,1,EXP(-1*(B4583-C4583)/(Utilities!$B$11*IterData!H4583)))</f>
        <v>1</v>
      </c>
    </row>
    <row r="4584" spans="8:11" x14ac:dyDescent="0.3">
      <c r="H4584">
        <v>0.5</v>
      </c>
      <c r="I4584" s="11">
        <f t="shared" si="71"/>
        <v>0</v>
      </c>
      <c r="J4584" s="11">
        <f>1/(H4584*Utilities!$B$11)</f>
        <v>8</v>
      </c>
      <c r="K4584" s="11">
        <f>IF(B4584&lt;C4584,1,EXP(-1*(B4584-C4584)/(Utilities!$B$11*IterData!H4584)))</f>
        <v>1</v>
      </c>
    </row>
    <row r="4585" spans="8:11" x14ac:dyDescent="0.3">
      <c r="H4585">
        <v>0.5</v>
      </c>
      <c r="I4585" s="11">
        <f t="shared" si="71"/>
        <v>0</v>
      </c>
      <c r="J4585" s="11">
        <f>1/(H4585*Utilities!$B$11)</f>
        <v>8</v>
      </c>
      <c r="K4585" s="11">
        <f>IF(B4585&lt;C4585,1,EXP(-1*(B4585-C4585)/(Utilities!$B$11*IterData!H4585)))</f>
        <v>1</v>
      </c>
    </row>
    <row r="4586" spans="8:11" x14ac:dyDescent="0.3">
      <c r="H4586">
        <v>0.5</v>
      </c>
      <c r="I4586" s="11">
        <f t="shared" si="71"/>
        <v>0</v>
      </c>
      <c r="J4586" s="11">
        <f>1/(H4586*Utilities!$B$11)</f>
        <v>8</v>
      </c>
      <c r="K4586" s="11">
        <f>IF(B4586&lt;C4586,1,EXP(-1*(B4586-C4586)/(Utilities!$B$11*IterData!H4586)))</f>
        <v>1</v>
      </c>
    </row>
    <row r="4587" spans="8:11" x14ac:dyDescent="0.3">
      <c r="H4587">
        <v>0.5</v>
      </c>
      <c r="I4587" s="11">
        <f t="shared" si="71"/>
        <v>0</v>
      </c>
      <c r="J4587" s="11">
        <f>1/(H4587*Utilities!$B$11)</f>
        <v>8</v>
      </c>
      <c r="K4587" s="11">
        <f>IF(B4587&lt;C4587,1,EXP(-1*(B4587-C4587)/(Utilities!$B$11*IterData!H4587)))</f>
        <v>1</v>
      </c>
    </row>
    <row r="4588" spans="8:11" x14ac:dyDescent="0.3">
      <c r="H4588">
        <v>0.5</v>
      </c>
      <c r="I4588" s="11">
        <f t="shared" si="71"/>
        <v>0</v>
      </c>
      <c r="J4588" s="11">
        <f>1/(H4588*Utilities!$B$11)</f>
        <v>8</v>
      </c>
      <c r="K4588" s="11">
        <f>IF(B4588&lt;C4588,1,EXP(-1*(B4588-C4588)/(Utilities!$B$11*IterData!H4588)))</f>
        <v>1</v>
      </c>
    </row>
    <row r="4589" spans="8:11" x14ac:dyDescent="0.3">
      <c r="H4589">
        <v>0.5</v>
      </c>
      <c r="I4589" s="11">
        <f t="shared" si="71"/>
        <v>0</v>
      </c>
      <c r="J4589" s="11">
        <f>1/(H4589*Utilities!$B$11)</f>
        <v>8</v>
      </c>
      <c r="K4589" s="11">
        <f>IF(B4589&lt;C4589,1,EXP(-1*(B4589-C4589)/(Utilities!$B$11*IterData!H4589)))</f>
        <v>1</v>
      </c>
    </row>
    <row r="4590" spans="8:11" x14ac:dyDescent="0.3">
      <c r="H4590">
        <v>0.5</v>
      </c>
      <c r="I4590" s="11">
        <f t="shared" si="71"/>
        <v>0</v>
      </c>
      <c r="J4590" s="11">
        <f>1/(H4590*Utilities!$B$11)</f>
        <v>8</v>
      </c>
      <c r="K4590" s="11">
        <f>IF(B4590&lt;C4590,1,EXP(-1*(B4590-C4590)/(Utilities!$B$11*IterData!H4590)))</f>
        <v>1</v>
      </c>
    </row>
    <row r="4591" spans="8:11" x14ac:dyDescent="0.3">
      <c r="H4591">
        <v>0.5</v>
      </c>
      <c r="I4591" s="11">
        <f t="shared" si="71"/>
        <v>0</v>
      </c>
      <c r="J4591" s="11">
        <f>1/(H4591*Utilities!$B$11)</f>
        <v>8</v>
      </c>
      <c r="K4591" s="11">
        <f>IF(B4591&lt;C4591,1,EXP(-1*(B4591-C4591)/(Utilities!$B$11*IterData!H4591)))</f>
        <v>1</v>
      </c>
    </row>
    <row r="4592" spans="8:11" x14ac:dyDescent="0.3">
      <c r="H4592">
        <v>0.5</v>
      </c>
      <c r="I4592" s="11">
        <f t="shared" si="71"/>
        <v>0</v>
      </c>
      <c r="J4592" s="11">
        <f>1/(H4592*Utilities!$B$11)</f>
        <v>8</v>
      </c>
      <c r="K4592" s="11">
        <f>IF(B4592&lt;C4592,1,EXP(-1*(B4592-C4592)/(Utilities!$B$11*IterData!H4592)))</f>
        <v>1</v>
      </c>
    </row>
    <row r="4593" spans="8:11" x14ac:dyDescent="0.3">
      <c r="H4593">
        <v>0.5</v>
      </c>
      <c r="I4593" s="11">
        <f t="shared" si="71"/>
        <v>0</v>
      </c>
      <c r="J4593" s="11">
        <f>1/(H4593*Utilities!$B$11)</f>
        <v>8</v>
      </c>
      <c r="K4593" s="11">
        <f>IF(B4593&lt;C4593,1,EXP(-1*(B4593-C4593)/(Utilities!$B$11*IterData!H4593)))</f>
        <v>1</v>
      </c>
    </row>
    <row r="4594" spans="8:11" x14ac:dyDescent="0.3">
      <c r="H4594">
        <v>0.5</v>
      </c>
      <c r="I4594" s="11">
        <f t="shared" si="71"/>
        <v>0</v>
      </c>
      <c r="J4594" s="11">
        <f>1/(H4594*Utilities!$B$11)</f>
        <v>8</v>
      </c>
      <c r="K4594" s="11">
        <f>IF(B4594&lt;C4594,1,EXP(-1*(B4594-C4594)/(Utilities!$B$11*IterData!H4594)))</f>
        <v>1</v>
      </c>
    </row>
    <row r="4595" spans="8:11" x14ac:dyDescent="0.3">
      <c r="H4595">
        <v>0.5</v>
      </c>
      <c r="I4595" s="11">
        <f t="shared" si="71"/>
        <v>0</v>
      </c>
      <c r="J4595" s="11">
        <f>1/(H4595*Utilities!$B$11)</f>
        <v>8</v>
      </c>
      <c r="K4595" s="11">
        <f>IF(B4595&lt;C4595,1,EXP(-1*(B4595-C4595)/(Utilities!$B$11*IterData!H4595)))</f>
        <v>1</v>
      </c>
    </row>
    <row r="4596" spans="8:11" x14ac:dyDescent="0.3">
      <c r="H4596">
        <v>0.5</v>
      </c>
      <c r="I4596" s="11">
        <f t="shared" si="71"/>
        <v>0</v>
      </c>
      <c r="J4596" s="11">
        <f>1/(H4596*Utilities!$B$11)</f>
        <v>8</v>
      </c>
      <c r="K4596" s="11">
        <f>IF(B4596&lt;C4596,1,EXP(-1*(B4596-C4596)/(Utilities!$B$11*IterData!H4596)))</f>
        <v>1</v>
      </c>
    </row>
    <row r="4597" spans="8:11" x14ac:dyDescent="0.3">
      <c r="H4597">
        <v>0.5</v>
      </c>
      <c r="I4597" s="11">
        <f t="shared" si="71"/>
        <v>0</v>
      </c>
      <c r="J4597" s="11">
        <f>1/(H4597*Utilities!$B$11)</f>
        <v>8</v>
      </c>
      <c r="K4597" s="11">
        <f>IF(B4597&lt;C4597,1,EXP(-1*(B4597-C4597)/(Utilities!$B$11*IterData!H4597)))</f>
        <v>1</v>
      </c>
    </row>
    <row r="4598" spans="8:11" x14ac:dyDescent="0.3">
      <c r="H4598">
        <v>0.5</v>
      </c>
      <c r="I4598" s="11">
        <f t="shared" si="71"/>
        <v>0</v>
      </c>
      <c r="J4598" s="11">
        <f>1/(H4598*Utilities!$B$11)</f>
        <v>8</v>
      </c>
      <c r="K4598" s="11">
        <f>IF(B4598&lt;C4598,1,EXP(-1*(B4598-C4598)/(Utilities!$B$11*IterData!H4598)))</f>
        <v>1</v>
      </c>
    </row>
    <row r="4599" spans="8:11" x14ac:dyDescent="0.3">
      <c r="H4599">
        <v>0.5</v>
      </c>
      <c r="I4599" s="11">
        <f t="shared" si="71"/>
        <v>0</v>
      </c>
      <c r="J4599" s="11">
        <f>1/(H4599*Utilities!$B$11)</f>
        <v>8</v>
      </c>
      <c r="K4599" s="11">
        <f>IF(B4599&lt;C4599,1,EXP(-1*(B4599-C4599)/(Utilities!$B$11*IterData!H4599)))</f>
        <v>1</v>
      </c>
    </row>
    <row r="4600" spans="8:11" x14ac:dyDescent="0.3">
      <c r="H4600">
        <v>0.5</v>
      </c>
      <c r="I4600" s="11">
        <f t="shared" si="71"/>
        <v>0</v>
      </c>
      <c r="J4600" s="11">
        <f>1/(H4600*Utilities!$B$11)</f>
        <v>8</v>
      </c>
      <c r="K4600" s="11">
        <f>IF(B4600&lt;C4600,1,EXP(-1*(B4600-C4600)/(Utilities!$B$11*IterData!H4600)))</f>
        <v>1</v>
      </c>
    </row>
    <row r="4601" spans="8:11" x14ac:dyDescent="0.3">
      <c r="H4601">
        <v>0.5</v>
      </c>
      <c r="I4601" s="11">
        <f t="shared" si="71"/>
        <v>0</v>
      </c>
      <c r="J4601" s="11">
        <f>1/(H4601*Utilities!$B$11)</f>
        <v>8</v>
      </c>
      <c r="K4601" s="11">
        <f>IF(B4601&lt;C4601,1,EXP(-1*(B4601-C4601)/(Utilities!$B$11*IterData!H4601)))</f>
        <v>1</v>
      </c>
    </row>
    <row r="4602" spans="8:11" x14ac:dyDescent="0.3">
      <c r="H4602">
        <v>0.5</v>
      </c>
      <c r="I4602" s="11">
        <f t="shared" si="71"/>
        <v>0</v>
      </c>
      <c r="J4602" s="11">
        <f>1/(H4602*Utilities!$B$11)</f>
        <v>8</v>
      </c>
      <c r="K4602" s="11">
        <f>IF(B4602&lt;C4602,1,EXP(-1*(B4602-C4602)/(Utilities!$B$11*IterData!H4602)))</f>
        <v>1</v>
      </c>
    </row>
    <row r="4603" spans="8:11" x14ac:dyDescent="0.3">
      <c r="H4603">
        <v>0.5</v>
      </c>
      <c r="I4603" s="11">
        <f t="shared" si="71"/>
        <v>0</v>
      </c>
      <c r="J4603" s="11">
        <f>1/(H4603*Utilities!$B$11)</f>
        <v>8</v>
      </c>
      <c r="K4603" s="11">
        <f>IF(B4603&lt;C4603,1,EXP(-1*(B4603-C4603)/(Utilities!$B$11*IterData!H4603)))</f>
        <v>1</v>
      </c>
    </row>
    <row r="4604" spans="8:11" x14ac:dyDescent="0.3">
      <c r="H4604">
        <v>0.5</v>
      </c>
      <c r="I4604" s="11">
        <f t="shared" si="71"/>
        <v>0</v>
      </c>
      <c r="J4604" s="11">
        <f>1/(H4604*Utilities!$B$11)</f>
        <v>8</v>
      </c>
      <c r="K4604" s="11">
        <f>IF(B4604&lt;C4604,1,EXP(-1*(B4604-C4604)/(Utilities!$B$11*IterData!H4604)))</f>
        <v>1</v>
      </c>
    </row>
    <row r="4605" spans="8:11" x14ac:dyDescent="0.3">
      <c r="H4605">
        <v>0.5</v>
      </c>
      <c r="I4605" s="11">
        <f t="shared" si="71"/>
        <v>0</v>
      </c>
      <c r="J4605" s="11">
        <f>1/(H4605*Utilities!$B$11)</f>
        <v>8</v>
      </c>
      <c r="K4605" s="11">
        <f>IF(B4605&lt;C4605,1,EXP(-1*(B4605-C4605)/(Utilities!$B$11*IterData!H4605)))</f>
        <v>1</v>
      </c>
    </row>
    <row r="4606" spans="8:11" x14ac:dyDescent="0.3">
      <c r="H4606">
        <v>0.5</v>
      </c>
      <c r="I4606" s="11">
        <f t="shared" si="71"/>
        <v>0</v>
      </c>
      <c r="J4606" s="11">
        <f>1/(H4606*Utilities!$B$11)</f>
        <v>8</v>
      </c>
      <c r="K4606" s="11">
        <f>IF(B4606&lt;C4606,1,EXP(-1*(B4606-C4606)/(Utilities!$B$11*IterData!H4606)))</f>
        <v>1</v>
      </c>
    </row>
    <row r="4607" spans="8:11" x14ac:dyDescent="0.3">
      <c r="H4607">
        <v>0.5</v>
      </c>
      <c r="I4607" s="11">
        <f t="shared" si="71"/>
        <v>0</v>
      </c>
      <c r="J4607" s="11">
        <f>1/(H4607*Utilities!$B$11)</f>
        <v>8</v>
      </c>
      <c r="K4607" s="11">
        <f>IF(B4607&lt;C4607,1,EXP(-1*(B4607-C4607)/(Utilities!$B$11*IterData!H4607)))</f>
        <v>1</v>
      </c>
    </row>
    <row r="4608" spans="8:11" x14ac:dyDescent="0.3">
      <c r="H4608">
        <v>0.5</v>
      </c>
      <c r="I4608" s="11">
        <f t="shared" si="71"/>
        <v>0</v>
      </c>
      <c r="J4608" s="11">
        <f>1/(H4608*Utilities!$B$11)</f>
        <v>8</v>
      </c>
      <c r="K4608" s="11">
        <f>IF(B4608&lt;C4608,1,EXP(-1*(B4608-C4608)/(Utilities!$B$11*IterData!H4608)))</f>
        <v>1</v>
      </c>
    </row>
    <row r="4609" spans="8:11" x14ac:dyDescent="0.3">
      <c r="H4609">
        <v>0.5</v>
      </c>
      <c r="I4609" s="11">
        <f t="shared" si="71"/>
        <v>0</v>
      </c>
      <c r="J4609" s="11">
        <f>1/(H4609*Utilities!$B$11)</f>
        <v>8</v>
      </c>
      <c r="K4609" s="11">
        <f>IF(B4609&lt;C4609,1,EXP(-1*(B4609-C4609)/(Utilities!$B$11*IterData!H4609)))</f>
        <v>1</v>
      </c>
    </row>
    <row r="4610" spans="8:11" x14ac:dyDescent="0.3">
      <c r="H4610">
        <v>0.5</v>
      </c>
      <c r="I4610" s="11">
        <f t="shared" si="71"/>
        <v>0</v>
      </c>
      <c r="J4610" s="11">
        <f>1/(H4610*Utilities!$B$11)</f>
        <v>8</v>
      </c>
      <c r="K4610" s="11">
        <f>IF(B4610&lt;C4610,1,EXP(-1*(B4610-C4610)/(Utilities!$B$11*IterData!H4610)))</f>
        <v>1</v>
      </c>
    </row>
    <row r="4611" spans="8:11" x14ac:dyDescent="0.3">
      <c r="H4611">
        <v>0.5</v>
      </c>
      <c r="I4611" s="11">
        <f t="shared" ref="I4611:I4674" si="72">B4611-C4611</f>
        <v>0</v>
      </c>
      <c r="J4611" s="11">
        <f>1/(H4611*Utilities!$B$11)</f>
        <v>8</v>
      </c>
      <c r="K4611" s="11">
        <f>IF(B4611&lt;C4611,1,EXP(-1*(B4611-C4611)/(Utilities!$B$11*IterData!H4611)))</f>
        <v>1</v>
      </c>
    </row>
    <row r="4612" spans="8:11" x14ac:dyDescent="0.3">
      <c r="H4612">
        <v>0.5</v>
      </c>
      <c r="I4612" s="11">
        <f t="shared" si="72"/>
        <v>0</v>
      </c>
      <c r="J4612" s="11">
        <f>1/(H4612*Utilities!$B$11)</f>
        <v>8</v>
      </c>
      <c r="K4612" s="11">
        <f>IF(B4612&lt;C4612,1,EXP(-1*(B4612-C4612)/(Utilities!$B$11*IterData!H4612)))</f>
        <v>1</v>
      </c>
    </row>
    <row r="4613" spans="8:11" x14ac:dyDescent="0.3">
      <c r="H4613">
        <v>0.5</v>
      </c>
      <c r="I4613" s="11">
        <f t="shared" si="72"/>
        <v>0</v>
      </c>
      <c r="J4613" s="11">
        <f>1/(H4613*Utilities!$B$11)</f>
        <v>8</v>
      </c>
      <c r="K4613" s="11">
        <f>IF(B4613&lt;C4613,1,EXP(-1*(B4613-C4613)/(Utilities!$B$11*IterData!H4613)))</f>
        <v>1</v>
      </c>
    </row>
    <row r="4614" spans="8:11" x14ac:dyDescent="0.3">
      <c r="H4614">
        <v>0.5</v>
      </c>
      <c r="I4614" s="11">
        <f t="shared" si="72"/>
        <v>0</v>
      </c>
      <c r="J4614" s="11">
        <f>1/(H4614*Utilities!$B$11)</f>
        <v>8</v>
      </c>
      <c r="K4614" s="11">
        <f>IF(B4614&lt;C4614,1,EXP(-1*(B4614-C4614)/(Utilities!$B$11*IterData!H4614)))</f>
        <v>1</v>
      </c>
    </row>
    <row r="4615" spans="8:11" x14ac:dyDescent="0.3">
      <c r="H4615">
        <v>0.5</v>
      </c>
      <c r="I4615" s="11">
        <f t="shared" si="72"/>
        <v>0</v>
      </c>
      <c r="J4615" s="11">
        <f>1/(H4615*Utilities!$B$11)</f>
        <v>8</v>
      </c>
      <c r="K4615" s="11">
        <f>IF(B4615&lt;C4615,1,EXP(-1*(B4615-C4615)/(Utilities!$B$11*IterData!H4615)))</f>
        <v>1</v>
      </c>
    </row>
    <row r="4616" spans="8:11" x14ac:dyDescent="0.3">
      <c r="H4616">
        <v>0.5</v>
      </c>
      <c r="I4616" s="11">
        <f t="shared" si="72"/>
        <v>0</v>
      </c>
      <c r="J4616" s="11">
        <f>1/(H4616*Utilities!$B$11)</f>
        <v>8</v>
      </c>
      <c r="K4616" s="11">
        <f>IF(B4616&lt;C4616,1,EXP(-1*(B4616-C4616)/(Utilities!$B$11*IterData!H4616)))</f>
        <v>1</v>
      </c>
    </row>
    <row r="4617" spans="8:11" x14ac:dyDescent="0.3">
      <c r="H4617">
        <v>0.5</v>
      </c>
      <c r="I4617" s="11">
        <f t="shared" si="72"/>
        <v>0</v>
      </c>
      <c r="J4617" s="11">
        <f>1/(H4617*Utilities!$B$11)</f>
        <v>8</v>
      </c>
      <c r="K4617" s="11">
        <f>IF(B4617&lt;C4617,1,EXP(-1*(B4617-C4617)/(Utilities!$B$11*IterData!H4617)))</f>
        <v>1</v>
      </c>
    </row>
    <row r="4618" spans="8:11" x14ac:dyDescent="0.3">
      <c r="H4618">
        <v>0.5</v>
      </c>
      <c r="I4618" s="11">
        <f t="shared" si="72"/>
        <v>0</v>
      </c>
      <c r="J4618" s="11">
        <f>1/(H4618*Utilities!$B$11)</f>
        <v>8</v>
      </c>
      <c r="K4618" s="11">
        <f>IF(B4618&lt;C4618,1,EXP(-1*(B4618-C4618)/(Utilities!$B$11*IterData!H4618)))</f>
        <v>1</v>
      </c>
    </row>
    <row r="4619" spans="8:11" x14ac:dyDescent="0.3">
      <c r="H4619">
        <v>0.5</v>
      </c>
      <c r="I4619" s="11">
        <f t="shared" si="72"/>
        <v>0</v>
      </c>
      <c r="J4619" s="11">
        <f>1/(H4619*Utilities!$B$11)</f>
        <v>8</v>
      </c>
      <c r="K4619" s="11">
        <f>IF(B4619&lt;C4619,1,EXP(-1*(B4619-C4619)/(Utilities!$B$11*IterData!H4619)))</f>
        <v>1</v>
      </c>
    </row>
    <row r="4620" spans="8:11" x14ac:dyDescent="0.3">
      <c r="H4620">
        <v>0.5</v>
      </c>
      <c r="I4620" s="11">
        <f t="shared" si="72"/>
        <v>0</v>
      </c>
      <c r="J4620" s="11">
        <f>1/(H4620*Utilities!$B$11)</f>
        <v>8</v>
      </c>
      <c r="K4620" s="11">
        <f>IF(B4620&lt;C4620,1,EXP(-1*(B4620-C4620)/(Utilities!$B$11*IterData!H4620)))</f>
        <v>1</v>
      </c>
    </row>
    <row r="4621" spans="8:11" x14ac:dyDescent="0.3">
      <c r="H4621">
        <v>0.5</v>
      </c>
      <c r="I4621" s="11">
        <f t="shared" si="72"/>
        <v>0</v>
      </c>
      <c r="J4621" s="11">
        <f>1/(H4621*Utilities!$B$11)</f>
        <v>8</v>
      </c>
      <c r="K4621" s="11">
        <f>IF(B4621&lt;C4621,1,EXP(-1*(B4621-C4621)/(Utilities!$B$11*IterData!H4621)))</f>
        <v>1</v>
      </c>
    </row>
    <row r="4622" spans="8:11" x14ac:dyDescent="0.3">
      <c r="H4622">
        <v>0.5</v>
      </c>
      <c r="I4622" s="11">
        <f t="shared" si="72"/>
        <v>0</v>
      </c>
      <c r="J4622" s="11">
        <f>1/(H4622*Utilities!$B$11)</f>
        <v>8</v>
      </c>
      <c r="K4622" s="11">
        <f>IF(B4622&lt;C4622,1,EXP(-1*(B4622-C4622)/(Utilities!$B$11*IterData!H4622)))</f>
        <v>1</v>
      </c>
    </row>
    <row r="4623" spans="8:11" x14ac:dyDescent="0.3">
      <c r="H4623">
        <v>0.5</v>
      </c>
      <c r="I4623" s="11">
        <f t="shared" si="72"/>
        <v>0</v>
      </c>
      <c r="J4623" s="11">
        <f>1/(H4623*Utilities!$B$11)</f>
        <v>8</v>
      </c>
      <c r="K4623" s="11">
        <f>IF(B4623&lt;C4623,1,EXP(-1*(B4623-C4623)/(Utilities!$B$11*IterData!H4623)))</f>
        <v>1</v>
      </c>
    </row>
    <row r="4624" spans="8:11" x14ac:dyDescent="0.3">
      <c r="H4624">
        <v>0.5</v>
      </c>
      <c r="I4624" s="11">
        <f t="shared" si="72"/>
        <v>0</v>
      </c>
      <c r="J4624" s="11">
        <f>1/(H4624*Utilities!$B$11)</f>
        <v>8</v>
      </c>
      <c r="K4624" s="11">
        <f>IF(B4624&lt;C4624,1,EXP(-1*(B4624-C4624)/(Utilities!$B$11*IterData!H4624)))</f>
        <v>1</v>
      </c>
    </row>
    <row r="4625" spans="8:11" x14ac:dyDescent="0.3">
      <c r="H4625">
        <v>0.5</v>
      </c>
      <c r="I4625" s="11">
        <f t="shared" si="72"/>
        <v>0</v>
      </c>
      <c r="J4625" s="11">
        <f>1/(H4625*Utilities!$B$11)</f>
        <v>8</v>
      </c>
      <c r="K4625" s="11">
        <f>IF(B4625&lt;C4625,1,EXP(-1*(B4625-C4625)/(Utilities!$B$11*IterData!H4625)))</f>
        <v>1</v>
      </c>
    </row>
    <row r="4626" spans="8:11" x14ac:dyDescent="0.3">
      <c r="H4626">
        <v>0.5</v>
      </c>
      <c r="I4626" s="11">
        <f t="shared" si="72"/>
        <v>0</v>
      </c>
      <c r="J4626" s="11">
        <f>1/(H4626*Utilities!$B$11)</f>
        <v>8</v>
      </c>
      <c r="K4626" s="11">
        <f>IF(B4626&lt;C4626,1,EXP(-1*(B4626-C4626)/(Utilities!$B$11*IterData!H4626)))</f>
        <v>1</v>
      </c>
    </row>
    <row r="4627" spans="8:11" x14ac:dyDescent="0.3">
      <c r="H4627">
        <v>0.5</v>
      </c>
      <c r="I4627" s="11">
        <f t="shared" si="72"/>
        <v>0</v>
      </c>
      <c r="J4627" s="11">
        <f>1/(H4627*Utilities!$B$11)</f>
        <v>8</v>
      </c>
      <c r="K4627" s="11">
        <f>IF(B4627&lt;C4627,1,EXP(-1*(B4627-C4627)/(Utilities!$B$11*IterData!H4627)))</f>
        <v>1</v>
      </c>
    </row>
    <row r="4628" spans="8:11" x14ac:dyDescent="0.3">
      <c r="H4628">
        <v>0.5</v>
      </c>
      <c r="I4628" s="11">
        <f t="shared" si="72"/>
        <v>0</v>
      </c>
      <c r="J4628" s="11">
        <f>1/(H4628*Utilities!$B$11)</f>
        <v>8</v>
      </c>
      <c r="K4628" s="11">
        <f>IF(B4628&lt;C4628,1,EXP(-1*(B4628-C4628)/(Utilities!$B$11*IterData!H4628)))</f>
        <v>1</v>
      </c>
    </row>
    <row r="4629" spans="8:11" x14ac:dyDescent="0.3">
      <c r="H4629">
        <v>0.5</v>
      </c>
      <c r="I4629" s="11">
        <f t="shared" si="72"/>
        <v>0</v>
      </c>
      <c r="J4629" s="11">
        <f>1/(H4629*Utilities!$B$11)</f>
        <v>8</v>
      </c>
      <c r="K4629" s="11">
        <f>IF(B4629&lt;C4629,1,EXP(-1*(B4629-C4629)/(Utilities!$B$11*IterData!H4629)))</f>
        <v>1</v>
      </c>
    </row>
    <row r="4630" spans="8:11" x14ac:dyDescent="0.3">
      <c r="H4630">
        <v>0.5</v>
      </c>
      <c r="I4630" s="11">
        <f t="shared" si="72"/>
        <v>0</v>
      </c>
      <c r="J4630" s="11">
        <f>1/(H4630*Utilities!$B$11)</f>
        <v>8</v>
      </c>
      <c r="K4630" s="11">
        <f>IF(B4630&lt;C4630,1,EXP(-1*(B4630-C4630)/(Utilities!$B$11*IterData!H4630)))</f>
        <v>1</v>
      </c>
    </row>
    <row r="4631" spans="8:11" x14ac:dyDescent="0.3">
      <c r="H4631">
        <v>0.5</v>
      </c>
      <c r="I4631" s="11">
        <f t="shared" si="72"/>
        <v>0</v>
      </c>
      <c r="J4631" s="11">
        <f>1/(H4631*Utilities!$B$11)</f>
        <v>8</v>
      </c>
      <c r="K4631" s="11">
        <f>IF(B4631&lt;C4631,1,EXP(-1*(B4631-C4631)/(Utilities!$B$11*IterData!H4631)))</f>
        <v>1</v>
      </c>
    </row>
    <row r="4632" spans="8:11" x14ac:dyDescent="0.3">
      <c r="H4632">
        <v>0.5</v>
      </c>
      <c r="I4632" s="11">
        <f t="shared" si="72"/>
        <v>0</v>
      </c>
      <c r="J4632" s="11">
        <f>1/(H4632*Utilities!$B$11)</f>
        <v>8</v>
      </c>
      <c r="K4632" s="11">
        <f>IF(B4632&lt;C4632,1,EXP(-1*(B4632-C4632)/(Utilities!$B$11*IterData!H4632)))</f>
        <v>1</v>
      </c>
    </row>
    <row r="4633" spans="8:11" x14ac:dyDescent="0.3">
      <c r="H4633">
        <v>0.5</v>
      </c>
      <c r="I4633" s="11">
        <f t="shared" si="72"/>
        <v>0</v>
      </c>
      <c r="J4633" s="11">
        <f>1/(H4633*Utilities!$B$11)</f>
        <v>8</v>
      </c>
      <c r="K4633" s="11">
        <f>IF(B4633&lt;C4633,1,EXP(-1*(B4633-C4633)/(Utilities!$B$11*IterData!H4633)))</f>
        <v>1</v>
      </c>
    </row>
    <row r="4634" spans="8:11" x14ac:dyDescent="0.3">
      <c r="H4634">
        <v>0.5</v>
      </c>
      <c r="I4634" s="11">
        <f t="shared" si="72"/>
        <v>0</v>
      </c>
      <c r="J4634" s="11">
        <f>1/(H4634*Utilities!$B$11)</f>
        <v>8</v>
      </c>
      <c r="K4634" s="11">
        <f>IF(B4634&lt;C4634,1,EXP(-1*(B4634-C4634)/(Utilities!$B$11*IterData!H4634)))</f>
        <v>1</v>
      </c>
    </row>
    <row r="4635" spans="8:11" x14ac:dyDescent="0.3">
      <c r="H4635">
        <v>0.5</v>
      </c>
      <c r="I4635" s="11">
        <f t="shared" si="72"/>
        <v>0</v>
      </c>
      <c r="J4635" s="11">
        <f>1/(H4635*Utilities!$B$11)</f>
        <v>8</v>
      </c>
      <c r="K4635" s="11">
        <f>IF(B4635&lt;C4635,1,EXP(-1*(B4635-C4635)/(Utilities!$B$11*IterData!H4635)))</f>
        <v>1</v>
      </c>
    </row>
    <row r="4636" spans="8:11" x14ac:dyDescent="0.3">
      <c r="H4636">
        <v>0.5</v>
      </c>
      <c r="I4636" s="11">
        <f t="shared" si="72"/>
        <v>0</v>
      </c>
      <c r="J4636" s="11">
        <f>1/(H4636*Utilities!$B$11)</f>
        <v>8</v>
      </c>
      <c r="K4636" s="11">
        <f>IF(B4636&lt;C4636,1,EXP(-1*(B4636-C4636)/(Utilities!$B$11*IterData!H4636)))</f>
        <v>1</v>
      </c>
    </row>
    <row r="4637" spans="8:11" x14ac:dyDescent="0.3">
      <c r="H4637">
        <v>0.5</v>
      </c>
      <c r="I4637" s="11">
        <f t="shared" si="72"/>
        <v>0</v>
      </c>
      <c r="J4637" s="11">
        <f>1/(H4637*Utilities!$B$11)</f>
        <v>8</v>
      </c>
      <c r="K4637" s="11">
        <f>IF(B4637&lt;C4637,1,EXP(-1*(B4637-C4637)/(Utilities!$B$11*IterData!H4637)))</f>
        <v>1</v>
      </c>
    </row>
    <row r="4638" spans="8:11" x14ac:dyDescent="0.3">
      <c r="H4638">
        <v>0.5</v>
      </c>
      <c r="I4638" s="11">
        <f t="shared" si="72"/>
        <v>0</v>
      </c>
      <c r="J4638" s="11">
        <f>1/(H4638*Utilities!$B$11)</f>
        <v>8</v>
      </c>
      <c r="K4638" s="11">
        <f>IF(B4638&lt;C4638,1,EXP(-1*(B4638-C4638)/(Utilities!$B$11*IterData!H4638)))</f>
        <v>1</v>
      </c>
    </row>
    <row r="4639" spans="8:11" x14ac:dyDescent="0.3">
      <c r="H4639">
        <v>0.5</v>
      </c>
      <c r="I4639" s="11">
        <f t="shared" si="72"/>
        <v>0</v>
      </c>
      <c r="J4639" s="11">
        <f>1/(H4639*Utilities!$B$11)</f>
        <v>8</v>
      </c>
      <c r="K4639" s="11">
        <f>IF(B4639&lt;C4639,1,EXP(-1*(B4639-C4639)/(Utilities!$B$11*IterData!H4639)))</f>
        <v>1</v>
      </c>
    </row>
    <row r="4640" spans="8:11" x14ac:dyDescent="0.3">
      <c r="H4640">
        <v>0.5</v>
      </c>
      <c r="I4640" s="11">
        <f t="shared" si="72"/>
        <v>0</v>
      </c>
      <c r="J4640" s="11">
        <f>1/(H4640*Utilities!$B$11)</f>
        <v>8</v>
      </c>
      <c r="K4640" s="11">
        <f>IF(B4640&lt;C4640,1,EXP(-1*(B4640-C4640)/(Utilities!$B$11*IterData!H4640)))</f>
        <v>1</v>
      </c>
    </row>
    <row r="4641" spans="8:11" x14ac:dyDescent="0.3">
      <c r="H4641">
        <v>0.5</v>
      </c>
      <c r="I4641" s="11">
        <f t="shared" si="72"/>
        <v>0</v>
      </c>
      <c r="J4641" s="11">
        <f>1/(H4641*Utilities!$B$11)</f>
        <v>8</v>
      </c>
      <c r="K4641" s="11">
        <f>IF(B4641&lt;C4641,1,EXP(-1*(B4641-C4641)/(Utilities!$B$11*IterData!H4641)))</f>
        <v>1</v>
      </c>
    </row>
    <row r="4642" spans="8:11" x14ac:dyDescent="0.3">
      <c r="H4642">
        <v>0.5</v>
      </c>
      <c r="I4642" s="11">
        <f t="shared" si="72"/>
        <v>0</v>
      </c>
      <c r="J4642" s="11">
        <f>1/(H4642*Utilities!$B$11)</f>
        <v>8</v>
      </c>
      <c r="K4642" s="11">
        <f>IF(B4642&lt;C4642,1,EXP(-1*(B4642-C4642)/(Utilities!$B$11*IterData!H4642)))</f>
        <v>1</v>
      </c>
    </row>
    <row r="4643" spans="8:11" x14ac:dyDescent="0.3">
      <c r="H4643">
        <v>0.5</v>
      </c>
      <c r="I4643" s="11">
        <f t="shared" si="72"/>
        <v>0</v>
      </c>
      <c r="J4643" s="11">
        <f>1/(H4643*Utilities!$B$11)</f>
        <v>8</v>
      </c>
      <c r="K4643" s="11">
        <f>IF(B4643&lt;C4643,1,EXP(-1*(B4643-C4643)/(Utilities!$B$11*IterData!H4643)))</f>
        <v>1</v>
      </c>
    </row>
    <row r="4644" spans="8:11" x14ac:dyDescent="0.3">
      <c r="H4644">
        <v>0.5</v>
      </c>
      <c r="I4644" s="11">
        <f t="shared" si="72"/>
        <v>0</v>
      </c>
      <c r="J4644" s="11">
        <f>1/(H4644*Utilities!$B$11)</f>
        <v>8</v>
      </c>
      <c r="K4644" s="11">
        <f>IF(B4644&lt;C4644,1,EXP(-1*(B4644-C4644)/(Utilities!$B$11*IterData!H4644)))</f>
        <v>1</v>
      </c>
    </row>
    <row r="4645" spans="8:11" x14ac:dyDescent="0.3">
      <c r="H4645">
        <v>0.5</v>
      </c>
      <c r="I4645" s="11">
        <f t="shared" si="72"/>
        <v>0</v>
      </c>
      <c r="J4645" s="11">
        <f>1/(H4645*Utilities!$B$11)</f>
        <v>8</v>
      </c>
      <c r="K4645" s="11">
        <f>IF(B4645&lt;C4645,1,EXP(-1*(B4645-C4645)/(Utilities!$B$11*IterData!H4645)))</f>
        <v>1</v>
      </c>
    </row>
    <row r="4646" spans="8:11" x14ac:dyDescent="0.3">
      <c r="H4646">
        <v>0.5</v>
      </c>
      <c r="I4646" s="11">
        <f t="shared" si="72"/>
        <v>0</v>
      </c>
      <c r="J4646" s="11">
        <f>1/(H4646*Utilities!$B$11)</f>
        <v>8</v>
      </c>
      <c r="K4646" s="11">
        <f>IF(B4646&lt;C4646,1,EXP(-1*(B4646-C4646)/(Utilities!$B$11*IterData!H4646)))</f>
        <v>1</v>
      </c>
    </row>
    <row r="4647" spans="8:11" x14ac:dyDescent="0.3">
      <c r="H4647">
        <v>0.5</v>
      </c>
      <c r="I4647" s="11">
        <f t="shared" si="72"/>
        <v>0</v>
      </c>
      <c r="J4647" s="11">
        <f>1/(H4647*Utilities!$B$11)</f>
        <v>8</v>
      </c>
      <c r="K4647" s="11">
        <f>IF(B4647&lt;C4647,1,EXP(-1*(B4647-C4647)/(Utilities!$B$11*IterData!H4647)))</f>
        <v>1</v>
      </c>
    </row>
    <row r="4648" spans="8:11" x14ac:dyDescent="0.3">
      <c r="H4648">
        <v>0.5</v>
      </c>
      <c r="I4648" s="11">
        <f t="shared" si="72"/>
        <v>0</v>
      </c>
      <c r="J4648" s="11">
        <f>1/(H4648*Utilities!$B$11)</f>
        <v>8</v>
      </c>
      <c r="K4648" s="11">
        <f>IF(B4648&lt;C4648,1,EXP(-1*(B4648-C4648)/(Utilities!$B$11*IterData!H4648)))</f>
        <v>1</v>
      </c>
    </row>
    <row r="4649" spans="8:11" x14ac:dyDescent="0.3">
      <c r="H4649">
        <v>0.5</v>
      </c>
      <c r="I4649" s="11">
        <f t="shared" si="72"/>
        <v>0</v>
      </c>
      <c r="J4649" s="11">
        <f>1/(H4649*Utilities!$B$11)</f>
        <v>8</v>
      </c>
      <c r="K4649" s="11">
        <f>IF(B4649&lt;C4649,1,EXP(-1*(B4649-C4649)/(Utilities!$B$11*IterData!H4649)))</f>
        <v>1</v>
      </c>
    </row>
    <row r="4650" spans="8:11" x14ac:dyDescent="0.3">
      <c r="H4650">
        <v>0.5</v>
      </c>
      <c r="I4650" s="11">
        <f t="shared" si="72"/>
        <v>0</v>
      </c>
      <c r="J4650" s="11">
        <f>1/(H4650*Utilities!$B$11)</f>
        <v>8</v>
      </c>
      <c r="K4650" s="11">
        <f>IF(B4650&lt;C4650,1,EXP(-1*(B4650-C4650)/(Utilities!$B$11*IterData!H4650)))</f>
        <v>1</v>
      </c>
    </row>
    <row r="4651" spans="8:11" x14ac:dyDescent="0.3">
      <c r="H4651">
        <v>0.5</v>
      </c>
      <c r="I4651" s="11">
        <f t="shared" si="72"/>
        <v>0</v>
      </c>
      <c r="J4651" s="11">
        <f>1/(H4651*Utilities!$B$11)</f>
        <v>8</v>
      </c>
      <c r="K4651" s="11">
        <f>IF(B4651&lt;C4651,1,EXP(-1*(B4651-C4651)/(Utilities!$B$11*IterData!H4651)))</f>
        <v>1</v>
      </c>
    </row>
    <row r="4652" spans="8:11" x14ac:dyDescent="0.3">
      <c r="H4652">
        <v>0.5</v>
      </c>
      <c r="I4652" s="11">
        <f t="shared" si="72"/>
        <v>0</v>
      </c>
      <c r="J4652" s="11">
        <f>1/(H4652*Utilities!$B$11)</f>
        <v>8</v>
      </c>
      <c r="K4652" s="11">
        <f>IF(B4652&lt;C4652,1,EXP(-1*(B4652-C4652)/(Utilities!$B$11*IterData!H4652)))</f>
        <v>1</v>
      </c>
    </row>
    <row r="4653" spans="8:11" x14ac:dyDescent="0.3">
      <c r="H4653">
        <v>0.5</v>
      </c>
      <c r="I4653" s="11">
        <f t="shared" si="72"/>
        <v>0</v>
      </c>
      <c r="J4653" s="11">
        <f>1/(H4653*Utilities!$B$11)</f>
        <v>8</v>
      </c>
      <c r="K4653" s="11">
        <f>IF(B4653&lt;C4653,1,EXP(-1*(B4653-C4653)/(Utilities!$B$11*IterData!H4653)))</f>
        <v>1</v>
      </c>
    </row>
    <row r="4654" spans="8:11" x14ac:dyDescent="0.3">
      <c r="H4654">
        <v>0.5</v>
      </c>
      <c r="I4654" s="11">
        <f t="shared" si="72"/>
        <v>0</v>
      </c>
      <c r="J4654" s="11">
        <f>1/(H4654*Utilities!$B$11)</f>
        <v>8</v>
      </c>
      <c r="K4654" s="11">
        <f>IF(B4654&lt;C4654,1,EXP(-1*(B4654-C4654)/(Utilities!$B$11*IterData!H4654)))</f>
        <v>1</v>
      </c>
    </row>
    <row r="4655" spans="8:11" x14ac:dyDescent="0.3">
      <c r="H4655">
        <v>0.5</v>
      </c>
      <c r="I4655" s="11">
        <f t="shared" si="72"/>
        <v>0</v>
      </c>
      <c r="J4655" s="11">
        <f>1/(H4655*Utilities!$B$11)</f>
        <v>8</v>
      </c>
      <c r="K4655" s="11">
        <f>IF(B4655&lt;C4655,1,EXP(-1*(B4655-C4655)/(Utilities!$B$11*IterData!H4655)))</f>
        <v>1</v>
      </c>
    </row>
    <row r="4656" spans="8:11" x14ac:dyDescent="0.3">
      <c r="H4656">
        <v>0.5</v>
      </c>
      <c r="I4656" s="11">
        <f t="shared" si="72"/>
        <v>0</v>
      </c>
      <c r="J4656" s="11">
        <f>1/(H4656*Utilities!$B$11)</f>
        <v>8</v>
      </c>
      <c r="K4656" s="11">
        <f>IF(B4656&lt;C4656,1,EXP(-1*(B4656-C4656)/(Utilities!$B$11*IterData!H4656)))</f>
        <v>1</v>
      </c>
    </row>
    <row r="4657" spans="8:11" x14ac:dyDescent="0.3">
      <c r="H4657">
        <v>0.5</v>
      </c>
      <c r="I4657" s="11">
        <f t="shared" si="72"/>
        <v>0</v>
      </c>
      <c r="J4657" s="11">
        <f>1/(H4657*Utilities!$B$11)</f>
        <v>8</v>
      </c>
      <c r="K4657" s="11">
        <f>IF(B4657&lt;C4657,1,EXP(-1*(B4657-C4657)/(Utilities!$B$11*IterData!H4657)))</f>
        <v>1</v>
      </c>
    </row>
    <row r="4658" spans="8:11" x14ac:dyDescent="0.3">
      <c r="H4658">
        <v>0.5</v>
      </c>
      <c r="I4658" s="11">
        <f t="shared" si="72"/>
        <v>0</v>
      </c>
      <c r="J4658" s="11">
        <f>1/(H4658*Utilities!$B$11)</f>
        <v>8</v>
      </c>
      <c r="K4658" s="11">
        <f>IF(B4658&lt;C4658,1,EXP(-1*(B4658-C4658)/(Utilities!$B$11*IterData!H4658)))</f>
        <v>1</v>
      </c>
    </row>
    <row r="4659" spans="8:11" x14ac:dyDescent="0.3">
      <c r="H4659">
        <v>0.5</v>
      </c>
      <c r="I4659" s="11">
        <f t="shared" si="72"/>
        <v>0</v>
      </c>
      <c r="J4659" s="11">
        <f>1/(H4659*Utilities!$B$11)</f>
        <v>8</v>
      </c>
      <c r="K4659" s="11">
        <f>IF(B4659&lt;C4659,1,EXP(-1*(B4659-C4659)/(Utilities!$B$11*IterData!H4659)))</f>
        <v>1</v>
      </c>
    </row>
    <row r="4660" spans="8:11" x14ac:dyDescent="0.3">
      <c r="H4660">
        <v>0.5</v>
      </c>
      <c r="I4660" s="11">
        <f t="shared" si="72"/>
        <v>0</v>
      </c>
      <c r="J4660" s="11">
        <f>1/(H4660*Utilities!$B$11)</f>
        <v>8</v>
      </c>
      <c r="K4660" s="11">
        <f>IF(B4660&lt;C4660,1,EXP(-1*(B4660-C4660)/(Utilities!$B$11*IterData!H4660)))</f>
        <v>1</v>
      </c>
    </row>
    <row r="4661" spans="8:11" x14ac:dyDescent="0.3">
      <c r="H4661">
        <v>0.5</v>
      </c>
      <c r="I4661" s="11">
        <f t="shared" si="72"/>
        <v>0</v>
      </c>
      <c r="J4661" s="11">
        <f>1/(H4661*Utilities!$B$11)</f>
        <v>8</v>
      </c>
      <c r="K4661" s="11">
        <f>IF(B4661&lt;C4661,1,EXP(-1*(B4661-C4661)/(Utilities!$B$11*IterData!H4661)))</f>
        <v>1</v>
      </c>
    </row>
    <row r="4662" spans="8:11" x14ac:dyDescent="0.3">
      <c r="H4662">
        <v>0.5</v>
      </c>
      <c r="I4662" s="11">
        <f t="shared" si="72"/>
        <v>0</v>
      </c>
      <c r="J4662" s="11">
        <f>1/(H4662*Utilities!$B$11)</f>
        <v>8</v>
      </c>
      <c r="K4662" s="11">
        <f>IF(B4662&lt;C4662,1,EXP(-1*(B4662-C4662)/(Utilities!$B$11*IterData!H4662)))</f>
        <v>1</v>
      </c>
    </row>
    <row r="4663" spans="8:11" x14ac:dyDescent="0.3">
      <c r="H4663">
        <v>0.5</v>
      </c>
      <c r="I4663" s="11">
        <f t="shared" si="72"/>
        <v>0</v>
      </c>
      <c r="J4663" s="11">
        <f>1/(H4663*Utilities!$B$11)</f>
        <v>8</v>
      </c>
      <c r="K4663" s="11">
        <f>IF(B4663&lt;C4663,1,EXP(-1*(B4663-C4663)/(Utilities!$B$11*IterData!H4663)))</f>
        <v>1</v>
      </c>
    </row>
    <row r="4664" spans="8:11" x14ac:dyDescent="0.3">
      <c r="H4664">
        <v>0.5</v>
      </c>
      <c r="I4664" s="11">
        <f t="shared" si="72"/>
        <v>0</v>
      </c>
      <c r="J4664" s="11">
        <f>1/(H4664*Utilities!$B$11)</f>
        <v>8</v>
      </c>
      <c r="K4664" s="11">
        <f>IF(B4664&lt;C4664,1,EXP(-1*(B4664-C4664)/(Utilities!$B$11*IterData!H4664)))</f>
        <v>1</v>
      </c>
    </row>
    <row r="4665" spans="8:11" x14ac:dyDescent="0.3">
      <c r="H4665">
        <v>0.5</v>
      </c>
      <c r="I4665" s="11">
        <f t="shared" si="72"/>
        <v>0</v>
      </c>
      <c r="J4665" s="11">
        <f>1/(H4665*Utilities!$B$11)</f>
        <v>8</v>
      </c>
      <c r="K4665" s="11">
        <f>IF(B4665&lt;C4665,1,EXP(-1*(B4665-C4665)/(Utilities!$B$11*IterData!H4665)))</f>
        <v>1</v>
      </c>
    </row>
    <row r="4666" spans="8:11" x14ac:dyDescent="0.3">
      <c r="H4666">
        <v>0.5</v>
      </c>
      <c r="I4666" s="11">
        <f t="shared" si="72"/>
        <v>0</v>
      </c>
      <c r="J4666" s="11">
        <f>1/(H4666*Utilities!$B$11)</f>
        <v>8</v>
      </c>
      <c r="K4666" s="11">
        <f>IF(B4666&lt;C4666,1,EXP(-1*(B4666-C4666)/(Utilities!$B$11*IterData!H4666)))</f>
        <v>1</v>
      </c>
    </row>
    <row r="4667" spans="8:11" x14ac:dyDescent="0.3">
      <c r="H4667">
        <v>0.5</v>
      </c>
      <c r="I4667" s="11">
        <f t="shared" si="72"/>
        <v>0</v>
      </c>
      <c r="J4667" s="11">
        <f>1/(H4667*Utilities!$B$11)</f>
        <v>8</v>
      </c>
      <c r="K4667" s="11">
        <f>IF(B4667&lt;C4667,1,EXP(-1*(B4667-C4667)/(Utilities!$B$11*IterData!H4667)))</f>
        <v>1</v>
      </c>
    </row>
    <row r="4668" spans="8:11" x14ac:dyDescent="0.3">
      <c r="H4668">
        <v>0.5</v>
      </c>
      <c r="I4668" s="11">
        <f t="shared" si="72"/>
        <v>0</v>
      </c>
      <c r="J4668" s="11">
        <f>1/(H4668*Utilities!$B$11)</f>
        <v>8</v>
      </c>
      <c r="K4668" s="11">
        <f>IF(B4668&lt;C4668,1,EXP(-1*(B4668-C4668)/(Utilities!$B$11*IterData!H4668)))</f>
        <v>1</v>
      </c>
    </row>
    <row r="4669" spans="8:11" x14ac:dyDescent="0.3">
      <c r="H4669">
        <v>0.5</v>
      </c>
      <c r="I4669" s="11">
        <f t="shared" si="72"/>
        <v>0</v>
      </c>
      <c r="J4669" s="11">
        <f>1/(H4669*Utilities!$B$11)</f>
        <v>8</v>
      </c>
      <c r="K4669" s="11">
        <f>IF(B4669&lt;C4669,1,EXP(-1*(B4669-C4669)/(Utilities!$B$11*IterData!H4669)))</f>
        <v>1</v>
      </c>
    </row>
    <row r="4670" spans="8:11" x14ac:dyDescent="0.3">
      <c r="H4670">
        <v>0.5</v>
      </c>
      <c r="I4670" s="11">
        <f t="shared" si="72"/>
        <v>0</v>
      </c>
      <c r="J4670" s="11">
        <f>1/(H4670*Utilities!$B$11)</f>
        <v>8</v>
      </c>
      <c r="K4670" s="11">
        <f>IF(B4670&lt;C4670,1,EXP(-1*(B4670-C4670)/(Utilities!$B$11*IterData!H4670)))</f>
        <v>1</v>
      </c>
    </row>
    <row r="4671" spans="8:11" x14ac:dyDescent="0.3">
      <c r="H4671">
        <v>0.5</v>
      </c>
      <c r="I4671" s="11">
        <f t="shared" si="72"/>
        <v>0</v>
      </c>
      <c r="J4671" s="11">
        <f>1/(H4671*Utilities!$B$11)</f>
        <v>8</v>
      </c>
      <c r="K4671" s="11">
        <f>IF(B4671&lt;C4671,1,EXP(-1*(B4671-C4671)/(Utilities!$B$11*IterData!H4671)))</f>
        <v>1</v>
      </c>
    </row>
    <row r="4672" spans="8:11" x14ac:dyDescent="0.3">
      <c r="H4672">
        <v>0.5</v>
      </c>
      <c r="I4672" s="11">
        <f t="shared" si="72"/>
        <v>0</v>
      </c>
      <c r="J4672" s="11">
        <f>1/(H4672*Utilities!$B$11)</f>
        <v>8</v>
      </c>
      <c r="K4672" s="11">
        <f>IF(B4672&lt;C4672,1,EXP(-1*(B4672-C4672)/(Utilities!$B$11*IterData!H4672)))</f>
        <v>1</v>
      </c>
    </row>
    <row r="4673" spans="8:11" x14ac:dyDescent="0.3">
      <c r="H4673">
        <v>0.5</v>
      </c>
      <c r="I4673" s="11">
        <f t="shared" si="72"/>
        <v>0</v>
      </c>
      <c r="J4673" s="11">
        <f>1/(H4673*Utilities!$B$11)</f>
        <v>8</v>
      </c>
      <c r="K4673" s="11">
        <f>IF(B4673&lt;C4673,1,EXP(-1*(B4673-C4673)/(Utilities!$B$11*IterData!H4673)))</f>
        <v>1</v>
      </c>
    </row>
    <row r="4674" spans="8:11" x14ac:dyDescent="0.3">
      <c r="H4674">
        <v>0.5</v>
      </c>
      <c r="I4674" s="11">
        <f t="shared" si="72"/>
        <v>0</v>
      </c>
      <c r="J4674" s="11">
        <f>1/(H4674*Utilities!$B$11)</f>
        <v>8</v>
      </c>
      <c r="K4674" s="11">
        <f>IF(B4674&lt;C4674,1,EXP(-1*(B4674-C4674)/(Utilities!$B$11*IterData!H4674)))</f>
        <v>1</v>
      </c>
    </row>
    <row r="4675" spans="8:11" x14ac:dyDescent="0.3">
      <c r="H4675">
        <v>0.5</v>
      </c>
      <c r="I4675" s="11">
        <f t="shared" ref="I4675:I4738" si="73">B4675-C4675</f>
        <v>0</v>
      </c>
      <c r="J4675" s="11">
        <f>1/(H4675*Utilities!$B$11)</f>
        <v>8</v>
      </c>
      <c r="K4675" s="11">
        <f>IF(B4675&lt;C4675,1,EXP(-1*(B4675-C4675)/(Utilities!$B$11*IterData!H4675)))</f>
        <v>1</v>
      </c>
    </row>
    <row r="4676" spans="8:11" x14ac:dyDescent="0.3">
      <c r="H4676">
        <v>0.5</v>
      </c>
      <c r="I4676" s="11">
        <f t="shared" si="73"/>
        <v>0</v>
      </c>
      <c r="J4676" s="11">
        <f>1/(H4676*Utilities!$B$11)</f>
        <v>8</v>
      </c>
      <c r="K4676" s="11">
        <f>IF(B4676&lt;C4676,1,EXP(-1*(B4676-C4676)/(Utilities!$B$11*IterData!H4676)))</f>
        <v>1</v>
      </c>
    </row>
    <row r="4677" spans="8:11" x14ac:dyDescent="0.3">
      <c r="H4677">
        <v>0.5</v>
      </c>
      <c r="I4677" s="11">
        <f t="shared" si="73"/>
        <v>0</v>
      </c>
      <c r="J4677" s="11">
        <f>1/(H4677*Utilities!$B$11)</f>
        <v>8</v>
      </c>
      <c r="K4677" s="11">
        <f>IF(B4677&lt;C4677,1,EXP(-1*(B4677-C4677)/(Utilities!$B$11*IterData!H4677)))</f>
        <v>1</v>
      </c>
    </row>
    <row r="4678" spans="8:11" x14ac:dyDescent="0.3">
      <c r="H4678">
        <v>0.5</v>
      </c>
      <c r="I4678" s="11">
        <f t="shared" si="73"/>
        <v>0</v>
      </c>
      <c r="J4678" s="11">
        <f>1/(H4678*Utilities!$B$11)</f>
        <v>8</v>
      </c>
      <c r="K4678" s="11">
        <f>IF(B4678&lt;C4678,1,EXP(-1*(B4678-C4678)/(Utilities!$B$11*IterData!H4678)))</f>
        <v>1</v>
      </c>
    </row>
    <row r="4679" spans="8:11" x14ac:dyDescent="0.3">
      <c r="H4679">
        <v>0.5</v>
      </c>
      <c r="I4679" s="11">
        <f t="shared" si="73"/>
        <v>0</v>
      </c>
      <c r="J4679" s="11">
        <f>1/(H4679*Utilities!$B$11)</f>
        <v>8</v>
      </c>
      <c r="K4679" s="11">
        <f>IF(B4679&lt;C4679,1,EXP(-1*(B4679-C4679)/(Utilities!$B$11*IterData!H4679)))</f>
        <v>1</v>
      </c>
    </row>
    <row r="4680" spans="8:11" x14ac:dyDescent="0.3">
      <c r="H4680">
        <v>0.5</v>
      </c>
      <c r="I4680" s="11">
        <f t="shared" si="73"/>
        <v>0</v>
      </c>
      <c r="J4680" s="11">
        <f>1/(H4680*Utilities!$B$11)</f>
        <v>8</v>
      </c>
      <c r="K4680" s="11">
        <f>IF(B4680&lt;C4680,1,EXP(-1*(B4680-C4680)/(Utilities!$B$11*IterData!H4680)))</f>
        <v>1</v>
      </c>
    </row>
    <row r="4681" spans="8:11" x14ac:dyDescent="0.3">
      <c r="H4681">
        <v>0.5</v>
      </c>
      <c r="I4681" s="11">
        <f t="shared" si="73"/>
        <v>0</v>
      </c>
      <c r="J4681" s="11">
        <f>1/(H4681*Utilities!$B$11)</f>
        <v>8</v>
      </c>
      <c r="K4681" s="11">
        <f>IF(B4681&lt;C4681,1,EXP(-1*(B4681-C4681)/(Utilities!$B$11*IterData!H4681)))</f>
        <v>1</v>
      </c>
    </row>
    <row r="4682" spans="8:11" x14ac:dyDescent="0.3">
      <c r="H4682">
        <v>0.5</v>
      </c>
      <c r="I4682" s="11">
        <f t="shared" si="73"/>
        <v>0</v>
      </c>
      <c r="J4682" s="11">
        <f>1/(H4682*Utilities!$B$11)</f>
        <v>8</v>
      </c>
      <c r="K4682" s="11">
        <f>IF(B4682&lt;C4682,1,EXP(-1*(B4682-C4682)/(Utilities!$B$11*IterData!H4682)))</f>
        <v>1</v>
      </c>
    </row>
    <row r="4683" spans="8:11" x14ac:dyDescent="0.3">
      <c r="H4683">
        <v>0.5</v>
      </c>
      <c r="I4683" s="11">
        <f t="shared" si="73"/>
        <v>0</v>
      </c>
      <c r="J4683" s="11">
        <f>1/(H4683*Utilities!$B$11)</f>
        <v>8</v>
      </c>
      <c r="K4683" s="11">
        <f>IF(B4683&lt;C4683,1,EXP(-1*(B4683-C4683)/(Utilities!$B$11*IterData!H4683)))</f>
        <v>1</v>
      </c>
    </row>
    <row r="4684" spans="8:11" x14ac:dyDescent="0.3">
      <c r="H4684">
        <v>0.5</v>
      </c>
      <c r="I4684" s="11">
        <f t="shared" si="73"/>
        <v>0</v>
      </c>
      <c r="J4684" s="11">
        <f>1/(H4684*Utilities!$B$11)</f>
        <v>8</v>
      </c>
      <c r="K4684" s="11">
        <f>IF(B4684&lt;C4684,1,EXP(-1*(B4684-C4684)/(Utilities!$B$11*IterData!H4684)))</f>
        <v>1</v>
      </c>
    </row>
    <row r="4685" spans="8:11" x14ac:dyDescent="0.3">
      <c r="H4685">
        <v>0.5</v>
      </c>
      <c r="I4685" s="11">
        <f t="shared" si="73"/>
        <v>0</v>
      </c>
      <c r="J4685" s="11">
        <f>1/(H4685*Utilities!$B$11)</f>
        <v>8</v>
      </c>
      <c r="K4685" s="11">
        <f>IF(B4685&lt;C4685,1,EXP(-1*(B4685-C4685)/(Utilities!$B$11*IterData!H4685)))</f>
        <v>1</v>
      </c>
    </row>
    <row r="4686" spans="8:11" x14ac:dyDescent="0.3">
      <c r="H4686">
        <v>0.5</v>
      </c>
      <c r="I4686" s="11">
        <f t="shared" si="73"/>
        <v>0</v>
      </c>
      <c r="J4686" s="11">
        <f>1/(H4686*Utilities!$B$11)</f>
        <v>8</v>
      </c>
      <c r="K4686" s="11">
        <f>IF(B4686&lt;C4686,1,EXP(-1*(B4686-C4686)/(Utilities!$B$11*IterData!H4686)))</f>
        <v>1</v>
      </c>
    </row>
    <row r="4687" spans="8:11" x14ac:dyDescent="0.3">
      <c r="H4687">
        <v>0.5</v>
      </c>
      <c r="I4687" s="11">
        <f t="shared" si="73"/>
        <v>0</v>
      </c>
      <c r="J4687" s="11">
        <f>1/(H4687*Utilities!$B$11)</f>
        <v>8</v>
      </c>
      <c r="K4687" s="11">
        <f>IF(B4687&lt;C4687,1,EXP(-1*(B4687-C4687)/(Utilities!$B$11*IterData!H4687)))</f>
        <v>1</v>
      </c>
    </row>
    <row r="4688" spans="8:11" x14ac:dyDescent="0.3">
      <c r="H4688">
        <v>0.5</v>
      </c>
      <c r="I4688" s="11">
        <f t="shared" si="73"/>
        <v>0</v>
      </c>
      <c r="J4688" s="11">
        <f>1/(H4688*Utilities!$B$11)</f>
        <v>8</v>
      </c>
      <c r="K4688" s="11">
        <f>IF(B4688&lt;C4688,1,EXP(-1*(B4688-C4688)/(Utilities!$B$11*IterData!H4688)))</f>
        <v>1</v>
      </c>
    </row>
    <row r="4689" spans="8:11" x14ac:dyDescent="0.3">
      <c r="H4689">
        <v>0.5</v>
      </c>
      <c r="I4689" s="11">
        <f t="shared" si="73"/>
        <v>0</v>
      </c>
      <c r="J4689" s="11">
        <f>1/(H4689*Utilities!$B$11)</f>
        <v>8</v>
      </c>
      <c r="K4689" s="11">
        <f>IF(B4689&lt;C4689,1,EXP(-1*(B4689-C4689)/(Utilities!$B$11*IterData!H4689)))</f>
        <v>1</v>
      </c>
    </row>
    <row r="4690" spans="8:11" x14ac:dyDescent="0.3">
      <c r="H4690">
        <v>0.5</v>
      </c>
      <c r="I4690" s="11">
        <f t="shared" si="73"/>
        <v>0</v>
      </c>
      <c r="J4690" s="11">
        <f>1/(H4690*Utilities!$B$11)</f>
        <v>8</v>
      </c>
      <c r="K4690" s="11">
        <f>IF(B4690&lt;C4690,1,EXP(-1*(B4690-C4690)/(Utilities!$B$11*IterData!H4690)))</f>
        <v>1</v>
      </c>
    </row>
    <row r="4691" spans="8:11" x14ac:dyDescent="0.3">
      <c r="H4691">
        <v>0.5</v>
      </c>
      <c r="I4691" s="11">
        <f t="shared" si="73"/>
        <v>0</v>
      </c>
      <c r="J4691" s="11">
        <f>1/(H4691*Utilities!$B$11)</f>
        <v>8</v>
      </c>
      <c r="K4691" s="11">
        <f>IF(B4691&lt;C4691,1,EXP(-1*(B4691-C4691)/(Utilities!$B$11*IterData!H4691)))</f>
        <v>1</v>
      </c>
    </row>
    <row r="4692" spans="8:11" x14ac:dyDescent="0.3">
      <c r="H4692">
        <v>0.5</v>
      </c>
      <c r="I4692" s="11">
        <f t="shared" si="73"/>
        <v>0</v>
      </c>
      <c r="J4692" s="11">
        <f>1/(H4692*Utilities!$B$11)</f>
        <v>8</v>
      </c>
      <c r="K4692" s="11">
        <f>IF(B4692&lt;C4692,1,EXP(-1*(B4692-C4692)/(Utilities!$B$11*IterData!H4692)))</f>
        <v>1</v>
      </c>
    </row>
    <row r="4693" spans="8:11" x14ac:dyDescent="0.3">
      <c r="H4693">
        <v>0.5</v>
      </c>
      <c r="I4693" s="11">
        <f t="shared" si="73"/>
        <v>0</v>
      </c>
      <c r="J4693" s="11">
        <f>1/(H4693*Utilities!$B$11)</f>
        <v>8</v>
      </c>
      <c r="K4693" s="11">
        <f>IF(B4693&lt;C4693,1,EXP(-1*(B4693-C4693)/(Utilities!$B$11*IterData!H4693)))</f>
        <v>1</v>
      </c>
    </row>
    <row r="4694" spans="8:11" x14ac:dyDescent="0.3">
      <c r="H4694">
        <v>0.5</v>
      </c>
      <c r="I4694" s="11">
        <f t="shared" si="73"/>
        <v>0</v>
      </c>
      <c r="J4694" s="11">
        <f>1/(H4694*Utilities!$B$11)</f>
        <v>8</v>
      </c>
      <c r="K4694" s="11">
        <f>IF(B4694&lt;C4694,1,EXP(-1*(B4694-C4694)/(Utilities!$B$11*IterData!H4694)))</f>
        <v>1</v>
      </c>
    </row>
    <row r="4695" spans="8:11" x14ac:dyDescent="0.3">
      <c r="H4695">
        <v>0.5</v>
      </c>
      <c r="I4695" s="11">
        <f t="shared" si="73"/>
        <v>0</v>
      </c>
      <c r="J4695" s="11">
        <f>1/(H4695*Utilities!$B$11)</f>
        <v>8</v>
      </c>
      <c r="K4695" s="11">
        <f>IF(B4695&lt;C4695,1,EXP(-1*(B4695-C4695)/(Utilities!$B$11*IterData!H4695)))</f>
        <v>1</v>
      </c>
    </row>
    <row r="4696" spans="8:11" x14ac:dyDescent="0.3">
      <c r="H4696">
        <v>0.5</v>
      </c>
      <c r="I4696" s="11">
        <f t="shared" si="73"/>
        <v>0</v>
      </c>
      <c r="J4696" s="11">
        <f>1/(H4696*Utilities!$B$11)</f>
        <v>8</v>
      </c>
      <c r="K4696" s="11">
        <f>IF(B4696&lt;C4696,1,EXP(-1*(B4696-C4696)/(Utilities!$B$11*IterData!H4696)))</f>
        <v>1</v>
      </c>
    </row>
    <row r="4697" spans="8:11" x14ac:dyDescent="0.3">
      <c r="H4697">
        <v>0.5</v>
      </c>
      <c r="I4697" s="11">
        <f t="shared" si="73"/>
        <v>0</v>
      </c>
      <c r="J4697" s="11">
        <f>1/(H4697*Utilities!$B$11)</f>
        <v>8</v>
      </c>
      <c r="K4697" s="11">
        <f>IF(B4697&lt;C4697,1,EXP(-1*(B4697-C4697)/(Utilities!$B$11*IterData!H4697)))</f>
        <v>1</v>
      </c>
    </row>
    <row r="4698" spans="8:11" x14ac:dyDescent="0.3">
      <c r="H4698">
        <v>0.5</v>
      </c>
      <c r="I4698" s="11">
        <f t="shared" si="73"/>
        <v>0</v>
      </c>
      <c r="J4698" s="11">
        <f>1/(H4698*Utilities!$B$11)</f>
        <v>8</v>
      </c>
      <c r="K4698" s="11">
        <f>IF(B4698&lt;C4698,1,EXP(-1*(B4698-C4698)/(Utilities!$B$11*IterData!H4698)))</f>
        <v>1</v>
      </c>
    </row>
    <row r="4699" spans="8:11" x14ac:dyDescent="0.3">
      <c r="H4699">
        <v>0.5</v>
      </c>
      <c r="I4699" s="11">
        <f t="shared" si="73"/>
        <v>0</v>
      </c>
      <c r="J4699" s="11">
        <f>1/(H4699*Utilities!$B$11)</f>
        <v>8</v>
      </c>
      <c r="K4699" s="11">
        <f>IF(B4699&lt;C4699,1,EXP(-1*(B4699-C4699)/(Utilities!$B$11*IterData!H4699)))</f>
        <v>1</v>
      </c>
    </row>
    <row r="4700" spans="8:11" x14ac:dyDescent="0.3">
      <c r="H4700">
        <v>0.5</v>
      </c>
      <c r="I4700" s="11">
        <f t="shared" si="73"/>
        <v>0</v>
      </c>
      <c r="J4700" s="11">
        <f>1/(H4700*Utilities!$B$11)</f>
        <v>8</v>
      </c>
      <c r="K4700" s="11">
        <f>IF(B4700&lt;C4700,1,EXP(-1*(B4700-C4700)/(Utilities!$B$11*IterData!H4700)))</f>
        <v>1</v>
      </c>
    </row>
    <row r="4701" spans="8:11" x14ac:dyDescent="0.3">
      <c r="H4701">
        <v>0.5</v>
      </c>
      <c r="I4701" s="11">
        <f t="shared" si="73"/>
        <v>0</v>
      </c>
      <c r="J4701" s="11">
        <f>1/(H4701*Utilities!$B$11)</f>
        <v>8</v>
      </c>
      <c r="K4701" s="11">
        <f>IF(B4701&lt;C4701,1,EXP(-1*(B4701-C4701)/(Utilities!$B$11*IterData!H4701)))</f>
        <v>1</v>
      </c>
    </row>
    <row r="4702" spans="8:11" x14ac:dyDescent="0.3">
      <c r="H4702">
        <v>0.5</v>
      </c>
      <c r="I4702" s="11">
        <f t="shared" si="73"/>
        <v>0</v>
      </c>
      <c r="J4702" s="11">
        <f>1/(H4702*Utilities!$B$11)</f>
        <v>8</v>
      </c>
      <c r="K4702" s="11">
        <f>IF(B4702&lt;C4702,1,EXP(-1*(B4702-C4702)/(Utilities!$B$11*IterData!H4702)))</f>
        <v>1</v>
      </c>
    </row>
    <row r="4703" spans="8:11" x14ac:dyDescent="0.3">
      <c r="H4703">
        <v>0.5</v>
      </c>
      <c r="I4703" s="11">
        <f t="shared" si="73"/>
        <v>0</v>
      </c>
      <c r="J4703" s="11">
        <f>1/(H4703*Utilities!$B$11)</f>
        <v>8</v>
      </c>
      <c r="K4703" s="11">
        <f>IF(B4703&lt;C4703,1,EXP(-1*(B4703-C4703)/(Utilities!$B$11*IterData!H4703)))</f>
        <v>1</v>
      </c>
    </row>
    <row r="4704" spans="8:11" x14ac:dyDescent="0.3">
      <c r="H4704">
        <v>0.5</v>
      </c>
      <c r="I4704" s="11">
        <f t="shared" si="73"/>
        <v>0</v>
      </c>
      <c r="J4704" s="11">
        <f>1/(H4704*Utilities!$B$11)</f>
        <v>8</v>
      </c>
      <c r="K4704" s="11">
        <f>IF(B4704&lt;C4704,1,EXP(-1*(B4704-C4704)/(Utilities!$B$11*IterData!H4704)))</f>
        <v>1</v>
      </c>
    </row>
    <row r="4705" spans="8:11" x14ac:dyDescent="0.3">
      <c r="H4705">
        <v>0.5</v>
      </c>
      <c r="I4705" s="11">
        <f t="shared" si="73"/>
        <v>0</v>
      </c>
      <c r="J4705" s="11">
        <f>1/(H4705*Utilities!$B$11)</f>
        <v>8</v>
      </c>
      <c r="K4705" s="11">
        <f>IF(B4705&lt;C4705,1,EXP(-1*(B4705-C4705)/(Utilities!$B$11*IterData!H4705)))</f>
        <v>1</v>
      </c>
    </row>
    <row r="4706" spans="8:11" x14ac:dyDescent="0.3">
      <c r="H4706">
        <v>0.5</v>
      </c>
      <c r="I4706" s="11">
        <f t="shared" si="73"/>
        <v>0</v>
      </c>
      <c r="J4706" s="11">
        <f>1/(H4706*Utilities!$B$11)</f>
        <v>8</v>
      </c>
      <c r="K4706" s="11">
        <f>IF(B4706&lt;C4706,1,EXP(-1*(B4706-C4706)/(Utilities!$B$11*IterData!H4706)))</f>
        <v>1</v>
      </c>
    </row>
    <row r="4707" spans="8:11" x14ac:dyDescent="0.3">
      <c r="H4707">
        <v>0.5</v>
      </c>
      <c r="I4707" s="11">
        <f t="shared" si="73"/>
        <v>0</v>
      </c>
      <c r="J4707" s="11">
        <f>1/(H4707*Utilities!$B$11)</f>
        <v>8</v>
      </c>
      <c r="K4707" s="11">
        <f>IF(B4707&lt;C4707,1,EXP(-1*(B4707-C4707)/(Utilities!$B$11*IterData!H4707)))</f>
        <v>1</v>
      </c>
    </row>
    <row r="4708" spans="8:11" x14ac:dyDescent="0.3">
      <c r="H4708">
        <v>0.5</v>
      </c>
      <c r="I4708" s="11">
        <f t="shared" si="73"/>
        <v>0</v>
      </c>
      <c r="J4708" s="11">
        <f>1/(H4708*Utilities!$B$11)</f>
        <v>8</v>
      </c>
      <c r="K4708" s="11">
        <f>IF(B4708&lt;C4708,1,EXP(-1*(B4708-C4708)/(Utilities!$B$11*IterData!H4708)))</f>
        <v>1</v>
      </c>
    </row>
    <row r="4709" spans="8:11" x14ac:dyDescent="0.3">
      <c r="H4709">
        <v>0.5</v>
      </c>
      <c r="I4709" s="11">
        <f t="shared" si="73"/>
        <v>0</v>
      </c>
      <c r="J4709" s="11">
        <f>1/(H4709*Utilities!$B$11)</f>
        <v>8</v>
      </c>
      <c r="K4709" s="11">
        <f>IF(B4709&lt;C4709,1,EXP(-1*(B4709-C4709)/(Utilities!$B$11*IterData!H4709)))</f>
        <v>1</v>
      </c>
    </row>
    <row r="4710" spans="8:11" x14ac:dyDescent="0.3">
      <c r="H4710">
        <v>0.5</v>
      </c>
      <c r="I4710" s="11">
        <f t="shared" si="73"/>
        <v>0</v>
      </c>
      <c r="J4710" s="11">
        <f>1/(H4710*Utilities!$B$11)</f>
        <v>8</v>
      </c>
      <c r="K4710" s="11">
        <f>IF(B4710&lt;C4710,1,EXP(-1*(B4710-C4710)/(Utilities!$B$11*IterData!H4710)))</f>
        <v>1</v>
      </c>
    </row>
    <row r="4711" spans="8:11" x14ac:dyDescent="0.3">
      <c r="H4711">
        <v>0.5</v>
      </c>
      <c r="I4711" s="11">
        <f t="shared" si="73"/>
        <v>0</v>
      </c>
      <c r="J4711" s="11">
        <f>1/(H4711*Utilities!$B$11)</f>
        <v>8</v>
      </c>
      <c r="K4711" s="11">
        <f>IF(B4711&lt;C4711,1,EXP(-1*(B4711-C4711)/(Utilities!$B$11*IterData!H4711)))</f>
        <v>1</v>
      </c>
    </row>
    <row r="4712" spans="8:11" x14ac:dyDescent="0.3">
      <c r="H4712">
        <v>0.5</v>
      </c>
      <c r="I4712" s="11">
        <f t="shared" si="73"/>
        <v>0</v>
      </c>
      <c r="J4712" s="11">
        <f>1/(H4712*Utilities!$B$11)</f>
        <v>8</v>
      </c>
      <c r="K4712" s="11">
        <f>IF(B4712&lt;C4712,1,EXP(-1*(B4712-C4712)/(Utilities!$B$11*IterData!H4712)))</f>
        <v>1</v>
      </c>
    </row>
    <row r="4713" spans="8:11" x14ac:dyDescent="0.3">
      <c r="H4713">
        <v>0.5</v>
      </c>
      <c r="I4713" s="11">
        <f t="shared" si="73"/>
        <v>0</v>
      </c>
      <c r="J4713" s="11">
        <f>1/(H4713*Utilities!$B$11)</f>
        <v>8</v>
      </c>
      <c r="K4713" s="11">
        <f>IF(B4713&lt;C4713,1,EXP(-1*(B4713-C4713)/(Utilities!$B$11*IterData!H4713)))</f>
        <v>1</v>
      </c>
    </row>
    <row r="4714" spans="8:11" x14ac:dyDescent="0.3">
      <c r="H4714">
        <v>0.5</v>
      </c>
      <c r="I4714" s="11">
        <f t="shared" si="73"/>
        <v>0</v>
      </c>
      <c r="J4714" s="11">
        <f>1/(H4714*Utilities!$B$11)</f>
        <v>8</v>
      </c>
      <c r="K4714" s="11">
        <f>IF(B4714&lt;C4714,1,EXP(-1*(B4714-C4714)/(Utilities!$B$11*IterData!H4714)))</f>
        <v>1</v>
      </c>
    </row>
    <row r="4715" spans="8:11" x14ac:dyDescent="0.3">
      <c r="H4715">
        <v>0.5</v>
      </c>
      <c r="I4715" s="11">
        <f t="shared" si="73"/>
        <v>0</v>
      </c>
      <c r="J4715" s="11">
        <f>1/(H4715*Utilities!$B$11)</f>
        <v>8</v>
      </c>
      <c r="K4715" s="11">
        <f>IF(B4715&lt;C4715,1,EXP(-1*(B4715-C4715)/(Utilities!$B$11*IterData!H4715)))</f>
        <v>1</v>
      </c>
    </row>
    <row r="4716" spans="8:11" x14ac:dyDescent="0.3">
      <c r="H4716">
        <v>0.5</v>
      </c>
      <c r="I4716" s="11">
        <f t="shared" si="73"/>
        <v>0</v>
      </c>
      <c r="J4716" s="11">
        <f>1/(H4716*Utilities!$B$11)</f>
        <v>8</v>
      </c>
      <c r="K4716" s="11">
        <f>IF(B4716&lt;C4716,1,EXP(-1*(B4716-C4716)/(Utilities!$B$11*IterData!H4716)))</f>
        <v>1</v>
      </c>
    </row>
    <row r="4717" spans="8:11" x14ac:dyDescent="0.3">
      <c r="H4717">
        <v>0.5</v>
      </c>
      <c r="I4717" s="11">
        <f t="shared" si="73"/>
        <v>0</v>
      </c>
      <c r="J4717" s="11">
        <f>1/(H4717*Utilities!$B$11)</f>
        <v>8</v>
      </c>
      <c r="K4717" s="11">
        <f>IF(B4717&lt;C4717,1,EXP(-1*(B4717-C4717)/(Utilities!$B$11*IterData!H4717)))</f>
        <v>1</v>
      </c>
    </row>
    <row r="4718" spans="8:11" x14ac:dyDescent="0.3">
      <c r="H4718">
        <v>0.5</v>
      </c>
      <c r="I4718" s="11">
        <f t="shared" si="73"/>
        <v>0</v>
      </c>
      <c r="J4718" s="11">
        <f>1/(H4718*Utilities!$B$11)</f>
        <v>8</v>
      </c>
      <c r="K4718" s="11">
        <f>IF(B4718&lt;C4718,1,EXP(-1*(B4718-C4718)/(Utilities!$B$11*IterData!H4718)))</f>
        <v>1</v>
      </c>
    </row>
    <row r="4719" spans="8:11" x14ac:dyDescent="0.3">
      <c r="H4719">
        <v>0.5</v>
      </c>
      <c r="I4719" s="11">
        <f t="shared" si="73"/>
        <v>0</v>
      </c>
      <c r="J4719" s="11">
        <f>1/(H4719*Utilities!$B$11)</f>
        <v>8</v>
      </c>
      <c r="K4719" s="11">
        <f>IF(B4719&lt;C4719,1,EXP(-1*(B4719-C4719)/(Utilities!$B$11*IterData!H4719)))</f>
        <v>1</v>
      </c>
    </row>
    <row r="4720" spans="8:11" x14ac:dyDescent="0.3">
      <c r="H4720">
        <v>0.5</v>
      </c>
      <c r="I4720" s="11">
        <f t="shared" si="73"/>
        <v>0</v>
      </c>
      <c r="J4720" s="11">
        <f>1/(H4720*Utilities!$B$11)</f>
        <v>8</v>
      </c>
      <c r="K4720" s="11">
        <f>IF(B4720&lt;C4720,1,EXP(-1*(B4720-C4720)/(Utilities!$B$11*IterData!H4720)))</f>
        <v>1</v>
      </c>
    </row>
    <row r="4721" spans="8:11" x14ac:dyDescent="0.3">
      <c r="H4721">
        <v>0.5</v>
      </c>
      <c r="I4721" s="11">
        <f t="shared" si="73"/>
        <v>0</v>
      </c>
      <c r="J4721" s="11">
        <f>1/(H4721*Utilities!$B$11)</f>
        <v>8</v>
      </c>
      <c r="K4721" s="11">
        <f>IF(B4721&lt;C4721,1,EXP(-1*(B4721-C4721)/(Utilities!$B$11*IterData!H4721)))</f>
        <v>1</v>
      </c>
    </row>
    <row r="4722" spans="8:11" x14ac:dyDescent="0.3">
      <c r="H4722">
        <v>0.5</v>
      </c>
      <c r="I4722" s="11">
        <f t="shared" si="73"/>
        <v>0</v>
      </c>
      <c r="J4722" s="11">
        <f>1/(H4722*Utilities!$B$11)</f>
        <v>8</v>
      </c>
      <c r="K4722" s="11">
        <f>IF(B4722&lt;C4722,1,EXP(-1*(B4722-C4722)/(Utilities!$B$11*IterData!H4722)))</f>
        <v>1</v>
      </c>
    </row>
    <row r="4723" spans="8:11" x14ac:dyDescent="0.3">
      <c r="H4723">
        <v>0.5</v>
      </c>
      <c r="I4723" s="11">
        <f t="shared" si="73"/>
        <v>0</v>
      </c>
      <c r="J4723" s="11">
        <f>1/(H4723*Utilities!$B$11)</f>
        <v>8</v>
      </c>
      <c r="K4723" s="11">
        <f>IF(B4723&lt;C4723,1,EXP(-1*(B4723-C4723)/(Utilities!$B$11*IterData!H4723)))</f>
        <v>1</v>
      </c>
    </row>
    <row r="4724" spans="8:11" x14ac:dyDescent="0.3">
      <c r="H4724">
        <v>0.5</v>
      </c>
      <c r="I4724" s="11">
        <f t="shared" si="73"/>
        <v>0</v>
      </c>
      <c r="J4724" s="11">
        <f>1/(H4724*Utilities!$B$11)</f>
        <v>8</v>
      </c>
      <c r="K4724" s="11">
        <f>IF(B4724&lt;C4724,1,EXP(-1*(B4724-C4724)/(Utilities!$B$11*IterData!H4724)))</f>
        <v>1</v>
      </c>
    </row>
    <row r="4725" spans="8:11" x14ac:dyDescent="0.3">
      <c r="H4725">
        <v>0.5</v>
      </c>
      <c r="I4725" s="11">
        <f t="shared" si="73"/>
        <v>0</v>
      </c>
      <c r="J4725" s="11">
        <f>1/(H4725*Utilities!$B$11)</f>
        <v>8</v>
      </c>
      <c r="K4725" s="11">
        <f>IF(B4725&lt;C4725,1,EXP(-1*(B4725-C4725)/(Utilities!$B$11*IterData!H4725)))</f>
        <v>1</v>
      </c>
    </row>
    <row r="4726" spans="8:11" x14ac:dyDescent="0.3">
      <c r="H4726">
        <v>0.5</v>
      </c>
      <c r="I4726" s="11">
        <f t="shared" si="73"/>
        <v>0</v>
      </c>
      <c r="J4726" s="11">
        <f>1/(H4726*Utilities!$B$11)</f>
        <v>8</v>
      </c>
      <c r="K4726" s="11">
        <f>IF(B4726&lt;C4726,1,EXP(-1*(B4726-C4726)/(Utilities!$B$11*IterData!H4726)))</f>
        <v>1</v>
      </c>
    </row>
    <row r="4727" spans="8:11" x14ac:dyDescent="0.3">
      <c r="H4727">
        <v>0.5</v>
      </c>
      <c r="I4727" s="11">
        <f t="shared" si="73"/>
        <v>0</v>
      </c>
      <c r="J4727" s="11">
        <f>1/(H4727*Utilities!$B$11)</f>
        <v>8</v>
      </c>
      <c r="K4727" s="11">
        <f>IF(B4727&lt;C4727,1,EXP(-1*(B4727-C4727)/(Utilities!$B$11*IterData!H4727)))</f>
        <v>1</v>
      </c>
    </row>
    <row r="4728" spans="8:11" x14ac:dyDescent="0.3">
      <c r="H4728">
        <v>0.5</v>
      </c>
      <c r="I4728" s="11">
        <f t="shared" si="73"/>
        <v>0</v>
      </c>
      <c r="J4728" s="11">
        <f>1/(H4728*Utilities!$B$11)</f>
        <v>8</v>
      </c>
      <c r="K4728" s="11">
        <f>IF(B4728&lt;C4728,1,EXP(-1*(B4728-C4728)/(Utilities!$B$11*IterData!H4728)))</f>
        <v>1</v>
      </c>
    </row>
    <row r="4729" spans="8:11" x14ac:dyDescent="0.3">
      <c r="H4729">
        <v>0.5</v>
      </c>
      <c r="I4729" s="11">
        <f t="shared" si="73"/>
        <v>0</v>
      </c>
      <c r="J4729" s="11">
        <f>1/(H4729*Utilities!$B$11)</f>
        <v>8</v>
      </c>
      <c r="K4729" s="11">
        <f>IF(B4729&lt;C4729,1,EXP(-1*(B4729-C4729)/(Utilities!$B$11*IterData!H4729)))</f>
        <v>1</v>
      </c>
    </row>
    <row r="4730" spans="8:11" x14ac:dyDescent="0.3">
      <c r="H4730">
        <v>0.5</v>
      </c>
      <c r="I4730" s="11">
        <f t="shared" si="73"/>
        <v>0</v>
      </c>
      <c r="J4730" s="11">
        <f>1/(H4730*Utilities!$B$11)</f>
        <v>8</v>
      </c>
      <c r="K4730" s="11">
        <f>IF(B4730&lt;C4730,1,EXP(-1*(B4730-C4730)/(Utilities!$B$11*IterData!H4730)))</f>
        <v>1</v>
      </c>
    </row>
    <row r="4731" spans="8:11" x14ac:dyDescent="0.3">
      <c r="H4731">
        <v>0.5</v>
      </c>
      <c r="I4731" s="11">
        <f t="shared" si="73"/>
        <v>0</v>
      </c>
      <c r="J4731" s="11">
        <f>1/(H4731*Utilities!$B$11)</f>
        <v>8</v>
      </c>
      <c r="K4731" s="11">
        <f>IF(B4731&lt;C4731,1,EXP(-1*(B4731-C4731)/(Utilities!$B$11*IterData!H4731)))</f>
        <v>1</v>
      </c>
    </row>
    <row r="4732" spans="8:11" x14ac:dyDescent="0.3">
      <c r="H4732">
        <v>0.5</v>
      </c>
      <c r="I4732" s="11">
        <f t="shared" si="73"/>
        <v>0</v>
      </c>
      <c r="J4732" s="11">
        <f>1/(H4732*Utilities!$B$11)</f>
        <v>8</v>
      </c>
      <c r="K4732" s="11">
        <f>IF(B4732&lt;C4732,1,EXP(-1*(B4732-C4732)/(Utilities!$B$11*IterData!H4732)))</f>
        <v>1</v>
      </c>
    </row>
    <row r="4733" spans="8:11" x14ac:dyDescent="0.3">
      <c r="H4733">
        <v>0.5</v>
      </c>
      <c r="I4733" s="11">
        <f t="shared" si="73"/>
        <v>0</v>
      </c>
      <c r="J4733" s="11">
        <f>1/(H4733*Utilities!$B$11)</f>
        <v>8</v>
      </c>
      <c r="K4733" s="11">
        <f>IF(B4733&lt;C4733,1,EXP(-1*(B4733-C4733)/(Utilities!$B$11*IterData!H4733)))</f>
        <v>1</v>
      </c>
    </row>
    <row r="4734" spans="8:11" x14ac:dyDescent="0.3">
      <c r="H4734">
        <v>0.5</v>
      </c>
      <c r="I4734" s="11">
        <f t="shared" si="73"/>
        <v>0</v>
      </c>
      <c r="J4734" s="11">
        <f>1/(H4734*Utilities!$B$11)</f>
        <v>8</v>
      </c>
      <c r="K4734" s="11">
        <f>IF(B4734&lt;C4734,1,EXP(-1*(B4734-C4734)/(Utilities!$B$11*IterData!H4734)))</f>
        <v>1</v>
      </c>
    </row>
    <row r="4735" spans="8:11" x14ac:dyDescent="0.3">
      <c r="H4735">
        <v>0.5</v>
      </c>
      <c r="I4735" s="11">
        <f t="shared" si="73"/>
        <v>0</v>
      </c>
      <c r="J4735" s="11">
        <f>1/(H4735*Utilities!$B$11)</f>
        <v>8</v>
      </c>
      <c r="K4735" s="11">
        <f>IF(B4735&lt;C4735,1,EXP(-1*(B4735-C4735)/(Utilities!$B$11*IterData!H4735)))</f>
        <v>1</v>
      </c>
    </row>
    <row r="4736" spans="8:11" x14ac:dyDescent="0.3">
      <c r="H4736">
        <v>0.5</v>
      </c>
      <c r="I4736" s="11">
        <f t="shared" si="73"/>
        <v>0</v>
      </c>
      <c r="J4736" s="11">
        <f>1/(H4736*Utilities!$B$11)</f>
        <v>8</v>
      </c>
      <c r="K4736" s="11">
        <f>IF(B4736&lt;C4736,1,EXP(-1*(B4736-C4736)/(Utilities!$B$11*IterData!H4736)))</f>
        <v>1</v>
      </c>
    </row>
    <row r="4737" spans="8:11" x14ac:dyDescent="0.3">
      <c r="H4737">
        <v>0.5</v>
      </c>
      <c r="I4737" s="11">
        <f t="shared" si="73"/>
        <v>0</v>
      </c>
      <c r="J4737" s="11">
        <f>1/(H4737*Utilities!$B$11)</f>
        <v>8</v>
      </c>
      <c r="K4737" s="11">
        <f>IF(B4737&lt;C4737,1,EXP(-1*(B4737-C4737)/(Utilities!$B$11*IterData!H4737)))</f>
        <v>1</v>
      </c>
    </row>
    <row r="4738" spans="8:11" x14ac:dyDescent="0.3">
      <c r="H4738">
        <v>0.5</v>
      </c>
      <c r="I4738" s="11">
        <f t="shared" si="73"/>
        <v>0</v>
      </c>
      <c r="J4738" s="11">
        <f>1/(H4738*Utilities!$B$11)</f>
        <v>8</v>
      </c>
      <c r="K4738" s="11">
        <f>IF(B4738&lt;C4738,1,EXP(-1*(B4738-C4738)/(Utilities!$B$11*IterData!H4738)))</f>
        <v>1</v>
      </c>
    </row>
    <row r="4739" spans="8:11" x14ac:dyDescent="0.3">
      <c r="H4739">
        <v>0.5</v>
      </c>
      <c r="I4739" s="11">
        <f t="shared" ref="I4739:I4802" si="74">B4739-C4739</f>
        <v>0</v>
      </c>
      <c r="J4739" s="11">
        <f>1/(H4739*Utilities!$B$11)</f>
        <v>8</v>
      </c>
      <c r="K4739" s="11">
        <f>IF(B4739&lt;C4739,1,EXP(-1*(B4739-C4739)/(Utilities!$B$11*IterData!H4739)))</f>
        <v>1</v>
      </c>
    </row>
    <row r="4740" spans="8:11" x14ac:dyDescent="0.3">
      <c r="H4740">
        <v>0.5</v>
      </c>
      <c r="I4740" s="11">
        <f t="shared" si="74"/>
        <v>0</v>
      </c>
      <c r="J4740" s="11">
        <f>1/(H4740*Utilities!$B$11)</f>
        <v>8</v>
      </c>
      <c r="K4740" s="11">
        <f>IF(B4740&lt;C4740,1,EXP(-1*(B4740-C4740)/(Utilities!$B$11*IterData!H4740)))</f>
        <v>1</v>
      </c>
    </row>
    <row r="4741" spans="8:11" x14ac:dyDescent="0.3">
      <c r="H4741">
        <v>0.5</v>
      </c>
      <c r="I4741" s="11">
        <f t="shared" si="74"/>
        <v>0</v>
      </c>
      <c r="J4741" s="11">
        <f>1/(H4741*Utilities!$B$11)</f>
        <v>8</v>
      </c>
      <c r="K4741" s="11">
        <f>IF(B4741&lt;C4741,1,EXP(-1*(B4741-C4741)/(Utilities!$B$11*IterData!H4741)))</f>
        <v>1</v>
      </c>
    </row>
    <row r="4742" spans="8:11" x14ac:dyDescent="0.3">
      <c r="H4742">
        <v>0.5</v>
      </c>
      <c r="I4742" s="11">
        <f t="shared" si="74"/>
        <v>0</v>
      </c>
      <c r="J4742" s="11">
        <f>1/(H4742*Utilities!$B$11)</f>
        <v>8</v>
      </c>
      <c r="K4742" s="11">
        <f>IF(B4742&lt;C4742,1,EXP(-1*(B4742-C4742)/(Utilities!$B$11*IterData!H4742)))</f>
        <v>1</v>
      </c>
    </row>
    <row r="4743" spans="8:11" x14ac:dyDescent="0.3">
      <c r="H4743">
        <v>0.5</v>
      </c>
      <c r="I4743" s="11">
        <f t="shared" si="74"/>
        <v>0</v>
      </c>
      <c r="J4743" s="11">
        <f>1/(H4743*Utilities!$B$11)</f>
        <v>8</v>
      </c>
      <c r="K4743" s="11">
        <f>IF(B4743&lt;C4743,1,EXP(-1*(B4743-C4743)/(Utilities!$B$11*IterData!H4743)))</f>
        <v>1</v>
      </c>
    </row>
    <row r="4744" spans="8:11" x14ac:dyDescent="0.3">
      <c r="H4744">
        <v>0.5</v>
      </c>
      <c r="I4744" s="11">
        <f t="shared" si="74"/>
        <v>0</v>
      </c>
      <c r="J4744" s="11">
        <f>1/(H4744*Utilities!$B$11)</f>
        <v>8</v>
      </c>
      <c r="K4744" s="11">
        <f>IF(B4744&lt;C4744,1,EXP(-1*(B4744-C4744)/(Utilities!$B$11*IterData!H4744)))</f>
        <v>1</v>
      </c>
    </row>
    <row r="4745" spans="8:11" x14ac:dyDescent="0.3">
      <c r="H4745">
        <v>0.5</v>
      </c>
      <c r="I4745" s="11">
        <f t="shared" si="74"/>
        <v>0</v>
      </c>
      <c r="J4745" s="11">
        <f>1/(H4745*Utilities!$B$11)</f>
        <v>8</v>
      </c>
      <c r="K4745" s="11">
        <f>IF(B4745&lt;C4745,1,EXP(-1*(B4745-C4745)/(Utilities!$B$11*IterData!H4745)))</f>
        <v>1</v>
      </c>
    </row>
    <row r="4746" spans="8:11" x14ac:dyDescent="0.3">
      <c r="H4746">
        <v>0.5</v>
      </c>
      <c r="I4746" s="11">
        <f t="shared" si="74"/>
        <v>0</v>
      </c>
      <c r="J4746" s="11">
        <f>1/(H4746*Utilities!$B$11)</f>
        <v>8</v>
      </c>
      <c r="K4746" s="11">
        <f>IF(B4746&lt;C4746,1,EXP(-1*(B4746-C4746)/(Utilities!$B$11*IterData!H4746)))</f>
        <v>1</v>
      </c>
    </row>
    <row r="4747" spans="8:11" x14ac:dyDescent="0.3">
      <c r="H4747">
        <v>0.5</v>
      </c>
      <c r="I4747" s="11">
        <f t="shared" si="74"/>
        <v>0</v>
      </c>
      <c r="J4747" s="11">
        <f>1/(H4747*Utilities!$B$11)</f>
        <v>8</v>
      </c>
      <c r="K4747" s="11">
        <f>IF(B4747&lt;C4747,1,EXP(-1*(B4747-C4747)/(Utilities!$B$11*IterData!H4747)))</f>
        <v>1</v>
      </c>
    </row>
    <row r="4748" spans="8:11" x14ac:dyDescent="0.3">
      <c r="H4748">
        <v>0.5</v>
      </c>
      <c r="I4748" s="11">
        <f t="shared" si="74"/>
        <v>0</v>
      </c>
      <c r="J4748" s="11">
        <f>1/(H4748*Utilities!$B$11)</f>
        <v>8</v>
      </c>
      <c r="K4748" s="11">
        <f>IF(B4748&lt;C4748,1,EXP(-1*(B4748-C4748)/(Utilities!$B$11*IterData!H4748)))</f>
        <v>1</v>
      </c>
    </row>
    <row r="4749" spans="8:11" x14ac:dyDescent="0.3">
      <c r="H4749">
        <v>0.5</v>
      </c>
      <c r="I4749" s="11">
        <f t="shared" si="74"/>
        <v>0</v>
      </c>
      <c r="J4749" s="11">
        <f>1/(H4749*Utilities!$B$11)</f>
        <v>8</v>
      </c>
      <c r="K4749" s="11">
        <f>IF(B4749&lt;C4749,1,EXP(-1*(B4749-C4749)/(Utilities!$B$11*IterData!H4749)))</f>
        <v>1</v>
      </c>
    </row>
    <row r="4750" spans="8:11" x14ac:dyDescent="0.3">
      <c r="H4750">
        <v>0.5</v>
      </c>
      <c r="I4750" s="11">
        <f t="shared" si="74"/>
        <v>0</v>
      </c>
      <c r="J4750" s="11">
        <f>1/(H4750*Utilities!$B$11)</f>
        <v>8</v>
      </c>
      <c r="K4750" s="11">
        <f>IF(B4750&lt;C4750,1,EXP(-1*(B4750-C4750)/(Utilities!$B$11*IterData!H4750)))</f>
        <v>1</v>
      </c>
    </row>
    <row r="4751" spans="8:11" x14ac:dyDescent="0.3">
      <c r="H4751">
        <v>0.5</v>
      </c>
      <c r="I4751" s="11">
        <f t="shared" si="74"/>
        <v>0</v>
      </c>
      <c r="J4751" s="11">
        <f>1/(H4751*Utilities!$B$11)</f>
        <v>8</v>
      </c>
      <c r="K4751" s="11">
        <f>IF(B4751&lt;C4751,1,EXP(-1*(B4751-C4751)/(Utilities!$B$11*IterData!H4751)))</f>
        <v>1</v>
      </c>
    </row>
    <row r="4752" spans="8:11" x14ac:dyDescent="0.3">
      <c r="H4752">
        <v>0.5</v>
      </c>
      <c r="I4752" s="11">
        <f t="shared" si="74"/>
        <v>0</v>
      </c>
      <c r="J4752" s="11">
        <f>1/(H4752*Utilities!$B$11)</f>
        <v>8</v>
      </c>
      <c r="K4752" s="11">
        <f>IF(B4752&lt;C4752,1,EXP(-1*(B4752-C4752)/(Utilities!$B$11*IterData!H4752)))</f>
        <v>1</v>
      </c>
    </row>
    <row r="4753" spans="8:11" x14ac:dyDescent="0.3">
      <c r="H4753">
        <v>0.5</v>
      </c>
      <c r="I4753" s="11">
        <f t="shared" si="74"/>
        <v>0</v>
      </c>
      <c r="J4753" s="11">
        <f>1/(H4753*Utilities!$B$11)</f>
        <v>8</v>
      </c>
      <c r="K4753" s="11">
        <f>IF(B4753&lt;C4753,1,EXP(-1*(B4753-C4753)/(Utilities!$B$11*IterData!H4753)))</f>
        <v>1</v>
      </c>
    </row>
    <row r="4754" spans="8:11" x14ac:dyDescent="0.3">
      <c r="H4754">
        <v>0.5</v>
      </c>
      <c r="I4754" s="11">
        <f t="shared" si="74"/>
        <v>0</v>
      </c>
      <c r="J4754" s="11">
        <f>1/(H4754*Utilities!$B$11)</f>
        <v>8</v>
      </c>
      <c r="K4754" s="11">
        <f>IF(B4754&lt;C4754,1,EXP(-1*(B4754-C4754)/(Utilities!$B$11*IterData!H4754)))</f>
        <v>1</v>
      </c>
    </row>
    <row r="4755" spans="8:11" x14ac:dyDescent="0.3">
      <c r="H4755">
        <v>0.5</v>
      </c>
      <c r="I4755" s="11">
        <f t="shared" si="74"/>
        <v>0</v>
      </c>
      <c r="J4755" s="11">
        <f>1/(H4755*Utilities!$B$11)</f>
        <v>8</v>
      </c>
      <c r="K4755" s="11">
        <f>IF(B4755&lt;C4755,1,EXP(-1*(B4755-C4755)/(Utilities!$B$11*IterData!H4755)))</f>
        <v>1</v>
      </c>
    </row>
    <row r="4756" spans="8:11" x14ac:dyDescent="0.3">
      <c r="H4756">
        <v>0.5</v>
      </c>
      <c r="I4756" s="11">
        <f t="shared" si="74"/>
        <v>0</v>
      </c>
      <c r="J4756" s="11">
        <f>1/(H4756*Utilities!$B$11)</f>
        <v>8</v>
      </c>
      <c r="K4756" s="11">
        <f>IF(B4756&lt;C4756,1,EXP(-1*(B4756-C4756)/(Utilities!$B$11*IterData!H4756)))</f>
        <v>1</v>
      </c>
    </row>
    <row r="4757" spans="8:11" x14ac:dyDescent="0.3">
      <c r="H4757">
        <v>0.5</v>
      </c>
      <c r="I4757" s="11">
        <f t="shared" si="74"/>
        <v>0</v>
      </c>
      <c r="J4757" s="11">
        <f>1/(H4757*Utilities!$B$11)</f>
        <v>8</v>
      </c>
      <c r="K4757" s="11">
        <f>IF(B4757&lt;C4757,1,EXP(-1*(B4757-C4757)/(Utilities!$B$11*IterData!H4757)))</f>
        <v>1</v>
      </c>
    </row>
    <row r="4758" spans="8:11" x14ac:dyDescent="0.3">
      <c r="H4758">
        <v>0.5</v>
      </c>
      <c r="I4758" s="11">
        <f t="shared" si="74"/>
        <v>0</v>
      </c>
      <c r="J4758" s="11">
        <f>1/(H4758*Utilities!$B$11)</f>
        <v>8</v>
      </c>
      <c r="K4758" s="11">
        <f>IF(B4758&lt;C4758,1,EXP(-1*(B4758-C4758)/(Utilities!$B$11*IterData!H4758)))</f>
        <v>1</v>
      </c>
    </row>
    <row r="4759" spans="8:11" x14ac:dyDescent="0.3">
      <c r="H4759">
        <v>0.5</v>
      </c>
      <c r="I4759" s="11">
        <f t="shared" si="74"/>
        <v>0</v>
      </c>
      <c r="J4759" s="11">
        <f>1/(H4759*Utilities!$B$11)</f>
        <v>8</v>
      </c>
      <c r="K4759" s="11">
        <f>IF(B4759&lt;C4759,1,EXP(-1*(B4759-C4759)/(Utilities!$B$11*IterData!H4759)))</f>
        <v>1</v>
      </c>
    </row>
    <row r="4760" spans="8:11" x14ac:dyDescent="0.3">
      <c r="H4760">
        <v>0.5</v>
      </c>
      <c r="I4760" s="11">
        <f t="shared" si="74"/>
        <v>0</v>
      </c>
      <c r="J4760" s="11">
        <f>1/(H4760*Utilities!$B$11)</f>
        <v>8</v>
      </c>
      <c r="K4760" s="11">
        <f>IF(B4760&lt;C4760,1,EXP(-1*(B4760-C4760)/(Utilities!$B$11*IterData!H4760)))</f>
        <v>1</v>
      </c>
    </row>
    <row r="4761" spans="8:11" x14ac:dyDescent="0.3">
      <c r="H4761">
        <v>0.5</v>
      </c>
      <c r="I4761" s="11">
        <f t="shared" si="74"/>
        <v>0</v>
      </c>
      <c r="J4761" s="11">
        <f>1/(H4761*Utilities!$B$11)</f>
        <v>8</v>
      </c>
      <c r="K4761" s="11">
        <f>IF(B4761&lt;C4761,1,EXP(-1*(B4761-C4761)/(Utilities!$B$11*IterData!H4761)))</f>
        <v>1</v>
      </c>
    </row>
    <row r="4762" spans="8:11" x14ac:dyDescent="0.3">
      <c r="H4762">
        <v>0.5</v>
      </c>
      <c r="I4762" s="11">
        <f t="shared" si="74"/>
        <v>0</v>
      </c>
      <c r="J4762" s="11">
        <f>1/(H4762*Utilities!$B$11)</f>
        <v>8</v>
      </c>
      <c r="K4762" s="11">
        <f>IF(B4762&lt;C4762,1,EXP(-1*(B4762-C4762)/(Utilities!$B$11*IterData!H4762)))</f>
        <v>1</v>
      </c>
    </row>
    <row r="4763" spans="8:11" x14ac:dyDescent="0.3">
      <c r="H4763">
        <v>0.5</v>
      </c>
      <c r="I4763" s="11">
        <f t="shared" si="74"/>
        <v>0</v>
      </c>
      <c r="J4763" s="11">
        <f>1/(H4763*Utilities!$B$11)</f>
        <v>8</v>
      </c>
      <c r="K4763" s="11">
        <f>IF(B4763&lt;C4763,1,EXP(-1*(B4763-C4763)/(Utilities!$B$11*IterData!H4763)))</f>
        <v>1</v>
      </c>
    </row>
    <row r="4764" spans="8:11" x14ac:dyDescent="0.3">
      <c r="H4764">
        <v>0.5</v>
      </c>
      <c r="I4764" s="11">
        <f t="shared" si="74"/>
        <v>0</v>
      </c>
      <c r="J4764" s="11">
        <f>1/(H4764*Utilities!$B$11)</f>
        <v>8</v>
      </c>
      <c r="K4764" s="11">
        <f>IF(B4764&lt;C4764,1,EXP(-1*(B4764-C4764)/(Utilities!$B$11*IterData!H4764)))</f>
        <v>1</v>
      </c>
    </row>
    <row r="4765" spans="8:11" x14ac:dyDescent="0.3">
      <c r="H4765">
        <v>0.5</v>
      </c>
      <c r="I4765" s="11">
        <f t="shared" si="74"/>
        <v>0</v>
      </c>
      <c r="J4765" s="11">
        <f>1/(H4765*Utilities!$B$11)</f>
        <v>8</v>
      </c>
      <c r="K4765" s="11">
        <f>IF(B4765&lt;C4765,1,EXP(-1*(B4765-C4765)/(Utilities!$B$11*IterData!H4765)))</f>
        <v>1</v>
      </c>
    </row>
    <row r="4766" spans="8:11" x14ac:dyDescent="0.3">
      <c r="H4766">
        <v>0.5</v>
      </c>
      <c r="I4766" s="11">
        <f t="shared" si="74"/>
        <v>0</v>
      </c>
      <c r="J4766" s="11">
        <f>1/(H4766*Utilities!$B$11)</f>
        <v>8</v>
      </c>
      <c r="K4766" s="11">
        <f>IF(B4766&lt;C4766,1,EXP(-1*(B4766-C4766)/(Utilities!$B$11*IterData!H4766)))</f>
        <v>1</v>
      </c>
    </row>
    <row r="4767" spans="8:11" x14ac:dyDescent="0.3">
      <c r="H4767">
        <v>0.5</v>
      </c>
      <c r="I4767" s="11">
        <f t="shared" si="74"/>
        <v>0</v>
      </c>
      <c r="J4767" s="11">
        <f>1/(H4767*Utilities!$B$11)</f>
        <v>8</v>
      </c>
      <c r="K4767" s="11">
        <f>IF(B4767&lt;C4767,1,EXP(-1*(B4767-C4767)/(Utilities!$B$11*IterData!H4767)))</f>
        <v>1</v>
      </c>
    </row>
    <row r="4768" spans="8:11" x14ac:dyDescent="0.3">
      <c r="H4768">
        <v>0.5</v>
      </c>
      <c r="I4768" s="11">
        <f t="shared" si="74"/>
        <v>0</v>
      </c>
      <c r="J4768" s="11">
        <f>1/(H4768*Utilities!$B$11)</f>
        <v>8</v>
      </c>
      <c r="K4768" s="11">
        <f>IF(B4768&lt;C4768,1,EXP(-1*(B4768-C4768)/(Utilities!$B$11*IterData!H4768)))</f>
        <v>1</v>
      </c>
    </row>
    <row r="4769" spans="8:11" x14ac:dyDescent="0.3">
      <c r="H4769">
        <v>0.5</v>
      </c>
      <c r="I4769" s="11">
        <f t="shared" si="74"/>
        <v>0</v>
      </c>
      <c r="J4769" s="11">
        <f>1/(H4769*Utilities!$B$11)</f>
        <v>8</v>
      </c>
      <c r="K4769" s="11">
        <f>IF(B4769&lt;C4769,1,EXP(-1*(B4769-C4769)/(Utilities!$B$11*IterData!H4769)))</f>
        <v>1</v>
      </c>
    </row>
    <row r="4770" spans="8:11" x14ac:dyDescent="0.3">
      <c r="H4770">
        <v>0.5</v>
      </c>
      <c r="I4770" s="11">
        <f t="shared" si="74"/>
        <v>0</v>
      </c>
      <c r="J4770" s="11">
        <f>1/(H4770*Utilities!$B$11)</f>
        <v>8</v>
      </c>
      <c r="K4770" s="11">
        <f>IF(B4770&lt;C4770,1,EXP(-1*(B4770-C4770)/(Utilities!$B$11*IterData!H4770)))</f>
        <v>1</v>
      </c>
    </row>
    <row r="4771" spans="8:11" x14ac:dyDescent="0.3">
      <c r="H4771">
        <v>0.5</v>
      </c>
      <c r="I4771" s="11">
        <f t="shared" si="74"/>
        <v>0</v>
      </c>
      <c r="J4771" s="11">
        <f>1/(H4771*Utilities!$B$11)</f>
        <v>8</v>
      </c>
      <c r="K4771" s="11">
        <f>IF(B4771&lt;C4771,1,EXP(-1*(B4771-C4771)/(Utilities!$B$11*IterData!H4771)))</f>
        <v>1</v>
      </c>
    </row>
    <row r="4772" spans="8:11" x14ac:dyDescent="0.3">
      <c r="H4772">
        <v>0.5</v>
      </c>
      <c r="I4772" s="11">
        <f t="shared" si="74"/>
        <v>0</v>
      </c>
      <c r="J4772" s="11">
        <f>1/(H4772*Utilities!$B$11)</f>
        <v>8</v>
      </c>
      <c r="K4772" s="11">
        <f>IF(B4772&lt;C4772,1,EXP(-1*(B4772-C4772)/(Utilities!$B$11*IterData!H4772)))</f>
        <v>1</v>
      </c>
    </row>
    <row r="4773" spans="8:11" x14ac:dyDescent="0.3">
      <c r="H4773">
        <v>0.5</v>
      </c>
      <c r="I4773" s="11">
        <f t="shared" si="74"/>
        <v>0</v>
      </c>
      <c r="J4773" s="11">
        <f>1/(H4773*Utilities!$B$11)</f>
        <v>8</v>
      </c>
      <c r="K4773" s="11">
        <f>IF(B4773&lt;C4773,1,EXP(-1*(B4773-C4773)/(Utilities!$B$11*IterData!H4773)))</f>
        <v>1</v>
      </c>
    </row>
    <row r="4774" spans="8:11" x14ac:dyDescent="0.3">
      <c r="H4774">
        <v>0.5</v>
      </c>
      <c r="I4774" s="11">
        <f t="shared" si="74"/>
        <v>0</v>
      </c>
      <c r="J4774" s="11">
        <f>1/(H4774*Utilities!$B$11)</f>
        <v>8</v>
      </c>
      <c r="K4774" s="11">
        <f>IF(B4774&lt;C4774,1,EXP(-1*(B4774-C4774)/(Utilities!$B$11*IterData!H4774)))</f>
        <v>1</v>
      </c>
    </row>
    <row r="4775" spans="8:11" x14ac:dyDescent="0.3">
      <c r="H4775">
        <v>0.5</v>
      </c>
      <c r="I4775" s="11">
        <f t="shared" si="74"/>
        <v>0</v>
      </c>
      <c r="J4775" s="11">
        <f>1/(H4775*Utilities!$B$11)</f>
        <v>8</v>
      </c>
      <c r="K4775" s="11">
        <f>IF(B4775&lt;C4775,1,EXP(-1*(B4775-C4775)/(Utilities!$B$11*IterData!H4775)))</f>
        <v>1</v>
      </c>
    </row>
    <row r="4776" spans="8:11" x14ac:dyDescent="0.3">
      <c r="H4776">
        <v>0.5</v>
      </c>
      <c r="I4776" s="11">
        <f t="shared" si="74"/>
        <v>0</v>
      </c>
      <c r="J4776" s="11">
        <f>1/(H4776*Utilities!$B$11)</f>
        <v>8</v>
      </c>
      <c r="K4776" s="11">
        <f>IF(B4776&lt;C4776,1,EXP(-1*(B4776-C4776)/(Utilities!$B$11*IterData!H4776)))</f>
        <v>1</v>
      </c>
    </row>
    <row r="4777" spans="8:11" x14ac:dyDescent="0.3">
      <c r="H4777">
        <v>0.5</v>
      </c>
      <c r="I4777" s="11">
        <f t="shared" si="74"/>
        <v>0</v>
      </c>
      <c r="J4777" s="11">
        <f>1/(H4777*Utilities!$B$11)</f>
        <v>8</v>
      </c>
      <c r="K4777" s="11">
        <f>IF(B4777&lt;C4777,1,EXP(-1*(B4777-C4777)/(Utilities!$B$11*IterData!H4777)))</f>
        <v>1</v>
      </c>
    </row>
    <row r="4778" spans="8:11" x14ac:dyDescent="0.3">
      <c r="H4778">
        <v>0.5</v>
      </c>
      <c r="I4778" s="11">
        <f t="shared" si="74"/>
        <v>0</v>
      </c>
      <c r="J4778" s="11">
        <f>1/(H4778*Utilities!$B$11)</f>
        <v>8</v>
      </c>
      <c r="K4778" s="11">
        <f>IF(B4778&lt;C4778,1,EXP(-1*(B4778-C4778)/(Utilities!$B$11*IterData!H4778)))</f>
        <v>1</v>
      </c>
    </row>
    <row r="4779" spans="8:11" x14ac:dyDescent="0.3">
      <c r="H4779">
        <v>0.5</v>
      </c>
      <c r="I4779" s="11">
        <f t="shared" si="74"/>
        <v>0</v>
      </c>
      <c r="J4779" s="11">
        <f>1/(H4779*Utilities!$B$11)</f>
        <v>8</v>
      </c>
      <c r="K4779" s="11">
        <f>IF(B4779&lt;C4779,1,EXP(-1*(B4779-C4779)/(Utilities!$B$11*IterData!H4779)))</f>
        <v>1</v>
      </c>
    </row>
    <row r="4780" spans="8:11" x14ac:dyDescent="0.3">
      <c r="H4780">
        <v>0.5</v>
      </c>
      <c r="I4780" s="11">
        <f t="shared" si="74"/>
        <v>0</v>
      </c>
      <c r="J4780" s="11">
        <f>1/(H4780*Utilities!$B$11)</f>
        <v>8</v>
      </c>
      <c r="K4780" s="11">
        <f>IF(B4780&lt;C4780,1,EXP(-1*(B4780-C4780)/(Utilities!$B$11*IterData!H4780)))</f>
        <v>1</v>
      </c>
    </row>
    <row r="4781" spans="8:11" x14ac:dyDescent="0.3">
      <c r="H4781">
        <v>0.5</v>
      </c>
      <c r="I4781" s="11">
        <f t="shared" si="74"/>
        <v>0</v>
      </c>
      <c r="J4781" s="11">
        <f>1/(H4781*Utilities!$B$11)</f>
        <v>8</v>
      </c>
      <c r="K4781" s="11">
        <f>IF(B4781&lt;C4781,1,EXP(-1*(B4781-C4781)/(Utilities!$B$11*IterData!H4781)))</f>
        <v>1</v>
      </c>
    </row>
    <row r="4782" spans="8:11" x14ac:dyDescent="0.3">
      <c r="H4782">
        <v>0.5</v>
      </c>
      <c r="I4782" s="11">
        <f t="shared" si="74"/>
        <v>0</v>
      </c>
      <c r="J4782" s="11">
        <f>1/(H4782*Utilities!$B$11)</f>
        <v>8</v>
      </c>
      <c r="K4782" s="11">
        <f>IF(B4782&lt;C4782,1,EXP(-1*(B4782-C4782)/(Utilities!$B$11*IterData!H4782)))</f>
        <v>1</v>
      </c>
    </row>
    <row r="4783" spans="8:11" x14ac:dyDescent="0.3">
      <c r="H4783">
        <v>0.5</v>
      </c>
      <c r="I4783" s="11">
        <f t="shared" si="74"/>
        <v>0</v>
      </c>
      <c r="J4783" s="11">
        <f>1/(H4783*Utilities!$B$11)</f>
        <v>8</v>
      </c>
      <c r="K4783" s="11">
        <f>IF(B4783&lt;C4783,1,EXP(-1*(B4783-C4783)/(Utilities!$B$11*IterData!H4783)))</f>
        <v>1</v>
      </c>
    </row>
    <row r="4784" spans="8:11" x14ac:dyDescent="0.3">
      <c r="H4784">
        <v>0.5</v>
      </c>
      <c r="I4784" s="11">
        <f t="shared" si="74"/>
        <v>0</v>
      </c>
      <c r="J4784" s="11">
        <f>1/(H4784*Utilities!$B$11)</f>
        <v>8</v>
      </c>
      <c r="K4784" s="11">
        <f>IF(B4784&lt;C4784,1,EXP(-1*(B4784-C4784)/(Utilities!$B$11*IterData!H4784)))</f>
        <v>1</v>
      </c>
    </row>
    <row r="4785" spans="8:11" x14ac:dyDescent="0.3">
      <c r="H4785">
        <v>0.5</v>
      </c>
      <c r="I4785" s="11">
        <f t="shared" si="74"/>
        <v>0</v>
      </c>
      <c r="J4785" s="11">
        <f>1/(H4785*Utilities!$B$11)</f>
        <v>8</v>
      </c>
      <c r="K4785" s="11">
        <f>IF(B4785&lt;C4785,1,EXP(-1*(B4785-C4785)/(Utilities!$B$11*IterData!H4785)))</f>
        <v>1</v>
      </c>
    </row>
    <row r="4786" spans="8:11" x14ac:dyDescent="0.3">
      <c r="H4786">
        <v>0.5</v>
      </c>
      <c r="I4786" s="11">
        <f t="shared" si="74"/>
        <v>0</v>
      </c>
      <c r="J4786" s="11">
        <f>1/(H4786*Utilities!$B$11)</f>
        <v>8</v>
      </c>
      <c r="K4786" s="11">
        <f>IF(B4786&lt;C4786,1,EXP(-1*(B4786-C4786)/(Utilities!$B$11*IterData!H4786)))</f>
        <v>1</v>
      </c>
    </row>
    <row r="4787" spans="8:11" x14ac:dyDescent="0.3">
      <c r="H4787">
        <v>0.5</v>
      </c>
      <c r="I4787" s="11">
        <f t="shared" si="74"/>
        <v>0</v>
      </c>
      <c r="J4787" s="11">
        <f>1/(H4787*Utilities!$B$11)</f>
        <v>8</v>
      </c>
      <c r="K4787" s="11">
        <f>IF(B4787&lt;C4787,1,EXP(-1*(B4787-C4787)/(Utilities!$B$11*IterData!H4787)))</f>
        <v>1</v>
      </c>
    </row>
    <row r="4788" spans="8:11" x14ac:dyDescent="0.3">
      <c r="H4788">
        <v>0.5</v>
      </c>
      <c r="I4788" s="11">
        <f t="shared" si="74"/>
        <v>0</v>
      </c>
      <c r="J4788" s="11">
        <f>1/(H4788*Utilities!$B$11)</f>
        <v>8</v>
      </c>
      <c r="K4788" s="11">
        <f>IF(B4788&lt;C4788,1,EXP(-1*(B4788-C4788)/(Utilities!$B$11*IterData!H4788)))</f>
        <v>1</v>
      </c>
    </row>
    <row r="4789" spans="8:11" x14ac:dyDescent="0.3">
      <c r="H4789">
        <v>0.5</v>
      </c>
      <c r="I4789" s="11">
        <f t="shared" si="74"/>
        <v>0</v>
      </c>
      <c r="J4789" s="11">
        <f>1/(H4789*Utilities!$B$11)</f>
        <v>8</v>
      </c>
      <c r="K4789" s="11">
        <f>IF(B4789&lt;C4789,1,EXP(-1*(B4789-C4789)/(Utilities!$B$11*IterData!H4789)))</f>
        <v>1</v>
      </c>
    </row>
    <row r="4790" spans="8:11" x14ac:dyDescent="0.3">
      <c r="H4790">
        <v>0.5</v>
      </c>
      <c r="I4790" s="11">
        <f t="shared" si="74"/>
        <v>0</v>
      </c>
      <c r="J4790" s="11">
        <f>1/(H4790*Utilities!$B$11)</f>
        <v>8</v>
      </c>
      <c r="K4790" s="11">
        <f>IF(B4790&lt;C4790,1,EXP(-1*(B4790-C4790)/(Utilities!$B$11*IterData!H4790)))</f>
        <v>1</v>
      </c>
    </row>
    <row r="4791" spans="8:11" x14ac:dyDescent="0.3">
      <c r="H4791">
        <v>0.5</v>
      </c>
      <c r="I4791" s="11">
        <f t="shared" si="74"/>
        <v>0</v>
      </c>
      <c r="J4791" s="11">
        <f>1/(H4791*Utilities!$B$11)</f>
        <v>8</v>
      </c>
      <c r="K4791" s="11">
        <f>IF(B4791&lt;C4791,1,EXP(-1*(B4791-C4791)/(Utilities!$B$11*IterData!H4791)))</f>
        <v>1</v>
      </c>
    </row>
    <row r="4792" spans="8:11" x14ac:dyDescent="0.3">
      <c r="H4792">
        <v>0.5</v>
      </c>
      <c r="I4792" s="11">
        <f t="shared" si="74"/>
        <v>0</v>
      </c>
      <c r="J4792" s="11">
        <f>1/(H4792*Utilities!$B$11)</f>
        <v>8</v>
      </c>
      <c r="K4792" s="11">
        <f>IF(B4792&lt;C4792,1,EXP(-1*(B4792-C4792)/(Utilities!$B$11*IterData!H4792)))</f>
        <v>1</v>
      </c>
    </row>
    <row r="4793" spans="8:11" x14ac:dyDescent="0.3">
      <c r="H4793">
        <v>0.5</v>
      </c>
      <c r="I4793" s="11">
        <f t="shared" si="74"/>
        <v>0</v>
      </c>
      <c r="J4793" s="11">
        <f>1/(H4793*Utilities!$B$11)</f>
        <v>8</v>
      </c>
      <c r="K4793" s="11">
        <f>IF(B4793&lt;C4793,1,EXP(-1*(B4793-C4793)/(Utilities!$B$11*IterData!H4793)))</f>
        <v>1</v>
      </c>
    </row>
    <row r="4794" spans="8:11" x14ac:dyDescent="0.3">
      <c r="H4794">
        <v>0.5</v>
      </c>
      <c r="I4794" s="11">
        <f t="shared" si="74"/>
        <v>0</v>
      </c>
      <c r="J4794" s="11">
        <f>1/(H4794*Utilities!$B$11)</f>
        <v>8</v>
      </c>
      <c r="K4794" s="11">
        <f>IF(B4794&lt;C4794,1,EXP(-1*(B4794-C4794)/(Utilities!$B$11*IterData!H4794)))</f>
        <v>1</v>
      </c>
    </row>
    <row r="4795" spans="8:11" x14ac:dyDescent="0.3">
      <c r="H4795">
        <v>0.5</v>
      </c>
      <c r="I4795" s="11">
        <f t="shared" si="74"/>
        <v>0</v>
      </c>
      <c r="J4795" s="11">
        <f>1/(H4795*Utilities!$B$11)</f>
        <v>8</v>
      </c>
      <c r="K4795" s="11">
        <f>IF(B4795&lt;C4795,1,EXP(-1*(B4795-C4795)/(Utilities!$B$11*IterData!H4795)))</f>
        <v>1</v>
      </c>
    </row>
    <row r="4796" spans="8:11" x14ac:dyDescent="0.3">
      <c r="H4796">
        <v>0.5</v>
      </c>
      <c r="I4796" s="11">
        <f t="shared" si="74"/>
        <v>0</v>
      </c>
      <c r="J4796" s="11">
        <f>1/(H4796*Utilities!$B$11)</f>
        <v>8</v>
      </c>
      <c r="K4796" s="11">
        <f>IF(B4796&lt;C4796,1,EXP(-1*(B4796-C4796)/(Utilities!$B$11*IterData!H4796)))</f>
        <v>1</v>
      </c>
    </row>
    <row r="4797" spans="8:11" x14ac:dyDescent="0.3">
      <c r="H4797">
        <v>0.5</v>
      </c>
      <c r="I4797" s="11">
        <f t="shared" si="74"/>
        <v>0</v>
      </c>
      <c r="J4797" s="11">
        <f>1/(H4797*Utilities!$B$11)</f>
        <v>8</v>
      </c>
      <c r="K4797" s="11">
        <f>IF(B4797&lt;C4797,1,EXP(-1*(B4797-C4797)/(Utilities!$B$11*IterData!H4797)))</f>
        <v>1</v>
      </c>
    </row>
    <row r="4798" spans="8:11" x14ac:dyDescent="0.3">
      <c r="H4798">
        <v>0.5</v>
      </c>
      <c r="I4798" s="11">
        <f t="shared" si="74"/>
        <v>0</v>
      </c>
      <c r="J4798" s="11">
        <f>1/(H4798*Utilities!$B$11)</f>
        <v>8</v>
      </c>
      <c r="K4798" s="11">
        <f>IF(B4798&lt;C4798,1,EXP(-1*(B4798-C4798)/(Utilities!$B$11*IterData!H4798)))</f>
        <v>1</v>
      </c>
    </row>
    <row r="4799" spans="8:11" x14ac:dyDescent="0.3">
      <c r="H4799">
        <v>0.5</v>
      </c>
      <c r="I4799" s="11">
        <f t="shared" si="74"/>
        <v>0</v>
      </c>
      <c r="J4799" s="11">
        <f>1/(H4799*Utilities!$B$11)</f>
        <v>8</v>
      </c>
      <c r="K4799" s="11">
        <f>IF(B4799&lt;C4799,1,EXP(-1*(B4799-C4799)/(Utilities!$B$11*IterData!H4799)))</f>
        <v>1</v>
      </c>
    </row>
    <row r="4800" spans="8:11" x14ac:dyDescent="0.3">
      <c r="H4800">
        <v>0.5</v>
      </c>
      <c r="I4800" s="11">
        <f t="shared" si="74"/>
        <v>0</v>
      </c>
      <c r="J4800" s="11">
        <f>1/(H4800*Utilities!$B$11)</f>
        <v>8</v>
      </c>
      <c r="K4800" s="11">
        <f>IF(B4800&lt;C4800,1,EXP(-1*(B4800-C4800)/(Utilities!$B$11*IterData!H4800)))</f>
        <v>1</v>
      </c>
    </row>
    <row r="4801" spans="8:11" x14ac:dyDescent="0.3">
      <c r="H4801">
        <v>0.5</v>
      </c>
      <c r="I4801" s="11">
        <f t="shared" si="74"/>
        <v>0</v>
      </c>
      <c r="J4801" s="11">
        <f>1/(H4801*Utilities!$B$11)</f>
        <v>8</v>
      </c>
      <c r="K4801" s="11">
        <f>IF(B4801&lt;C4801,1,EXP(-1*(B4801-C4801)/(Utilities!$B$11*IterData!H4801)))</f>
        <v>1</v>
      </c>
    </row>
    <row r="4802" spans="8:11" x14ac:dyDescent="0.3">
      <c r="H4802">
        <v>0.5</v>
      </c>
      <c r="I4802" s="11">
        <f t="shared" si="74"/>
        <v>0</v>
      </c>
      <c r="J4802" s="11">
        <f>1/(H4802*Utilities!$B$11)</f>
        <v>8</v>
      </c>
      <c r="K4802" s="11">
        <f>IF(B4802&lt;C4802,1,EXP(-1*(B4802-C4802)/(Utilities!$B$11*IterData!H4802)))</f>
        <v>1</v>
      </c>
    </row>
    <row r="4803" spans="8:11" x14ac:dyDescent="0.3">
      <c r="H4803">
        <v>0.5</v>
      </c>
      <c r="I4803" s="11">
        <f t="shared" ref="I4803:I4866" si="75">B4803-C4803</f>
        <v>0</v>
      </c>
      <c r="J4803" s="11">
        <f>1/(H4803*Utilities!$B$11)</f>
        <v>8</v>
      </c>
      <c r="K4803" s="11">
        <f>IF(B4803&lt;C4803,1,EXP(-1*(B4803-C4803)/(Utilities!$B$11*IterData!H4803)))</f>
        <v>1</v>
      </c>
    </row>
    <row r="4804" spans="8:11" x14ac:dyDescent="0.3">
      <c r="H4804">
        <v>0.5</v>
      </c>
      <c r="I4804" s="11">
        <f t="shared" si="75"/>
        <v>0</v>
      </c>
      <c r="J4804" s="11">
        <f>1/(H4804*Utilities!$B$11)</f>
        <v>8</v>
      </c>
      <c r="K4804" s="11">
        <f>IF(B4804&lt;C4804,1,EXP(-1*(B4804-C4804)/(Utilities!$B$11*IterData!H4804)))</f>
        <v>1</v>
      </c>
    </row>
    <row r="4805" spans="8:11" x14ac:dyDescent="0.3">
      <c r="H4805">
        <v>0.5</v>
      </c>
      <c r="I4805" s="11">
        <f t="shared" si="75"/>
        <v>0</v>
      </c>
      <c r="J4805" s="11">
        <f>1/(H4805*Utilities!$B$11)</f>
        <v>8</v>
      </c>
      <c r="K4805" s="11">
        <f>IF(B4805&lt;C4805,1,EXP(-1*(B4805-C4805)/(Utilities!$B$11*IterData!H4805)))</f>
        <v>1</v>
      </c>
    </row>
    <row r="4806" spans="8:11" x14ac:dyDescent="0.3">
      <c r="H4806">
        <v>0.5</v>
      </c>
      <c r="I4806" s="11">
        <f t="shared" si="75"/>
        <v>0</v>
      </c>
      <c r="J4806" s="11">
        <f>1/(H4806*Utilities!$B$11)</f>
        <v>8</v>
      </c>
      <c r="K4806" s="11">
        <f>IF(B4806&lt;C4806,1,EXP(-1*(B4806-C4806)/(Utilities!$B$11*IterData!H4806)))</f>
        <v>1</v>
      </c>
    </row>
    <row r="4807" spans="8:11" x14ac:dyDescent="0.3">
      <c r="H4807">
        <v>0.5</v>
      </c>
      <c r="I4807" s="11">
        <f t="shared" si="75"/>
        <v>0</v>
      </c>
      <c r="J4807" s="11">
        <f>1/(H4807*Utilities!$B$11)</f>
        <v>8</v>
      </c>
      <c r="K4807" s="11">
        <f>IF(B4807&lt;C4807,1,EXP(-1*(B4807-C4807)/(Utilities!$B$11*IterData!H4807)))</f>
        <v>1</v>
      </c>
    </row>
    <row r="4808" spans="8:11" x14ac:dyDescent="0.3">
      <c r="H4808">
        <v>0.5</v>
      </c>
      <c r="I4808" s="11">
        <f t="shared" si="75"/>
        <v>0</v>
      </c>
      <c r="J4808" s="11">
        <f>1/(H4808*Utilities!$B$11)</f>
        <v>8</v>
      </c>
      <c r="K4808" s="11">
        <f>IF(B4808&lt;C4808,1,EXP(-1*(B4808-C4808)/(Utilities!$B$11*IterData!H4808)))</f>
        <v>1</v>
      </c>
    </row>
    <row r="4809" spans="8:11" x14ac:dyDescent="0.3">
      <c r="H4809">
        <v>0.5</v>
      </c>
      <c r="I4809" s="11">
        <f t="shared" si="75"/>
        <v>0</v>
      </c>
      <c r="J4809" s="11">
        <f>1/(H4809*Utilities!$B$11)</f>
        <v>8</v>
      </c>
      <c r="K4809" s="11">
        <f>IF(B4809&lt;C4809,1,EXP(-1*(B4809-C4809)/(Utilities!$B$11*IterData!H4809)))</f>
        <v>1</v>
      </c>
    </row>
    <row r="4810" spans="8:11" x14ac:dyDescent="0.3">
      <c r="H4810">
        <v>0.5</v>
      </c>
      <c r="I4810" s="11">
        <f t="shared" si="75"/>
        <v>0</v>
      </c>
      <c r="J4810" s="11">
        <f>1/(H4810*Utilities!$B$11)</f>
        <v>8</v>
      </c>
      <c r="K4810" s="11">
        <f>IF(B4810&lt;C4810,1,EXP(-1*(B4810-C4810)/(Utilities!$B$11*IterData!H4810)))</f>
        <v>1</v>
      </c>
    </row>
    <row r="4811" spans="8:11" x14ac:dyDescent="0.3">
      <c r="H4811">
        <v>0.5</v>
      </c>
      <c r="I4811" s="11">
        <f t="shared" si="75"/>
        <v>0</v>
      </c>
      <c r="J4811" s="11">
        <f>1/(H4811*Utilities!$B$11)</f>
        <v>8</v>
      </c>
      <c r="K4811" s="11">
        <f>IF(B4811&lt;C4811,1,EXP(-1*(B4811-C4811)/(Utilities!$B$11*IterData!H4811)))</f>
        <v>1</v>
      </c>
    </row>
    <row r="4812" spans="8:11" x14ac:dyDescent="0.3">
      <c r="H4812">
        <v>0.5</v>
      </c>
      <c r="I4812" s="11">
        <f t="shared" si="75"/>
        <v>0</v>
      </c>
      <c r="J4812" s="11">
        <f>1/(H4812*Utilities!$B$11)</f>
        <v>8</v>
      </c>
      <c r="K4812" s="11">
        <f>IF(B4812&lt;C4812,1,EXP(-1*(B4812-C4812)/(Utilities!$B$11*IterData!H4812)))</f>
        <v>1</v>
      </c>
    </row>
    <row r="4813" spans="8:11" x14ac:dyDescent="0.3">
      <c r="H4813">
        <v>0.5</v>
      </c>
      <c r="I4813" s="11">
        <f t="shared" si="75"/>
        <v>0</v>
      </c>
      <c r="J4813" s="11">
        <f>1/(H4813*Utilities!$B$11)</f>
        <v>8</v>
      </c>
      <c r="K4813" s="11">
        <f>IF(B4813&lt;C4813,1,EXP(-1*(B4813-C4813)/(Utilities!$B$11*IterData!H4813)))</f>
        <v>1</v>
      </c>
    </row>
    <row r="4814" spans="8:11" x14ac:dyDescent="0.3">
      <c r="H4814">
        <v>0.5</v>
      </c>
      <c r="I4814" s="11">
        <f t="shared" si="75"/>
        <v>0</v>
      </c>
      <c r="J4814" s="11">
        <f>1/(H4814*Utilities!$B$11)</f>
        <v>8</v>
      </c>
      <c r="K4814" s="11">
        <f>IF(B4814&lt;C4814,1,EXP(-1*(B4814-C4814)/(Utilities!$B$11*IterData!H4814)))</f>
        <v>1</v>
      </c>
    </row>
    <row r="4815" spans="8:11" x14ac:dyDescent="0.3">
      <c r="H4815">
        <v>0.5</v>
      </c>
      <c r="I4815" s="11">
        <f t="shared" si="75"/>
        <v>0</v>
      </c>
      <c r="J4815" s="11">
        <f>1/(H4815*Utilities!$B$11)</f>
        <v>8</v>
      </c>
      <c r="K4815" s="11">
        <f>IF(B4815&lt;C4815,1,EXP(-1*(B4815-C4815)/(Utilities!$B$11*IterData!H4815)))</f>
        <v>1</v>
      </c>
    </row>
    <row r="4816" spans="8:11" x14ac:dyDescent="0.3">
      <c r="H4816">
        <v>0.5</v>
      </c>
      <c r="I4816" s="11">
        <f t="shared" si="75"/>
        <v>0</v>
      </c>
      <c r="J4816" s="11">
        <f>1/(H4816*Utilities!$B$11)</f>
        <v>8</v>
      </c>
      <c r="K4816" s="11">
        <f>IF(B4816&lt;C4816,1,EXP(-1*(B4816-C4816)/(Utilities!$B$11*IterData!H4816)))</f>
        <v>1</v>
      </c>
    </row>
    <row r="4817" spans="8:11" x14ac:dyDescent="0.3">
      <c r="H4817">
        <v>0.5</v>
      </c>
      <c r="I4817" s="11">
        <f t="shared" si="75"/>
        <v>0</v>
      </c>
      <c r="J4817" s="11">
        <f>1/(H4817*Utilities!$B$11)</f>
        <v>8</v>
      </c>
      <c r="K4817" s="11">
        <f>IF(B4817&lt;C4817,1,EXP(-1*(B4817-C4817)/(Utilities!$B$11*IterData!H4817)))</f>
        <v>1</v>
      </c>
    </row>
    <row r="4818" spans="8:11" x14ac:dyDescent="0.3">
      <c r="H4818">
        <v>0.5</v>
      </c>
      <c r="I4818" s="11">
        <f t="shared" si="75"/>
        <v>0</v>
      </c>
      <c r="J4818" s="11">
        <f>1/(H4818*Utilities!$B$11)</f>
        <v>8</v>
      </c>
      <c r="K4818" s="11">
        <f>IF(B4818&lt;C4818,1,EXP(-1*(B4818-C4818)/(Utilities!$B$11*IterData!H4818)))</f>
        <v>1</v>
      </c>
    </row>
    <row r="4819" spans="8:11" x14ac:dyDescent="0.3">
      <c r="H4819">
        <v>0.5</v>
      </c>
      <c r="I4819" s="11">
        <f t="shared" si="75"/>
        <v>0</v>
      </c>
      <c r="J4819" s="11">
        <f>1/(H4819*Utilities!$B$11)</f>
        <v>8</v>
      </c>
      <c r="K4819" s="11">
        <f>IF(B4819&lt;C4819,1,EXP(-1*(B4819-C4819)/(Utilities!$B$11*IterData!H4819)))</f>
        <v>1</v>
      </c>
    </row>
    <row r="4820" spans="8:11" x14ac:dyDescent="0.3">
      <c r="H4820">
        <v>0.5</v>
      </c>
      <c r="I4820" s="11">
        <f t="shared" si="75"/>
        <v>0</v>
      </c>
      <c r="J4820" s="11">
        <f>1/(H4820*Utilities!$B$11)</f>
        <v>8</v>
      </c>
      <c r="K4820" s="11">
        <f>IF(B4820&lt;C4820,1,EXP(-1*(B4820-C4820)/(Utilities!$B$11*IterData!H4820)))</f>
        <v>1</v>
      </c>
    </row>
    <row r="4821" spans="8:11" x14ac:dyDescent="0.3">
      <c r="H4821">
        <v>0.5</v>
      </c>
      <c r="I4821" s="11">
        <f t="shared" si="75"/>
        <v>0</v>
      </c>
      <c r="J4821" s="11">
        <f>1/(H4821*Utilities!$B$11)</f>
        <v>8</v>
      </c>
      <c r="K4821" s="11">
        <f>IF(B4821&lt;C4821,1,EXP(-1*(B4821-C4821)/(Utilities!$B$11*IterData!H4821)))</f>
        <v>1</v>
      </c>
    </row>
    <row r="4822" spans="8:11" x14ac:dyDescent="0.3">
      <c r="H4822">
        <v>0.5</v>
      </c>
      <c r="I4822" s="11">
        <f t="shared" si="75"/>
        <v>0</v>
      </c>
      <c r="J4822" s="11">
        <f>1/(H4822*Utilities!$B$11)</f>
        <v>8</v>
      </c>
      <c r="K4822" s="11">
        <f>IF(B4822&lt;C4822,1,EXP(-1*(B4822-C4822)/(Utilities!$B$11*IterData!H4822)))</f>
        <v>1</v>
      </c>
    </row>
    <row r="4823" spans="8:11" x14ac:dyDescent="0.3">
      <c r="H4823">
        <v>0.5</v>
      </c>
      <c r="I4823" s="11">
        <f t="shared" si="75"/>
        <v>0</v>
      </c>
      <c r="J4823" s="11">
        <f>1/(H4823*Utilities!$B$11)</f>
        <v>8</v>
      </c>
      <c r="K4823" s="11">
        <f>IF(B4823&lt;C4823,1,EXP(-1*(B4823-C4823)/(Utilities!$B$11*IterData!H4823)))</f>
        <v>1</v>
      </c>
    </row>
    <row r="4824" spans="8:11" x14ac:dyDescent="0.3">
      <c r="H4824">
        <v>0.5</v>
      </c>
      <c r="I4824" s="11">
        <f t="shared" si="75"/>
        <v>0</v>
      </c>
      <c r="J4824" s="11">
        <f>1/(H4824*Utilities!$B$11)</f>
        <v>8</v>
      </c>
      <c r="K4824" s="11">
        <f>IF(B4824&lt;C4824,1,EXP(-1*(B4824-C4824)/(Utilities!$B$11*IterData!H4824)))</f>
        <v>1</v>
      </c>
    </row>
    <row r="4825" spans="8:11" x14ac:dyDescent="0.3">
      <c r="H4825">
        <v>0.5</v>
      </c>
      <c r="I4825" s="11">
        <f t="shared" si="75"/>
        <v>0</v>
      </c>
      <c r="J4825" s="11">
        <f>1/(H4825*Utilities!$B$11)</f>
        <v>8</v>
      </c>
      <c r="K4825" s="11">
        <f>IF(B4825&lt;C4825,1,EXP(-1*(B4825-C4825)/(Utilities!$B$11*IterData!H4825)))</f>
        <v>1</v>
      </c>
    </row>
    <row r="4826" spans="8:11" x14ac:dyDescent="0.3">
      <c r="H4826">
        <v>0.5</v>
      </c>
      <c r="I4826" s="11">
        <f t="shared" si="75"/>
        <v>0</v>
      </c>
      <c r="J4826" s="11">
        <f>1/(H4826*Utilities!$B$11)</f>
        <v>8</v>
      </c>
      <c r="K4826" s="11">
        <f>IF(B4826&lt;C4826,1,EXP(-1*(B4826-C4826)/(Utilities!$B$11*IterData!H4826)))</f>
        <v>1</v>
      </c>
    </row>
    <row r="4827" spans="8:11" x14ac:dyDescent="0.3">
      <c r="H4827">
        <v>0.5</v>
      </c>
      <c r="I4827" s="11">
        <f t="shared" si="75"/>
        <v>0</v>
      </c>
      <c r="J4827" s="11">
        <f>1/(H4827*Utilities!$B$11)</f>
        <v>8</v>
      </c>
      <c r="K4827" s="11">
        <f>IF(B4827&lt;C4827,1,EXP(-1*(B4827-C4827)/(Utilities!$B$11*IterData!H4827)))</f>
        <v>1</v>
      </c>
    </row>
    <row r="4828" spans="8:11" x14ac:dyDescent="0.3">
      <c r="H4828">
        <v>0.5</v>
      </c>
      <c r="I4828" s="11">
        <f t="shared" si="75"/>
        <v>0</v>
      </c>
      <c r="J4828" s="11">
        <f>1/(H4828*Utilities!$B$11)</f>
        <v>8</v>
      </c>
      <c r="K4828" s="11">
        <f>IF(B4828&lt;C4828,1,EXP(-1*(B4828-C4828)/(Utilities!$B$11*IterData!H4828)))</f>
        <v>1</v>
      </c>
    </row>
    <row r="4829" spans="8:11" x14ac:dyDescent="0.3">
      <c r="H4829">
        <v>0.5</v>
      </c>
      <c r="I4829" s="11">
        <f t="shared" si="75"/>
        <v>0</v>
      </c>
      <c r="J4829" s="11">
        <f>1/(H4829*Utilities!$B$11)</f>
        <v>8</v>
      </c>
      <c r="K4829" s="11">
        <f>IF(B4829&lt;C4829,1,EXP(-1*(B4829-C4829)/(Utilities!$B$11*IterData!H4829)))</f>
        <v>1</v>
      </c>
    </row>
    <row r="4830" spans="8:11" x14ac:dyDescent="0.3">
      <c r="H4830">
        <v>0.5</v>
      </c>
      <c r="I4830" s="11">
        <f t="shared" si="75"/>
        <v>0</v>
      </c>
      <c r="J4830" s="11">
        <f>1/(H4830*Utilities!$B$11)</f>
        <v>8</v>
      </c>
      <c r="K4830" s="11">
        <f>IF(B4830&lt;C4830,1,EXP(-1*(B4830-C4830)/(Utilities!$B$11*IterData!H4830)))</f>
        <v>1</v>
      </c>
    </row>
    <row r="4831" spans="8:11" x14ac:dyDescent="0.3">
      <c r="H4831">
        <v>0.5</v>
      </c>
      <c r="I4831" s="11">
        <f t="shared" si="75"/>
        <v>0</v>
      </c>
      <c r="J4831" s="11">
        <f>1/(H4831*Utilities!$B$11)</f>
        <v>8</v>
      </c>
      <c r="K4831" s="11">
        <f>IF(B4831&lt;C4831,1,EXP(-1*(B4831-C4831)/(Utilities!$B$11*IterData!H4831)))</f>
        <v>1</v>
      </c>
    </row>
    <row r="4832" spans="8:11" x14ac:dyDescent="0.3">
      <c r="H4832">
        <v>0.5</v>
      </c>
      <c r="I4832" s="11">
        <f t="shared" si="75"/>
        <v>0</v>
      </c>
      <c r="J4832" s="11">
        <f>1/(H4832*Utilities!$B$11)</f>
        <v>8</v>
      </c>
      <c r="K4832" s="11">
        <f>IF(B4832&lt;C4832,1,EXP(-1*(B4832-C4832)/(Utilities!$B$11*IterData!H4832)))</f>
        <v>1</v>
      </c>
    </row>
    <row r="4833" spans="8:11" x14ac:dyDescent="0.3">
      <c r="H4833">
        <v>0.5</v>
      </c>
      <c r="I4833" s="11">
        <f t="shared" si="75"/>
        <v>0</v>
      </c>
      <c r="J4833" s="11">
        <f>1/(H4833*Utilities!$B$11)</f>
        <v>8</v>
      </c>
      <c r="K4833" s="11">
        <f>IF(B4833&lt;C4833,1,EXP(-1*(B4833-C4833)/(Utilities!$B$11*IterData!H4833)))</f>
        <v>1</v>
      </c>
    </row>
    <row r="4834" spans="8:11" x14ac:dyDescent="0.3">
      <c r="H4834">
        <v>0.5</v>
      </c>
      <c r="I4834" s="11">
        <f t="shared" si="75"/>
        <v>0</v>
      </c>
      <c r="J4834" s="11">
        <f>1/(H4834*Utilities!$B$11)</f>
        <v>8</v>
      </c>
      <c r="K4834" s="11">
        <f>IF(B4834&lt;C4834,1,EXP(-1*(B4834-C4834)/(Utilities!$B$11*IterData!H4834)))</f>
        <v>1</v>
      </c>
    </row>
    <row r="4835" spans="8:11" x14ac:dyDescent="0.3">
      <c r="H4835">
        <v>0.5</v>
      </c>
      <c r="I4835" s="11">
        <f t="shared" si="75"/>
        <v>0</v>
      </c>
      <c r="J4835" s="11">
        <f>1/(H4835*Utilities!$B$11)</f>
        <v>8</v>
      </c>
      <c r="K4835" s="11">
        <f>IF(B4835&lt;C4835,1,EXP(-1*(B4835-C4835)/(Utilities!$B$11*IterData!H4835)))</f>
        <v>1</v>
      </c>
    </row>
    <row r="4836" spans="8:11" x14ac:dyDescent="0.3">
      <c r="H4836">
        <v>0.5</v>
      </c>
      <c r="I4836" s="11">
        <f t="shared" si="75"/>
        <v>0</v>
      </c>
      <c r="J4836" s="11">
        <f>1/(H4836*Utilities!$B$11)</f>
        <v>8</v>
      </c>
      <c r="K4836" s="11">
        <f>IF(B4836&lt;C4836,1,EXP(-1*(B4836-C4836)/(Utilities!$B$11*IterData!H4836)))</f>
        <v>1</v>
      </c>
    </row>
    <row r="4837" spans="8:11" x14ac:dyDescent="0.3">
      <c r="H4837">
        <v>0.5</v>
      </c>
      <c r="I4837" s="11">
        <f t="shared" si="75"/>
        <v>0</v>
      </c>
      <c r="J4837" s="11">
        <f>1/(H4837*Utilities!$B$11)</f>
        <v>8</v>
      </c>
      <c r="K4837" s="11">
        <f>IF(B4837&lt;C4837,1,EXP(-1*(B4837-C4837)/(Utilities!$B$11*IterData!H4837)))</f>
        <v>1</v>
      </c>
    </row>
    <row r="4838" spans="8:11" x14ac:dyDescent="0.3">
      <c r="H4838">
        <v>0.5</v>
      </c>
      <c r="I4838" s="11">
        <f t="shared" si="75"/>
        <v>0</v>
      </c>
      <c r="J4838" s="11">
        <f>1/(H4838*Utilities!$B$11)</f>
        <v>8</v>
      </c>
      <c r="K4838" s="11">
        <f>IF(B4838&lt;C4838,1,EXP(-1*(B4838-C4838)/(Utilities!$B$11*IterData!H4838)))</f>
        <v>1</v>
      </c>
    </row>
    <row r="4839" spans="8:11" x14ac:dyDescent="0.3">
      <c r="H4839">
        <v>0.5</v>
      </c>
      <c r="I4839" s="11">
        <f t="shared" si="75"/>
        <v>0</v>
      </c>
      <c r="J4839" s="11">
        <f>1/(H4839*Utilities!$B$11)</f>
        <v>8</v>
      </c>
      <c r="K4839" s="11">
        <f>IF(B4839&lt;C4839,1,EXP(-1*(B4839-C4839)/(Utilities!$B$11*IterData!H4839)))</f>
        <v>1</v>
      </c>
    </row>
    <row r="4840" spans="8:11" x14ac:dyDescent="0.3">
      <c r="H4840">
        <v>0.5</v>
      </c>
      <c r="I4840" s="11">
        <f t="shared" si="75"/>
        <v>0</v>
      </c>
      <c r="J4840" s="11">
        <f>1/(H4840*Utilities!$B$11)</f>
        <v>8</v>
      </c>
      <c r="K4840" s="11">
        <f>IF(B4840&lt;C4840,1,EXP(-1*(B4840-C4840)/(Utilities!$B$11*IterData!H4840)))</f>
        <v>1</v>
      </c>
    </row>
    <row r="4841" spans="8:11" x14ac:dyDescent="0.3">
      <c r="H4841">
        <v>0.5</v>
      </c>
      <c r="I4841" s="11">
        <f t="shared" si="75"/>
        <v>0</v>
      </c>
      <c r="J4841" s="11">
        <f>1/(H4841*Utilities!$B$11)</f>
        <v>8</v>
      </c>
      <c r="K4841" s="11">
        <f>IF(B4841&lt;C4841,1,EXP(-1*(B4841-C4841)/(Utilities!$B$11*IterData!H4841)))</f>
        <v>1</v>
      </c>
    </row>
    <row r="4842" spans="8:11" x14ac:dyDescent="0.3">
      <c r="H4842">
        <v>0.5</v>
      </c>
      <c r="I4842" s="11">
        <f t="shared" si="75"/>
        <v>0</v>
      </c>
      <c r="J4842" s="11">
        <f>1/(H4842*Utilities!$B$11)</f>
        <v>8</v>
      </c>
      <c r="K4842" s="11">
        <f>IF(B4842&lt;C4842,1,EXP(-1*(B4842-C4842)/(Utilities!$B$11*IterData!H4842)))</f>
        <v>1</v>
      </c>
    </row>
    <row r="4843" spans="8:11" x14ac:dyDescent="0.3">
      <c r="H4843">
        <v>0.5</v>
      </c>
      <c r="I4843" s="11">
        <f t="shared" si="75"/>
        <v>0</v>
      </c>
      <c r="J4843" s="11">
        <f>1/(H4843*Utilities!$B$11)</f>
        <v>8</v>
      </c>
      <c r="K4843" s="11">
        <f>IF(B4843&lt;C4843,1,EXP(-1*(B4843-C4843)/(Utilities!$B$11*IterData!H4843)))</f>
        <v>1</v>
      </c>
    </row>
    <row r="4844" spans="8:11" x14ac:dyDescent="0.3">
      <c r="H4844">
        <v>0.5</v>
      </c>
      <c r="I4844" s="11">
        <f t="shared" si="75"/>
        <v>0</v>
      </c>
      <c r="J4844" s="11">
        <f>1/(H4844*Utilities!$B$11)</f>
        <v>8</v>
      </c>
      <c r="K4844" s="11">
        <f>IF(B4844&lt;C4844,1,EXP(-1*(B4844-C4844)/(Utilities!$B$11*IterData!H4844)))</f>
        <v>1</v>
      </c>
    </row>
    <row r="4845" spans="8:11" x14ac:dyDescent="0.3">
      <c r="H4845">
        <v>0.5</v>
      </c>
      <c r="I4845" s="11">
        <f t="shared" si="75"/>
        <v>0</v>
      </c>
      <c r="J4845" s="11">
        <f>1/(H4845*Utilities!$B$11)</f>
        <v>8</v>
      </c>
      <c r="K4845" s="11">
        <f>IF(B4845&lt;C4845,1,EXP(-1*(B4845-C4845)/(Utilities!$B$11*IterData!H4845)))</f>
        <v>1</v>
      </c>
    </row>
    <row r="4846" spans="8:11" x14ac:dyDescent="0.3">
      <c r="H4846">
        <v>0.5</v>
      </c>
      <c r="I4846" s="11">
        <f t="shared" si="75"/>
        <v>0</v>
      </c>
      <c r="J4846" s="11">
        <f>1/(H4846*Utilities!$B$11)</f>
        <v>8</v>
      </c>
      <c r="K4846" s="11">
        <f>IF(B4846&lt;C4846,1,EXP(-1*(B4846-C4846)/(Utilities!$B$11*IterData!H4846)))</f>
        <v>1</v>
      </c>
    </row>
    <row r="4847" spans="8:11" x14ac:dyDescent="0.3">
      <c r="H4847">
        <v>0.5</v>
      </c>
      <c r="I4847" s="11">
        <f t="shared" si="75"/>
        <v>0</v>
      </c>
      <c r="J4847" s="11">
        <f>1/(H4847*Utilities!$B$11)</f>
        <v>8</v>
      </c>
      <c r="K4847" s="11">
        <f>IF(B4847&lt;C4847,1,EXP(-1*(B4847-C4847)/(Utilities!$B$11*IterData!H4847)))</f>
        <v>1</v>
      </c>
    </row>
    <row r="4848" spans="8:11" x14ac:dyDescent="0.3">
      <c r="H4848">
        <v>0.5</v>
      </c>
      <c r="I4848" s="11">
        <f t="shared" si="75"/>
        <v>0</v>
      </c>
      <c r="J4848" s="11">
        <f>1/(H4848*Utilities!$B$11)</f>
        <v>8</v>
      </c>
      <c r="K4848" s="11">
        <f>IF(B4848&lt;C4848,1,EXP(-1*(B4848-C4848)/(Utilities!$B$11*IterData!H4848)))</f>
        <v>1</v>
      </c>
    </row>
    <row r="4849" spans="8:11" x14ac:dyDescent="0.3">
      <c r="H4849">
        <v>0.5</v>
      </c>
      <c r="I4849" s="11">
        <f t="shared" si="75"/>
        <v>0</v>
      </c>
      <c r="J4849" s="11">
        <f>1/(H4849*Utilities!$B$11)</f>
        <v>8</v>
      </c>
      <c r="K4849" s="11">
        <f>IF(B4849&lt;C4849,1,EXP(-1*(B4849-C4849)/(Utilities!$B$11*IterData!H4849)))</f>
        <v>1</v>
      </c>
    </row>
    <row r="4850" spans="8:11" x14ac:dyDescent="0.3">
      <c r="H4850">
        <v>0.5</v>
      </c>
      <c r="I4850" s="11">
        <f t="shared" si="75"/>
        <v>0</v>
      </c>
      <c r="J4850" s="11">
        <f>1/(H4850*Utilities!$B$11)</f>
        <v>8</v>
      </c>
      <c r="K4850" s="11">
        <f>IF(B4850&lt;C4850,1,EXP(-1*(B4850-C4850)/(Utilities!$B$11*IterData!H4850)))</f>
        <v>1</v>
      </c>
    </row>
    <row r="4851" spans="8:11" x14ac:dyDescent="0.3">
      <c r="H4851">
        <v>0.5</v>
      </c>
      <c r="I4851" s="11">
        <f t="shared" si="75"/>
        <v>0</v>
      </c>
      <c r="J4851" s="11">
        <f>1/(H4851*Utilities!$B$11)</f>
        <v>8</v>
      </c>
      <c r="K4851" s="11">
        <f>IF(B4851&lt;C4851,1,EXP(-1*(B4851-C4851)/(Utilities!$B$11*IterData!H4851)))</f>
        <v>1</v>
      </c>
    </row>
    <row r="4852" spans="8:11" x14ac:dyDescent="0.3">
      <c r="H4852">
        <v>0.5</v>
      </c>
      <c r="I4852" s="11">
        <f t="shared" si="75"/>
        <v>0</v>
      </c>
      <c r="J4852" s="11">
        <f>1/(H4852*Utilities!$B$11)</f>
        <v>8</v>
      </c>
      <c r="K4852" s="11">
        <f>IF(B4852&lt;C4852,1,EXP(-1*(B4852-C4852)/(Utilities!$B$11*IterData!H4852)))</f>
        <v>1</v>
      </c>
    </row>
    <row r="4853" spans="8:11" x14ac:dyDescent="0.3">
      <c r="H4853">
        <v>0.5</v>
      </c>
      <c r="I4853" s="11">
        <f t="shared" si="75"/>
        <v>0</v>
      </c>
      <c r="J4853" s="11">
        <f>1/(H4853*Utilities!$B$11)</f>
        <v>8</v>
      </c>
      <c r="K4853" s="11">
        <f>IF(B4853&lt;C4853,1,EXP(-1*(B4853-C4853)/(Utilities!$B$11*IterData!H4853)))</f>
        <v>1</v>
      </c>
    </row>
    <row r="4854" spans="8:11" x14ac:dyDescent="0.3">
      <c r="H4854">
        <v>0.5</v>
      </c>
      <c r="I4854" s="11">
        <f t="shared" si="75"/>
        <v>0</v>
      </c>
      <c r="J4854" s="11">
        <f>1/(H4854*Utilities!$B$11)</f>
        <v>8</v>
      </c>
      <c r="K4854" s="11">
        <f>IF(B4854&lt;C4854,1,EXP(-1*(B4854-C4854)/(Utilities!$B$11*IterData!H4854)))</f>
        <v>1</v>
      </c>
    </row>
    <row r="4855" spans="8:11" x14ac:dyDescent="0.3">
      <c r="H4855">
        <v>0.5</v>
      </c>
      <c r="I4855" s="11">
        <f t="shared" si="75"/>
        <v>0</v>
      </c>
      <c r="J4855" s="11">
        <f>1/(H4855*Utilities!$B$11)</f>
        <v>8</v>
      </c>
      <c r="K4855" s="11">
        <f>IF(B4855&lt;C4855,1,EXP(-1*(B4855-C4855)/(Utilities!$B$11*IterData!H4855)))</f>
        <v>1</v>
      </c>
    </row>
    <row r="4856" spans="8:11" x14ac:dyDescent="0.3">
      <c r="H4856">
        <v>0.5</v>
      </c>
      <c r="I4856" s="11">
        <f t="shared" si="75"/>
        <v>0</v>
      </c>
      <c r="J4856" s="11">
        <f>1/(H4856*Utilities!$B$11)</f>
        <v>8</v>
      </c>
      <c r="K4856" s="11">
        <f>IF(B4856&lt;C4856,1,EXP(-1*(B4856-C4856)/(Utilities!$B$11*IterData!H4856)))</f>
        <v>1</v>
      </c>
    </row>
    <row r="4857" spans="8:11" x14ac:dyDescent="0.3">
      <c r="H4857">
        <v>0.5</v>
      </c>
      <c r="I4857" s="11">
        <f t="shared" si="75"/>
        <v>0</v>
      </c>
      <c r="J4857" s="11">
        <f>1/(H4857*Utilities!$B$11)</f>
        <v>8</v>
      </c>
      <c r="K4857" s="11">
        <f>IF(B4857&lt;C4857,1,EXP(-1*(B4857-C4857)/(Utilities!$B$11*IterData!H4857)))</f>
        <v>1</v>
      </c>
    </row>
    <row r="4858" spans="8:11" x14ac:dyDescent="0.3">
      <c r="H4858">
        <v>0.5</v>
      </c>
      <c r="I4858" s="11">
        <f t="shared" si="75"/>
        <v>0</v>
      </c>
      <c r="J4858" s="11">
        <f>1/(H4858*Utilities!$B$11)</f>
        <v>8</v>
      </c>
      <c r="K4858" s="11">
        <f>IF(B4858&lt;C4858,1,EXP(-1*(B4858-C4858)/(Utilities!$B$11*IterData!H4858)))</f>
        <v>1</v>
      </c>
    </row>
    <row r="4859" spans="8:11" x14ac:dyDescent="0.3">
      <c r="H4859">
        <v>0.5</v>
      </c>
      <c r="I4859" s="11">
        <f t="shared" si="75"/>
        <v>0</v>
      </c>
      <c r="J4859" s="11">
        <f>1/(H4859*Utilities!$B$11)</f>
        <v>8</v>
      </c>
      <c r="K4859" s="11">
        <f>IF(B4859&lt;C4859,1,EXP(-1*(B4859-C4859)/(Utilities!$B$11*IterData!H4859)))</f>
        <v>1</v>
      </c>
    </row>
    <row r="4860" spans="8:11" x14ac:dyDescent="0.3">
      <c r="H4860">
        <v>0.5</v>
      </c>
      <c r="I4860" s="11">
        <f t="shared" si="75"/>
        <v>0</v>
      </c>
      <c r="J4860" s="11">
        <f>1/(H4860*Utilities!$B$11)</f>
        <v>8</v>
      </c>
      <c r="K4860" s="11">
        <f>IF(B4860&lt;C4860,1,EXP(-1*(B4860-C4860)/(Utilities!$B$11*IterData!H4860)))</f>
        <v>1</v>
      </c>
    </row>
    <row r="4861" spans="8:11" x14ac:dyDescent="0.3">
      <c r="H4861">
        <v>0.5</v>
      </c>
      <c r="I4861" s="11">
        <f t="shared" si="75"/>
        <v>0</v>
      </c>
      <c r="J4861" s="11">
        <f>1/(H4861*Utilities!$B$11)</f>
        <v>8</v>
      </c>
      <c r="K4861" s="11">
        <f>IF(B4861&lt;C4861,1,EXP(-1*(B4861-C4861)/(Utilities!$B$11*IterData!H4861)))</f>
        <v>1</v>
      </c>
    </row>
    <row r="4862" spans="8:11" x14ac:dyDescent="0.3">
      <c r="H4862">
        <v>0.5</v>
      </c>
      <c r="I4862" s="11">
        <f t="shared" si="75"/>
        <v>0</v>
      </c>
      <c r="J4862" s="11">
        <f>1/(H4862*Utilities!$B$11)</f>
        <v>8</v>
      </c>
      <c r="K4862" s="11">
        <f>IF(B4862&lt;C4862,1,EXP(-1*(B4862-C4862)/(Utilities!$B$11*IterData!H4862)))</f>
        <v>1</v>
      </c>
    </row>
    <row r="4863" spans="8:11" x14ac:dyDescent="0.3">
      <c r="H4863">
        <v>0.5</v>
      </c>
      <c r="I4863" s="11">
        <f t="shared" si="75"/>
        <v>0</v>
      </c>
      <c r="J4863" s="11">
        <f>1/(H4863*Utilities!$B$11)</f>
        <v>8</v>
      </c>
      <c r="K4863" s="11">
        <f>IF(B4863&lt;C4863,1,EXP(-1*(B4863-C4863)/(Utilities!$B$11*IterData!H4863)))</f>
        <v>1</v>
      </c>
    </row>
    <row r="4864" spans="8:11" x14ac:dyDescent="0.3">
      <c r="H4864">
        <v>0.5</v>
      </c>
      <c r="I4864" s="11">
        <f t="shared" si="75"/>
        <v>0</v>
      </c>
      <c r="J4864" s="11">
        <f>1/(H4864*Utilities!$B$11)</f>
        <v>8</v>
      </c>
      <c r="K4864" s="11">
        <f>IF(B4864&lt;C4864,1,EXP(-1*(B4864-C4864)/(Utilities!$B$11*IterData!H4864)))</f>
        <v>1</v>
      </c>
    </row>
    <row r="4865" spans="8:11" x14ac:dyDescent="0.3">
      <c r="H4865">
        <v>0.5</v>
      </c>
      <c r="I4865" s="11">
        <f t="shared" si="75"/>
        <v>0</v>
      </c>
      <c r="J4865" s="11">
        <f>1/(H4865*Utilities!$B$11)</f>
        <v>8</v>
      </c>
      <c r="K4865" s="11">
        <f>IF(B4865&lt;C4865,1,EXP(-1*(B4865-C4865)/(Utilities!$B$11*IterData!H4865)))</f>
        <v>1</v>
      </c>
    </row>
    <row r="4866" spans="8:11" x14ac:dyDescent="0.3">
      <c r="H4866">
        <v>0.5</v>
      </c>
      <c r="I4866" s="11">
        <f t="shared" si="75"/>
        <v>0</v>
      </c>
      <c r="J4866" s="11">
        <f>1/(H4866*Utilities!$B$11)</f>
        <v>8</v>
      </c>
      <c r="K4866" s="11">
        <f>IF(B4866&lt;C4866,1,EXP(-1*(B4866-C4866)/(Utilities!$B$11*IterData!H4866)))</f>
        <v>1</v>
      </c>
    </row>
    <row r="4867" spans="8:11" x14ac:dyDescent="0.3">
      <c r="H4867">
        <v>0.5</v>
      </c>
      <c r="I4867" s="11">
        <f t="shared" ref="I4867:I4930" si="76">B4867-C4867</f>
        <v>0</v>
      </c>
      <c r="J4867" s="11">
        <f>1/(H4867*Utilities!$B$11)</f>
        <v>8</v>
      </c>
      <c r="K4867" s="11">
        <f>IF(B4867&lt;C4867,1,EXP(-1*(B4867-C4867)/(Utilities!$B$11*IterData!H4867)))</f>
        <v>1</v>
      </c>
    </row>
    <row r="4868" spans="8:11" x14ac:dyDescent="0.3">
      <c r="H4868">
        <v>0.5</v>
      </c>
      <c r="I4868" s="11">
        <f t="shared" si="76"/>
        <v>0</v>
      </c>
      <c r="J4868" s="11">
        <f>1/(H4868*Utilities!$B$11)</f>
        <v>8</v>
      </c>
      <c r="K4868" s="11">
        <f>IF(B4868&lt;C4868,1,EXP(-1*(B4868-C4868)/(Utilities!$B$11*IterData!H4868)))</f>
        <v>1</v>
      </c>
    </row>
    <row r="4869" spans="8:11" x14ac:dyDescent="0.3">
      <c r="H4869">
        <v>0.5</v>
      </c>
      <c r="I4869" s="11">
        <f t="shared" si="76"/>
        <v>0</v>
      </c>
      <c r="J4869" s="11">
        <f>1/(H4869*Utilities!$B$11)</f>
        <v>8</v>
      </c>
      <c r="K4869" s="11">
        <f>IF(B4869&lt;C4869,1,EXP(-1*(B4869-C4869)/(Utilities!$B$11*IterData!H4869)))</f>
        <v>1</v>
      </c>
    </row>
    <row r="4870" spans="8:11" x14ac:dyDescent="0.3">
      <c r="H4870">
        <v>0.5</v>
      </c>
      <c r="I4870" s="11">
        <f t="shared" si="76"/>
        <v>0</v>
      </c>
      <c r="J4870" s="11">
        <f>1/(H4870*Utilities!$B$11)</f>
        <v>8</v>
      </c>
      <c r="K4870" s="11">
        <f>IF(B4870&lt;C4870,1,EXP(-1*(B4870-C4870)/(Utilities!$B$11*IterData!H4870)))</f>
        <v>1</v>
      </c>
    </row>
    <row r="4871" spans="8:11" x14ac:dyDescent="0.3">
      <c r="H4871">
        <v>0.5</v>
      </c>
      <c r="I4871" s="11">
        <f t="shared" si="76"/>
        <v>0</v>
      </c>
      <c r="J4871" s="11">
        <f>1/(H4871*Utilities!$B$11)</f>
        <v>8</v>
      </c>
      <c r="K4871" s="11">
        <f>IF(B4871&lt;C4871,1,EXP(-1*(B4871-C4871)/(Utilities!$B$11*IterData!H4871)))</f>
        <v>1</v>
      </c>
    </row>
    <row r="4872" spans="8:11" x14ac:dyDescent="0.3">
      <c r="H4872">
        <v>0.5</v>
      </c>
      <c r="I4872" s="11">
        <f t="shared" si="76"/>
        <v>0</v>
      </c>
      <c r="J4872" s="11">
        <f>1/(H4872*Utilities!$B$11)</f>
        <v>8</v>
      </c>
      <c r="K4872" s="11">
        <f>IF(B4872&lt;C4872,1,EXP(-1*(B4872-C4872)/(Utilities!$B$11*IterData!H4872)))</f>
        <v>1</v>
      </c>
    </row>
    <row r="4873" spans="8:11" x14ac:dyDescent="0.3">
      <c r="H4873">
        <v>0.5</v>
      </c>
      <c r="I4873" s="11">
        <f t="shared" si="76"/>
        <v>0</v>
      </c>
      <c r="J4873" s="11">
        <f>1/(H4873*Utilities!$B$11)</f>
        <v>8</v>
      </c>
      <c r="K4873" s="11">
        <f>IF(B4873&lt;C4873,1,EXP(-1*(B4873-C4873)/(Utilities!$B$11*IterData!H4873)))</f>
        <v>1</v>
      </c>
    </row>
    <row r="4874" spans="8:11" x14ac:dyDescent="0.3">
      <c r="H4874">
        <v>0.5</v>
      </c>
      <c r="I4874" s="11">
        <f t="shared" si="76"/>
        <v>0</v>
      </c>
      <c r="J4874" s="11">
        <f>1/(H4874*Utilities!$B$11)</f>
        <v>8</v>
      </c>
      <c r="K4874" s="11">
        <f>IF(B4874&lt;C4874,1,EXP(-1*(B4874-C4874)/(Utilities!$B$11*IterData!H4874)))</f>
        <v>1</v>
      </c>
    </row>
    <row r="4875" spans="8:11" x14ac:dyDescent="0.3">
      <c r="H4875">
        <v>0.5</v>
      </c>
      <c r="I4875" s="11">
        <f t="shared" si="76"/>
        <v>0</v>
      </c>
      <c r="J4875" s="11">
        <f>1/(H4875*Utilities!$B$11)</f>
        <v>8</v>
      </c>
      <c r="K4875" s="11">
        <f>IF(B4875&lt;C4875,1,EXP(-1*(B4875-C4875)/(Utilities!$B$11*IterData!H4875)))</f>
        <v>1</v>
      </c>
    </row>
    <row r="4876" spans="8:11" x14ac:dyDescent="0.3">
      <c r="H4876">
        <v>0.5</v>
      </c>
      <c r="I4876" s="11">
        <f t="shared" si="76"/>
        <v>0</v>
      </c>
      <c r="J4876" s="11">
        <f>1/(H4876*Utilities!$B$11)</f>
        <v>8</v>
      </c>
      <c r="K4876" s="11">
        <f>IF(B4876&lt;C4876,1,EXP(-1*(B4876-C4876)/(Utilities!$B$11*IterData!H4876)))</f>
        <v>1</v>
      </c>
    </row>
    <row r="4877" spans="8:11" x14ac:dyDescent="0.3">
      <c r="H4877">
        <v>0.5</v>
      </c>
      <c r="I4877" s="11">
        <f t="shared" si="76"/>
        <v>0</v>
      </c>
      <c r="J4877" s="11">
        <f>1/(H4877*Utilities!$B$11)</f>
        <v>8</v>
      </c>
      <c r="K4877" s="11">
        <f>IF(B4877&lt;C4877,1,EXP(-1*(B4877-C4877)/(Utilities!$B$11*IterData!H4877)))</f>
        <v>1</v>
      </c>
    </row>
    <row r="4878" spans="8:11" x14ac:dyDescent="0.3">
      <c r="H4878">
        <v>0.5</v>
      </c>
      <c r="I4878" s="11">
        <f t="shared" si="76"/>
        <v>0</v>
      </c>
      <c r="J4878" s="11">
        <f>1/(H4878*Utilities!$B$11)</f>
        <v>8</v>
      </c>
      <c r="K4878" s="11">
        <f>IF(B4878&lt;C4878,1,EXP(-1*(B4878-C4878)/(Utilities!$B$11*IterData!H4878)))</f>
        <v>1</v>
      </c>
    </row>
    <row r="4879" spans="8:11" x14ac:dyDescent="0.3">
      <c r="H4879">
        <v>0.5</v>
      </c>
      <c r="I4879" s="11">
        <f t="shared" si="76"/>
        <v>0</v>
      </c>
      <c r="J4879" s="11">
        <f>1/(H4879*Utilities!$B$11)</f>
        <v>8</v>
      </c>
      <c r="K4879" s="11">
        <f>IF(B4879&lt;C4879,1,EXP(-1*(B4879-C4879)/(Utilities!$B$11*IterData!H4879)))</f>
        <v>1</v>
      </c>
    </row>
    <row r="4880" spans="8:11" x14ac:dyDescent="0.3">
      <c r="H4880">
        <v>0.5</v>
      </c>
      <c r="I4880" s="11">
        <f t="shared" si="76"/>
        <v>0</v>
      </c>
      <c r="J4880" s="11">
        <f>1/(H4880*Utilities!$B$11)</f>
        <v>8</v>
      </c>
      <c r="K4880" s="11">
        <f>IF(B4880&lt;C4880,1,EXP(-1*(B4880-C4880)/(Utilities!$B$11*IterData!H4880)))</f>
        <v>1</v>
      </c>
    </row>
    <row r="4881" spans="8:11" x14ac:dyDescent="0.3">
      <c r="H4881">
        <v>0.5</v>
      </c>
      <c r="I4881" s="11">
        <f t="shared" si="76"/>
        <v>0</v>
      </c>
      <c r="J4881" s="11">
        <f>1/(H4881*Utilities!$B$11)</f>
        <v>8</v>
      </c>
      <c r="K4881" s="11">
        <f>IF(B4881&lt;C4881,1,EXP(-1*(B4881-C4881)/(Utilities!$B$11*IterData!H4881)))</f>
        <v>1</v>
      </c>
    </row>
    <row r="4882" spans="8:11" x14ac:dyDescent="0.3">
      <c r="H4882">
        <v>0.5</v>
      </c>
      <c r="I4882" s="11">
        <f t="shared" si="76"/>
        <v>0</v>
      </c>
      <c r="J4882" s="11">
        <f>1/(H4882*Utilities!$B$11)</f>
        <v>8</v>
      </c>
      <c r="K4882" s="11">
        <f>IF(B4882&lt;C4882,1,EXP(-1*(B4882-C4882)/(Utilities!$B$11*IterData!H4882)))</f>
        <v>1</v>
      </c>
    </row>
    <row r="4883" spans="8:11" x14ac:dyDescent="0.3">
      <c r="H4883">
        <v>0.5</v>
      </c>
      <c r="I4883" s="11">
        <f t="shared" si="76"/>
        <v>0</v>
      </c>
      <c r="J4883" s="11">
        <f>1/(H4883*Utilities!$B$11)</f>
        <v>8</v>
      </c>
      <c r="K4883" s="11">
        <f>IF(B4883&lt;C4883,1,EXP(-1*(B4883-C4883)/(Utilities!$B$11*IterData!H4883)))</f>
        <v>1</v>
      </c>
    </row>
    <row r="4884" spans="8:11" x14ac:dyDescent="0.3">
      <c r="H4884">
        <v>0.5</v>
      </c>
      <c r="I4884" s="11">
        <f t="shared" si="76"/>
        <v>0</v>
      </c>
      <c r="J4884" s="11">
        <f>1/(H4884*Utilities!$B$11)</f>
        <v>8</v>
      </c>
      <c r="K4884" s="11">
        <f>IF(B4884&lt;C4884,1,EXP(-1*(B4884-C4884)/(Utilities!$B$11*IterData!H4884)))</f>
        <v>1</v>
      </c>
    </row>
    <row r="4885" spans="8:11" x14ac:dyDescent="0.3">
      <c r="H4885">
        <v>0.5</v>
      </c>
      <c r="I4885" s="11">
        <f t="shared" si="76"/>
        <v>0</v>
      </c>
      <c r="J4885" s="11">
        <f>1/(H4885*Utilities!$B$11)</f>
        <v>8</v>
      </c>
      <c r="K4885" s="11">
        <f>IF(B4885&lt;C4885,1,EXP(-1*(B4885-C4885)/(Utilities!$B$11*IterData!H4885)))</f>
        <v>1</v>
      </c>
    </row>
    <row r="4886" spans="8:11" x14ac:dyDescent="0.3">
      <c r="H4886">
        <v>0.5</v>
      </c>
      <c r="I4886" s="11">
        <f t="shared" si="76"/>
        <v>0</v>
      </c>
      <c r="J4886" s="11">
        <f>1/(H4886*Utilities!$B$11)</f>
        <v>8</v>
      </c>
      <c r="K4886" s="11">
        <f>IF(B4886&lt;C4886,1,EXP(-1*(B4886-C4886)/(Utilities!$B$11*IterData!H4886)))</f>
        <v>1</v>
      </c>
    </row>
    <row r="4887" spans="8:11" x14ac:dyDescent="0.3">
      <c r="H4887">
        <v>0.5</v>
      </c>
      <c r="I4887" s="11">
        <f t="shared" si="76"/>
        <v>0</v>
      </c>
      <c r="J4887" s="11">
        <f>1/(H4887*Utilities!$B$11)</f>
        <v>8</v>
      </c>
      <c r="K4887" s="11">
        <f>IF(B4887&lt;C4887,1,EXP(-1*(B4887-C4887)/(Utilities!$B$11*IterData!H4887)))</f>
        <v>1</v>
      </c>
    </row>
    <row r="4888" spans="8:11" x14ac:dyDescent="0.3">
      <c r="H4888">
        <v>0.5</v>
      </c>
      <c r="I4888" s="11">
        <f t="shared" si="76"/>
        <v>0</v>
      </c>
      <c r="J4888" s="11">
        <f>1/(H4888*Utilities!$B$11)</f>
        <v>8</v>
      </c>
      <c r="K4888" s="11">
        <f>IF(B4888&lt;C4888,1,EXP(-1*(B4888-C4888)/(Utilities!$B$11*IterData!H4888)))</f>
        <v>1</v>
      </c>
    </row>
    <row r="4889" spans="8:11" x14ac:dyDescent="0.3">
      <c r="H4889">
        <v>0.5</v>
      </c>
      <c r="I4889" s="11">
        <f t="shared" si="76"/>
        <v>0</v>
      </c>
      <c r="J4889" s="11">
        <f>1/(H4889*Utilities!$B$11)</f>
        <v>8</v>
      </c>
      <c r="K4889" s="11">
        <f>IF(B4889&lt;C4889,1,EXP(-1*(B4889-C4889)/(Utilities!$B$11*IterData!H4889)))</f>
        <v>1</v>
      </c>
    </row>
    <row r="4890" spans="8:11" x14ac:dyDescent="0.3">
      <c r="H4890">
        <v>0.5</v>
      </c>
      <c r="I4890" s="11">
        <f t="shared" si="76"/>
        <v>0</v>
      </c>
      <c r="J4890" s="11">
        <f>1/(H4890*Utilities!$B$11)</f>
        <v>8</v>
      </c>
      <c r="K4890" s="11">
        <f>IF(B4890&lt;C4890,1,EXP(-1*(B4890-C4890)/(Utilities!$B$11*IterData!H4890)))</f>
        <v>1</v>
      </c>
    </row>
    <row r="4891" spans="8:11" x14ac:dyDescent="0.3">
      <c r="H4891">
        <v>0.5</v>
      </c>
      <c r="I4891" s="11">
        <f t="shared" si="76"/>
        <v>0</v>
      </c>
      <c r="J4891" s="11">
        <f>1/(H4891*Utilities!$B$11)</f>
        <v>8</v>
      </c>
      <c r="K4891" s="11">
        <f>IF(B4891&lt;C4891,1,EXP(-1*(B4891-C4891)/(Utilities!$B$11*IterData!H4891)))</f>
        <v>1</v>
      </c>
    </row>
    <row r="4892" spans="8:11" x14ac:dyDescent="0.3">
      <c r="H4892">
        <v>0.5</v>
      </c>
      <c r="I4892" s="11">
        <f t="shared" si="76"/>
        <v>0</v>
      </c>
      <c r="J4892" s="11">
        <f>1/(H4892*Utilities!$B$11)</f>
        <v>8</v>
      </c>
      <c r="K4892" s="11">
        <f>IF(B4892&lt;C4892,1,EXP(-1*(B4892-C4892)/(Utilities!$B$11*IterData!H4892)))</f>
        <v>1</v>
      </c>
    </row>
    <row r="4893" spans="8:11" x14ac:dyDescent="0.3">
      <c r="H4893">
        <v>0.5</v>
      </c>
      <c r="I4893" s="11">
        <f t="shared" si="76"/>
        <v>0</v>
      </c>
      <c r="J4893" s="11">
        <f>1/(H4893*Utilities!$B$11)</f>
        <v>8</v>
      </c>
      <c r="K4893" s="11">
        <f>IF(B4893&lt;C4893,1,EXP(-1*(B4893-C4893)/(Utilities!$B$11*IterData!H4893)))</f>
        <v>1</v>
      </c>
    </row>
    <row r="4894" spans="8:11" x14ac:dyDescent="0.3">
      <c r="H4894">
        <v>0.5</v>
      </c>
      <c r="I4894" s="11">
        <f t="shared" si="76"/>
        <v>0</v>
      </c>
      <c r="J4894" s="11">
        <f>1/(H4894*Utilities!$B$11)</f>
        <v>8</v>
      </c>
      <c r="K4894" s="11">
        <f>IF(B4894&lt;C4894,1,EXP(-1*(B4894-C4894)/(Utilities!$B$11*IterData!H4894)))</f>
        <v>1</v>
      </c>
    </row>
    <row r="4895" spans="8:11" x14ac:dyDescent="0.3">
      <c r="H4895">
        <v>0.5</v>
      </c>
      <c r="I4895" s="11">
        <f t="shared" si="76"/>
        <v>0</v>
      </c>
      <c r="J4895" s="11">
        <f>1/(H4895*Utilities!$B$11)</f>
        <v>8</v>
      </c>
      <c r="K4895" s="11">
        <f>IF(B4895&lt;C4895,1,EXP(-1*(B4895-C4895)/(Utilities!$B$11*IterData!H4895)))</f>
        <v>1</v>
      </c>
    </row>
    <row r="4896" spans="8:11" x14ac:dyDescent="0.3">
      <c r="H4896">
        <v>0.5</v>
      </c>
      <c r="I4896" s="11">
        <f t="shared" si="76"/>
        <v>0</v>
      </c>
      <c r="J4896" s="11">
        <f>1/(H4896*Utilities!$B$11)</f>
        <v>8</v>
      </c>
      <c r="K4896" s="11">
        <f>IF(B4896&lt;C4896,1,EXP(-1*(B4896-C4896)/(Utilities!$B$11*IterData!H4896)))</f>
        <v>1</v>
      </c>
    </row>
    <row r="4897" spans="8:11" x14ac:dyDescent="0.3">
      <c r="H4897">
        <v>0.5</v>
      </c>
      <c r="I4897" s="11">
        <f t="shared" si="76"/>
        <v>0</v>
      </c>
      <c r="J4897" s="11">
        <f>1/(H4897*Utilities!$B$11)</f>
        <v>8</v>
      </c>
      <c r="K4897" s="11">
        <f>IF(B4897&lt;C4897,1,EXP(-1*(B4897-C4897)/(Utilities!$B$11*IterData!H4897)))</f>
        <v>1</v>
      </c>
    </row>
    <row r="4898" spans="8:11" x14ac:dyDescent="0.3">
      <c r="H4898">
        <v>0.5</v>
      </c>
      <c r="I4898" s="11">
        <f t="shared" si="76"/>
        <v>0</v>
      </c>
      <c r="J4898" s="11">
        <f>1/(H4898*Utilities!$B$11)</f>
        <v>8</v>
      </c>
      <c r="K4898" s="11">
        <f>IF(B4898&lt;C4898,1,EXP(-1*(B4898-C4898)/(Utilities!$B$11*IterData!H4898)))</f>
        <v>1</v>
      </c>
    </row>
    <row r="4899" spans="8:11" x14ac:dyDescent="0.3">
      <c r="H4899">
        <v>0.5</v>
      </c>
      <c r="I4899" s="11">
        <f t="shared" si="76"/>
        <v>0</v>
      </c>
      <c r="J4899" s="11">
        <f>1/(H4899*Utilities!$B$11)</f>
        <v>8</v>
      </c>
      <c r="K4899" s="11">
        <f>IF(B4899&lt;C4899,1,EXP(-1*(B4899-C4899)/(Utilities!$B$11*IterData!H4899)))</f>
        <v>1</v>
      </c>
    </row>
    <row r="4900" spans="8:11" x14ac:dyDescent="0.3">
      <c r="H4900">
        <v>0.5</v>
      </c>
      <c r="I4900" s="11">
        <f t="shared" si="76"/>
        <v>0</v>
      </c>
      <c r="J4900" s="11">
        <f>1/(H4900*Utilities!$B$11)</f>
        <v>8</v>
      </c>
      <c r="K4900" s="11">
        <f>IF(B4900&lt;C4900,1,EXP(-1*(B4900-C4900)/(Utilities!$B$11*IterData!H4900)))</f>
        <v>1</v>
      </c>
    </row>
    <row r="4901" spans="8:11" x14ac:dyDescent="0.3">
      <c r="H4901">
        <v>0.5</v>
      </c>
      <c r="I4901" s="11">
        <f t="shared" si="76"/>
        <v>0</v>
      </c>
      <c r="J4901" s="11">
        <f>1/(H4901*Utilities!$B$11)</f>
        <v>8</v>
      </c>
      <c r="K4901" s="11">
        <f>IF(B4901&lt;C4901,1,EXP(-1*(B4901-C4901)/(Utilities!$B$11*IterData!H4901)))</f>
        <v>1</v>
      </c>
    </row>
    <row r="4902" spans="8:11" x14ac:dyDescent="0.3">
      <c r="H4902">
        <v>0.5</v>
      </c>
      <c r="I4902" s="11">
        <f t="shared" si="76"/>
        <v>0</v>
      </c>
      <c r="J4902" s="11">
        <f>1/(H4902*Utilities!$B$11)</f>
        <v>8</v>
      </c>
      <c r="K4902" s="11">
        <f>IF(B4902&lt;C4902,1,EXP(-1*(B4902-C4902)/(Utilities!$B$11*IterData!H4902)))</f>
        <v>1</v>
      </c>
    </row>
    <row r="4903" spans="8:11" x14ac:dyDescent="0.3">
      <c r="H4903">
        <v>0.5</v>
      </c>
      <c r="I4903" s="11">
        <f t="shared" si="76"/>
        <v>0</v>
      </c>
      <c r="J4903" s="11">
        <f>1/(H4903*Utilities!$B$11)</f>
        <v>8</v>
      </c>
      <c r="K4903" s="11">
        <f>IF(B4903&lt;C4903,1,EXP(-1*(B4903-C4903)/(Utilities!$B$11*IterData!H4903)))</f>
        <v>1</v>
      </c>
    </row>
    <row r="4904" spans="8:11" x14ac:dyDescent="0.3">
      <c r="H4904">
        <v>0.5</v>
      </c>
      <c r="I4904" s="11">
        <f t="shared" si="76"/>
        <v>0</v>
      </c>
      <c r="J4904" s="11">
        <f>1/(H4904*Utilities!$B$11)</f>
        <v>8</v>
      </c>
      <c r="K4904" s="11">
        <f>IF(B4904&lt;C4904,1,EXP(-1*(B4904-C4904)/(Utilities!$B$11*IterData!H4904)))</f>
        <v>1</v>
      </c>
    </row>
    <row r="4905" spans="8:11" x14ac:dyDescent="0.3">
      <c r="H4905">
        <v>0.5</v>
      </c>
      <c r="I4905" s="11">
        <f t="shared" si="76"/>
        <v>0</v>
      </c>
      <c r="J4905" s="11">
        <f>1/(H4905*Utilities!$B$11)</f>
        <v>8</v>
      </c>
      <c r="K4905" s="11">
        <f>IF(B4905&lt;C4905,1,EXP(-1*(B4905-C4905)/(Utilities!$B$11*IterData!H4905)))</f>
        <v>1</v>
      </c>
    </row>
    <row r="4906" spans="8:11" x14ac:dyDescent="0.3">
      <c r="H4906">
        <v>0.5</v>
      </c>
      <c r="I4906" s="11">
        <f t="shared" si="76"/>
        <v>0</v>
      </c>
      <c r="J4906" s="11">
        <f>1/(H4906*Utilities!$B$11)</f>
        <v>8</v>
      </c>
      <c r="K4906" s="11">
        <f>IF(B4906&lt;C4906,1,EXP(-1*(B4906-C4906)/(Utilities!$B$11*IterData!H4906)))</f>
        <v>1</v>
      </c>
    </row>
    <row r="4907" spans="8:11" x14ac:dyDescent="0.3">
      <c r="H4907">
        <v>0.5</v>
      </c>
      <c r="I4907" s="11">
        <f t="shared" si="76"/>
        <v>0</v>
      </c>
      <c r="J4907" s="11">
        <f>1/(H4907*Utilities!$B$11)</f>
        <v>8</v>
      </c>
      <c r="K4907" s="11">
        <f>IF(B4907&lt;C4907,1,EXP(-1*(B4907-C4907)/(Utilities!$B$11*IterData!H4907)))</f>
        <v>1</v>
      </c>
    </row>
    <row r="4908" spans="8:11" x14ac:dyDescent="0.3">
      <c r="H4908">
        <v>0.5</v>
      </c>
      <c r="I4908" s="11">
        <f t="shared" si="76"/>
        <v>0</v>
      </c>
      <c r="J4908" s="11">
        <f>1/(H4908*Utilities!$B$11)</f>
        <v>8</v>
      </c>
      <c r="K4908" s="11">
        <f>IF(B4908&lt;C4908,1,EXP(-1*(B4908-C4908)/(Utilities!$B$11*IterData!H4908)))</f>
        <v>1</v>
      </c>
    </row>
    <row r="4909" spans="8:11" x14ac:dyDescent="0.3">
      <c r="H4909">
        <v>0.5</v>
      </c>
      <c r="I4909" s="11">
        <f t="shared" si="76"/>
        <v>0</v>
      </c>
      <c r="J4909" s="11">
        <f>1/(H4909*Utilities!$B$11)</f>
        <v>8</v>
      </c>
      <c r="K4909" s="11">
        <f>IF(B4909&lt;C4909,1,EXP(-1*(B4909-C4909)/(Utilities!$B$11*IterData!H4909)))</f>
        <v>1</v>
      </c>
    </row>
    <row r="4910" spans="8:11" x14ac:dyDescent="0.3">
      <c r="H4910">
        <v>0.5</v>
      </c>
      <c r="I4910" s="11">
        <f t="shared" si="76"/>
        <v>0</v>
      </c>
      <c r="J4910" s="11">
        <f>1/(H4910*Utilities!$B$11)</f>
        <v>8</v>
      </c>
      <c r="K4910" s="11">
        <f>IF(B4910&lt;C4910,1,EXP(-1*(B4910-C4910)/(Utilities!$B$11*IterData!H4910)))</f>
        <v>1</v>
      </c>
    </row>
    <row r="4911" spans="8:11" x14ac:dyDescent="0.3">
      <c r="H4911">
        <v>0.5</v>
      </c>
      <c r="I4911" s="11">
        <f t="shared" si="76"/>
        <v>0</v>
      </c>
      <c r="J4911" s="11">
        <f>1/(H4911*Utilities!$B$11)</f>
        <v>8</v>
      </c>
      <c r="K4911" s="11">
        <f>IF(B4911&lt;C4911,1,EXP(-1*(B4911-C4911)/(Utilities!$B$11*IterData!H4911)))</f>
        <v>1</v>
      </c>
    </row>
    <row r="4912" spans="8:11" x14ac:dyDescent="0.3">
      <c r="H4912">
        <v>0.5</v>
      </c>
      <c r="I4912" s="11">
        <f t="shared" si="76"/>
        <v>0</v>
      </c>
      <c r="J4912" s="11">
        <f>1/(H4912*Utilities!$B$11)</f>
        <v>8</v>
      </c>
      <c r="K4912" s="11">
        <f>IF(B4912&lt;C4912,1,EXP(-1*(B4912-C4912)/(Utilities!$B$11*IterData!H4912)))</f>
        <v>1</v>
      </c>
    </row>
    <row r="4913" spans="8:11" x14ac:dyDescent="0.3">
      <c r="H4913">
        <v>0.5</v>
      </c>
      <c r="I4913" s="11">
        <f t="shared" si="76"/>
        <v>0</v>
      </c>
      <c r="J4913" s="11">
        <f>1/(H4913*Utilities!$B$11)</f>
        <v>8</v>
      </c>
      <c r="K4913" s="11">
        <f>IF(B4913&lt;C4913,1,EXP(-1*(B4913-C4913)/(Utilities!$B$11*IterData!H4913)))</f>
        <v>1</v>
      </c>
    </row>
    <row r="4914" spans="8:11" x14ac:dyDescent="0.3">
      <c r="H4914">
        <v>0.5</v>
      </c>
      <c r="I4914" s="11">
        <f t="shared" si="76"/>
        <v>0</v>
      </c>
      <c r="J4914" s="11">
        <f>1/(H4914*Utilities!$B$11)</f>
        <v>8</v>
      </c>
      <c r="K4914" s="11">
        <f>IF(B4914&lt;C4914,1,EXP(-1*(B4914-C4914)/(Utilities!$B$11*IterData!H4914)))</f>
        <v>1</v>
      </c>
    </row>
    <row r="4915" spans="8:11" x14ac:dyDescent="0.3">
      <c r="H4915">
        <v>0.5</v>
      </c>
      <c r="I4915" s="11">
        <f t="shared" si="76"/>
        <v>0</v>
      </c>
      <c r="J4915" s="11">
        <f>1/(H4915*Utilities!$B$11)</f>
        <v>8</v>
      </c>
      <c r="K4915" s="11">
        <f>IF(B4915&lt;C4915,1,EXP(-1*(B4915-C4915)/(Utilities!$B$11*IterData!H4915)))</f>
        <v>1</v>
      </c>
    </row>
    <row r="4916" spans="8:11" x14ac:dyDescent="0.3">
      <c r="H4916">
        <v>0.5</v>
      </c>
      <c r="I4916" s="11">
        <f t="shared" si="76"/>
        <v>0</v>
      </c>
      <c r="J4916" s="11">
        <f>1/(H4916*Utilities!$B$11)</f>
        <v>8</v>
      </c>
      <c r="K4916" s="11">
        <f>IF(B4916&lt;C4916,1,EXP(-1*(B4916-C4916)/(Utilities!$B$11*IterData!H4916)))</f>
        <v>1</v>
      </c>
    </row>
    <row r="4917" spans="8:11" x14ac:dyDescent="0.3">
      <c r="H4917">
        <v>0.5</v>
      </c>
      <c r="I4917" s="11">
        <f t="shared" si="76"/>
        <v>0</v>
      </c>
      <c r="J4917" s="11">
        <f>1/(H4917*Utilities!$B$11)</f>
        <v>8</v>
      </c>
      <c r="K4917" s="11">
        <f>IF(B4917&lt;C4917,1,EXP(-1*(B4917-C4917)/(Utilities!$B$11*IterData!H4917)))</f>
        <v>1</v>
      </c>
    </row>
    <row r="4918" spans="8:11" x14ac:dyDescent="0.3">
      <c r="H4918">
        <v>0.5</v>
      </c>
      <c r="I4918" s="11">
        <f t="shared" si="76"/>
        <v>0</v>
      </c>
      <c r="J4918" s="11">
        <f>1/(H4918*Utilities!$B$11)</f>
        <v>8</v>
      </c>
      <c r="K4918" s="11">
        <f>IF(B4918&lt;C4918,1,EXP(-1*(B4918-C4918)/(Utilities!$B$11*IterData!H4918)))</f>
        <v>1</v>
      </c>
    </row>
    <row r="4919" spans="8:11" x14ac:dyDescent="0.3">
      <c r="H4919">
        <v>0.5</v>
      </c>
      <c r="I4919" s="11">
        <f t="shared" si="76"/>
        <v>0</v>
      </c>
      <c r="J4919" s="11">
        <f>1/(H4919*Utilities!$B$11)</f>
        <v>8</v>
      </c>
      <c r="K4919" s="11">
        <f>IF(B4919&lt;C4919,1,EXP(-1*(B4919-C4919)/(Utilities!$B$11*IterData!H4919)))</f>
        <v>1</v>
      </c>
    </row>
    <row r="4920" spans="8:11" x14ac:dyDescent="0.3">
      <c r="H4920">
        <v>0.5</v>
      </c>
      <c r="I4920" s="11">
        <f t="shared" si="76"/>
        <v>0</v>
      </c>
      <c r="J4920" s="11">
        <f>1/(H4920*Utilities!$B$11)</f>
        <v>8</v>
      </c>
      <c r="K4920" s="11">
        <f>IF(B4920&lt;C4920,1,EXP(-1*(B4920-C4920)/(Utilities!$B$11*IterData!H4920)))</f>
        <v>1</v>
      </c>
    </row>
    <row r="4921" spans="8:11" x14ac:dyDescent="0.3">
      <c r="H4921">
        <v>0.5</v>
      </c>
      <c r="I4921" s="11">
        <f t="shared" si="76"/>
        <v>0</v>
      </c>
      <c r="J4921" s="11">
        <f>1/(H4921*Utilities!$B$11)</f>
        <v>8</v>
      </c>
      <c r="K4921" s="11">
        <f>IF(B4921&lt;C4921,1,EXP(-1*(B4921-C4921)/(Utilities!$B$11*IterData!H4921)))</f>
        <v>1</v>
      </c>
    </row>
    <row r="4922" spans="8:11" x14ac:dyDescent="0.3">
      <c r="H4922">
        <v>0.5</v>
      </c>
      <c r="I4922" s="11">
        <f t="shared" si="76"/>
        <v>0</v>
      </c>
      <c r="J4922" s="11">
        <f>1/(H4922*Utilities!$B$11)</f>
        <v>8</v>
      </c>
      <c r="K4922" s="11">
        <f>IF(B4922&lt;C4922,1,EXP(-1*(B4922-C4922)/(Utilities!$B$11*IterData!H4922)))</f>
        <v>1</v>
      </c>
    </row>
    <row r="4923" spans="8:11" x14ac:dyDescent="0.3">
      <c r="H4923">
        <v>0.5</v>
      </c>
      <c r="I4923" s="11">
        <f t="shared" si="76"/>
        <v>0</v>
      </c>
      <c r="J4923" s="11">
        <f>1/(H4923*Utilities!$B$11)</f>
        <v>8</v>
      </c>
      <c r="K4923" s="11">
        <f>IF(B4923&lt;C4923,1,EXP(-1*(B4923-C4923)/(Utilities!$B$11*IterData!H4923)))</f>
        <v>1</v>
      </c>
    </row>
    <row r="4924" spans="8:11" x14ac:dyDescent="0.3">
      <c r="H4924">
        <v>0.5</v>
      </c>
      <c r="I4924" s="11">
        <f t="shared" si="76"/>
        <v>0</v>
      </c>
      <c r="J4924" s="11">
        <f>1/(H4924*Utilities!$B$11)</f>
        <v>8</v>
      </c>
      <c r="K4924" s="11">
        <f>IF(B4924&lt;C4924,1,EXP(-1*(B4924-C4924)/(Utilities!$B$11*IterData!H4924)))</f>
        <v>1</v>
      </c>
    </row>
    <row r="4925" spans="8:11" x14ac:dyDescent="0.3">
      <c r="H4925">
        <v>0.5</v>
      </c>
      <c r="I4925" s="11">
        <f t="shared" si="76"/>
        <v>0</v>
      </c>
      <c r="J4925" s="11">
        <f>1/(H4925*Utilities!$B$11)</f>
        <v>8</v>
      </c>
      <c r="K4925" s="11">
        <f>IF(B4925&lt;C4925,1,EXP(-1*(B4925-C4925)/(Utilities!$B$11*IterData!H4925)))</f>
        <v>1</v>
      </c>
    </row>
    <row r="4926" spans="8:11" x14ac:dyDescent="0.3">
      <c r="H4926">
        <v>0.5</v>
      </c>
      <c r="I4926" s="11">
        <f t="shared" si="76"/>
        <v>0</v>
      </c>
      <c r="J4926" s="11">
        <f>1/(H4926*Utilities!$B$11)</f>
        <v>8</v>
      </c>
      <c r="K4926" s="11">
        <f>IF(B4926&lt;C4926,1,EXP(-1*(B4926-C4926)/(Utilities!$B$11*IterData!H4926)))</f>
        <v>1</v>
      </c>
    </row>
    <row r="4927" spans="8:11" x14ac:dyDescent="0.3">
      <c r="H4927">
        <v>0.5</v>
      </c>
      <c r="I4927" s="11">
        <f t="shared" si="76"/>
        <v>0</v>
      </c>
      <c r="J4927" s="11">
        <f>1/(H4927*Utilities!$B$11)</f>
        <v>8</v>
      </c>
      <c r="K4927" s="11">
        <f>IF(B4927&lt;C4927,1,EXP(-1*(B4927-C4927)/(Utilities!$B$11*IterData!H4927)))</f>
        <v>1</v>
      </c>
    </row>
    <row r="4928" spans="8:11" x14ac:dyDescent="0.3">
      <c r="H4928">
        <v>0.5</v>
      </c>
      <c r="I4928" s="11">
        <f t="shared" si="76"/>
        <v>0</v>
      </c>
      <c r="J4928" s="11">
        <f>1/(H4928*Utilities!$B$11)</f>
        <v>8</v>
      </c>
      <c r="K4928" s="11">
        <f>IF(B4928&lt;C4928,1,EXP(-1*(B4928-C4928)/(Utilities!$B$11*IterData!H4928)))</f>
        <v>1</v>
      </c>
    </row>
    <row r="4929" spans="8:11" x14ac:dyDescent="0.3">
      <c r="H4929">
        <v>0.5</v>
      </c>
      <c r="I4929" s="11">
        <f t="shared" si="76"/>
        <v>0</v>
      </c>
      <c r="J4929" s="11">
        <f>1/(H4929*Utilities!$B$11)</f>
        <v>8</v>
      </c>
      <c r="K4929" s="11">
        <f>IF(B4929&lt;C4929,1,EXP(-1*(B4929-C4929)/(Utilities!$B$11*IterData!H4929)))</f>
        <v>1</v>
      </c>
    </row>
    <row r="4930" spans="8:11" x14ac:dyDescent="0.3">
      <c r="H4930">
        <v>0.5</v>
      </c>
      <c r="I4930" s="11">
        <f t="shared" si="76"/>
        <v>0</v>
      </c>
      <c r="J4930" s="11">
        <f>1/(H4930*Utilities!$B$11)</f>
        <v>8</v>
      </c>
      <c r="K4930" s="11">
        <f>IF(B4930&lt;C4930,1,EXP(-1*(B4930-C4930)/(Utilities!$B$11*IterData!H4930)))</f>
        <v>1</v>
      </c>
    </row>
    <row r="4931" spans="8:11" x14ac:dyDescent="0.3">
      <c r="H4931">
        <v>0.5</v>
      </c>
      <c r="I4931" s="11">
        <f t="shared" ref="I4931:I4994" si="77">B4931-C4931</f>
        <v>0</v>
      </c>
      <c r="J4931" s="11">
        <f>1/(H4931*Utilities!$B$11)</f>
        <v>8</v>
      </c>
      <c r="K4931" s="11">
        <f>IF(B4931&lt;C4931,1,EXP(-1*(B4931-C4931)/(Utilities!$B$11*IterData!H4931)))</f>
        <v>1</v>
      </c>
    </row>
    <row r="4932" spans="8:11" x14ac:dyDescent="0.3">
      <c r="H4932">
        <v>0.5</v>
      </c>
      <c r="I4932" s="11">
        <f t="shared" si="77"/>
        <v>0</v>
      </c>
      <c r="J4932" s="11">
        <f>1/(H4932*Utilities!$B$11)</f>
        <v>8</v>
      </c>
      <c r="K4932" s="11">
        <f>IF(B4932&lt;C4932,1,EXP(-1*(B4932-C4932)/(Utilities!$B$11*IterData!H4932)))</f>
        <v>1</v>
      </c>
    </row>
    <row r="4933" spans="8:11" x14ac:dyDescent="0.3">
      <c r="H4933">
        <v>0.5</v>
      </c>
      <c r="I4933" s="11">
        <f t="shared" si="77"/>
        <v>0</v>
      </c>
      <c r="J4933" s="11">
        <f>1/(H4933*Utilities!$B$11)</f>
        <v>8</v>
      </c>
      <c r="K4933" s="11">
        <f>IF(B4933&lt;C4933,1,EXP(-1*(B4933-C4933)/(Utilities!$B$11*IterData!H4933)))</f>
        <v>1</v>
      </c>
    </row>
    <row r="4934" spans="8:11" x14ac:dyDescent="0.3">
      <c r="H4934">
        <v>0.5</v>
      </c>
      <c r="I4934" s="11">
        <f t="shared" si="77"/>
        <v>0</v>
      </c>
      <c r="J4934" s="11">
        <f>1/(H4934*Utilities!$B$11)</f>
        <v>8</v>
      </c>
      <c r="K4934" s="11">
        <f>IF(B4934&lt;C4934,1,EXP(-1*(B4934-C4934)/(Utilities!$B$11*IterData!H4934)))</f>
        <v>1</v>
      </c>
    </row>
    <row r="4935" spans="8:11" x14ac:dyDescent="0.3">
      <c r="H4935">
        <v>0.5</v>
      </c>
      <c r="I4935" s="11">
        <f t="shared" si="77"/>
        <v>0</v>
      </c>
      <c r="J4935" s="11">
        <f>1/(H4935*Utilities!$B$11)</f>
        <v>8</v>
      </c>
      <c r="K4935" s="11">
        <f>IF(B4935&lt;C4935,1,EXP(-1*(B4935-C4935)/(Utilities!$B$11*IterData!H4935)))</f>
        <v>1</v>
      </c>
    </row>
    <row r="4936" spans="8:11" x14ac:dyDescent="0.3">
      <c r="H4936">
        <v>0.5</v>
      </c>
      <c r="I4936" s="11">
        <f t="shared" si="77"/>
        <v>0</v>
      </c>
      <c r="J4936" s="11">
        <f>1/(H4936*Utilities!$B$11)</f>
        <v>8</v>
      </c>
      <c r="K4936" s="11">
        <f>IF(B4936&lt;C4936,1,EXP(-1*(B4936-C4936)/(Utilities!$B$11*IterData!H4936)))</f>
        <v>1</v>
      </c>
    </row>
    <row r="4937" spans="8:11" x14ac:dyDescent="0.3">
      <c r="H4937">
        <v>0.5</v>
      </c>
      <c r="I4937" s="11">
        <f t="shared" si="77"/>
        <v>0</v>
      </c>
      <c r="J4937" s="11">
        <f>1/(H4937*Utilities!$B$11)</f>
        <v>8</v>
      </c>
      <c r="K4937" s="11">
        <f>IF(B4937&lt;C4937,1,EXP(-1*(B4937-C4937)/(Utilities!$B$11*IterData!H4937)))</f>
        <v>1</v>
      </c>
    </row>
    <row r="4938" spans="8:11" x14ac:dyDescent="0.3">
      <c r="H4938">
        <v>0.5</v>
      </c>
      <c r="I4938" s="11">
        <f t="shared" si="77"/>
        <v>0</v>
      </c>
      <c r="J4938" s="11">
        <f>1/(H4938*Utilities!$B$11)</f>
        <v>8</v>
      </c>
      <c r="K4938" s="11">
        <f>IF(B4938&lt;C4938,1,EXP(-1*(B4938-C4938)/(Utilities!$B$11*IterData!H4938)))</f>
        <v>1</v>
      </c>
    </row>
    <row r="4939" spans="8:11" x14ac:dyDescent="0.3">
      <c r="H4939">
        <v>0.5</v>
      </c>
      <c r="I4939" s="11">
        <f t="shared" si="77"/>
        <v>0</v>
      </c>
      <c r="J4939" s="11">
        <f>1/(H4939*Utilities!$B$11)</f>
        <v>8</v>
      </c>
      <c r="K4939" s="11">
        <f>IF(B4939&lt;C4939,1,EXP(-1*(B4939-C4939)/(Utilities!$B$11*IterData!H4939)))</f>
        <v>1</v>
      </c>
    </row>
    <row r="4940" spans="8:11" x14ac:dyDescent="0.3">
      <c r="H4940">
        <v>0.5</v>
      </c>
      <c r="I4940" s="11">
        <f t="shared" si="77"/>
        <v>0</v>
      </c>
      <c r="J4940" s="11">
        <f>1/(H4940*Utilities!$B$11)</f>
        <v>8</v>
      </c>
      <c r="K4940" s="11">
        <f>IF(B4940&lt;C4940,1,EXP(-1*(B4940-C4940)/(Utilities!$B$11*IterData!H4940)))</f>
        <v>1</v>
      </c>
    </row>
    <row r="4941" spans="8:11" x14ac:dyDescent="0.3">
      <c r="H4941">
        <v>0.5</v>
      </c>
      <c r="I4941" s="11">
        <f t="shared" si="77"/>
        <v>0</v>
      </c>
      <c r="J4941" s="11">
        <f>1/(H4941*Utilities!$B$11)</f>
        <v>8</v>
      </c>
      <c r="K4941" s="11">
        <f>IF(B4941&lt;C4941,1,EXP(-1*(B4941-C4941)/(Utilities!$B$11*IterData!H4941)))</f>
        <v>1</v>
      </c>
    </row>
    <row r="4942" spans="8:11" x14ac:dyDescent="0.3">
      <c r="H4942">
        <v>0.5</v>
      </c>
      <c r="I4942" s="11">
        <f t="shared" si="77"/>
        <v>0</v>
      </c>
      <c r="J4942" s="11">
        <f>1/(H4942*Utilities!$B$11)</f>
        <v>8</v>
      </c>
      <c r="K4942" s="11">
        <f>IF(B4942&lt;C4942,1,EXP(-1*(B4942-C4942)/(Utilities!$B$11*IterData!H4942)))</f>
        <v>1</v>
      </c>
    </row>
    <row r="4943" spans="8:11" x14ac:dyDescent="0.3">
      <c r="H4943">
        <v>0.5</v>
      </c>
      <c r="I4943" s="11">
        <f t="shared" si="77"/>
        <v>0</v>
      </c>
      <c r="J4943" s="11">
        <f>1/(H4943*Utilities!$B$11)</f>
        <v>8</v>
      </c>
      <c r="K4943" s="11">
        <f>IF(B4943&lt;C4943,1,EXP(-1*(B4943-C4943)/(Utilities!$B$11*IterData!H4943)))</f>
        <v>1</v>
      </c>
    </row>
    <row r="4944" spans="8:11" x14ac:dyDescent="0.3">
      <c r="H4944">
        <v>0.5</v>
      </c>
      <c r="I4944" s="11">
        <f t="shared" si="77"/>
        <v>0</v>
      </c>
      <c r="J4944" s="11">
        <f>1/(H4944*Utilities!$B$11)</f>
        <v>8</v>
      </c>
      <c r="K4944" s="11">
        <f>IF(B4944&lt;C4944,1,EXP(-1*(B4944-C4944)/(Utilities!$B$11*IterData!H4944)))</f>
        <v>1</v>
      </c>
    </row>
    <row r="4945" spans="8:11" x14ac:dyDescent="0.3">
      <c r="H4945">
        <v>0.5</v>
      </c>
      <c r="I4945" s="11">
        <f t="shared" si="77"/>
        <v>0</v>
      </c>
      <c r="J4945" s="11">
        <f>1/(H4945*Utilities!$B$11)</f>
        <v>8</v>
      </c>
      <c r="K4945" s="11">
        <f>IF(B4945&lt;C4945,1,EXP(-1*(B4945-C4945)/(Utilities!$B$11*IterData!H4945)))</f>
        <v>1</v>
      </c>
    </row>
    <row r="4946" spans="8:11" x14ac:dyDescent="0.3">
      <c r="H4946">
        <v>0.5</v>
      </c>
      <c r="I4946" s="11">
        <f t="shared" si="77"/>
        <v>0</v>
      </c>
      <c r="J4946" s="11">
        <f>1/(H4946*Utilities!$B$11)</f>
        <v>8</v>
      </c>
      <c r="K4946" s="11">
        <f>IF(B4946&lt;C4946,1,EXP(-1*(B4946-C4946)/(Utilities!$B$11*IterData!H4946)))</f>
        <v>1</v>
      </c>
    </row>
    <row r="4947" spans="8:11" x14ac:dyDescent="0.3">
      <c r="H4947">
        <v>0.5</v>
      </c>
      <c r="I4947" s="11">
        <f t="shared" si="77"/>
        <v>0</v>
      </c>
      <c r="J4947" s="11">
        <f>1/(H4947*Utilities!$B$11)</f>
        <v>8</v>
      </c>
      <c r="K4947" s="11">
        <f>IF(B4947&lt;C4947,1,EXP(-1*(B4947-C4947)/(Utilities!$B$11*IterData!H4947)))</f>
        <v>1</v>
      </c>
    </row>
    <row r="4948" spans="8:11" x14ac:dyDescent="0.3">
      <c r="H4948">
        <v>0.5</v>
      </c>
      <c r="I4948" s="11">
        <f t="shared" si="77"/>
        <v>0</v>
      </c>
      <c r="J4948" s="11">
        <f>1/(H4948*Utilities!$B$11)</f>
        <v>8</v>
      </c>
      <c r="K4948" s="11">
        <f>IF(B4948&lt;C4948,1,EXP(-1*(B4948-C4948)/(Utilities!$B$11*IterData!H4948)))</f>
        <v>1</v>
      </c>
    </row>
    <row r="4949" spans="8:11" x14ac:dyDescent="0.3">
      <c r="H4949">
        <v>0.5</v>
      </c>
      <c r="I4949" s="11">
        <f t="shared" si="77"/>
        <v>0</v>
      </c>
      <c r="J4949" s="11">
        <f>1/(H4949*Utilities!$B$11)</f>
        <v>8</v>
      </c>
      <c r="K4949" s="11">
        <f>IF(B4949&lt;C4949,1,EXP(-1*(B4949-C4949)/(Utilities!$B$11*IterData!H4949)))</f>
        <v>1</v>
      </c>
    </row>
    <row r="4950" spans="8:11" x14ac:dyDescent="0.3">
      <c r="H4950">
        <v>0.5</v>
      </c>
      <c r="I4950" s="11">
        <f t="shared" si="77"/>
        <v>0</v>
      </c>
      <c r="J4950" s="11">
        <f>1/(H4950*Utilities!$B$11)</f>
        <v>8</v>
      </c>
      <c r="K4950" s="11">
        <f>IF(B4950&lt;C4950,1,EXP(-1*(B4950-C4950)/(Utilities!$B$11*IterData!H4950)))</f>
        <v>1</v>
      </c>
    </row>
    <row r="4951" spans="8:11" x14ac:dyDescent="0.3">
      <c r="H4951">
        <v>0.5</v>
      </c>
      <c r="I4951" s="11">
        <f t="shared" si="77"/>
        <v>0</v>
      </c>
      <c r="J4951" s="11">
        <f>1/(H4951*Utilities!$B$11)</f>
        <v>8</v>
      </c>
      <c r="K4951" s="11">
        <f>IF(B4951&lt;C4951,1,EXP(-1*(B4951-C4951)/(Utilities!$B$11*IterData!H4951)))</f>
        <v>1</v>
      </c>
    </row>
    <row r="4952" spans="8:11" x14ac:dyDescent="0.3">
      <c r="H4952">
        <v>0.5</v>
      </c>
      <c r="I4952" s="11">
        <f t="shared" si="77"/>
        <v>0</v>
      </c>
      <c r="J4952" s="11">
        <f>1/(H4952*Utilities!$B$11)</f>
        <v>8</v>
      </c>
      <c r="K4952" s="11">
        <f>IF(B4952&lt;C4952,1,EXP(-1*(B4952-C4952)/(Utilities!$B$11*IterData!H4952)))</f>
        <v>1</v>
      </c>
    </row>
    <row r="4953" spans="8:11" x14ac:dyDescent="0.3">
      <c r="H4953">
        <v>0.5</v>
      </c>
      <c r="I4953" s="11">
        <f t="shared" si="77"/>
        <v>0</v>
      </c>
      <c r="J4953" s="11">
        <f>1/(H4953*Utilities!$B$11)</f>
        <v>8</v>
      </c>
      <c r="K4953" s="11">
        <f>IF(B4953&lt;C4953,1,EXP(-1*(B4953-C4953)/(Utilities!$B$11*IterData!H4953)))</f>
        <v>1</v>
      </c>
    </row>
    <row r="4954" spans="8:11" x14ac:dyDescent="0.3">
      <c r="H4954">
        <v>0.5</v>
      </c>
      <c r="I4954" s="11">
        <f t="shared" si="77"/>
        <v>0</v>
      </c>
      <c r="J4954" s="11">
        <f>1/(H4954*Utilities!$B$11)</f>
        <v>8</v>
      </c>
      <c r="K4954" s="11">
        <f>IF(B4954&lt;C4954,1,EXP(-1*(B4954-C4954)/(Utilities!$B$11*IterData!H4954)))</f>
        <v>1</v>
      </c>
    </row>
    <row r="4955" spans="8:11" x14ac:dyDescent="0.3">
      <c r="H4955">
        <v>0.5</v>
      </c>
      <c r="I4955" s="11">
        <f t="shared" si="77"/>
        <v>0</v>
      </c>
      <c r="J4955" s="11">
        <f>1/(H4955*Utilities!$B$11)</f>
        <v>8</v>
      </c>
      <c r="K4955" s="11">
        <f>IF(B4955&lt;C4955,1,EXP(-1*(B4955-C4955)/(Utilities!$B$11*IterData!H4955)))</f>
        <v>1</v>
      </c>
    </row>
    <row r="4956" spans="8:11" x14ac:dyDescent="0.3">
      <c r="H4956">
        <v>0.5</v>
      </c>
      <c r="I4956" s="11">
        <f t="shared" si="77"/>
        <v>0</v>
      </c>
      <c r="J4956" s="11">
        <f>1/(H4956*Utilities!$B$11)</f>
        <v>8</v>
      </c>
      <c r="K4956" s="11">
        <f>IF(B4956&lt;C4956,1,EXP(-1*(B4956-C4956)/(Utilities!$B$11*IterData!H4956)))</f>
        <v>1</v>
      </c>
    </row>
    <row r="4957" spans="8:11" x14ac:dyDescent="0.3">
      <c r="H4957">
        <v>0.5</v>
      </c>
      <c r="I4957" s="11">
        <f t="shared" si="77"/>
        <v>0</v>
      </c>
      <c r="J4957" s="11">
        <f>1/(H4957*Utilities!$B$11)</f>
        <v>8</v>
      </c>
      <c r="K4957" s="11">
        <f>IF(B4957&lt;C4957,1,EXP(-1*(B4957-C4957)/(Utilities!$B$11*IterData!H4957)))</f>
        <v>1</v>
      </c>
    </row>
    <row r="4958" spans="8:11" x14ac:dyDescent="0.3">
      <c r="H4958">
        <v>0.5</v>
      </c>
      <c r="I4958" s="11">
        <f t="shared" si="77"/>
        <v>0</v>
      </c>
      <c r="J4958" s="11">
        <f>1/(H4958*Utilities!$B$11)</f>
        <v>8</v>
      </c>
      <c r="K4958" s="11">
        <f>IF(B4958&lt;C4958,1,EXP(-1*(B4958-C4958)/(Utilities!$B$11*IterData!H4958)))</f>
        <v>1</v>
      </c>
    </row>
    <row r="4959" spans="8:11" x14ac:dyDescent="0.3">
      <c r="H4959">
        <v>0.5</v>
      </c>
      <c r="I4959" s="11">
        <f t="shared" si="77"/>
        <v>0</v>
      </c>
      <c r="J4959" s="11">
        <f>1/(H4959*Utilities!$B$11)</f>
        <v>8</v>
      </c>
      <c r="K4959" s="11">
        <f>IF(B4959&lt;C4959,1,EXP(-1*(B4959-C4959)/(Utilities!$B$11*IterData!H4959)))</f>
        <v>1</v>
      </c>
    </row>
    <row r="4960" spans="8:11" x14ac:dyDescent="0.3">
      <c r="H4960">
        <v>0.5</v>
      </c>
      <c r="I4960" s="11">
        <f t="shared" si="77"/>
        <v>0</v>
      </c>
      <c r="J4960" s="11">
        <f>1/(H4960*Utilities!$B$11)</f>
        <v>8</v>
      </c>
      <c r="K4960" s="11">
        <f>IF(B4960&lt;C4960,1,EXP(-1*(B4960-C4960)/(Utilities!$B$11*IterData!H4960)))</f>
        <v>1</v>
      </c>
    </row>
    <row r="4961" spans="8:11" x14ac:dyDescent="0.3">
      <c r="H4961">
        <v>0.5</v>
      </c>
      <c r="I4961" s="11">
        <f t="shared" si="77"/>
        <v>0</v>
      </c>
      <c r="J4961" s="11">
        <f>1/(H4961*Utilities!$B$11)</f>
        <v>8</v>
      </c>
      <c r="K4961" s="11">
        <f>IF(B4961&lt;C4961,1,EXP(-1*(B4961-C4961)/(Utilities!$B$11*IterData!H4961)))</f>
        <v>1</v>
      </c>
    </row>
    <row r="4962" spans="8:11" x14ac:dyDescent="0.3">
      <c r="H4962">
        <v>0.5</v>
      </c>
      <c r="I4962" s="11">
        <f t="shared" si="77"/>
        <v>0</v>
      </c>
      <c r="J4962" s="11">
        <f>1/(H4962*Utilities!$B$11)</f>
        <v>8</v>
      </c>
      <c r="K4962" s="11">
        <f>IF(B4962&lt;C4962,1,EXP(-1*(B4962-C4962)/(Utilities!$B$11*IterData!H4962)))</f>
        <v>1</v>
      </c>
    </row>
    <row r="4963" spans="8:11" x14ac:dyDescent="0.3">
      <c r="H4963">
        <v>0.5</v>
      </c>
      <c r="I4963" s="11">
        <f t="shared" si="77"/>
        <v>0</v>
      </c>
      <c r="J4963" s="11">
        <f>1/(H4963*Utilities!$B$11)</f>
        <v>8</v>
      </c>
      <c r="K4963" s="11">
        <f>IF(B4963&lt;C4963,1,EXP(-1*(B4963-C4963)/(Utilities!$B$11*IterData!H4963)))</f>
        <v>1</v>
      </c>
    </row>
    <row r="4964" spans="8:11" x14ac:dyDescent="0.3">
      <c r="H4964">
        <v>0.5</v>
      </c>
      <c r="I4964" s="11">
        <f t="shared" si="77"/>
        <v>0</v>
      </c>
      <c r="J4964" s="11">
        <f>1/(H4964*Utilities!$B$11)</f>
        <v>8</v>
      </c>
      <c r="K4964" s="11">
        <f>IF(B4964&lt;C4964,1,EXP(-1*(B4964-C4964)/(Utilities!$B$11*IterData!H4964)))</f>
        <v>1</v>
      </c>
    </row>
    <row r="4965" spans="8:11" x14ac:dyDescent="0.3">
      <c r="H4965">
        <v>0.5</v>
      </c>
      <c r="I4965" s="11">
        <f t="shared" si="77"/>
        <v>0</v>
      </c>
      <c r="J4965" s="11">
        <f>1/(H4965*Utilities!$B$11)</f>
        <v>8</v>
      </c>
      <c r="K4965" s="11">
        <f>IF(B4965&lt;C4965,1,EXP(-1*(B4965-C4965)/(Utilities!$B$11*IterData!H4965)))</f>
        <v>1</v>
      </c>
    </row>
    <row r="4966" spans="8:11" x14ac:dyDescent="0.3">
      <c r="H4966">
        <v>0.5</v>
      </c>
      <c r="I4966" s="11">
        <f t="shared" si="77"/>
        <v>0</v>
      </c>
      <c r="J4966" s="11">
        <f>1/(H4966*Utilities!$B$11)</f>
        <v>8</v>
      </c>
      <c r="K4966" s="11">
        <f>IF(B4966&lt;C4966,1,EXP(-1*(B4966-C4966)/(Utilities!$B$11*IterData!H4966)))</f>
        <v>1</v>
      </c>
    </row>
    <row r="4967" spans="8:11" x14ac:dyDescent="0.3">
      <c r="H4967">
        <v>0.5</v>
      </c>
      <c r="I4967" s="11">
        <f t="shared" si="77"/>
        <v>0</v>
      </c>
      <c r="J4967" s="11">
        <f>1/(H4967*Utilities!$B$11)</f>
        <v>8</v>
      </c>
      <c r="K4967" s="11">
        <f>IF(B4967&lt;C4967,1,EXP(-1*(B4967-C4967)/(Utilities!$B$11*IterData!H4967)))</f>
        <v>1</v>
      </c>
    </row>
    <row r="4968" spans="8:11" x14ac:dyDescent="0.3">
      <c r="H4968">
        <v>0.5</v>
      </c>
      <c r="I4968" s="11">
        <f t="shared" si="77"/>
        <v>0</v>
      </c>
      <c r="J4968" s="11">
        <f>1/(H4968*Utilities!$B$11)</f>
        <v>8</v>
      </c>
      <c r="K4968" s="11">
        <f>IF(B4968&lt;C4968,1,EXP(-1*(B4968-C4968)/(Utilities!$B$11*IterData!H4968)))</f>
        <v>1</v>
      </c>
    </row>
    <row r="4969" spans="8:11" x14ac:dyDescent="0.3">
      <c r="H4969">
        <v>0.5</v>
      </c>
      <c r="I4969" s="11">
        <f t="shared" si="77"/>
        <v>0</v>
      </c>
      <c r="J4969" s="11">
        <f>1/(H4969*Utilities!$B$11)</f>
        <v>8</v>
      </c>
      <c r="K4969" s="11">
        <f>IF(B4969&lt;C4969,1,EXP(-1*(B4969-C4969)/(Utilities!$B$11*IterData!H4969)))</f>
        <v>1</v>
      </c>
    </row>
    <row r="4970" spans="8:11" x14ac:dyDescent="0.3">
      <c r="H4970">
        <v>0.5</v>
      </c>
      <c r="I4970" s="11">
        <f t="shared" si="77"/>
        <v>0</v>
      </c>
      <c r="J4970" s="11">
        <f>1/(H4970*Utilities!$B$11)</f>
        <v>8</v>
      </c>
      <c r="K4970" s="11">
        <f>IF(B4970&lt;C4970,1,EXP(-1*(B4970-C4970)/(Utilities!$B$11*IterData!H4970)))</f>
        <v>1</v>
      </c>
    </row>
    <row r="4971" spans="8:11" x14ac:dyDescent="0.3">
      <c r="H4971">
        <v>0.5</v>
      </c>
      <c r="I4971" s="11">
        <f t="shared" si="77"/>
        <v>0</v>
      </c>
      <c r="J4971" s="11">
        <f>1/(H4971*Utilities!$B$11)</f>
        <v>8</v>
      </c>
      <c r="K4971" s="11">
        <f>IF(B4971&lt;C4971,1,EXP(-1*(B4971-C4971)/(Utilities!$B$11*IterData!H4971)))</f>
        <v>1</v>
      </c>
    </row>
    <row r="4972" spans="8:11" x14ac:dyDescent="0.3">
      <c r="H4972">
        <v>0.5</v>
      </c>
      <c r="I4972" s="11">
        <f t="shared" si="77"/>
        <v>0</v>
      </c>
      <c r="J4972" s="11">
        <f>1/(H4972*Utilities!$B$11)</f>
        <v>8</v>
      </c>
      <c r="K4972" s="11">
        <f>IF(B4972&lt;C4972,1,EXP(-1*(B4972-C4972)/(Utilities!$B$11*IterData!H4972)))</f>
        <v>1</v>
      </c>
    </row>
    <row r="4973" spans="8:11" x14ac:dyDescent="0.3">
      <c r="H4973">
        <v>0.5</v>
      </c>
      <c r="I4973" s="11">
        <f t="shared" si="77"/>
        <v>0</v>
      </c>
      <c r="J4973" s="11">
        <f>1/(H4973*Utilities!$B$11)</f>
        <v>8</v>
      </c>
      <c r="K4973" s="11">
        <f>IF(B4973&lt;C4973,1,EXP(-1*(B4973-C4973)/(Utilities!$B$11*IterData!H4973)))</f>
        <v>1</v>
      </c>
    </row>
    <row r="4974" spans="8:11" x14ac:dyDescent="0.3">
      <c r="H4974">
        <v>0.5</v>
      </c>
      <c r="I4974" s="11">
        <f t="shared" si="77"/>
        <v>0</v>
      </c>
      <c r="J4974" s="11">
        <f>1/(H4974*Utilities!$B$11)</f>
        <v>8</v>
      </c>
      <c r="K4974" s="11">
        <f>IF(B4974&lt;C4974,1,EXP(-1*(B4974-C4974)/(Utilities!$B$11*IterData!H4974)))</f>
        <v>1</v>
      </c>
    </row>
    <row r="4975" spans="8:11" x14ac:dyDescent="0.3">
      <c r="H4975">
        <v>0.5</v>
      </c>
      <c r="I4975" s="11">
        <f t="shared" si="77"/>
        <v>0</v>
      </c>
      <c r="J4975" s="11">
        <f>1/(H4975*Utilities!$B$11)</f>
        <v>8</v>
      </c>
      <c r="K4975" s="11">
        <f>IF(B4975&lt;C4975,1,EXP(-1*(B4975-C4975)/(Utilities!$B$11*IterData!H4975)))</f>
        <v>1</v>
      </c>
    </row>
    <row r="4976" spans="8:11" x14ac:dyDescent="0.3">
      <c r="H4976">
        <v>0.5</v>
      </c>
      <c r="I4976" s="11">
        <f t="shared" si="77"/>
        <v>0</v>
      </c>
      <c r="J4976" s="11">
        <f>1/(H4976*Utilities!$B$11)</f>
        <v>8</v>
      </c>
      <c r="K4976" s="11">
        <f>IF(B4976&lt;C4976,1,EXP(-1*(B4976-C4976)/(Utilities!$B$11*IterData!H4976)))</f>
        <v>1</v>
      </c>
    </row>
    <row r="4977" spans="8:11" x14ac:dyDescent="0.3">
      <c r="H4977">
        <v>0.5</v>
      </c>
      <c r="I4977" s="11">
        <f t="shared" si="77"/>
        <v>0</v>
      </c>
      <c r="J4977" s="11">
        <f>1/(H4977*Utilities!$B$11)</f>
        <v>8</v>
      </c>
      <c r="K4977" s="11">
        <f>IF(B4977&lt;C4977,1,EXP(-1*(B4977-C4977)/(Utilities!$B$11*IterData!H4977)))</f>
        <v>1</v>
      </c>
    </row>
    <row r="4978" spans="8:11" x14ac:dyDescent="0.3">
      <c r="H4978">
        <v>0.5</v>
      </c>
      <c r="I4978" s="11">
        <f t="shared" si="77"/>
        <v>0</v>
      </c>
      <c r="J4978" s="11">
        <f>1/(H4978*Utilities!$B$11)</f>
        <v>8</v>
      </c>
      <c r="K4978" s="11">
        <f>IF(B4978&lt;C4978,1,EXP(-1*(B4978-C4978)/(Utilities!$B$11*IterData!H4978)))</f>
        <v>1</v>
      </c>
    </row>
    <row r="4979" spans="8:11" x14ac:dyDescent="0.3">
      <c r="H4979">
        <v>0.5</v>
      </c>
      <c r="I4979" s="11">
        <f t="shared" si="77"/>
        <v>0</v>
      </c>
      <c r="J4979" s="11">
        <f>1/(H4979*Utilities!$B$11)</f>
        <v>8</v>
      </c>
      <c r="K4979" s="11">
        <f>IF(B4979&lt;C4979,1,EXP(-1*(B4979-C4979)/(Utilities!$B$11*IterData!H4979)))</f>
        <v>1</v>
      </c>
    </row>
    <row r="4980" spans="8:11" x14ac:dyDescent="0.3">
      <c r="H4980">
        <v>0.5</v>
      </c>
      <c r="I4980" s="11">
        <f t="shared" si="77"/>
        <v>0</v>
      </c>
      <c r="J4980" s="11">
        <f>1/(H4980*Utilities!$B$11)</f>
        <v>8</v>
      </c>
      <c r="K4980" s="11">
        <f>IF(B4980&lt;C4980,1,EXP(-1*(B4980-C4980)/(Utilities!$B$11*IterData!H4980)))</f>
        <v>1</v>
      </c>
    </row>
    <row r="4981" spans="8:11" x14ac:dyDescent="0.3">
      <c r="H4981">
        <v>0.5</v>
      </c>
      <c r="I4981" s="11">
        <f t="shared" si="77"/>
        <v>0</v>
      </c>
      <c r="J4981" s="11">
        <f>1/(H4981*Utilities!$B$11)</f>
        <v>8</v>
      </c>
      <c r="K4981" s="11">
        <f>IF(B4981&lt;C4981,1,EXP(-1*(B4981-C4981)/(Utilities!$B$11*IterData!H4981)))</f>
        <v>1</v>
      </c>
    </row>
    <row r="4982" spans="8:11" x14ac:dyDescent="0.3">
      <c r="H4982">
        <v>0.5</v>
      </c>
      <c r="I4982" s="11">
        <f t="shared" si="77"/>
        <v>0</v>
      </c>
      <c r="J4982" s="11">
        <f>1/(H4982*Utilities!$B$11)</f>
        <v>8</v>
      </c>
      <c r="K4982" s="11">
        <f>IF(B4982&lt;C4982,1,EXP(-1*(B4982-C4982)/(Utilities!$B$11*IterData!H4982)))</f>
        <v>1</v>
      </c>
    </row>
    <row r="4983" spans="8:11" x14ac:dyDescent="0.3">
      <c r="H4983">
        <v>0.5</v>
      </c>
      <c r="I4983" s="11">
        <f t="shared" si="77"/>
        <v>0</v>
      </c>
      <c r="J4983" s="11">
        <f>1/(H4983*Utilities!$B$11)</f>
        <v>8</v>
      </c>
      <c r="K4983" s="11">
        <f>IF(B4983&lt;C4983,1,EXP(-1*(B4983-C4983)/(Utilities!$B$11*IterData!H4983)))</f>
        <v>1</v>
      </c>
    </row>
    <row r="4984" spans="8:11" x14ac:dyDescent="0.3">
      <c r="H4984">
        <v>0.5</v>
      </c>
      <c r="I4984" s="11">
        <f t="shared" si="77"/>
        <v>0</v>
      </c>
      <c r="J4984" s="11">
        <f>1/(H4984*Utilities!$B$11)</f>
        <v>8</v>
      </c>
      <c r="K4984" s="11">
        <f>IF(B4984&lt;C4984,1,EXP(-1*(B4984-C4984)/(Utilities!$B$11*IterData!H4984)))</f>
        <v>1</v>
      </c>
    </row>
    <row r="4985" spans="8:11" x14ac:dyDescent="0.3">
      <c r="H4985">
        <v>0.5</v>
      </c>
      <c r="I4985" s="11">
        <f t="shared" si="77"/>
        <v>0</v>
      </c>
      <c r="J4985" s="11">
        <f>1/(H4985*Utilities!$B$11)</f>
        <v>8</v>
      </c>
      <c r="K4985" s="11">
        <f>IF(B4985&lt;C4985,1,EXP(-1*(B4985-C4985)/(Utilities!$B$11*IterData!H4985)))</f>
        <v>1</v>
      </c>
    </row>
    <row r="4986" spans="8:11" x14ac:dyDescent="0.3">
      <c r="H4986">
        <v>0.5</v>
      </c>
      <c r="I4986" s="11">
        <f t="shared" si="77"/>
        <v>0</v>
      </c>
      <c r="J4986" s="11">
        <f>1/(H4986*Utilities!$B$11)</f>
        <v>8</v>
      </c>
      <c r="K4986" s="11">
        <f>IF(B4986&lt;C4986,1,EXP(-1*(B4986-C4986)/(Utilities!$B$11*IterData!H4986)))</f>
        <v>1</v>
      </c>
    </row>
    <row r="4987" spans="8:11" x14ac:dyDescent="0.3">
      <c r="H4987">
        <v>0.5</v>
      </c>
      <c r="I4987" s="11">
        <f t="shared" si="77"/>
        <v>0</v>
      </c>
      <c r="J4987" s="11">
        <f>1/(H4987*Utilities!$B$11)</f>
        <v>8</v>
      </c>
      <c r="K4987" s="11">
        <f>IF(B4987&lt;C4987,1,EXP(-1*(B4987-C4987)/(Utilities!$B$11*IterData!H4987)))</f>
        <v>1</v>
      </c>
    </row>
    <row r="4988" spans="8:11" x14ac:dyDescent="0.3">
      <c r="H4988">
        <v>0.5</v>
      </c>
      <c r="I4988" s="11">
        <f t="shared" si="77"/>
        <v>0</v>
      </c>
      <c r="J4988" s="11">
        <f>1/(H4988*Utilities!$B$11)</f>
        <v>8</v>
      </c>
      <c r="K4988" s="11">
        <f>IF(B4988&lt;C4988,1,EXP(-1*(B4988-C4988)/(Utilities!$B$11*IterData!H4988)))</f>
        <v>1</v>
      </c>
    </row>
    <row r="4989" spans="8:11" x14ac:dyDescent="0.3">
      <c r="H4989">
        <v>0.5</v>
      </c>
      <c r="I4989" s="11">
        <f t="shared" si="77"/>
        <v>0</v>
      </c>
      <c r="J4989" s="11">
        <f>1/(H4989*Utilities!$B$11)</f>
        <v>8</v>
      </c>
      <c r="K4989" s="11">
        <f>IF(B4989&lt;C4989,1,EXP(-1*(B4989-C4989)/(Utilities!$B$11*IterData!H4989)))</f>
        <v>1</v>
      </c>
    </row>
    <row r="4990" spans="8:11" x14ac:dyDescent="0.3">
      <c r="H4990">
        <v>0.5</v>
      </c>
      <c r="I4990" s="11">
        <f t="shared" si="77"/>
        <v>0</v>
      </c>
      <c r="J4990" s="11">
        <f>1/(H4990*Utilities!$B$11)</f>
        <v>8</v>
      </c>
      <c r="K4990" s="11">
        <f>IF(B4990&lt;C4990,1,EXP(-1*(B4990-C4990)/(Utilities!$B$11*IterData!H4990)))</f>
        <v>1</v>
      </c>
    </row>
    <row r="4991" spans="8:11" x14ac:dyDescent="0.3">
      <c r="H4991">
        <v>0.5</v>
      </c>
      <c r="I4991" s="11">
        <f t="shared" si="77"/>
        <v>0</v>
      </c>
      <c r="J4991" s="11">
        <f>1/(H4991*Utilities!$B$11)</f>
        <v>8</v>
      </c>
      <c r="K4991" s="11">
        <f>IF(B4991&lt;C4991,1,EXP(-1*(B4991-C4991)/(Utilities!$B$11*IterData!H4991)))</f>
        <v>1</v>
      </c>
    </row>
    <row r="4992" spans="8:11" x14ac:dyDescent="0.3">
      <c r="H4992">
        <v>0.5</v>
      </c>
      <c r="I4992" s="11">
        <f t="shared" si="77"/>
        <v>0</v>
      </c>
      <c r="J4992" s="11">
        <f>1/(H4992*Utilities!$B$11)</f>
        <v>8</v>
      </c>
      <c r="K4992" s="11">
        <f>IF(B4992&lt;C4992,1,EXP(-1*(B4992-C4992)/(Utilities!$B$11*IterData!H4992)))</f>
        <v>1</v>
      </c>
    </row>
    <row r="4993" spans="8:11" x14ac:dyDescent="0.3">
      <c r="H4993">
        <v>0.5</v>
      </c>
      <c r="I4993" s="11">
        <f t="shared" si="77"/>
        <v>0</v>
      </c>
      <c r="J4993" s="11">
        <f>1/(H4993*Utilities!$B$11)</f>
        <v>8</v>
      </c>
      <c r="K4993" s="11">
        <f>IF(B4993&lt;C4993,1,EXP(-1*(B4993-C4993)/(Utilities!$B$11*IterData!H4993)))</f>
        <v>1</v>
      </c>
    </row>
    <row r="4994" spans="8:11" x14ac:dyDescent="0.3">
      <c r="H4994">
        <v>0.5</v>
      </c>
      <c r="I4994" s="11">
        <f t="shared" si="77"/>
        <v>0</v>
      </c>
      <c r="J4994" s="11">
        <f>1/(H4994*Utilities!$B$11)</f>
        <v>8</v>
      </c>
      <c r="K4994" s="11">
        <f>IF(B4994&lt;C4994,1,EXP(-1*(B4994-C4994)/(Utilities!$B$11*IterData!H4994)))</f>
        <v>1</v>
      </c>
    </row>
    <row r="4995" spans="8:11" x14ac:dyDescent="0.3">
      <c r="H4995">
        <v>0.5</v>
      </c>
      <c r="I4995" s="11">
        <f t="shared" ref="I4995:I5058" si="78">B4995-C4995</f>
        <v>0</v>
      </c>
      <c r="J4995" s="11">
        <f>1/(H4995*Utilities!$B$11)</f>
        <v>8</v>
      </c>
      <c r="K4995" s="11">
        <f>IF(B4995&lt;C4995,1,EXP(-1*(B4995-C4995)/(Utilities!$B$11*IterData!H4995)))</f>
        <v>1</v>
      </c>
    </row>
    <row r="4996" spans="8:11" x14ac:dyDescent="0.3">
      <c r="H4996">
        <v>0.5</v>
      </c>
      <c r="I4996" s="11">
        <f t="shared" si="78"/>
        <v>0</v>
      </c>
      <c r="J4996" s="11">
        <f>1/(H4996*Utilities!$B$11)</f>
        <v>8</v>
      </c>
      <c r="K4996" s="11">
        <f>IF(B4996&lt;C4996,1,EXP(-1*(B4996-C4996)/(Utilities!$B$11*IterData!H4996)))</f>
        <v>1</v>
      </c>
    </row>
    <row r="4997" spans="8:11" x14ac:dyDescent="0.3">
      <c r="H4997">
        <v>0.5</v>
      </c>
      <c r="I4997" s="11">
        <f t="shared" si="78"/>
        <v>0</v>
      </c>
      <c r="J4997" s="11">
        <f>1/(H4997*Utilities!$B$11)</f>
        <v>8</v>
      </c>
      <c r="K4997" s="11">
        <f>IF(B4997&lt;C4997,1,EXP(-1*(B4997-C4997)/(Utilities!$B$11*IterData!H4997)))</f>
        <v>1</v>
      </c>
    </row>
    <row r="4998" spans="8:11" x14ac:dyDescent="0.3">
      <c r="H4998">
        <v>0.5</v>
      </c>
      <c r="I4998" s="11">
        <f t="shared" si="78"/>
        <v>0</v>
      </c>
      <c r="J4998" s="11">
        <f>1/(H4998*Utilities!$B$11)</f>
        <v>8</v>
      </c>
      <c r="K4998" s="11">
        <f>IF(B4998&lt;C4998,1,EXP(-1*(B4998-C4998)/(Utilities!$B$11*IterData!H4998)))</f>
        <v>1</v>
      </c>
    </row>
    <row r="4999" spans="8:11" x14ac:dyDescent="0.3">
      <c r="H4999">
        <v>0.5</v>
      </c>
      <c r="I4999" s="11">
        <f t="shared" si="78"/>
        <v>0</v>
      </c>
      <c r="J4999" s="11">
        <f>1/(H4999*Utilities!$B$11)</f>
        <v>8</v>
      </c>
      <c r="K4999" s="11">
        <f>IF(B4999&lt;C4999,1,EXP(-1*(B4999-C4999)/(Utilities!$B$11*IterData!H4999)))</f>
        <v>1</v>
      </c>
    </row>
    <row r="5000" spans="8:11" x14ac:dyDescent="0.3">
      <c r="H5000">
        <v>0.5</v>
      </c>
      <c r="I5000" s="11">
        <f t="shared" si="78"/>
        <v>0</v>
      </c>
      <c r="J5000" s="11">
        <f>1/(H5000*Utilities!$B$11)</f>
        <v>8</v>
      </c>
      <c r="K5000" s="11">
        <f>IF(B5000&lt;C5000,1,EXP(-1*(B5000-C5000)/(Utilities!$B$11*IterData!H5000)))</f>
        <v>1</v>
      </c>
    </row>
    <row r="5001" spans="8:11" x14ac:dyDescent="0.3">
      <c r="H5001">
        <v>0.5</v>
      </c>
      <c r="I5001" s="11">
        <f t="shared" si="78"/>
        <v>0</v>
      </c>
      <c r="J5001" s="11">
        <f>1/(H5001*Utilities!$B$11)</f>
        <v>8</v>
      </c>
      <c r="K5001" s="11">
        <f>IF(B5001&lt;C5001,1,EXP(-1*(B5001-C5001)/(Utilities!$B$11*IterData!H5001)))</f>
        <v>1</v>
      </c>
    </row>
    <row r="5002" spans="8:11" x14ac:dyDescent="0.3">
      <c r="H5002">
        <v>0.5</v>
      </c>
      <c r="I5002" s="11">
        <f t="shared" si="78"/>
        <v>0</v>
      </c>
      <c r="J5002" s="11">
        <f>1/(H5002*Utilities!$B$11)</f>
        <v>8</v>
      </c>
      <c r="K5002" s="11">
        <f>IF(B5002&lt;C5002,1,EXP(-1*(B5002-C5002)/(Utilities!$B$11*IterData!H5002)))</f>
        <v>1</v>
      </c>
    </row>
    <row r="5003" spans="8:11" x14ac:dyDescent="0.3">
      <c r="H5003">
        <v>0.5</v>
      </c>
      <c r="I5003" s="11">
        <f t="shared" si="78"/>
        <v>0</v>
      </c>
      <c r="J5003" s="11">
        <f>1/(H5003*Utilities!$B$11)</f>
        <v>8</v>
      </c>
      <c r="K5003" s="11">
        <f>IF(B5003&lt;C5003,1,EXP(-1*(B5003-C5003)/(Utilities!$B$11*IterData!H5003)))</f>
        <v>1</v>
      </c>
    </row>
    <row r="5004" spans="8:11" x14ac:dyDescent="0.3">
      <c r="H5004">
        <v>0.5</v>
      </c>
      <c r="I5004" s="11">
        <f t="shared" si="78"/>
        <v>0</v>
      </c>
      <c r="J5004" s="11">
        <f>1/(H5004*Utilities!$B$11)</f>
        <v>8</v>
      </c>
      <c r="K5004" s="11">
        <f>IF(B5004&lt;C5004,1,EXP(-1*(B5004-C5004)/(Utilities!$B$11*IterData!H5004)))</f>
        <v>1</v>
      </c>
    </row>
    <row r="5005" spans="8:11" x14ac:dyDescent="0.3">
      <c r="H5005">
        <v>0.5</v>
      </c>
      <c r="I5005" s="11">
        <f t="shared" si="78"/>
        <v>0</v>
      </c>
      <c r="J5005" s="11">
        <f>1/(H5005*Utilities!$B$11)</f>
        <v>8</v>
      </c>
      <c r="K5005" s="11">
        <f>IF(B5005&lt;C5005,1,EXP(-1*(B5005-C5005)/(Utilities!$B$11*IterData!H5005)))</f>
        <v>1</v>
      </c>
    </row>
    <row r="5006" spans="8:11" x14ac:dyDescent="0.3">
      <c r="H5006">
        <v>0.5</v>
      </c>
      <c r="I5006" s="11">
        <f t="shared" si="78"/>
        <v>0</v>
      </c>
      <c r="J5006" s="11">
        <f>1/(H5006*Utilities!$B$11)</f>
        <v>8</v>
      </c>
      <c r="K5006" s="11">
        <f>IF(B5006&lt;C5006,1,EXP(-1*(B5006-C5006)/(Utilities!$B$11*IterData!H5006)))</f>
        <v>1</v>
      </c>
    </row>
    <row r="5007" spans="8:11" x14ac:dyDescent="0.3">
      <c r="H5007">
        <v>0.5</v>
      </c>
      <c r="I5007" s="11">
        <f t="shared" si="78"/>
        <v>0</v>
      </c>
      <c r="J5007" s="11">
        <f>1/(H5007*Utilities!$B$11)</f>
        <v>8</v>
      </c>
      <c r="K5007" s="11">
        <f>IF(B5007&lt;C5007,1,EXP(-1*(B5007-C5007)/(Utilities!$B$11*IterData!H5007)))</f>
        <v>1</v>
      </c>
    </row>
    <row r="5008" spans="8:11" x14ac:dyDescent="0.3">
      <c r="H5008">
        <v>0.5</v>
      </c>
      <c r="I5008" s="11">
        <f t="shared" si="78"/>
        <v>0</v>
      </c>
      <c r="J5008" s="11">
        <f>1/(H5008*Utilities!$B$11)</f>
        <v>8</v>
      </c>
      <c r="K5008" s="11">
        <f>IF(B5008&lt;C5008,1,EXP(-1*(B5008-C5008)/(Utilities!$B$11*IterData!H5008)))</f>
        <v>1</v>
      </c>
    </row>
    <row r="5009" spans="8:11" x14ac:dyDescent="0.3">
      <c r="H5009">
        <v>0.5</v>
      </c>
      <c r="I5009" s="11">
        <f t="shared" si="78"/>
        <v>0</v>
      </c>
      <c r="J5009" s="11">
        <f>1/(H5009*Utilities!$B$11)</f>
        <v>8</v>
      </c>
      <c r="K5009" s="11">
        <f>IF(B5009&lt;C5009,1,EXP(-1*(B5009-C5009)/(Utilities!$B$11*IterData!H5009)))</f>
        <v>1</v>
      </c>
    </row>
    <row r="5010" spans="8:11" x14ac:dyDescent="0.3">
      <c r="H5010">
        <v>0.5</v>
      </c>
      <c r="I5010" s="11">
        <f t="shared" si="78"/>
        <v>0</v>
      </c>
      <c r="J5010" s="11">
        <f>1/(H5010*Utilities!$B$11)</f>
        <v>8</v>
      </c>
      <c r="K5010" s="11">
        <f>IF(B5010&lt;C5010,1,EXP(-1*(B5010-C5010)/(Utilities!$B$11*IterData!H5010)))</f>
        <v>1</v>
      </c>
    </row>
    <row r="5011" spans="8:11" x14ac:dyDescent="0.3">
      <c r="H5011">
        <v>0.5</v>
      </c>
      <c r="I5011" s="11">
        <f t="shared" si="78"/>
        <v>0</v>
      </c>
      <c r="J5011" s="11">
        <f>1/(H5011*Utilities!$B$11)</f>
        <v>8</v>
      </c>
      <c r="K5011" s="11">
        <f>IF(B5011&lt;C5011,1,EXP(-1*(B5011-C5011)/(Utilities!$B$11*IterData!H5011)))</f>
        <v>1</v>
      </c>
    </row>
    <row r="5012" spans="8:11" x14ac:dyDescent="0.3">
      <c r="H5012">
        <v>0.5</v>
      </c>
      <c r="I5012" s="11">
        <f t="shared" si="78"/>
        <v>0</v>
      </c>
      <c r="J5012" s="11">
        <f>1/(H5012*Utilities!$B$11)</f>
        <v>8</v>
      </c>
      <c r="K5012" s="11">
        <f>IF(B5012&lt;C5012,1,EXP(-1*(B5012-C5012)/(Utilities!$B$11*IterData!H5012)))</f>
        <v>1</v>
      </c>
    </row>
    <row r="5013" spans="8:11" x14ac:dyDescent="0.3">
      <c r="H5013">
        <v>0.5</v>
      </c>
      <c r="I5013" s="11">
        <f t="shared" si="78"/>
        <v>0</v>
      </c>
      <c r="J5013" s="11">
        <f>1/(H5013*Utilities!$B$11)</f>
        <v>8</v>
      </c>
      <c r="K5013" s="11">
        <f>IF(B5013&lt;C5013,1,EXP(-1*(B5013-C5013)/(Utilities!$B$11*IterData!H5013)))</f>
        <v>1</v>
      </c>
    </row>
    <row r="5014" spans="8:11" x14ac:dyDescent="0.3">
      <c r="H5014">
        <v>0.5</v>
      </c>
      <c r="I5014" s="11">
        <f t="shared" si="78"/>
        <v>0</v>
      </c>
      <c r="J5014" s="11">
        <f>1/(H5014*Utilities!$B$11)</f>
        <v>8</v>
      </c>
      <c r="K5014" s="11">
        <f>IF(B5014&lt;C5014,1,EXP(-1*(B5014-C5014)/(Utilities!$B$11*IterData!H5014)))</f>
        <v>1</v>
      </c>
    </row>
    <row r="5015" spans="8:11" x14ac:dyDescent="0.3">
      <c r="H5015">
        <v>0.5</v>
      </c>
      <c r="I5015" s="11">
        <f t="shared" si="78"/>
        <v>0</v>
      </c>
      <c r="J5015" s="11">
        <f>1/(H5015*Utilities!$B$11)</f>
        <v>8</v>
      </c>
      <c r="K5015" s="11">
        <f>IF(B5015&lt;C5015,1,EXP(-1*(B5015-C5015)/(Utilities!$B$11*IterData!H5015)))</f>
        <v>1</v>
      </c>
    </row>
    <row r="5016" spans="8:11" x14ac:dyDescent="0.3">
      <c r="H5016">
        <v>0.5</v>
      </c>
      <c r="I5016" s="11">
        <f t="shared" si="78"/>
        <v>0</v>
      </c>
      <c r="J5016" s="11">
        <f>1/(H5016*Utilities!$B$11)</f>
        <v>8</v>
      </c>
      <c r="K5016" s="11">
        <f>IF(B5016&lt;C5016,1,EXP(-1*(B5016-C5016)/(Utilities!$B$11*IterData!H5016)))</f>
        <v>1</v>
      </c>
    </row>
    <row r="5017" spans="8:11" x14ac:dyDescent="0.3">
      <c r="H5017">
        <v>0.5</v>
      </c>
      <c r="I5017" s="11">
        <f t="shared" si="78"/>
        <v>0</v>
      </c>
      <c r="J5017" s="11">
        <f>1/(H5017*Utilities!$B$11)</f>
        <v>8</v>
      </c>
      <c r="K5017" s="11">
        <f>IF(B5017&lt;C5017,1,EXP(-1*(B5017-C5017)/(Utilities!$B$11*IterData!H5017)))</f>
        <v>1</v>
      </c>
    </row>
    <row r="5018" spans="8:11" x14ac:dyDescent="0.3">
      <c r="H5018">
        <v>0.5</v>
      </c>
      <c r="I5018" s="11">
        <f t="shared" si="78"/>
        <v>0</v>
      </c>
      <c r="J5018" s="11">
        <f>1/(H5018*Utilities!$B$11)</f>
        <v>8</v>
      </c>
      <c r="K5018" s="11">
        <f>IF(B5018&lt;C5018,1,EXP(-1*(B5018-C5018)/(Utilities!$B$11*IterData!H5018)))</f>
        <v>1</v>
      </c>
    </row>
    <row r="5019" spans="8:11" x14ac:dyDescent="0.3">
      <c r="H5019">
        <v>0.5</v>
      </c>
      <c r="I5019" s="11">
        <f t="shared" si="78"/>
        <v>0</v>
      </c>
      <c r="J5019" s="11">
        <f>1/(H5019*Utilities!$B$11)</f>
        <v>8</v>
      </c>
      <c r="K5019" s="11">
        <f>IF(B5019&lt;C5019,1,EXP(-1*(B5019-C5019)/(Utilities!$B$11*IterData!H5019)))</f>
        <v>1</v>
      </c>
    </row>
    <row r="5020" spans="8:11" x14ac:dyDescent="0.3">
      <c r="H5020">
        <v>0.5</v>
      </c>
      <c r="I5020" s="11">
        <f t="shared" si="78"/>
        <v>0</v>
      </c>
      <c r="J5020" s="11">
        <f>1/(H5020*Utilities!$B$11)</f>
        <v>8</v>
      </c>
      <c r="K5020" s="11">
        <f>IF(B5020&lt;C5020,1,EXP(-1*(B5020-C5020)/(Utilities!$B$11*IterData!H5020)))</f>
        <v>1</v>
      </c>
    </row>
    <row r="5021" spans="8:11" x14ac:dyDescent="0.3">
      <c r="H5021">
        <v>0.5</v>
      </c>
      <c r="I5021" s="11">
        <f t="shared" si="78"/>
        <v>0</v>
      </c>
      <c r="J5021" s="11">
        <f>1/(H5021*Utilities!$B$11)</f>
        <v>8</v>
      </c>
      <c r="K5021" s="11">
        <f>IF(B5021&lt;C5021,1,EXP(-1*(B5021-C5021)/(Utilities!$B$11*IterData!H5021)))</f>
        <v>1</v>
      </c>
    </row>
    <row r="5022" spans="8:11" x14ac:dyDescent="0.3">
      <c r="H5022">
        <v>0.5</v>
      </c>
      <c r="I5022" s="11">
        <f t="shared" si="78"/>
        <v>0</v>
      </c>
      <c r="J5022" s="11">
        <f>1/(H5022*Utilities!$B$11)</f>
        <v>8</v>
      </c>
      <c r="K5022" s="11">
        <f>IF(B5022&lt;C5022,1,EXP(-1*(B5022-C5022)/(Utilities!$B$11*IterData!H5022)))</f>
        <v>1</v>
      </c>
    </row>
    <row r="5023" spans="8:11" x14ac:dyDescent="0.3">
      <c r="H5023">
        <v>0.5</v>
      </c>
      <c r="I5023" s="11">
        <f t="shared" si="78"/>
        <v>0</v>
      </c>
      <c r="J5023" s="11">
        <f>1/(H5023*Utilities!$B$11)</f>
        <v>8</v>
      </c>
      <c r="K5023" s="11">
        <f>IF(B5023&lt;C5023,1,EXP(-1*(B5023-C5023)/(Utilities!$B$11*IterData!H5023)))</f>
        <v>1</v>
      </c>
    </row>
    <row r="5024" spans="8:11" x14ac:dyDescent="0.3">
      <c r="H5024">
        <v>0.5</v>
      </c>
      <c r="I5024" s="11">
        <f t="shared" si="78"/>
        <v>0</v>
      </c>
      <c r="J5024" s="11">
        <f>1/(H5024*Utilities!$B$11)</f>
        <v>8</v>
      </c>
      <c r="K5024" s="11">
        <f>IF(B5024&lt;C5024,1,EXP(-1*(B5024-C5024)/(Utilities!$B$11*IterData!H5024)))</f>
        <v>1</v>
      </c>
    </row>
    <row r="5025" spans="8:11" x14ac:dyDescent="0.3">
      <c r="H5025">
        <v>0.5</v>
      </c>
      <c r="I5025" s="11">
        <f t="shared" si="78"/>
        <v>0</v>
      </c>
      <c r="J5025" s="11">
        <f>1/(H5025*Utilities!$B$11)</f>
        <v>8</v>
      </c>
      <c r="K5025" s="11">
        <f>IF(B5025&lt;C5025,1,EXP(-1*(B5025-C5025)/(Utilities!$B$11*IterData!H5025)))</f>
        <v>1</v>
      </c>
    </row>
    <row r="5026" spans="8:11" x14ac:dyDescent="0.3">
      <c r="H5026">
        <v>0.5</v>
      </c>
      <c r="I5026" s="11">
        <f t="shared" si="78"/>
        <v>0</v>
      </c>
      <c r="J5026" s="11">
        <f>1/(H5026*Utilities!$B$11)</f>
        <v>8</v>
      </c>
      <c r="K5026" s="11">
        <f>IF(B5026&lt;C5026,1,EXP(-1*(B5026-C5026)/(Utilities!$B$11*IterData!H5026)))</f>
        <v>1</v>
      </c>
    </row>
    <row r="5027" spans="8:11" x14ac:dyDescent="0.3">
      <c r="H5027">
        <v>0.5</v>
      </c>
      <c r="I5027" s="11">
        <f t="shared" si="78"/>
        <v>0</v>
      </c>
      <c r="J5027" s="11">
        <f>1/(H5027*Utilities!$B$11)</f>
        <v>8</v>
      </c>
      <c r="K5027" s="11">
        <f>IF(B5027&lt;C5027,1,EXP(-1*(B5027-C5027)/(Utilities!$B$11*IterData!H5027)))</f>
        <v>1</v>
      </c>
    </row>
    <row r="5028" spans="8:11" x14ac:dyDescent="0.3">
      <c r="H5028">
        <v>0.5</v>
      </c>
      <c r="I5028" s="11">
        <f t="shared" si="78"/>
        <v>0</v>
      </c>
      <c r="J5028" s="11">
        <f>1/(H5028*Utilities!$B$11)</f>
        <v>8</v>
      </c>
      <c r="K5028" s="11">
        <f>IF(B5028&lt;C5028,1,EXP(-1*(B5028-C5028)/(Utilities!$B$11*IterData!H5028)))</f>
        <v>1</v>
      </c>
    </row>
    <row r="5029" spans="8:11" x14ac:dyDescent="0.3">
      <c r="H5029">
        <v>0.5</v>
      </c>
      <c r="I5029" s="11">
        <f t="shared" si="78"/>
        <v>0</v>
      </c>
      <c r="J5029" s="11">
        <f>1/(H5029*Utilities!$B$11)</f>
        <v>8</v>
      </c>
      <c r="K5029" s="11">
        <f>IF(B5029&lt;C5029,1,EXP(-1*(B5029-C5029)/(Utilities!$B$11*IterData!H5029)))</f>
        <v>1</v>
      </c>
    </row>
    <row r="5030" spans="8:11" x14ac:dyDescent="0.3">
      <c r="H5030">
        <v>0.5</v>
      </c>
      <c r="I5030" s="11">
        <f t="shared" si="78"/>
        <v>0</v>
      </c>
      <c r="J5030" s="11">
        <f>1/(H5030*Utilities!$B$11)</f>
        <v>8</v>
      </c>
      <c r="K5030" s="11">
        <f>IF(B5030&lt;C5030,1,EXP(-1*(B5030-C5030)/(Utilities!$B$11*IterData!H5030)))</f>
        <v>1</v>
      </c>
    </row>
    <row r="5031" spans="8:11" x14ac:dyDescent="0.3">
      <c r="H5031">
        <v>0.5</v>
      </c>
      <c r="I5031" s="11">
        <f t="shared" si="78"/>
        <v>0</v>
      </c>
      <c r="J5031" s="11">
        <f>1/(H5031*Utilities!$B$11)</f>
        <v>8</v>
      </c>
      <c r="K5031" s="11">
        <f>IF(B5031&lt;C5031,1,EXP(-1*(B5031-C5031)/(Utilities!$B$11*IterData!H5031)))</f>
        <v>1</v>
      </c>
    </row>
    <row r="5032" spans="8:11" x14ac:dyDescent="0.3">
      <c r="H5032">
        <v>0.5</v>
      </c>
      <c r="I5032" s="11">
        <f t="shared" si="78"/>
        <v>0</v>
      </c>
      <c r="J5032" s="11">
        <f>1/(H5032*Utilities!$B$11)</f>
        <v>8</v>
      </c>
      <c r="K5032" s="11">
        <f>IF(B5032&lt;C5032,1,EXP(-1*(B5032-C5032)/(Utilities!$B$11*IterData!H5032)))</f>
        <v>1</v>
      </c>
    </row>
    <row r="5033" spans="8:11" x14ac:dyDescent="0.3">
      <c r="H5033">
        <v>0.5</v>
      </c>
      <c r="I5033" s="11">
        <f t="shared" si="78"/>
        <v>0</v>
      </c>
      <c r="J5033" s="11">
        <f>1/(H5033*Utilities!$B$11)</f>
        <v>8</v>
      </c>
      <c r="K5033" s="11">
        <f>IF(B5033&lt;C5033,1,EXP(-1*(B5033-C5033)/(Utilities!$B$11*IterData!H5033)))</f>
        <v>1</v>
      </c>
    </row>
    <row r="5034" spans="8:11" x14ac:dyDescent="0.3">
      <c r="H5034">
        <v>0.5</v>
      </c>
      <c r="I5034" s="11">
        <f t="shared" si="78"/>
        <v>0</v>
      </c>
      <c r="J5034" s="11">
        <f>1/(H5034*Utilities!$B$11)</f>
        <v>8</v>
      </c>
      <c r="K5034" s="11">
        <f>IF(B5034&lt;C5034,1,EXP(-1*(B5034-C5034)/(Utilities!$B$11*IterData!H5034)))</f>
        <v>1</v>
      </c>
    </row>
    <row r="5035" spans="8:11" x14ac:dyDescent="0.3">
      <c r="H5035">
        <v>0.5</v>
      </c>
      <c r="I5035" s="11">
        <f t="shared" si="78"/>
        <v>0</v>
      </c>
      <c r="J5035" s="11">
        <f>1/(H5035*Utilities!$B$11)</f>
        <v>8</v>
      </c>
      <c r="K5035" s="11">
        <f>IF(B5035&lt;C5035,1,EXP(-1*(B5035-C5035)/(Utilities!$B$11*IterData!H5035)))</f>
        <v>1</v>
      </c>
    </row>
    <row r="5036" spans="8:11" x14ac:dyDescent="0.3">
      <c r="H5036">
        <v>0.5</v>
      </c>
      <c r="I5036" s="11">
        <f t="shared" si="78"/>
        <v>0</v>
      </c>
      <c r="J5036" s="11">
        <f>1/(H5036*Utilities!$B$11)</f>
        <v>8</v>
      </c>
      <c r="K5036" s="11">
        <f>IF(B5036&lt;C5036,1,EXP(-1*(B5036-C5036)/(Utilities!$B$11*IterData!H5036)))</f>
        <v>1</v>
      </c>
    </row>
    <row r="5037" spans="8:11" x14ac:dyDescent="0.3">
      <c r="H5037">
        <v>0.5</v>
      </c>
      <c r="I5037" s="11">
        <f t="shared" si="78"/>
        <v>0</v>
      </c>
      <c r="J5037" s="11">
        <f>1/(H5037*Utilities!$B$11)</f>
        <v>8</v>
      </c>
      <c r="K5037" s="11">
        <f>IF(B5037&lt;C5037,1,EXP(-1*(B5037-C5037)/(Utilities!$B$11*IterData!H5037)))</f>
        <v>1</v>
      </c>
    </row>
    <row r="5038" spans="8:11" x14ac:dyDescent="0.3">
      <c r="H5038">
        <v>0.5</v>
      </c>
      <c r="I5038" s="11">
        <f t="shared" si="78"/>
        <v>0</v>
      </c>
      <c r="J5038" s="11">
        <f>1/(H5038*Utilities!$B$11)</f>
        <v>8</v>
      </c>
      <c r="K5038" s="11">
        <f>IF(B5038&lt;C5038,1,EXP(-1*(B5038-C5038)/(Utilities!$B$11*IterData!H5038)))</f>
        <v>1</v>
      </c>
    </row>
    <row r="5039" spans="8:11" x14ac:dyDescent="0.3">
      <c r="H5039">
        <v>0.5</v>
      </c>
      <c r="I5039" s="11">
        <f t="shared" si="78"/>
        <v>0</v>
      </c>
      <c r="J5039" s="11">
        <f>1/(H5039*Utilities!$B$11)</f>
        <v>8</v>
      </c>
      <c r="K5039" s="11">
        <f>IF(B5039&lt;C5039,1,EXP(-1*(B5039-C5039)/(Utilities!$B$11*IterData!H5039)))</f>
        <v>1</v>
      </c>
    </row>
    <row r="5040" spans="8:11" x14ac:dyDescent="0.3">
      <c r="H5040">
        <v>0.5</v>
      </c>
      <c r="I5040" s="11">
        <f t="shared" si="78"/>
        <v>0</v>
      </c>
      <c r="J5040" s="11">
        <f>1/(H5040*Utilities!$B$11)</f>
        <v>8</v>
      </c>
      <c r="K5040" s="11">
        <f>IF(B5040&lt;C5040,1,EXP(-1*(B5040-C5040)/(Utilities!$B$11*IterData!H5040)))</f>
        <v>1</v>
      </c>
    </row>
    <row r="5041" spans="8:11" x14ac:dyDescent="0.3">
      <c r="H5041">
        <v>0.5</v>
      </c>
      <c r="I5041" s="11">
        <f t="shared" si="78"/>
        <v>0</v>
      </c>
      <c r="J5041" s="11">
        <f>1/(H5041*Utilities!$B$11)</f>
        <v>8</v>
      </c>
      <c r="K5041" s="11">
        <f>IF(B5041&lt;C5041,1,EXP(-1*(B5041-C5041)/(Utilities!$B$11*IterData!H5041)))</f>
        <v>1</v>
      </c>
    </row>
    <row r="5042" spans="8:11" x14ac:dyDescent="0.3">
      <c r="H5042">
        <v>0.5</v>
      </c>
      <c r="I5042" s="11">
        <f t="shared" si="78"/>
        <v>0</v>
      </c>
      <c r="J5042" s="11">
        <f>1/(H5042*Utilities!$B$11)</f>
        <v>8</v>
      </c>
      <c r="K5042" s="11">
        <f>IF(B5042&lt;C5042,1,EXP(-1*(B5042-C5042)/(Utilities!$B$11*IterData!H5042)))</f>
        <v>1</v>
      </c>
    </row>
    <row r="5043" spans="8:11" x14ac:dyDescent="0.3">
      <c r="H5043">
        <v>0.5</v>
      </c>
      <c r="I5043" s="11">
        <f t="shared" si="78"/>
        <v>0</v>
      </c>
      <c r="J5043" s="11">
        <f>1/(H5043*Utilities!$B$11)</f>
        <v>8</v>
      </c>
      <c r="K5043" s="11">
        <f>IF(B5043&lt;C5043,1,EXP(-1*(B5043-C5043)/(Utilities!$B$11*IterData!H5043)))</f>
        <v>1</v>
      </c>
    </row>
    <row r="5044" spans="8:11" x14ac:dyDescent="0.3">
      <c r="H5044">
        <v>0.5</v>
      </c>
      <c r="I5044" s="11">
        <f t="shared" si="78"/>
        <v>0</v>
      </c>
      <c r="J5044" s="11">
        <f>1/(H5044*Utilities!$B$11)</f>
        <v>8</v>
      </c>
      <c r="K5044" s="11">
        <f>IF(B5044&lt;C5044,1,EXP(-1*(B5044-C5044)/(Utilities!$B$11*IterData!H5044)))</f>
        <v>1</v>
      </c>
    </row>
    <row r="5045" spans="8:11" x14ac:dyDescent="0.3">
      <c r="H5045">
        <v>0.5</v>
      </c>
      <c r="I5045" s="11">
        <f t="shared" si="78"/>
        <v>0</v>
      </c>
      <c r="J5045" s="11">
        <f>1/(H5045*Utilities!$B$11)</f>
        <v>8</v>
      </c>
      <c r="K5045" s="11">
        <f>IF(B5045&lt;C5045,1,EXP(-1*(B5045-C5045)/(Utilities!$B$11*IterData!H5045)))</f>
        <v>1</v>
      </c>
    </row>
    <row r="5046" spans="8:11" x14ac:dyDescent="0.3">
      <c r="H5046">
        <v>0.5</v>
      </c>
      <c r="I5046" s="11">
        <f t="shared" si="78"/>
        <v>0</v>
      </c>
      <c r="J5046" s="11">
        <f>1/(H5046*Utilities!$B$11)</f>
        <v>8</v>
      </c>
      <c r="K5046" s="11">
        <f>IF(B5046&lt;C5046,1,EXP(-1*(B5046-C5046)/(Utilities!$B$11*IterData!H5046)))</f>
        <v>1</v>
      </c>
    </row>
    <row r="5047" spans="8:11" x14ac:dyDescent="0.3">
      <c r="H5047">
        <v>0.5</v>
      </c>
      <c r="I5047" s="11">
        <f t="shared" si="78"/>
        <v>0</v>
      </c>
      <c r="J5047" s="11">
        <f>1/(H5047*Utilities!$B$11)</f>
        <v>8</v>
      </c>
      <c r="K5047" s="11">
        <f>IF(B5047&lt;C5047,1,EXP(-1*(B5047-C5047)/(Utilities!$B$11*IterData!H5047)))</f>
        <v>1</v>
      </c>
    </row>
    <row r="5048" spans="8:11" x14ac:dyDescent="0.3">
      <c r="H5048">
        <v>0.5</v>
      </c>
      <c r="I5048" s="11">
        <f t="shared" si="78"/>
        <v>0</v>
      </c>
      <c r="J5048" s="11">
        <f>1/(H5048*Utilities!$B$11)</f>
        <v>8</v>
      </c>
      <c r="K5048" s="11">
        <f>IF(B5048&lt;C5048,1,EXP(-1*(B5048-C5048)/(Utilities!$B$11*IterData!H5048)))</f>
        <v>1</v>
      </c>
    </row>
    <row r="5049" spans="8:11" x14ac:dyDescent="0.3">
      <c r="H5049">
        <v>0.5</v>
      </c>
      <c r="I5049" s="11">
        <f t="shared" si="78"/>
        <v>0</v>
      </c>
      <c r="J5049" s="11">
        <f>1/(H5049*Utilities!$B$11)</f>
        <v>8</v>
      </c>
      <c r="K5049" s="11">
        <f>IF(B5049&lt;C5049,1,EXP(-1*(B5049-C5049)/(Utilities!$B$11*IterData!H5049)))</f>
        <v>1</v>
      </c>
    </row>
    <row r="5050" spans="8:11" x14ac:dyDescent="0.3">
      <c r="H5050">
        <v>0.5</v>
      </c>
      <c r="I5050" s="11">
        <f t="shared" si="78"/>
        <v>0</v>
      </c>
      <c r="J5050" s="11">
        <f>1/(H5050*Utilities!$B$11)</f>
        <v>8</v>
      </c>
      <c r="K5050" s="11">
        <f>IF(B5050&lt;C5050,1,EXP(-1*(B5050-C5050)/(Utilities!$B$11*IterData!H5050)))</f>
        <v>1</v>
      </c>
    </row>
    <row r="5051" spans="8:11" x14ac:dyDescent="0.3">
      <c r="H5051">
        <v>0.5</v>
      </c>
      <c r="I5051" s="11">
        <f t="shared" si="78"/>
        <v>0</v>
      </c>
      <c r="J5051" s="11">
        <f>1/(H5051*Utilities!$B$11)</f>
        <v>8</v>
      </c>
      <c r="K5051" s="11">
        <f>IF(B5051&lt;C5051,1,EXP(-1*(B5051-C5051)/(Utilities!$B$11*IterData!H5051)))</f>
        <v>1</v>
      </c>
    </row>
    <row r="5052" spans="8:11" x14ac:dyDescent="0.3">
      <c r="H5052">
        <v>0.5</v>
      </c>
      <c r="I5052" s="11">
        <f t="shared" si="78"/>
        <v>0</v>
      </c>
      <c r="J5052" s="11">
        <f>1/(H5052*Utilities!$B$11)</f>
        <v>8</v>
      </c>
      <c r="K5052" s="11">
        <f>IF(B5052&lt;C5052,1,EXP(-1*(B5052-C5052)/(Utilities!$B$11*IterData!H5052)))</f>
        <v>1</v>
      </c>
    </row>
    <row r="5053" spans="8:11" x14ac:dyDescent="0.3">
      <c r="H5053">
        <v>0.5</v>
      </c>
      <c r="I5053" s="11">
        <f t="shared" si="78"/>
        <v>0</v>
      </c>
      <c r="J5053" s="11">
        <f>1/(H5053*Utilities!$B$11)</f>
        <v>8</v>
      </c>
      <c r="K5053" s="11">
        <f>IF(B5053&lt;C5053,1,EXP(-1*(B5053-C5053)/(Utilities!$B$11*IterData!H5053)))</f>
        <v>1</v>
      </c>
    </row>
    <row r="5054" spans="8:11" x14ac:dyDescent="0.3">
      <c r="H5054">
        <v>0.5</v>
      </c>
      <c r="I5054" s="11">
        <f t="shared" si="78"/>
        <v>0</v>
      </c>
      <c r="J5054" s="11">
        <f>1/(H5054*Utilities!$B$11)</f>
        <v>8</v>
      </c>
      <c r="K5054" s="11">
        <f>IF(B5054&lt;C5054,1,EXP(-1*(B5054-C5054)/(Utilities!$B$11*IterData!H5054)))</f>
        <v>1</v>
      </c>
    </row>
    <row r="5055" spans="8:11" x14ac:dyDescent="0.3">
      <c r="H5055">
        <v>0.5</v>
      </c>
      <c r="I5055" s="11">
        <f t="shared" si="78"/>
        <v>0</v>
      </c>
      <c r="J5055" s="11">
        <f>1/(H5055*Utilities!$B$11)</f>
        <v>8</v>
      </c>
      <c r="K5055" s="11">
        <f>IF(B5055&lt;C5055,1,EXP(-1*(B5055-C5055)/(Utilities!$B$11*IterData!H5055)))</f>
        <v>1</v>
      </c>
    </row>
    <row r="5056" spans="8:11" x14ac:dyDescent="0.3">
      <c r="H5056">
        <v>0.5</v>
      </c>
      <c r="I5056" s="11">
        <f t="shared" si="78"/>
        <v>0</v>
      </c>
      <c r="J5056" s="11">
        <f>1/(H5056*Utilities!$B$11)</f>
        <v>8</v>
      </c>
      <c r="K5056" s="11">
        <f>IF(B5056&lt;C5056,1,EXP(-1*(B5056-C5056)/(Utilities!$B$11*IterData!H5056)))</f>
        <v>1</v>
      </c>
    </row>
    <row r="5057" spans="8:11" x14ac:dyDescent="0.3">
      <c r="H5057">
        <v>0.5</v>
      </c>
      <c r="I5057" s="11">
        <f t="shared" si="78"/>
        <v>0</v>
      </c>
      <c r="J5057" s="11">
        <f>1/(H5057*Utilities!$B$11)</f>
        <v>8</v>
      </c>
      <c r="K5057" s="11">
        <f>IF(B5057&lt;C5057,1,EXP(-1*(B5057-C5057)/(Utilities!$B$11*IterData!H5057)))</f>
        <v>1</v>
      </c>
    </row>
    <row r="5058" spans="8:11" x14ac:dyDescent="0.3">
      <c r="H5058">
        <v>0.5</v>
      </c>
      <c r="I5058" s="11">
        <f t="shared" si="78"/>
        <v>0</v>
      </c>
      <c r="J5058" s="11">
        <f>1/(H5058*Utilities!$B$11)</f>
        <v>8</v>
      </c>
      <c r="K5058" s="11">
        <f>IF(B5058&lt;C5058,1,EXP(-1*(B5058-C5058)/(Utilities!$B$11*IterData!H5058)))</f>
        <v>1</v>
      </c>
    </row>
    <row r="5059" spans="8:11" x14ac:dyDescent="0.3">
      <c r="H5059">
        <v>0.5</v>
      </c>
      <c r="I5059" s="11">
        <f t="shared" ref="I5059:I5122" si="79">B5059-C5059</f>
        <v>0</v>
      </c>
      <c r="J5059" s="11">
        <f>1/(H5059*Utilities!$B$11)</f>
        <v>8</v>
      </c>
      <c r="K5059" s="11">
        <f>IF(B5059&lt;C5059,1,EXP(-1*(B5059-C5059)/(Utilities!$B$11*IterData!H5059)))</f>
        <v>1</v>
      </c>
    </row>
    <row r="5060" spans="8:11" x14ac:dyDescent="0.3">
      <c r="H5060">
        <v>0.5</v>
      </c>
      <c r="I5060" s="11">
        <f t="shared" si="79"/>
        <v>0</v>
      </c>
      <c r="J5060" s="11">
        <f>1/(H5060*Utilities!$B$11)</f>
        <v>8</v>
      </c>
      <c r="K5060" s="11">
        <f>IF(B5060&lt;C5060,1,EXP(-1*(B5060-C5060)/(Utilities!$B$11*IterData!H5060)))</f>
        <v>1</v>
      </c>
    </row>
    <row r="5061" spans="8:11" x14ac:dyDescent="0.3">
      <c r="H5061">
        <v>0.5</v>
      </c>
      <c r="I5061" s="11">
        <f t="shared" si="79"/>
        <v>0</v>
      </c>
      <c r="J5061" s="11">
        <f>1/(H5061*Utilities!$B$11)</f>
        <v>8</v>
      </c>
      <c r="K5061" s="11">
        <f>IF(B5061&lt;C5061,1,EXP(-1*(B5061-C5061)/(Utilities!$B$11*IterData!H5061)))</f>
        <v>1</v>
      </c>
    </row>
    <row r="5062" spans="8:11" x14ac:dyDescent="0.3">
      <c r="H5062">
        <v>0.5</v>
      </c>
      <c r="I5062" s="11">
        <f t="shared" si="79"/>
        <v>0</v>
      </c>
      <c r="J5062" s="11">
        <f>1/(H5062*Utilities!$B$11)</f>
        <v>8</v>
      </c>
      <c r="K5062" s="11">
        <f>IF(B5062&lt;C5062,1,EXP(-1*(B5062-C5062)/(Utilities!$B$11*IterData!H5062)))</f>
        <v>1</v>
      </c>
    </row>
    <row r="5063" spans="8:11" x14ac:dyDescent="0.3">
      <c r="H5063">
        <v>0.5</v>
      </c>
      <c r="I5063" s="11">
        <f t="shared" si="79"/>
        <v>0</v>
      </c>
      <c r="J5063" s="11">
        <f>1/(H5063*Utilities!$B$11)</f>
        <v>8</v>
      </c>
      <c r="K5063" s="11">
        <f>IF(B5063&lt;C5063,1,EXP(-1*(B5063-C5063)/(Utilities!$B$11*IterData!H5063)))</f>
        <v>1</v>
      </c>
    </row>
    <row r="5064" spans="8:11" x14ac:dyDescent="0.3">
      <c r="H5064">
        <v>0.5</v>
      </c>
      <c r="I5064" s="11">
        <f t="shared" si="79"/>
        <v>0</v>
      </c>
      <c r="J5064" s="11">
        <f>1/(H5064*Utilities!$B$11)</f>
        <v>8</v>
      </c>
      <c r="K5064" s="11">
        <f>IF(B5064&lt;C5064,1,EXP(-1*(B5064-C5064)/(Utilities!$B$11*IterData!H5064)))</f>
        <v>1</v>
      </c>
    </row>
    <row r="5065" spans="8:11" x14ac:dyDescent="0.3">
      <c r="H5065">
        <v>0.5</v>
      </c>
      <c r="I5065" s="11">
        <f t="shared" si="79"/>
        <v>0</v>
      </c>
      <c r="J5065" s="11">
        <f>1/(H5065*Utilities!$B$11)</f>
        <v>8</v>
      </c>
      <c r="K5065" s="11">
        <f>IF(B5065&lt;C5065,1,EXP(-1*(B5065-C5065)/(Utilities!$B$11*IterData!H5065)))</f>
        <v>1</v>
      </c>
    </row>
    <row r="5066" spans="8:11" x14ac:dyDescent="0.3">
      <c r="H5066">
        <v>0.5</v>
      </c>
      <c r="I5066" s="11">
        <f t="shared" si="79"/>
        <v>0</v>
      </c>
      <c r="J5066" s="11">
        <f>1/(H5066*Utilities!$B$11)</f>
        <v>8</v>
      </c>
      <c r="K5066" s="11">
        <f>IF(B5066&lt;C5066,1,EXP(-1*(B5066-C5066)/(Utilities!$B$11*IterData!H5066)))</f>
        <v>1</v>
      </c>
    </row>
    <row r="5067" spans="8:11" x14ac:dyDescent="0.3">
      <c r="H5067">
        <v>0.5</v>
      </c>
      <c r="I5067" s="11">
        <f t="shared" si="79"/>
        <v>0</v>
      </c>
      <c r="J5067" s="11">
        <f>1/(H5067*Utilities!$B$11)</f>
        <v>8</v>
      </c>
      <c r="K5067" s="11">
        <f>IF(B5067&lt;C5067,1,EXP(-1*(B5067-C5067)/(Utilities!$B$11*IterData!H5067)))</f>
        <v>1</v>
      </c>
    </row>
    <row r="5068" spans="8:11" x14ac:dyDescent="0.3">
      <c r="H5068">
        <v>0.5</v>
      </c>
      <c r="I5068" s="11">
        <f t="shared" si="79"/>
        <v>0</v>
      </c>
      <c r="J5068" s="11">
        <f>1/(H5068*Utilities!$B$11)</f>
        <v>8</v>
      </c>
      <c r="K5068" s="11">
        <f>IF(B5068&lt;C5068,1,EXP(-1*(B5068-C5068)/(Utilities!$B$11*IterData!H5068)))</f>
        <v>1</v>
      </c>
    </row>
    <row r="5069" spans="8:11" x14ac:dyDescent="0.3">
      <c r="H5069">
        <v>0.5</v>
      </c>
      <c r="I5069" s="11">
        <f t="shared" si="79"/>
        <v>0</v>
      </c>
      <c r="J5069" s="11">
        <f>1/(H5069*Utilities!$B$11)</f>
        <v>8</v>
      </c>
      <c r="K5069" s="11">
        <f>IF(B5069&lt;C5069,1,EXP(-1*(B5069-C5069)/(Utilities!$B$11*IterData!H5069)))</f>
        <v>1</v>
      </c>
    </row>
    <row r="5070" spans="8:11" x14ac:dyDescent="0.3">
      <c r="H5070">
        <v>0.5</v>
      </c>
      <c r="I5070" s="11">
        <f t="shared" si="79"/>
        <v>0</v>
      </c>
      <c r="J5070" s="11">
        <f>1/(H5070*Utilities!$B$11)</f>
        <v>8</v>
      </c>
      <c r="K5070" s="11">
        <f>IF(B5070&lt;C5070,1,EXP(-1*(B5070-C5070)/(Utilities!$B$11*IterData!H5070)))</f>
        <v>1</v>
      </c>
    </row>
    <row r="5071" spans="8:11" x14ac:dyDescent="0.3">
      <c r="H5071">
        <v>0.5</v>
      </c>
      <c r="I5071" s="11">
        <f t="shared" si="79"/>
        <v>0</v>
      </c>
      <c r="J5071" s="11">
        <f>1/(H5071*Utilities!$B$11)</f>
        <v>8</v>
      </c>
      <c r="K5071" s="11">
        <f>IF(B5071&lt;C5071,1,EXP(-1*(B5071-C5071)/(Utilities!$B$11*IterData!H5071)))</f>
        <v>1</v>
      </c>
    </row>
    <row r="5072" spans="8:11" x14ac:dyDescent="0.3">
      <c r="H5072">
        <v>0.5</v>
      </c>
      <c r="I5072" s="11">
        <f t="shared" si="79"/>
        <v>0</v>
      </c>
      <c r="J5072" s="11">
        <f>1/(H5072*Utilities!$B$11)</f>
        <v>8</v>
      </c>
      <c r="K5072" s="11">
        <f>IF(B5072&lt;C5072,1,EXP(-1*(B5072-C5072)/(Utilities!$B$11*IterData!H5072)))</f>
        <v>1</v>
      </c>
    </row>
    <row r="5073" spans="8:11" x14ac:dyDescent="0.3">
      <c r="H5073">
        <v>0.5</v>
      </c>
      <c r="I5073" s="11">
        <f t="shared" si="79"/>
        <v>0</v>
      </c>
      <c r="J5073" s="11">
        <f>1/(H5073*Utilities!$B$11)</f>
        <v>8</v>
      </c>
      <c r="K5073" s="11">
        <f>IF(B5073&lt;C5073,1,EXP(-1*(B5073-C5073)/(Utilities!$B$11*IterData!H5073)))</f>
        <v>1</v>
      </c>
    </row>
    <row r="5074" spans="8:11" x14ac:dyDescent="0.3">
      <c r="H5074">
        <v>0.5</v>
      </c>
      <c r="I5074" s="11">
        <f t="shared" si="79"/>
        <v>0</v>
      </c>
      <c r="J5074" s="11">
        <f>1/(H5074*Utilities!$B$11)</f>
        <v>8</v>
      </c>
      <c r="K5074" s="11">
        <f>IF(B5074&lt;C5074,1,EXP(-1*(B5074-C5074)/(Utilities!$B$11*IterData!H5074)))</f>
        <v>1</v>
      </c>
    </row>
    <row r="5075" spans="8:11" x14ac:dyDescent="0.3">
      <c r="H5075">
        <v>0.5</v>
      </c>
      <c r="I5075" s="11">
        <f t="shared" si="79"/>
        <v>0</v>
      </c>
      <c r="J5075" s="11">
        <f>1/(H5075*Utilities!$B$11)</f>
        <v>8</v>
      </c>
      <c r="K5075" s="11">
        <f>IF(B5075&lt;C5075,1,EXP(-1*(B5075-C5075)/(Utilities!$B$11*IterData!H5075)))</f>
        <v>1</v>
      </c>
    </row>
    <row r="5076" spans="8:11" x14ac:dyDescent="0.3">
      <c r="H5076">
        <v>0.5</v>
      </c>
      <c r="I5076" s="11">
        <f t="shared" si="79"/>
        <v>0</v>
      </c>
      <c r="J5076" s="11">
        <f>1/(H5076*Utilities!$B$11)</f>
        <v>8</v>
      </c>
      <c r="K5076" s="11">
        <f>IF(B5076&lt;C5076,1,EXP(-1*(B5076-C5076)/(Utilities!$B$11*IterData!H5076)))</f>
        <v>1</v>
      </c>
    </row>
    <row r="5077" spans="8:11" x14ac:dyDescent="0.3">
      <c r="H5077">
        <v>0.5</v>
      </c>
      <c r="I5077" s="11">
        <f t="shared" si="79"/>
        <v>0</v>
      </c>
      <c r="J5077" s="11">
        <f>1/(H5077*Utilities!$B$11)</f>
        <v>8</v>
      </c>
      <c r="K5077" s="11">
        <f>IF(B5077&lt;C5077,1,EXP(-1*(B5077-C5077)/(Utilities!$B$11*IterData!H5077)))</f>
        <v>1</v>
      </c>
    </row>
    <row r="5078" spans="8:11" x14ac:dyDescent="0.3">
      <c r="H5078">
        <v>0.5</v>
      </c>
      <c r="I5078" s="11">
        <f t="shared" si="79"/>
        <v>0</v>
      </c>
      <c r="J5078" s="11">
        <f>1/(H5078*Utilities!$B$11)</f>
        <v>8</v>
      </c>
      <c r="K5078" s="11">
        <f>IF(B5078&lt;C5078,1,EXP(-1*(B5078-C5078)/(Utilities!$B$11*IterData!H5078)))</f>
        <v>1</v>
      </c>
    </row>
    <row r="5079" spans="8:11" x14ac:dyDescent="0.3">
      <c r="H5079">
        <v>0.5</v>
      </c>
      <c r="I5079" s="11">
        <f t="shared" si="79"/>
        <v>0</v>
      </c>
      <c r="J5079" s="11">
        <f>1/(H5079*Utilities!$B$11)</f>
        <v>8</v>
      </c>
      <c r="K5079" s="11">
        <f>IF(B5079&lt;C5079,1,EXP(-1*(B5079-C5079)/(Utilities!$B$11*IterData!H5079)))</f>
        <v>1</v>
      </c>
    </row>
    <row r="5080" spans="8:11" x14ac:dyDescent="0.3">
      <c r="H5080">
        <v>0.5</v>
      </c>
      <c r="I5080" s="11">
        <f t="shared" si="79"/>
        <v>0</v>
      </c>
      <c r="J5080" s="11">
        <f>1/(H5080*Utilities!$B$11)</f>
        <v>8</v>
      </c>
      <c r="K5080" s="11">
        <f>IF(B5080&lt;C5080,1,EXP(-1*(B5080-C5080)/(Utilities!$B$11*IterData!H5080)))</f>
        <v>1</v>
      </c>
    </row>
    <row r="5081" spans="8:11" x14ac:dyDescent="0.3">
      <c r="H5081">
        <v>0.5</v>
      </c>
      <c r="I5081" s="11">
        <f t="shared" si="79"/>
        <v>0</v>
      </c>
      <c r="J5081" s="11">
        <f>1/(H5081*Utilities!$B$11)</f>
        <v>8</v>
      </c>
      <c r="K5081" s="11">
        <f>IF(B5081&lt;C5081,1,EXP(-1*(B5081-C5081)/(Utilities!$B$11*IterData!H5081)))</f>
        <v>1</v>
      </c>
    </row>
    <row r="5082" spans="8:11" x14ac:dyDescent="0.3">
      <c r="H5082">
        <v>0.5</v>
      </c>
      <c r="I5082" s="11">
        <f t="shared" si="79"/>
        <v>0</v>
      </c>
      <c r="J5082" s="11">
        <f>1/(H5082*Utilities!$B$11)</f>
        <v>8</v>
      </c>
      <c r="K5082" s="11">
        <f>IF(B5082&lt;C5082,1,EXP(-1*(B5082-C5082)/(Utilities!$B$11*IterData!H5082)))</f>
        <v>1</v>
      </c>
    </row>
    <row r="5083" spans="8:11" x14ac:dyDescent="0.3">
      <c r="H5083">
        <v>0.5</v>
      </c>
      <c r="I5083" s="11">
        <f t="shared" si="79"/>
        <v>0</v>
      </c>
      <c r="J5083" s="11">
        <f>1/(H5083*Utilities!$B$11)</f>
        <v>8</v>
      </c>
      <c r="K5083" s="11">
        <f>IF(B5083&lt;C5083,1,EXP(-1*(B5083-C5083)/(Utilities!$B$11*IterData!H5083)))</f>
        <v>1</v>
      </c>
    </row>
    <row r="5084" spans="8:11" x14ac:dyDescent="0.3">
      <c r="H5084">
        <v>0.5</v>
      </c>
      <c r="I5084" s="11">
        <f t="shared" si="79"/>
        <v>0</v>
      </c>
      <c r="J5084" s="11">
        <f>1/(H5084*Utilities!$B$11)</f>
        <v>8</v>
      </c>
      <c r="K5084" s="11">
        <f>IF(B5084&lt;C5084,1,EXP(-1*(B5084-C5084)/(Utilities!$B$11*IterData!H5084)))</f>
        <v>1</v>
      </c>
    </row>
    <row r="5085" spans="8:11" x14ac:dyDescent="0.3">
      <c r="H5085">
        <v>0.5</v>
      </c>
      <c r="I5085" s="11">
        <f t="shared" si="79"/>
        <v>0</v>
      </c>
      <c r="J5085" s="11">
        <f>1/(H5085*Utilities!$B$11)</f>
        <v>8</v>
      </c>
      <c r="K5085" s="11">
        <f>IF(B5085&lt;C5085,1,EXP(-1*(B5085-C5085)/(Utilities!$B$11*IterData!H5085)))</f>
        <v>1</v>
      </c>
    </row>
    <row r="5086" spans="8:11" x14ac:dyDescent="0.3">
      <c r="H5086">
        <v>0.5</v>
      </c>
      <c r="I5086" s="11">
        <f t="shared" si="79"/>
        <v>0</v>
      </c>
      <c r="J5086" s="11">
        <f>1/(H5086*Utilities!$B$11)</f>
        <v>8</v>
      </c>
      <c r="K5086" s="11">
        <f>IF(B5086&lt;C5086,1,EXP(-1*(B5086-C5086)/(Utilities!$B$11*IterData!H5086)))</f>
        <v>1</v>
      </c>
    </row>
    <row r="5087" spans="8:11" x14ac:dyDescent="0.3">
      <c r="H5087">
        <v>0.5</v>
      </c>
      <c r="I5087" s="11">
        <f t="shared" si="79"/>
        <v>0</v>
      </c>
      <c r="J5087" s="11">
        <f>1/(H5087*Utilities!$B$11)</f>
        <v>8</v>
      </c>
      <c r="K5087" s="11">
        <f>IF(B5087&lt;C5087,1,EXP(-1*(B5087-C5087)/(Utilities!$B$11*IterData!H5087)))</f>
        <v>1</v>
      </c>
    </row>
    <row r="5088" spans="8:11" x14ac:dyDescent="0.3">
      <c r="H5088">
        <v>0.5</v>
      </c>
      <c r="I5088" s="11">
        <f t="shared" si="79"/>
        <v>0</v>
      </c>
      <c r="J5088" s="11">
        <f>1/(H5088*Utilities!$B$11)</f>
        <v>8</v>
      </c>
      <c r="K5088" s="11">
        <f>IF(B5088&lt;C5088,1,EXP(-1*(B5088-C5088)/(Utilities!$B$11*IterData!H5088)))</f>
        <v>1</v>
      </c>
    </row>
    <row r="5089" spans="8:11" x14ac:dyDescent="0.3">
      <c r="H5089">
        <v>0.5</v>
      </c>
      <c r="I5089" s="11">
        <f t="shared" si="79"/>
        <v>0</v>
      </c>
      <c r="J5089" s="11">
        <f>1/(H5089*Utilities!$B$11)</f>
        <v>8</v>
      </c>
      <c r="K5089" s="11">
        <f>IF(B5089&lt;C5089,1,EXP(-1*(B5089-C5089)/(Utilities!$B$11*IterData!H5089)))</f>
        <v>1</v>
      </c>
    </row>
    <row r="5090" spans="8:11" x14ac:dyDescent="0.3">
      <c r="H5090">
        <v>0.5</v>
      </c>
      <c r="I5090" s="11">
        <f t="shared" si="79"/>
        <v>0</v>
      </c>
      <c r="J5090" s="11">
        <f>1/(H5090*Utilities!$B$11)</f>
        <v>8</v>
      </c>
      <c r="K5090" s="11">
        <f>IF(B5090&lt;C5090,1,EXP(-1*(B5090-C5090)/(Utilities!$B$11*IterData!H5090)))</f>
        <v>1</v>
      </c>
    </row>
    <row r="5091" spans="8:11" x14ac:dyDescent="0.3">
      <c r="H5091">
        <v>0.5</v>
      </c>
      <c r="I5091" s="11">
        <f t="shared" si="79"/>
        <v>0</v>
      </c>
      <c r="J5091" s="11">
        <f>1/(H5091*Utilities!$B$11)</f>
        <v>8</v>
      </c>
      <c r="K5091" s="11">
        <f>IF(B5091&lt;C5091,1,EXP(-1*(B5091-C5091)/(Utilities!$B$11*IterData!H5091)))</f>
        <v>1</v>
      </c>
    </row>
    <row r="5092" spans="8:11" x14ac:dyDescent="0.3">
      <c r="H5092">
        <v>0.5</v>
      </c>
      <c r="I5092" s="11">
        <f t="shared" si="79"/>
        <v>0</v>
      </c>
      <c r="J5092" s="11">
        <f>1/(H5092*Utilities!$B$11)</f>
        <v>8</v>
      </c>
      <c r="K5092" s="11">
        <f>IF(B5092&lt;C5092,1,EXP(-1*(B5092-C5092)/(Utilities!$B$11*IterData!H5092)))</f>
        <v>1</v>
      </c>
    </row>
    <row r="5093" spans="8:11" x14ac:dyDescent="0.3">
      <c r="H5093">
        <v>0.5</v>
      </c>
      <c r="I5093" s="11">
        <f t="shared" si="79"/>
        <v>0</v>
      </c>
      <c r="J5093" s="11">
        <f>1/(H5093*Utilities!$B$11)</f>
        <v>8</v>
      </c>
      <c r="K5093" s="11">
        <f>IF(B5093&lt;C5093,1,EXP(-1*(B5093-C5093)/(Utilities!$B$11*IterData!H5093)))</f>
        <v>1</v>
      </c>
    </row>
    <row r="5094" spans="8:11" x14ac:dyDescent="0.3">
      <c r="H5094">
        <v>0.5</v>
      </c>
      <c r="I5094" s="11">
        <f t="shared" si="79"/>
        <v>0</v>
      </c>
      <c r="J5094" s="11">
        <f>1/(H5094*Utilities!$B$11)</f>
        <v>8</v>
      </c>
      <c r="K5094" s="11">
        <f>IF(B5094&lt;C5094,1,EXP(-1*(B5094-C5094)/(Utilities!$B$11*IterData!H5094)))</f>
        <v>1</v>
      </c>
    </row>
    <row r="5095" spans="8:11" x14ac:dyDescent="0.3">
      <c r="H5095">
        <v>0.5</v>
      </c>
      <c r="I5095" s="11">
        <f t="shared" si="79"/>
        <v>0</v>
      </c>
      <c r="J5095" s="11">
        <f>1/(H5095*Utilities!$B$11)</f>
        <v>8</v>
      </c>
      <c r="K5095" s="11">
        <f>IF(B5095&lt;C5095,1,EXP(-1*(B5095-C5095)/(Utilities!$B$11*IterData!H5095)))</f>
        <v>1</v>
      </c>
    </row>
    <row r="5096" spans="8:11" x14ac:dyDescent="0.3">
      <c r="H5096">
        <v>0.5</v>
      </c>
      <c r="I5096" s="11">
        <f t="shared" si="79"/>
        <v>0</v>
      </c>
      <c r="J5096" s="11">
        <f>1/(H5096*Utilities!$B$11)</f>
        <v>8</v>
      </c>
      <c r="K5096" s="11">
        <f>IF(B5096&lt;C5096,1,EXP(-1*(B5096-C5096)/(Utilities!$B$11*IterData!H5096)))</f>
        <v>1</v>
      </c>
    </row>
    <row r="5097" spans="8:11" x14ac:dyDescent="0.3">
      <c r="H5097">
        <v>0.5</v>
      </c>
      <c r="I5097" s="11">
        <f t="shared" si="79"/>
        <v>0</v>
      </c>
      <c r="J5097" s="11">
        <f>1/(H5097*Utilities!$B$11)</f>
        <v>8</v>
      </c>
      <c r="K5097" s="11">
        <f>IF(B5097&lt;C5097,1,EXP(-1*(B5097-C5097)/(Utilities!$B$11*IterData!H5097)))</f>
        <v>1</v>
      </c>
    </row>
    <row r="5098" spans="8:11" x14ac:dyDescent="0.3">
      <c r="H5098">
        <v>0.5</v>
      </c>
      <c r="I5098" s="11">
        <f t="shared" si="79"/>
        <v>0</v>
      </c>
      <c r="J5098" s="11">
        <f>1/(H5098*Utilities!$B$11)</f>
        <v>8</v>
      </c>
      <c r="K5098" s="11">
        <f>IF(B5098&lt;C5098,1,EXP(-1*(B5098-C5098)/(Utilities!$B$11*IterData!H5098)))</f>
        <v>1</v>
      </c>
    </row>
    <row r="5099" spans="8:11" x14ac:dyDescent="0.3">
      <c r="H5099">
        <v>0.5</v>
      </c>
      <c r="I5099" s="11">
        <f t="shared" si="79"/>
        <v>0</v>
      </c>
      <c r="J5099" s="11">
        <f>1/(H5099*Utilities!$B$11)</f>
        <v>8</v>
      </c>
      <c r="K5099" s="11">
        <f>IF(B5099&lt;C5099,1,EXP(-1*(B5099-C5099)/(Utilities!$B$11*IterData!H5099)))</f>
        <v>1</v>
      </c>
    </row>
    <row r="5100" spans="8:11" x14ac:dyDescent="0.3">
      <c r="H5100">
        <v>0.5</v>
      </c>
      <c r="I5100" s="11">
        <f t="shared" si="79"/>
        <v>0</v>
      </c>
      <c r="J5100" s="11">
        <f>1/(H5100*Utilities!$B$11)</f>
        <v>8</v>
      </c>
      <c r="K5100" s="11">
        <f>IF(B5100&lt;C5100,1,EXP(-1*(B5100-C5100)/(Utilities!$B$11*IterData!H5100)))</f>
        <v>1</v>
      </c>
    </row>
    <row r="5101" spans="8:11" x14ac:dyDescent="0.3">
      <c r="H5101">
        <v>0.5</v>
      </c>
      <c r="I5101" s="11">
        <f t="shared" si="79"/>
        <v>0</v>
      </c>
      <c r="J5101" s="11">
        <f>1/(H5101*Utilities!$B$11)</f>
        <v>8</v>
      </c>
      <c r="K5101" s="11">
        <f>IF(B5101&lt;C5101,1,EXP(-1*(B5101-C5101)/(Utilities!$B$11*IterData!H5101)))</f>
        <v>1</v>
      </c>
    </row>
    <row r="5102" spans="8:11" x14ac:dyDescent="0.3">
      <c r="H5102">
        <v>0.5</v>
      </c>
      <c r="I5102" s="11">
        <f t="shared" si="79"/>
        <v>0</v>
      </c>
      <c r="J5102" s="11">
        <f>1/(H5102*Utilities!$B$11)</f>
        <v>8</v>
      </c>
      <c r="K5102" s="11">
        <f>IF(B5102&lt;C5102,1,EXP(-1*(B5102-C5102)/(Utilities!$B$11*IterData!H5102)))</f>
        <v>1</v>
      </c>
    </row>
    <row r="5103" spans="8:11" x14ac:dyDescent="0.3">
      <c r="H5103">
        <v>0.5</v>
      </c>
      <c r="I5103" s="11">
        <f t="shared" si="79"/>
        <v>0</v>
      </c>
      <c r="J5103" s="11">
        <f>1/(H5103*Utilities!$B$11)</f>
        <v>8</v>
      </c>
      <c r="K5103" s="11">
        <f>IF(B5103&lt;C5103,1,EXP(-1*(B5103-C5103)/(Utilities!$B$11*IterData!H5103)))</f>
        <v>1</v>
      </c>
    </row>
    <row r="5104" spans="8:11" x14ac:dyDescent="0.3">
      <c r="H5104">
        <v>0.5</v>
      </c>
      <c r="I5104" s="11">
        <f t="shared" si="79"/>
        <v>0</v>
      </c>
      <c r="J5104" s="11">
        <f>1/(H5104*Utilities!$B$11)</f>
        <v>8</v>
      </c>
      <c r="K5104" s="11">
        <f>IF(B5104&lt;C5104,1,EXP(-1*(B5104-C5104)/(Utilities!$B$11*IterData!H5104)))</f>
        <v>1</v>
      </c>
    </row>
    <row r="5105" spans="8:11" x14ac:dyDescent="0.3">
      <c r="H5105">
        <v>0.5</v>
      </c>
      <c r="I5105" s="11">
        <f t="shared" si="79"/>
        <v>0</v>
      </c>
      <c r="J5105" s="11">
        <f>1/(H5105*Utilities!$B$11)</f>
        <v>8</v>
      </c>
      <c r="K5105" s="11">
        <f>IF(B5105&lt;C5105,1,EXP(-1*(B5105-C5105)/(Utilities!$B$11*IterData!H5105)))</f>
        <v>1</v>
      </c>
    </row>
    <row r="5106" spans="8:11" x14ac:dyDescent="0.3">
      <c r="H5106">
        <v>0.5</v>
      </c>
      <c r="I5106" s="11">
        <f t="shared" si="79"/>
        <v>0</v>
      </c>
      <c r="J5106" s="11">
        <f>1/(H5106*Utilities!$B$11)</f>
        <v>8</v>
      </c>
      <c r="K5106" s="11">
        <f>IF(B5106&lt;C5106,1,EXP(-1*(B5106-C5106)/(Utilities!$B$11*IterData!H5106)))</f>
        <v>1</v>
      </c>
    </row>
    <row r="5107" spans="8:11" x14ac:dyDescent="0.3">
      <c r="H5107">
        <v>0.5</v>
      </c>
      <c r="I5107" s="11">
        <f t="shared" si="79"/>
        <v>0</v>
      </c>
      <c r="J5107" s="11">
        <f>1/(H5107*Utilities!$B$11)</f>
        <v>8</v>
      </c>
      <c r="K5107" s="11">
        <f>IF(B5107&lt;C5107,1,EXP(-1*(B5107-C5107)/(Utilities!$B$11*IterData!H5107)))</f>
        <v>1</v>
      </c>
    </row>
    <row r="5108" spans="8:11" x14ac:dyDescent="0.3">
      <c r="H5108">
        <v>0.5</v>
      </c>
      <c r="I5108" s="11">
        <f t="shared" si="79"/>
        <v>0</v>
      </c>
      <c r="J5108" s="11">
        <f>1/(H5108*Utilities!$B$11)</f>
        <v>8</v>
      </c>
      <c r="K5108" s="11">
        <f>IF(B5108&lt;C5108,1,EXP(-1*(B5108-C5108)/(Utilities!$B$11*IterData!H5108)))</f>
        <v>1</v>
      </c>
    </row>
    <row r="5109" spans="8:11" x14ac:dyDescent="0.3">
      <c r="H5109">
        <v>0.5</v>
      </c>
      <c r="I5109" s="11">
        <f t="shared" si="79"/>
        <v>0</v>
      </c>
      <c r="J5109" s="11">
        <f>1/(H5109*Utilities!$B$11)</f>
        <v>8</v>
      </c>
      <c r="K5109" s="11">
        <f>IF(B5109&lt;C5109,1,EXP(-1*(B5109-C5109)/(Utilities!$B$11*IterData!H5109)))</f>
        <v>1</v>
      </c>
    </row>
    <row r="5110" spans="8:11" x14ac:dyDescent="0.3">
      <c r="H5110">
        <v>0.5</v>
      </c>
      <c r="I5110" s="11">
        <f t="shared" si="79"/>
        <v>0</v>
      </c>
      <c r="J5110" s="11">
        <f>1/(H5110*Utilities!$B$11)</f>
        <v>8</v>
      </c>
      <c r="K5110" s="11">
        <f>IF(B5110&lt;C5110,1,EXP(-1*(B5110-C5110)/(Utilities!$B$11*IterData!H5110)))</f>
        <v>1</v>
      </c>
    </row>
    <row r="5111" spans="8:11" x14ac:dyDescent="0.3">
      <c r="H5111">
        <v>0.5</v>
      </c>
      <c r="I5111" s="11">
        <f t="shared" si="79"/>
        <v>0</v>
      </c>
      <c r="J5111" s="11">
        <f>1/(H5111*Utilities!$B$11)</f>
        <v>8</v>
      </c>
      <c r="K5111" s="11">
        <f>IF(B5111&lt;C5111,1,EXP(-1*(B5111-C5111)/(Utilities!$B$11*IterData!H5111)))</f>
        <v>1</v>
      </c>
    </row>
    <row r="5112" spans="8:11" x14ac:dyDescent="0.3">
      <c r="H5112">
        <v>0.5</v>
      </c>
      <c r="I5112" s="11">
        <f t="shared" si="79"/>
        <v>0</v>
      </c>
      <c r="J5112" s="11">
        <f>1/(H5112*Utilities!$B$11)</f>
        <v>8</v>
      </c>
      <c r="K5112" s="11">
        <f>IF(B5112&lt;C5112,1,EXP(-1*(B5112-C5112)/(Utilities!$B$11*IterData!H5112)))</f>
        <v>1</v>
      </c>
    </row>
    <row r="5113" spans="8:11" x14ac:dyDescent="0.3">
      <c r="H5113">
        <v>0.5</v>
      </c>
      <c r="I5113" s="11">
        <f t="shared" si="79"/>
        <v>0</v>
      </c>
      <c r="J5113" s="11">
        <f>1/(H5113*Utilities!$B$11)</f>
        <v>8</v>
      </c>
      <c r="K5113" s="11">
        <f>IF(B5113&lt;C5113,1,EXP(-1*(B5113-C5113)/(Utilities!$B$11*IterData!H5113)))</f>
        <v>1</v>
      </c>
    </row>
    <row r="5114" spans="8:11" x14ac:dyDescent="0.3">
      <c r="H5114">
        <v>0.5</v>
      </c>
      <c r="I5114" s="11">
        <f t="shared" si="79"/>
        <v>0</v>
      </c>
      <c r="J5114" s="11">
        <f>1/(H5114*Utilities!$B$11)</f>
        <v>8</v>
      </c>
      <c r="K5114" s="11">
        <f>IF(B5114&lt;C5114,1,EXP(-1*(B5114-C5114)/(Utilities!$B$11*IterData!H5114)))</f>
        <v>1</v>
      </c>
    </row>
    <row r="5115" spans="8:11" x14ac:dyDescent="0.3">
      <c r="H5115">
        <v>0.5</v>
      </c>
      <c r="I5115" s="11">
        <f t="shared" si="79"/>
        <v>0</v>
      </c>
      <c r="J5115" s="11">
        <f>1/(H5115*Utilities!$B$11)</f>
        <v>8</v>
      </c>
      <c r="K5115" s="11">
        <f>IF(B5115&lt;C5115,1,EXP(-1*(B5115-C5115)/(Utilities!$B$11*IterData!H5115)))</f>
        <v>1</v>
      </c>
    </row>
    <row r="5116" spans="8:11" x14ac:dyDescent="0.3">
      <c r="H5116">
        <v>0.5</v>
      </c>
      <c r="I5116" s="11">
        <f t="shared" si="79"/>
        <v>0</v>
      </c>
      <c r="J5116" s="11">
        <f>1/(H5116*Utilities!$B$11)</f>
        <v>8</v>
      </c>
      <c r="K5116" s="11">
        <f>IF(B5116&lt;C5116,1,EXP(-1*(B5116-C5116)/(Utilities!$B$11*IterData!H5116)))</f>
        <v>1</v>
      </c>
    </row>
    <row r="5117" spans="8:11" x14ac:dyDescent="0.3">
      <c r="H5117">
        <v>0.5</v>
      </c>
      <c r="I5117" s="11">
        <f t="shared" si="79"/>
        <v>0</v>
      </c>
      <c r="J5117" s="11">
        <f>1/(H5117*Utilities!$B$11)</f>
        <v>8</v>
      </c>
      <c r="K5117" s="11">
        <f>IF(B5117&lt;C5117,1,EXP(-1*(B5117-C5117)/(Utilities!$B$11*IterData!H5117)))</f>
        <v>1</v>
      </c>
    </row>
    <row r="5118" spans="8:11" x14ac:dyDescent="0.3">
      <c r="H5118">
        <v>0.5</v>
      </c>
      <c r="I5118" s="11">
        <f t="shared" si="79"/>
        <v>0</v>
      </c>
      <c r="J5118" s="11">
        <f>1/(H5118*Utilities!$B$11)</f>
        <v>8</v>
      </c>
      <c r="K5118" s="11">
        <f>IF(B5118&lt;C5118,1,EXP(-1*(B5118-C5118)/(Utilities!$B$11*IterData!H5118)))</f>
        <v>1</v>
      </c>
    </row>
    <row r="5119" spans="8:11" x14ac:dyDescent="0.3">
      <c r="H5119">
        <v>0.5</v>
      </c>
      <c r="I5119" s="11">
        <f t="shared" si="79"/>
        <v>0</v>
      </c>
      <c r="J5119" s="11">
        <f>1/(H5119*Utilities!$B$11)</f>
        <v>8</v>
      </c>
      <c r="K5119" s="11">
        <f>IF(B5119&lt;C5119,1,EXP(-1*(B5119-C5119)/(Utilities!$B$11*IterData!H5119)))</f>
        <v>1</v>
      </c>
    </row>
    <row r="5120" spans="8:11" x14ac:dyDescent="0.3">
      <c r="H5120">
        <v>0.5</v>
      </c>
      <c r="I5120" s="11">
        <f t="shared" si="79"/>
        <v>0</v>
      </c>
      <c r="J5120" s="11">
        <f>1/(H5120*Utilities!$B$11)</f>
        <v>8</v>
      </c>
      <c r="K5120" s="11">
        <f>IF(B5120&lt;C5120,1,EXP(-1*(B5120-C5120)/(Utilities!$B$11*IterData!H5120)))</f>
        <v>1</v>
      </c>
    </row>
    <row r="5121" spans="8:11" x14ac:dyDescent="0.3">
      <c r="H5121">
        <v>0.5</v>
      </c>
      <c r="I5121" s="11">
        <f t="shared" si="79"/>
        <v>0</v>
      </c>
      <c r="J5121" s="11">
        <f>1/(H5121*Utilities!$B$11)</f>
        <v>8</v>
      </c>
      <c r="K5121" s="11">
        <f>IF(B5121&lt;C5121,1,EXP(-1*(B5121-C5121)/(Utilities!$B$11*IterData!H5121)))</f>
        <v>1</v>
      </c>
    </row>
    <row r="5122" spans="8:11" x14ac:dyDescent="0.3">
      <c r="H5122">
        <v>0.5</v>
      </c>
      <c r="I5122" s="11">
        <f t="shared" si="79"/>
        <v>0</v>
      </c>
      <c r="J5122" s="11">
        <f>1/(H5122*Utilities!$B$11)</f>
        <v>8</v>
      </c>
      <c r="K5122" s="11">
        <f>IF(B5122&lt;C5122,1,EXP(-1*(B5122-C5122)/(Utilities!$B$11*IterData!H5122)))</f>
        <v>1</v>
      </c>
    </row>
    <row r="5123" spans="8:11" x14ac:dyDescent="0.3">
      <c r="H5123">
        <v>0.5</v>
      </c>
      <c r="I5123" s="11">
        <f t="shared" ref="I5123:I5186" si="80">B5123-C5123</f>
        <v>0</v>
      </c>
      <c r="J5123" s="11">
        <f>1/(H5123*Utilities!$B$11)</f>
        <v>8</v>
      </c>
      <c r="K5123" s="11">
        <f>IF(B5123&lt;C5123,1,EXP(-1*(B5123-C5123)/(Utilities!$B$11*IterData!H5123)))</f>
        <v>1</v>
      </c>
    </row>
    <row r="5124" spans="8:11" x14ac:dyDescent="0.3">
      <c r="H5124">
        <v>0.5</v>
      </c>
      <c r="I5124" s="11">
        <f t="shared" si="80"/>
        <v>0</v>
      </c>
      <c r="J5124" s="11">
        <f>1/(H5124*Utilities!$B$11)</f>
        <v>8</v>
      </c>
      <c r="K5124" s="11">
        <f>IF(B5124&lt;C5124,1,EXP(-1*(B5124-C5124)/(Utilities!$B$11*IterData!H5124)))</f>
        <v>1</v>
      </c>
    </row>
    <row r="5125" spans="8:11" x14ac:dyDescent="0.3">
      <c r="H5125">
        <v>0.5</v>
      </c>
      <c r="I5125" s="11">
        <f t="shared" si="80"/>
        <v>0</v>
      </c>
      <c r="J5125" s="11">
        <f>1/(H5125*Utilities!$B$11)</f>
        <v>8</v>
      </c>
      <c r="K5125" s="11">
        <f>IF(B5125&lt;C5125,1,EXP(-1*(B5125-C5125)/(Utilities!$B$11*IterData!H5125)))</f>
        <v>1</v>
      </c>
    </row>
    <row r="5126" spans="8:11" x14ac:dyDescent="0.3">
      <c r="H5126">
        <v>0.5</v>
      </c>
      <c r="I5126" s="11">
        <f t="shared" si="80"/>
        <v>0</v>
      </c>
      <c r="J5126" s="11">
        <f>1/(H5126*Utilities!$B$11)</f>
        <v>8</v>
      </c>
      <c r="K5126" s="11">
        <f>IF(B5126&lt;C5126,1,EXP(-1*(B5126-C5126)/(Utilities!$B$11*IterData!H5126)))</f>
        <v>1</v>
      </c>
    </row>
    <row r="5127" spans="8:11" x14ac:dyDescent="0.3">
      <c r="H5127">
        <v>0.5</v>
      </c>
      <c r="I5127" s="11">
        <f t="shared" si="80"/>
        <v>0</v>
      </c>
      <c r="J5127" s="11">
        <f>1/(H5127*Utilities!$B$11)</f>
        <v>8</v>
      </c>
      <c r="K5127" s="11">
        <f>IF(B5127&lt;C5127,1,EXP(-1*(B5127-C5127)/(Utilities!$B$11*IterData!H5127)))</f>
        <v>1</v>
      </c>
    </row>
    <row r="5128" spans="8:11" x14ac:dyDescent="0.3">
      <c r="H5128">
        <v>0.5</v>
      </c>
      <c r="I5128" s="11">
        <f t="shared" si="80"/>
        <v>0</v>
      </c>
      <c r="J5128" s="11">
        <f>1/(H5128*Utilities!$B$11)</f>
        <v>8</v>
      </c>
      <c r="K5128" s="11">
        <f>IF(B5128&lt;C5128,1,EXP(-1*(B5128-C5128)/(Utilities!$B$11*IterData!H5128)))</f>
        <v>1</v>
      </c>
    </row>
    <row r="5129" spans="8:11" x14ac:dyDescent="0.3">
      <c r="H5129">
        <v>0.5</v>
      </c>
      <c r="I5129" s="11">
        <f t="shared" si="80"/>
        <v>0</v>
      </c>
      <c r="J5129" s="11">
        <f>1/(H5129*Utilities!$B$11)</f>
        <v>8</v>
      </c>
      <c r="K5129" s="11">
        <f>IF(B5129&lt;C5129,1,EXP(-1*(B5129-C5129)/(Utilities!$B$11*IterData!H5129)))</f>
        <v>1</v>
      </c>
    </row>
    <row r="5130" spans="8:11" x14ac:dyDescent="0.3">
      <c r="H5130">
        <v>0.5</v>
      </c>
      <c r="I5130" s="11">
        <f t="shared" si="80"/>
        <v>0</v>
      </c>
      <c r="J5130" s="11">
        <f>1/(H5130*Utilities!$B$11)</f>
        <v>8</v>
      </c>
      <c r="K5130" s="11">
        <f>IF(B5130&lt;C5130,1,EXP(-1*(B5130-C5130)/(Utilities!$B$11*IterData!H5130)))</f>
        <v>1</v>
      </c>
    </row>
    <row r="5131" spans="8:11" x14ac:dyDescent="0.3">
      <c r="H5131">
        <v>0.5</v>
      </c>
      <c r="I5131" s="11">
        <f t="shared" si="80"/>
        <v>0</v>
      </c>
      <c r="J5131" s="11">
        <f>1/(H5131*Utilities!$B$11)</f>
        <v>8</v>
      </c>
      <c r="K5131" s="11">
        <f>IF(B5131&lt;C5131,1,EXP(-1*(B5131-C5131)/(Utilities!$B$11*IterData!H5131)))</f>
        <v>1</v>
      </c>
    </row>
    <row r="5132" spans="8:11" x14ac:dyDescent="0.3">
      <c r="H5132">
        <v>0.5</v>
      </c>
      <c r="I5132" s="11">
        <f t="shared" si="80"/>
        <v>0</v>
      </c>
      <c r="J5132" s="11">
        <f>1/(H5132*Utilities!$B$11)</f>
        <v>8</v>
      </c>
      <c r="K5132" s="11">
        <f>IF(B5132&lt;C5132,1,EXP(-1*(B5132-C5132)/(Utilities!$B$11*IterData!H5132)))</f>
        <v>1</v>
      </c>
    </row>
    <row r="5133" spans="8:11" x14ac:dyDescent="0.3">
      <c r="H5133">
        <v>0.5</v>
      </c>
      <c r="I5133" s="11">
        <f t="shared" si="80"/>
        <v>0</v>
      </c>
      <c r="J5133" s="11">
        <f>1/(H5133*Utilities!$B$11)</f>
        <v>8</v>
      </c>
      <c r="K5133" s="11">
        <f>IF(B5133&lt;C5133,1,EXP(-1*(B5133-C5133)/(Utilities!$B$11*IterData!H5133)))</f>
        <v>1</v>
      </c>
    </row>
    <row r="5134" spans="8:11" x14ac:dyDescent="0.3">
      <c r="H5134">
        <v>0.5</v>
      </c>
      <c r="I5134" s="11">
        <f t="shared" si="80"/>
        <v>0</v>
      </c>
      <c r="J5134" s="11">
        <f>1/(H5134*Utilities!$B$11)</f>
        <v>8</v>
      </c>
      <c r="K5134" s="11">
        <f>IF(B5134&lt;C5134,1,EXP(-1*(B5134-C5134)/(Utilities!$B$11*IterData!H5134)))</f>
        <v>1</v>
      </c>
    </row>
    <row r="5135" spans="8:11" x14ac:dyDescent="0.3">
      <c r="H5135">
        <v>0.5</v>
      </c>
      <c r="I5135" s="11">
        <f t="shared" si="80"/>
        <v>0</v>
      </c>
      <c r="J5135" s="11">
        <f>1/(H5135*Utilities!$B$11)</f>
        <v>8</v>
      </c>
      <c r="K5135" s="11">
        <f>IF(B5135&lt;C5135,1,EXP(-1*(B5135-C5135)/(Utilities!$B$11*IterData!H5135)))</f>
        <v>1</v>
      </c>
    </row>
    <row r="5136" spans="8:11" x14ac:dyDescent="0.3">
      <c r="H5136">
        <v>0.5</v>
      </c>
      <c r="I5136" s="11">
        <f t="shared" si="80"/>
        <v>0</v>
      </c>
      <c r="J5136" s="11">
        <f>1/(H5136*Utilities!$B$11)</f>
        <v>8</v>
      </c>
      <c r="K5136" s="11">
        <f>IF(B5136&lt;C5136,1,EXP(-1*(B5136-C5136)/(Utilities!$B$11*IterData!H5136)))</f>
        <v>1</v>
      </c>
    </row>
    <row r="5137" spans="8:11" x14ac:dyDescent="0.3">
      <c r="H5137">
        <v>0.5</v>
      </c>
      <c r="I5137" s="11">
        <f t="shared" si="80"/>
        <v>0</v>
      </c>
      <c r="J5137" s="11">
        <f>1/(H5137*Utilities!$B$11)</f>
        <v>8</v>
      </c>
      <c r="K5137" s="11">
        <f>IF(B5137&lt;C5137,1,EXP(-1*(B5137-C5137)/(Utilities!$B$11*IterData!H5137)))</f>
        <v>1</v>
      </c>
    </row>
    <row r="5138" spans="8:11" x14ac:dyDescent="0.3">
      <c r="H5138">
        <v>0.5</v>
      </c>
      <c r="I5138" s="11">
        <f t="shared" si="80"/>
        <v>0</v>
      </c>
      <c r="J5138" s="11">
        <f>1/(H5138*Utilities!$B$11)</f>
        <v>8</v>
      </c>
      <c r="K5138" s="11">
        <f>IF(B5138&lt;C5138,1,EXP(-1*(B5138-C5138)/(Utilities!$B$11*IterData!H5138)))</f>
        <v>1</v>
      </c>
    </row>
    <row r="5139" spans="8:11" x14ac:dyDescent="0.3">
      <c r="H5139">
        <v>0.5</v>
      </c>
      <c r="I5139" s="11">
        <f t="shared" si="80"/>
        <v>0</v>
      </c>
      <c r="J5139" s="11">
        <f>1/(H5139*Utilities!$B$11)</f>
        <v>8</v>
      </c>
      <c r="K5139" s="11">
        <f>IF(B5139&lt;C5139,1,EXP(-1*(B5139-C5139)/(Utilities!$B$11*IterData!H5139)))</f>
        <v>1</v>
      </c>
    </row>
    <row r="5140" spans="8:11" x14ac:dyDescent="0.3">
      <c r="H5140">
        <v>0.5</v>
      </c>
      <c r="I5140" s="11">
        <f t="shared" si="80"/>
        <v>0</v>
      </c>
      <c r="J5140" s="11">
        <f>1/(H5140*Utilities!$B$11)</f>
        <v>8</v>
      </c>
      <c r="K5140" s="11">
        <f>IF(B5140&lt;C5140,1,EXP(-1*(B5140-C5140)/(Utilities!$B$11*IterData!H5140)))</f>
        <v>1</v>
      </c>
    </row>
    <row r="5141" spans="8:11" x14ac:dyDescent="0.3">
      <c r="H5141">
        <v>0.5</v>
      </c>
      <c r="I5141" s="11">
        <f t="shared" si="80"/>
        <v>0</v>
      </c>
      <c r="J5141" s="11">
        <f>1/(H5141*Utilities!$B$11)</f>
        <v>8</v>
      </c>
      <c r="K5141" s="11">
        <f>IF(B5141&lt;C5141,1,EXP(-1*(B5141-C5141)/(Utilities!$B$11*IterData!H5141)))</f>
        <v>1</v>
      </c>
    </row>
    <row r="5142" spans="8:11" x14ac:dyDescent="0.3">
      <c r="H5142">
        <v>0.5</v>
      </c>
      <c r="I5142" s="11">
        <f t="shared" si="80"/>
        <v>0</v>
      </c>
      <c r="J5142" s="11">
        <f>1/(H5142*Utilities!$B$11)</f>
        <v>8</v>
      </c>
      <c r="K5142" s="11">
        <f>IF(B5142&lt;C5142,1,EXP(-1*(B5142-C5142)/(Utilities!$B$11*IterData!H5142)))</f>
        <v>1</v>
      </c>
    </row>
    <row r="5143" spans="8:11" x14ac:dyDescent="0.3">
      <c r="H5143">
        <v>0.5</v>
      </c>
      <c r="I5143" s="11">
        <f t="shared" si="80"/>
        <v>0</v>
      </c>
      <c r="J5143" s="11">
        <f>1/(H5143*Utilities!$B$11)</f>
        <v>8</v>
      </c>
      <c r="K5143" s="11">
        <f>IF(B5143&lt;C5143,1,EXP(-1*(B5143-C5143)/(Utilities!$B$11*IterData!H5143)))</f>
        <v>1</v>
      </c>
    </row>
    <row r="5144" spans="8:11" x14ac:dyDescent="0.3">
      <c r="H5144">
        <v>0.5</v>
      </c>
      <c r="I5144" s="11">
        <f t="shared" si="80"/>
        <v>0</v>
      </c>
      <c r="J5144" s="11">
        <f>1/(H5144*Utilities!$B$11)</f>
        <v>8</v>
      </c>
      <c r="K5144" s="11">
        <f>IF(B5144&lt;C5144,1,EXP(-1*(B5144-C5144)/(Utilities!$B$11*IterData!H5144)))</f>
        <v>1</v>
      </c>
    </row>
    <row r="5145" spans="8:11" x14ac:dyDescent="0.3">
      <c r="H5145">
        <v>0.5</v>
      </c>
      <c r="I5145" s="11">
        <f t="shared" si="80"/>
        <v>0</v>
      </c>
      <c r="J5145" s="11">
        <f>1/(H5145*Utilities!$B$11)</f>
        <v>8</v>
      </c>
      <c r="K5145" s="11">
        <f>IF(B5145&lt;C5145,1,EXP(-1*(B5145-C5145)/(Utilities!$B$11*IterData!H5145)))</f>
        <v>1</v>
      </c>
    </row>
    <row r="5146" spans="8:11" x14ac:dyDescent="0.3">
      <c r="H5146">
        <v>0.5</v>
      </c>
      <c r="I5146" s="11">
        <f t="shared" si="80"/>
        <v>0</v>
      </c>
      <c r="J5146" s="11">
        <f>1/(H5146*Utilities!$B$11)</f>
        <v>8</v>
      </c>
      <c r="K5146" s="11">
        <f>IF(B5146&lt;C5146,1,EXP(-1*(B5146-C5146)/(Utilities!$B$11*IterData!H5146)))</f>
        <v>1</v>
      </c>
    </row>
    <row r="5147" spans="8:11" x14ac:dyDescent="0.3">
      <c r="H5147">
        <v>0.5</v>
      </c>
      <c r="I5147" s="11">
        <f t="shared" si="80"/>
        <v>0</v>
      </c>
      <c r="J5147" s="11">
        <f>1/(H5147*Utilities!$B$11)</f>
        <v>8</v>
      </c>
      <c r="K5147" s="11">
        <f>IF(B5147&lt;C5147,1,EXP(-1*(B5147-C5147)/(Utilities!$B$11*IterData!H5147)))</f>
        <v>1</v>
      </c>
    </row>
    <row r="5148" spans="8:11" x14ac:dyDescent="0.3">
      <c r="H5148">
        <v>0.5</v>
      </c>
      <c r="I5148" s="11">
        <f t="shared" si="80"/>
        <v>0</v>
      </c>
      <c r="J5148" s="11">
        <f>1/(H5148*Utilities!$B$11)</f>
        <v>8</v>
      </c>
      <c r="K5148" s="11">
        <f>IF(B5148&lt;C5148,1,EXP(-1*(B5148-C5148)/(Utilities!$B$11*IterData!H5148)))</f>
        <v>1</v>
      </c>
    </row>
    <row r="5149" spans="8:11" x14ac:dyDescent="0.3">
      <c r="H5149">
        <v>0.5</v>
      </c>
      <c r="I5149" s="11">
        <f t="shared" si="80"/>
        <v>0</v>
      </c>
      <c r="J5149" s="11">
        <f>1/(H5149*Utilities!$B$11)</f>
        <v>8</v>
      </c>
      <c r="K5149" s="11">
        <f>IF(B5149&lt;C5149,1,EXP(-1*(B5149-C5149)/(Utilities!$B$11*IterData!H5149)))</f>
        <v>1</v>
      </c>
    </row>
    <row r="5150" spans="8:11" x14ac:dyDescent="0.3">
      <c r="H5150">
        <v>0.5</v>
      </c>
      <c r="I5150" s="11">
        <f t="shared" si="80"/>
        <v>0</v>
      </c>
      <c r="J5150" s="11">
        <f>1/(H5150*Utilities!$B$11)</f>
        <v>8</v>
      </c>
      <c r="K5150" s="11">
        <f>IF(B5150&lt;C5150,1,EXP(-1*(B5150-C5150)/(Utilities!$B$11*IterData!H5150)))</f>
        <v>1</v>
      </c>
    </row>
    <row r="5151" spans="8:11" x14ac:dyDescent="0.3">
      <c r="H5151">
        <v>0.5</v>
      </c>
      <c r="I5151" s="11">
        <f t="shared" si="80"/>
        <v>0</v>
      </c>
      <c r="J5151" s="11">
        <f>1/(H5151*Utilities!$B$11)</f>
        <v>8</v>
      </c>
      <c r="K5151" s="11">
        <f>IF(B5151&lt;C5151,1,EXP(-1*(B5151-C5151)/(Utilities!$B$11*IterData!H5151)))</f>
        <v>1</v>
      </c>
    </row>
    <row r="5152" spans="8:11" x14ac:dyDescent="0.3">
      <c r="H5152">
        <v>0.5</v>
      </c>
      <c r="I5152" s="11">
        <f t="shared" si="80"/>
        <v>0</v>
      </c>
      <c r="J5152" s="11">
        <f>1/(H5152*Utilities!$B$11)</f>
        <v>8</v>
      </c>
      <c r="K5152" s="11">
        <f>IF(B5152&lt;C5152,1,EXP(-1*(B5152-C5152)/(Utilities!$B$11*IterData!H5152)))</f>
        <v>1</v>
      </c>
    </row>
    <row r="5153" spans="8:11" x14ac:dyDescent="0.3">
      <c r="H5153">
        <v>0.5</v>
      </c>
      <c r="I5153" s="11">
        <f t="shared" si="80"/>
        <v>0</v>
      </c>
      <c r="J5153" s="11">
        <f>1/(H5153*Utilities!$B$11)</f>
        <v>8</v>
      </c>
      <c r="K5153" s="11">
        <f>IF(B5153&lt;C5153,1,EXP(-1*(B5153-C5153)/(Utilities!$B$11*IterData!H5153)))</f>
        <v>1</v>
      </c>
    </row>
    <row r="5154" spans="8:11" x14ac:dyDescent="0.3">
      <c r="H5154">
        <v>0.5</v>
      </c>
      <c r="I5154" s="11">
        <f t="shared" si="80"/>
        <v>0</v>
      </c>
      <c r="J5154" s="11">
        <f>1/(H5154*Utilities!$B$11)</f>
        <v>8</v>
      </c>
      <c r="K5154" s="11">
        <f>IF(B5154&lt;C5154,1,EXP(-1*(B5154-C5154)/(Utilities!$B$11*IterData!H5154)))</f>
        <v>1</v>
      </c>
    </row>
    <row r="5155" spans="8:11" x14ac:dyDescent="0.3">
      <c r="H5155">
        <v>0.5</v>
      </c>
      <c r="I5155" s="11">
        <f t="shared" si="80"/>
        <v>0</v>
      </c>
      <c r="J5155" s="11">
        <f>1/(H5155*Utilities!$B$11)</f>
        <v>8</v>
      </c>
      <c r="K5155" s="11">
        <f>IF(B5155&lt;C5155,1,EXP(-1*(B5155-C5155)/(Utilities!$B$11*IterData!H5155)))</f>
        <v>1</v>
      </c>
    </row>
    <row r="5156" spans="8:11" x14ac:dyDescent="0.3">
      <c r="H5156">
        <v>0.5</v>
      </c>
      <c r="I5156" s="11">
        <f t="shared" si="80"/>
        <v>0</v>
      </c>
      <c r="J5156" s="11">
        <f>1/(H5156*Utilities!$B$11)</f>
        <v>8</v>
      </c>
      <c r="K5156" s="11">
        <f>IF(B5156&lt;C5156,1,EXP(-1*(B5156-C5156)/(Utilities!$B$11*IterData!H5156)))</f>
        <v>1</v>
      </c>
    </row>
    <row r="5157" spans="8:11" x14ac:dyDescent="0.3">
      <c r="H5157">
        <v>0.5</v>
      </c>
      <c r="I5157" s="11">
        <f t="shared" si="80"/>
        <v>0</v>
      </c>
      <c r="J5157" s="11">
        <f>1/(H5157*Utilities!$B$11)</f>
        <v>8</v>
      </c>
      <c r="K5157" s="11">
        <f>IF(B5157&lt;C5157,1,EXP(-1*(B5157-C5157)/(Utilities!$B$11*IterData!H5157)))</f>
        <v>1</v>
      </c>
    </row>
    <row r="5158" spans="8:11" x14ac:dyDescent="0.3">
      <c r="H5158">
        <v>0.5</v>
      </c>
      <c r="I5158" s="11">
        <f t="shared" si="80"/>
        <v>0</v>
      </c>
      <c r="J5158" s="11">
        <f>1/(H5158*Utilities!$B$11)</f>
        <v>8</v>
      </c>
      <c r="K5158" s="11">
        <f>IF(B5158&lt;C5158,1,EXP(-1*(B5158-C5158)/(Utilities!$B$11*IterData!H5158)))</f>
        <v>1</v>
      </c>
    </row>
    <row r="5159" spans="8:11" x14ac:dyDescent="0.3">
      <c r="H5159">
        <v>0.5</v>
      </c>
      <c r="I5159" s="11">
        <f t="shared" si="80"/>
        <v>0</v>
      </c>
      <c r="J5159" s="11">
        <f>1/(H5159*Utilities!$B$11)</f>
        <v>8</v>
      </c>
      <c r="K5159" s="11">
        <f>IF(B5159&lt;C5159,1,EXP(-1*(B5159-C5159)/(Utilities!$B$11*IterData!H5159)))</f>
        <v>1</v>
      </c>
    </row>
    <row r="5160" spans="8:11" x14ac:dyDescent="0.3">
      <c r="H5160">
        <v>0.5</v>
      </c>
      <c r="I5160" s="11">
        <f t="shared" si="80"/>
        <v>0</v>
      </c>
      <c r="J5160" s="11">
        <f>1/(H5160*Utilities!$B$11)</f>
        <v>8</v>
      </c>
      <c r="K5160" s="11">
        <f>IF(B5160&lt;C5160,1,EXP(-1*(B5160-C5160)/(Utilities!$B$11*IterData!H5160)))</f>
        <v>1</v>
      </c>
    </row>
    <row r="5161" spans="8:11" x14ac:dyDescent="0.3">
      <c r="H5161">
        <v>0.5</v>
      </c>
      <c r="I5161" s="11">
        <f t="shared" si="80"/>
        <v>0</v>
      </c>
      <c r="J5161" s="11">
        <f>1/(H5161*Utilities!$B$11)</f>
        <v>8</v>
      </c>
      <c r="K5161" s="11">
        <f>IF(B5161&lt;C5161,1,EXP(-1*(B5161-C5161)/(Utilities!$B$11*IterData!H5161)))</f>
        <v>1</v>
      </c>
    </row>
    <row r="5162" spans="8:11" x14ac:dyDescent="0.3">
      <c r="H5162">
        <v>0.5</v>
      </c>
      <c r="I5162" s="11">
        <f t="shared" si="80"/>
        <v>0</v>
      </c>
      <c r="J5162" s="11">
        <f>1/(H5162*Utilities!$B$11)</f>
        <v>8</v>
      </c>
      <c r="K5162" s="11">
        <f>IF(B5162&lt;C5162,1,EXP(-1*(B5162-C5162)/(Utilities!$B$11*IterData!H5162)))</f>
        <v>1</v>
      </c>
    </row>
    <row r="5163" spans="8:11" x14ac:dyDescent="0.3">
      <c r="H5163">
        <v>0.5</v>
      </c>
      <c r="I5163" s="11">
        <f t="shared" si="80"/>
        <v>0</v>
      </c>
      <c r="J5163" s="11">
        <f>1/(H5163*Utilities!$B$11)</f>
        <v>8</v>
      </c>
      <c r="K5163" s="11">
        <f>IF(B5163&lt;C5163,1,EXP(-1*(B5163-C5163)/(Utilities!$B$11*IterData!H5163)))</f>
        <v>1</v>
      </c>
    </row>
    <row r="5164" spans="8:11" x14ac:dyDescent="0.3">
      <c r="H5164">
        <v>0.5</v>
      </c>
      <c r="I5164" s="11">
        <f t="shared" si="80"/>
        <v>0</v>
      </c>
      <c r="J5164" s="11">
        <f>1/(H5164*Utilities!$B$11)</f>
        <v>8</v>
      </c>
      <c r="K5164" s="11">
        <f>IF(B5164&lt;C5164,1,EXP(-1*(B5164-C5164)/(Utilities!$B$11*IterData!H5164)))</f>
        <v>1</v>
      </c>
    </row>
    <row r="5165" spans="8:11" x14ac:dyDescent="0.3">
      <c r="H5165">
        <v>0.5</v>
      </c>
      <c r="I5165" s="11">
        <f t="shared" si="80"/>
        <v>0</v>
      </c>
      <c r="J5165" s="11">
        <f>1/(H5165*Utilities!$B$11)</f>
        <v>8</v>
      </c>
      <c r="K5165" s="11">
        <f>IF(B5165&lt;C5165,1,EXP(-1*(B5165-C5165)/(Utilities!$B$11*IterData!H5165)))</f>
        <v>1</v>
      </c>
    </row>
    <row r="5166" spans="8:11" x14ac:dyDescent="0.3">
      <c r="H5166">
        <v>0.5</v>
      </c>
      <c r="I5166" s="11">
        <f t="shared" si="80"/>
        <v>0</v>
      </c>
      <c r="J5166" s="11">
        <f>1/(H5166*Utilities!$B$11)</f>
        <v>8</v>
      </c>
      <c r="K5166" s="11">
        <f>IF(B5166&lt;C5166,1,EXP(-1*(B5166-C5166)/(Utilities!$B$11*IterData!H5166)))</f>
        <v>1</v>
      </c>
    </row>
    <row r="5167" spans="8:11" x14ac:dyDescent="0.3">
      <c r="H5167">
        <v>0.5</v>
      </c>
      <c r="I5167" s="11">
        <f t="shared" si="80"/>
        <v>0</v>
      </c>
      <c r="J5167" s="11">
        <f>1/(H5167*Utilities!$B$11)</f>
        <v>8</v>
      </c>
      <c r="K5167" s="11">
        <f>IF(B5167&lt;C5167,1,EXP(-1*(B5167-C5167)/(Utilities!$B$11*IterData!H5167)))</f>
        <v>1</v>
      </c>
    </row>
    <row r="5168" spans="8:11" x14ac:dyDescent="0.3">
      <c r="H5168">
        <v>0.5</v>
      </c>
      <c r="I5168" s="11">
        <f t="shared" si="80"/>
        <v>0</v>
      </c>
      <c r="J5168" s="11">
        <f>1/(H5168*Utilities!$B$11)</f>
        <v>8</v>
      </c>
      <c r="K5168" s="11">
        <f>IF(B5168&lt;C5168,1,EXP(-1*(B5168-C5168)/(Utilities!$B$11*IterData!H5168)))</f>
        <v>1</v>
      </c>
    </row>
    <row r="5169" spans="8:11" x14ac:dyDescent="0.3">
      <c r="H5169">
        <v>0.5</v>
      </c>
      <c r="I5169" s="11">
        <f t="shared" si="80"/>
        <v>0</v>
      </c>
      <c r="J5169" s="11">
        <f>1/(H5169*Utilities!$B$11)</f>
        <v>8</v>
      </c>
      <c r="K5169" s="11">
        <f>IF(B5169&lt;C5169,1,EXP(-1*(B5169-C5169)/(Utilities!$B$11*IterData!H5169)))</f>
        <v>1</v>
      </c>
    </row>
    <row r="5170" spans="8:11" x14ac:dyDescent="0.3">
      <c r="H5170">
        <v>0.5</v>
      </c>
      <c r="I5170" s="11">
        <f t="shared" si="80"/>
        <v>0</v>
      </c>
      <c r="J5170" s="11">
        <f>1/(H5170*Utilities!$B$11)</f>
        <v>8</v>
      </c>
      <c r="K5170" s="11">
        <f>IF(B5170&lt;C5170,1,EXP(-1*(B5170-C5170)/(Utilities!$B$11*IterData!H5170)))</f>
        <v>1</v>
      </c>
    </row>
    <row r="5171" spans="8:11" x14ac:dyDescent="0.3">
      <c r="H5171">
        <v>0.5</v>
      </c>
      <c r="I5171" s="11">
        <f t="shared" si="80"/>
        <v>0</v>
      </c>
      <c r="J5171" s="11">
        <f>1/(H5171*Utilities!$B$11)</f>
        <v>8</v>
      </c>
      <c r="K5171" s="11">
        <f>IF(B5171&lt;C5171,1,EXP(-1*(B5171-C5171)/(Utilities!$B$11*IterData!H5171)))</f>
        <v>1</v>
      </c>
    </row>
    <row r="5172" spans="8:11" x14ac:dyDescent="0.3">
      <c r="H5172">
        <v>0.5</v>
      </c>
      <c r="I5172" s="11">
        <f t="shared" si="80"/>
        <v>0</v>
      </c>
      <c r="J5172" s="11">
        <f>1/(H5172*Utilities!$B$11)</f>
        <v>8</v>
      </c>
      <c r="K5172" s="11">
        <f>IF(B5172&lt;C5172,1,EXP(-1*(B5172-C5172)/(Utilities!$B$11*IterData!H5172)))</f>
        <v>1</v>
      </c>
    </row>
    <row r="5173" spans="8:11" x14ac:dyDescent="0.3">
      <c r="H5173">
        <v>0.5</v>
      </c>
      <c r="I5173" s="11">
        <f t="shared" si="80"/>
        <v>0</v>
      </c>
      <c r="J5173" s="11">
        <f>1/(H5173*Utilities!$B$11)</f>
        <v>8</v>
      </c>
      <c r="K5173" s="11">
        <f>IF(B5173&lt;C5173,1,EXP(-1*(B5173-C5173)/(Utilities!$B$11*IterData!H5173)))</f>
        <v>1</v>
      </c>
    </row>
    <row r="5174" spans="8:11" x14ac:dyDescent="0.3">
      <c r="H5174">
        <v>0.5</v>
      </c>
      <c r="I5174" s="11">
        <f t="shared" si="80"/>
        <v>0</v>
      </c>
      <c r="J5174" s="11">
        <f>1/(H5174*Utilities!$B$11)</f>
        <v>8</v>
      </c>
      <c r="K5174" s="11">
        <f>IF(B5174&lt;C5174,1,EXP(-1*(B5174-C5174)/(Utilities!$B$11*IterData!H5174)))</f>
        <v>1</v>
      </c>
    </row>
    <row r="5175" spans="8:11" x14ac:dyDescent="0.3">
      <c r="H5175">
        <v>0.5</v>
      </c>
      <c r="I5175" s="11">
        <f t="shared" si="80"/>
        <v>0</v>
      </c>
      <c r="J5175" s="11">
        <f>1/(H5175*Utilities!$B$11)</f>
        <v>8</v>
      </c>
      <c r="K5175" s="11">
        <f>IF(B5175&lt;C5175,1,EXP(-1*(B5175-C5175)/(Utilities!$B$11*IterData!H5175)))</f>
        <v>1</v>
      </c>
    </row>
    <row r="5176" spans="8:11" x14ac:dyDescent="0.3">
      <c r="H5176">
        <v>0.5</v>
      </c>
      <c r="I5176" s="11">
        <f t="shared" si="80"/>
        <v>0</v>
      </c>
      <c r="J5176" s="11">
        <f>1/(H5176*Utilities!$B$11)</f>
        <v>8</v>
      </c>
      <c r="K5176" s="11">
        <f>IF(B5176&lt;C5176,1,EXP(-1*(B5176-C5176)/(Utilities!$B$11*IterData!H5176)))</f>
        <v>1</v>
      </c>
    </row>
    <row r="5177" spans="8:11" x14ac:dyDescent="0.3">
      <c r="H5177">
        <v>0.5</v>
      </c>
      <c r="I5177" s="11">
        <f t="shared" si="80"/>
        <v>0</v>
      </c>
      <c r="J5177" s="11">
        <f>1/(H5177*Utilities!$B$11)</f>
        <v>8</v>
      </c>
      <c r="K5177" s="11">
        <f>IF(B5177&lt;C5177,1,EXP(-1*(B5177-C5177)/(Utilities!$B$11*IterData!H5177)))</f>
        <v>1</v>
      </c>
    </row>
    <row r="5178" spans="8:11" x14ac:dyDescent="0.3">
      <c r="H5178">
        <v>0.5</v>
      </c>
      <c r="I5178" s="11">
        <f t="shared" si="80"/>
        <v>0</v>
      </c>
      <c r="J5178" s="11">
        <f>1/(H5178*Utilities!$B$11)</f>
        <v>8</v>
      </c>
      <c r="K5178" s="11">
        <f>IF(B5178&lt;C5178,1,EXP(-1*(B5178-C5178)/(Utilities!$B$11*IterData!H5178)))</f>
        <v>1</v>
      </c>
    </row>
    <row r="5179" spans="8:11" x14ac:dyDescent="0.3">
      <c r="H5179">
        <v>0.5</v>
      </c>
      <c r="I5179" s="11">
        <f t="shared" si="80"/>
        <v>0</v>
      </c>
      <c r="J5179" s="11">
        <f>1/(H5179*Utilities!$B$11)</f>
        <v>8</v>
      </c>
      <c r="K5179" s="11">
        <f>IF(B5179&lt;C5179,1,EXP(-1*(B5179-C5179)/(Utilities!$B$11*IterData!H5179)))</f>
        <v>1</v>
      </c>
    </row>
    <row r="5180" spans="8:11" x14ac:dyDescent="0.3">
      <c r="H5180">
        <v>0.5</v>
      </c>
      <c r="I5180" s="11">
        <f t="shared" si="80"/>
        <v>0</v>
      </c>
      <c r="J5180" s="11">
        <f>1/(H5180*Utilities!$B$11)</f>
        <v>8</v>
      </c>
      <c r="K5180" s="11">
        <f>IF(B5180&lt;C5180,1,EXP(-1*(B5180-C5180)/(Utilities!$B$11*IterData!H5180)))</f>
        <v>1</v>
      </c>
    </row>
    <row r="5181" spans="8:11" x14ac:dyDescent="0.3">
      <c r="H5181">
        <v>0.5</v>
      </c>
      <c r="I5181" s="11">
        <f t="shared" si="80"/>
        <v>0</v>
      </c>
      <c r="J5181" s="11">
        <f>1/(H5181*Utilities!$B$11)</f>
        <v>8</v>
      </c>
      <c r="K5181" s="11">
        <f>IF(B5181&lt;C5181,1,EXP(-1*(B5181-C5181)/(Utilities!$B$11*IterData!H5181)))</f>
        <v>1</v>
      </c>
    </row>
    <row r="5182" spans="8:11" x14ac:dyDescent="0.3">
      <c r="H5182">
        <v>0.5</v>
      </c>
      <c r="I5182" s="11">
        <f t="shared" si="80"/>
        <v>0</v>
      </c>
      <c r="J5182" s="11">
        <f>1/(H5182*Utilities!$B$11)</f>
        <v>8</v>
      </c>
      <c r="K5182" s="11">
        <f>IF(B5182&lt;C5182,1,EXP(-1*(B5182-C5182)/(Utilities!$B$11*IterData!H5182)))</f>
        <v>1</v>
      </c>
    </row>
    <row r="5183" spans="8:11" x14ac:dyDescent="0.3">
      <c r="H5183">
        <v>0.5</v>
      </c>
      <c r="I5183" s="11">
        <f t="shared" si="80"/>
        <v>0</v>
      </c>
      <c r="J5183" s="11">
        <f>1/(H5183*Utilities!$B$11)</f>
        <v>8</v>
      </c>
      <c r="K5183" s="11">
        <f>IF(B5183&lt;C5183,1,EXP(-1*(B5183-C5183)/(Utilities!$B$11*IterData!H5183)))</f>
        <v>1</v>
      </c>
    </row>
    <row r="5184" spans="8:11" x14ac:dyDescent="0.3">
      <c r="H5184">
        <v>0.5</v>
      </c>
      <c r="I5184" s="11">
        <f t="shared" si="80"/>
        <v>0</v>
      </c>
      <c r="J5184" s="11">
        <f>1/(H5184*Utilities!$B$11)</f>
        <v>8</v>
      </c>
      <c r="K5184" s="11">
        <f>IF(B5184&lt;C5184,1,EXP(-1*(B5184-C5184)/(Utilities!$B$11*IterData!H5184)))</f>
        <v>1</v>
      </c>
    </row>
    <row r="5185" spans="8:11" x14ac:dyDescent="0.3">
      <c r="H5185">
        <v>0.5</v>
      </c>
      <c r="I5185" s="11">
        <f t="shared" si="80"/>
        <v>0</v>
      </c>
      <c r="J5185" s="11">
        <f>1/(H5185*Utilities!$B$11)</f>
        <v>8</v>
      </c>
      <c r="K5185" s="11">
        <f>IF(B5185&lt;C5185,1,EXP(-1*(B5185-C5185)/(Utilities!$B$11*IterData!H5185)))</f>
        <v>1</v>
      </c>
    </row>
    <row r="5186" spans="8:11" x14ac:dyDescent="0.3">
      <c r="H5186">
        <v>0.5</v>
      </c>
      <c r="I5186" s="11">
        <f t="shared" si="80"/>
        <v>0</v>
      </c>
      <c r="J5186" s="11">
        <f>1/(H5186*Utilities!$B$11)</f>
        <v>8</v>
      </c>
      <c r="K5186" s="11">
        <f>IF(B5186&lt;C5186,1,EXP(-1*(B5186-C5186)/(Utilities!$B$11*IterData!H5186)))</f>
        <v>1</v>
      </c>
    </row>
    <row r="5187" spans="8:11" x14ac:dyDescent="0.3">
      <c r="H5187">
        <v>0.5</v>
      </c>
      <c r="I5187" s="11">
        <f t="shared" ref="I5187:I5250" si="81">B5187-C5187</f>
        <v>0</v>
      </c>
      <c r="J5187" s="11">
        <f>1/(H5187*Utilities!$B$11)</f>
        <v>8</v>
      </c>
      <c r="K5187" s="11">
        <f>IF(B5187&lt;C5187,1,EXP(-1*(B5187-C5187)/(Utilities!$B$11*IterData!H5187)))</f>
        <v>1</v>
      </c>
    </row>
    <row r="5188" spans="8:11" x14ac:dyDescent="0.3">
      <c r="H5188">
        <v>0.5</v>
      </c>
      <c r="I5188" s="11">
        <f t="shared" si="81"/>
        <v>0</v>
      </c>
      <c r="J5188" s="11">
        <f>1/(H5188*Utilities!$B$11)</f>
        <v>8</v>
      </c>
      <c r="K5188" s="11">
        <f>IF(B5188&lt;C5188,1,EXP(-1*(B5188-C5188)/(Utilities!$B$11*IterData!H5188)))</f>
        <v>1</v>
      </c>
    </row>
    <row r="5189" spans="8:11" x14ac:dyDescent="0.3">
      <c r="H5189">
        <v>0.5</v>
      </c>
      <c r="I5189" s="11">
        <f t="shared" si="81"/>
        <v>0</v>
      </c>
      <c r="J5189" s="11">
        <f>1/(H5189*Utilities!$B$11)</f>
        <v>8</v>
      </c>
      <c r="K5189" s="11">
        <f>IF(B5189&lt;C5189,1,EXP(-1*(B5189-C5189)/(Utilities!$B$11*IterData!H5189)))</f>
        <v>1</v>
      </c>
    </row>
    <row r="5190" spans="8:11" x14ac:dyDescent="0.3">
      <c r="H5190">
        <v>0.5</v>
      </c>
      <c r="I5190" s="11">
        <f t="shared" si="81"/>
        <v>0</v>
      </c>
      <c r="J5190" s="11">
        <f>1/(H5190*Utilities!$B$11)</f>
        <v>8</v>
      </c>
      <c r="K5190" s="11">
        <f>IF(B5190&lt;C5190,1,EXP(-1*(B5190-C5190)/(Utilities!$B$11*IterData!H5190)))</f>
        <v>1</v>
      </c>
    </row>
    <row r="5191" spans="8:11" x14ac:dyDescent="0.3">
      <c r="H5191">
        <v>0.5</v>
      </c>
      <c r="I5191" s="11">
        <f t="shared" si="81"/>
        <v>0</v>
      </c>
      <c r="J5191" s="11">
        <f>1/(H5191*Utilities!$B$11)</f>
        <v>8</v>
      </c>
      <c r="K5191" s="11">
        <f>IF(B5191&lt;C5191,1,EXP(-1*(B5191-C5191)/(Utilities!$B$11*IterData!H5191)))</f>
        <v>1</v>
      </c>
    </row>
    <row r="5192" spans="8:11" x14ac:dyDescent="0.3">
      <c r="H5192">
        <v>0.5</v>
      </c>
      <c r="I5192" s="11">
        <f t="shared" si="81"/>
        <v>0</v>
      </c>
      <c r="J5192" s="11">
        <f>1/(H5192*Utilities!$B$11)</f>
        <v>8</v>
      </c>
      <c r="K5192" s="11">
        <f>IF(B5192&lt;C5192,1,EXP(-1*(B5192-C5192)/(Utilities!$B$11*IterData!H5192)))</f>
        <v>1</v>
      </c>
    </row>
    <row r="5193" spans="8:11" x14ac:dyDescent="0.3">
      <c r="H5193">
        <v>0.5</v>
      </c>
      <c r="I5193" s="11">
        <f t="shared" si="81"/>
        <v>0</v>
      </c>
      <c r="J5193" s="11">
        <f>1/(H5193*Utilities!$B$11)</f>
        <v>8</v>
      </c>
      <c r="K5193" s="11">
        <f>IF(B5193&lt;C5193,1,EXP(-1*(B5193-C5193)/(Utilities!$B$11*IterData!H5193)))</f>
        <v>1</v>
      </c>
    </row>
    <row r="5194" spans="8:11" x14ac:dyDescent="0.3">
      <c r="H5194">
        <v>0.5</v>
      </c>
      <c r="I5194" s="11">
        <f t="shared" si="81"/>
        <v>0</v>
      </c>
      <c r="J5194" s="11">
        <f>1/(H5194*Utilities!$B$11)</f>
        <v>8</v>
      </c>
      <c r="K5194" s="11">
        <f>IF(B5194&lt;C5194,1,EXP(-1*(B5194-C5194)/(Utilities!$B$11*IterData!H5194)))</f>
        <v>1</v>
      </c>
    </row>
    <row r="5195" spans="8:11" x14ac:dyDescent="0.3">
      <c r="H5195">
        <v>0.5</v>
      </c>
      <c r="I5195" s="11">
        <f t="shared" si="81"/>
        <v>0</v>
      </c>
      <c r="J5195" s="11">
        <f>1/(H5195*Utilities!$B$11)</f>
        <v>8</v>
      </c>
      <c r="K5195" s="11">
        <f>IF(B5195&lt;C5195,1,EXP(-1*(B5195-C5195)/(Utilities!$B$11*IterData!H5195)))</f>
        <v>1</v>
      </c>
    </row>
    <row r="5196" spans="8:11" x14ac:dyDescent="0.3">
      <c r="H5196">
        <v>0.5</v>
      </c>
      <c r="I5196" s="11">
        <f t="shared" si="81"/>
        <v>0</v>
      </c>
      <c r="J5196" s="11">
        <f>1/(H5196*Utilities!$B$11)</f>
        <v>8</v>
      </c>
      <c r="K5196" s="11">
        <f>IF(B5196&lt;C5196,1,EXP(-1*(B5196-C5196)/(Utilities!$B$11*IterData!H5196)))</f>
        <v>1</v>
      </c>
    </row>
    <row r="5197" spans="8:11" x14ac:dyDescent="0.3">
      <c r="H5197">
        <v>0.5</v>
      </c>
      <c r="I5197" s="11">
        <f t="shared" si="81"/>
        <v>0</v>
      </c>
      <c r="J5197" s="11">
        <f>1/(H5197*Utilities!$B$11)</f>
        <v>8</v>
      </c>
      <c r="K5197" s="11">
        <f>IF(B5197&lt;C5197,1,EXP(-1*(B5197-C5197)/(Utilities!$B$11*IterData!H5197)))</f>
        <v>1</v>
      </c>
    </row>
    <row r="5198" spans="8:11" x14ac:dyDescent="0.3">
      <c r="H5198">
        <v>0.5</v>
      </c>
      <c r="I5198" s="11">
        <f t="shared" si="81"/>
        <v>0</v>
      </c>
      <c r="J5198" s="11">
        <f>1/(H5198*Utilities!$B$11)</f>
        <v>8</v>
      </c>
      <c r="K5198" s="11">
        <f>IF(B5198&lt;C5198,1,EXP(-1*(B5198-C5198)/(Utilities!$B$11*IterData!H5198)))</f>
        <v>1</v>
      </c>
    </row>
    <row r="5199" spans="8:11" x14ac:dyDescent="0.3">
      <c r="H5199">
        <v>0.5</v>
      </c>
      <c r="I5199" s="11">
        <f t="shared" si="81"/>
        <v>0</v>
      </c>
      <c r="J5199" s="11">
        <f>1/(H5199*Utilities!$B$11)</f>
        <v>8</v>
      </c>
      <c r="K5199" s="11">
        <f>IF(B5199&lt;C5199,1,EXP(-1*(B5199-C5199)/(Utilities!$B$11*IterData!H5199)))</f>
        <v>1</v>
      </c>
    </row>
    <row r="5200" spans="8:11" x14ac:dyDescent="0.3">
      <c r="H5200">
        <v>0.5</v>
      </c>
      <c r="I5200" s="11">
        <f t="shared" si="81"/>
        <v>0</v>
      </c>
      <c r="J5200" s="11">
        <f>1/(H5200*Utilities!$B$11)</f>
        <v>8</v>
      </c>
      <c r="K5200" s="11">
        <f>IF(B5200&lt;C5200,1,EXP(-1*(B5200-C5200)/(Utilities!$B$11*IterData!H5200)))</f>
        <v>1</v>
      </c>
    </row>
    <row r="5201" spans="8:11" x14ac:dyDescent="0.3">
      <c r="H5201">
        <v>0.5</v>
      </c>
      <c r="I5201" s="11">
        <f t="shared" si="81"/>
        <v>0</v>
      </c>
      <c r="J5201" s="11">
        <f>1/(H5201*Utilities!$B$11)</f>
        <v>8</v>
      </c>
      <c r="K5201" s="11">
        <f>IF(B5201&lt;C5201,1,EXP(-1*(B5201-C5201)/(Utilities!$B$11*IterData!H5201)))</f>
        <v>1</v>
      </c>
    </row>
    <row r="5202" spans="8:11" x14ac:dyDescent="0.3">
      <c r="H5202">
        <v>0.5</v>
      </c>
      <c r="I5202" s="11">
        <f t="shared" si="81"/>
        <v>0</v>
      </c>
      <c r="J5202" s="11">
        <f>1/(H5202*Utilities!$B$11)</f>
        <v>8</v>
      </c>
      <c r="K5202" s="11">
        <f>IF(B5202&lt;C5202,1,EXP(-1*(B5202-C5202)/(Utilities!$B$11*IterData!H5202)))</f>
        <v>1</v>
      </c>
    </row>
    <row r="5203" spans="8:11" x14ac:dyDescent="0.3">
      <c r="H5203">
        <v>0.5</v>
      </c>
      <c r="I5203" s="11">
        <f t="shared" si="81"/>
        <v>0</v>
      </c>
      <c r="J5203" s="11">
        <f>1/(H5203*Utilities!$B$11)</f>
        <v>8</v>
      </c>
      <c r="K5203" s="11">
        <f>IF(B5203&lt;C5203,1,EXP(-1*(B5203-C5203)/(Utilities!$B$11*IterData!H5203)))</f>
        <v>1</v>
      </c>
    </row>
    <row r="5204" spans="8:11" x14ac:dyDescent="0.3">
      <c r="H5204">
        <v>0.5</v>
      </c>
      <c r="I5204" s="11">
        <f t="shared" si="81"/>
        <v>0</v>
      </c>
      <c r="J5204" s="11">
        <f>1/(H5204*Utilities!$B$11)</f>
        <v>8</v>
      </c>
      <c r="K5204" s="11">
        <f>IF(B5204&lt;C5204,1,EXP(-1*(B5204-C5204)/(Utilities!$B$11*IterData!H5204)))</f>
        <v>1</v>
      </c>
    </row>
    <row r="5205" spans="8:11" x14ac:dyDescent="0.3">
      <c r="H5205">
        <v>0.5</v>
      </c>
      <c r="I5205" s="11">
        <f t="shared" si="81"/>
        <v>0</v>
      </c>
      <c r="J5205" s="11">
        <f>1/(H5205*Utilities!$B$11)</f>
        <v>8</v>
      </c>
      <c r="K5205" s="11">
        <f>IF(B5205&lt;C5205,1,EXP(-1*(B5205-C5205)/(Utilities!$B$11*IterData!H5205)))</f>
        <v>1</v>
      </c>
    </row>
    <row r="5206" spans="8:11" x14ac:dyDescent="0.3">
      <c r="H5206">
        <v>0.5</v>
      </c>
      <c r="I5206" s="11">
        <f t="shared" si="81"/>
        <v>0</v>
      </c>
      <c r="J5206" s="11">
        <f>1/(H5206*Utilities!$B$11)</f>
        <v>8</v>
      </c>
      <c r="K5206" s="11">
        <f>IF(B5206&lt;C5206,1,EXP(-1*(B5206-C5206)/(Utilities!$B$11*IterData!H5206)))</f>
        <v>1</v>
      </c>
    </row>
    <row r="5207" spans="8:11" x14ac:dyDescent="0.3">
      <c r="H5207">
        <v>0.5</v>
      </c>
      <c r="I5207" s="11">
        <f t="shared" si="81"/>
        <v>0</v>
      </c>
      <c r="J5207" s="11">
        <f>1/(H5207*Utilities!$B$11)</f>
        <v>8</v>
      </c>
      <c r="K5207" s="11">
        <f>IF(B5207&lt;C5207,1,EXP(-1*(B5207-C5207)/(Utilities!$B$11*IterData!H5207)))</f>
        <v>1</v>
      </c>
    </row>
    <row r="5208" spans="8:11" x14ac:dyDescent="0.3">
      <c r="H5208">
        <v>0.5</v>
      </c>
      <c r="I5208" s="11">
        <f t="shared" si="81"/>
        <v>0</v>
      </c>
      <c r="J5208" s="11">
        <f>1/(H5208*Utilities!$B$11)</f>
        <v>8</v>
      </c>
      <c r="K5208" s="11">
        <f>IF(B5208&lt;C5208,1,EXP(-1*(B5208-C5208)/(Utilities!$B$11*IterData!H5208)))</f>
        <v>1</v>
      </c>
    </row>
    <row r="5209" spans="8:11" x14ac:dyDescent="0.3">
      <c r="H5209">
        <v>0.5</v>
      </c>
      <c r="I5209" s="11">
        <f t="shared" si="81"/>
        <v>0</v>
      </c>
      <c r="J5209" s="11">
        <f>1/(H5209*Utilities!$B$11)</f>
        <v>8</v>
      </c>
      <c r="K5209" s="11">
        <f>IF(B5209&lt;C5209,1,EXP(-1*(B5209-C5209)/(Utilities!$B$11*IterData!H5209)))</f>
        <v>1</v>
      </c>
    </row>
    <row r="5210" spans="8:11" x14ac:dyDescent="0.3">
      <c r="H5210">
        <v>0.5</v>
      </c>
      <c r="I5210" s="11">
        <f t="shared" si="81"/>
        <v>0</v>
      </c>
      <c r="J5210" s="11">
        <f>1/(H5210*Utilities!$B$11)</f>
        <v>8</v>
      </c>
      <c r="K5210" s="11">
        <f>IF(B5210&lt;C5210,1,EXP(-1*(B5210-C5210)/(Utilities!$B$11*IterData!H5210)))</f>
        <v>1</v>
      </c>
    </row>
    <row r="5211" spans="8:11" x14ac:dyDescent="0.3">
      <c r="H5211">
        <v>0.5</v>
      </c>
      <c r="I5211" s="11">
        <f t="shared" si="81"/>
        <v>0</v>
      </c>
      <c r="J5211" s="11">
        <f>1/(H5211*Utilities!$B$11)</f>
        <v>8</v>
      </c>
      <c r="K5211" s="11">
        <f>IF(B5211&lt;C5211,1,EXP(-1*(B5211-C5211)/(Utilities!$B$11*IterData!H5211)))</f>
        <v>1</v>
      </c>
    </row>
    <row r="5212" spans="8:11" x14ac:dyDescent="0.3">
      <c r="H5212">
        <v>0.5</v>
      </c>
      <c r="I5212" s="11">
        <f t="shared" si="81"/>
        <v>0</v>
      </c>
      <c r="J5212" s="11">
        <f>1/(H5212*Utilities!$B$11)</f>
        <v>8</v>
      </c>
      <c r="K5212" s="11">
        <f>IF(B5212&lt;C5212,1,EXP(-1*(B5212-C5212)/(Utilities!$B$11*IterData!H5212)))</f>
        <v>1</v>
      </c>
    </row>
    <row r="5213" spans="8:11" x14ac:dyDescent="0.3">
      <c r="H5213">
        <v>0.5</v>
      </c>
      <c r="I5213" s="11">
        <f t="shared" si="81"/>
        <v>0</v>
      </c>
      <c r="J5213" s="11">
        <f>1/(H5213*Utilities!$B$11)</f>
        <v>8</v>
      </c>
      <c r="K5213" s="11">
        <f>IF(B5213&lt;C5213,1,EXP(-1*(B5213-C5213)/(Utilities!$B$11*IterData!H5213)))</f>
        <v>1</v>
      </c>
    </row>
    <row r="5214" spans="8:11" x14ac:dyDescent="0.3">
      <c r="H5214">
        <v>0.5</v>
      </c>
      <c r="I5214" s="11">
        <f t="shared" si="81"/>
        <v>0</v>
      </c>
      <c r="J5214" s="11">
        <f>1/(H5214*Utilities!$B$11)</f>
        <v>8</v>
      </c>
      <c r="K5214" s="11">
        <f>IF(B5214&lt;C5214,1,EXP(-1*(B5214-C5214)/(Utilities!$B$11*IterData!H5214)))</f>
        <v>1</v>
      </c>
    </row>
    <row r="5215" spans="8:11" x14ac:dyDescent="0.3">
      <c r="H5215">
        <v>0.5</v>
      </c>
      <c r="I5215" s="11">
        <f t="shared" si="81"/>
        <v>0</v>
      </c>
      <c r="J5215" s="11">
        <f>1/(H5215*Utilities!$B$11)</f>
        <v>8</v>
      </c>
      <c r="K5215" s="11">
        <f>IF(B5215&lt;C5215,1,EXP(-1*(B5215-C5215)/(Utilities!$B$11*IterData!H5215)))</f>
        <v>1</v>
      </c>
    </row>
    <row r="5216" spans="8:11" x14ac:dyDescent="0.3">
      <c r="H5216">
        <v>0.5</v>
      </c>
      <c r="I5216" s="11">
        <f t="shared" si="81"/>
        <v>0</v>
      </c>
      <c r="J5216" s="11">
        <f>1/(H5216*Utilities!$B$11)</f>
        <v>8</v>
      </c>
      <c r="K5216" s="11">
        <f>IF(B5216&lt;C5216,1,EXP(-1*(B5216-C5216)/(Utilities!$B$11*IterData!H5216)))</f>
        <v>1</v>
      </c>
    </row>
    <row r="5217" spans="8:11" x14ac:dyDescent="0.3">
      <c r="H5217">
        <v>0.5</v>
      </c>
      <c r="I5217" s="11">
        <f t="shared" si="81"/>
        <v>0</v>
      </c>
      <c r="J5217" s="11">
        <f>1/(H5217*Utilities!$B$11)</f>
        <v>8</v>
      </c>
      <c r="K5217" s="11">
        <f>IF(B5217&lt;C5217,1,EXP(-1*(B5217-C5217)/(Utilities!$B$11*IterData!H5217)))</f>
        <v>1</v>
      </c>
    </row>
    <row r="5218" spans="8:11" x14ac:dyDescent="0.3">
      <c r="H5218">
        <v>0.5</v>
      </c>
      <c r="I5218" s="11">
        <f t="shared" si="81"/>
        <v>0</v>
      </c>
      <c r="J5218" s="11">
        <f>1/(H5218*Utilities!$B$11)</f>
        <v>8</v>
      </c>
      <c r="K5218" s="11">
        <f>IF(B5218&lt;C5218,1,EXP(-1*(B5218-C5218)/(Utilities!$B$11*IterData!H5218)))</f>
        <v>1</v>
      </c>
    </row>
    <row r="5219" spans="8:11" x14ac:dyDescent="0.3">
      <c r="H5219">
        <v>0.5</v>
      </c>
      <c r="I5219" s="11">
        <f t="shared" si="81"/>
        <v>0</v>
      </c>
      <c r="J5219" s="11">
        <f>1/(H5219*Utilities!$B$11)</f>
        <v>8</v>
      </c>
      <c r="K5219" s="11">
        <f>IF(B5219&lt;C5219,1,EXP(-1*(B5219-C5219)/(Utilities!$B$11*IterData!H5219)))</f>
        <v>1</v>
      </c>
    </row>
    <row r="5220" spans="8:11" x14ac:dyDescent="0.3">
      <c r="H5220">
        <v>0.5</v>
      </c>
      <c r="I5220" s="11">
        <f t="shared" si="81"/>
        <v>0</v>
      </c>
      <c r="J5220" s="11">
        <f>1/(H5220*Utilities!$B$11)</f>
        <v>8</v>
      </c>
      <c r="K5220" s="11">
        <f>IF(B5220&lt;C5220,1,EXP(-1*(B5220-C5220)/(Utilities!$B$11*IterData!H5220)))</f>
        <v>1</v>
      </c>
    </row>
    <row r="5221" spans="8:11" x14ac:dyDescent="0.3">
      <c r="H5221">
        <v>0.5</v>
      </c>
      <c r="I5221" s="11">
        <f t="shared" si="81"/>
        <v>0</v>
      </c>
      <c r="J5221" s="11">
        <f>1/(H5221*Utilities!$B$11)</f>
        <v>8</v>
      </c>
      <c r="K5221" s="11">
        <f>IF(B5221&lt;C5221,1,EXP(-1*(B5221-C5221)/(Utilities!$B$11*IterData!H5221)))</f>
        <v>1</v>
      </c>
    </row>
    <row r="5222" spans="8:11" x14ac:dyDescent="0.3">
      <c r="H5222">
        <v>0.5</v>
      </c>
      <c r="I5222" s="11">
        <f t="shared" si="81"/>
        <v>0</v>
      </c>
      <c r="J5222" s="11">
        <f>1/(H5222*Utilities!$B$11)</f>
        <v>8</v>
      </c>
      <c r="K5222" s="11">
        <f>IF(B5222&lt;C5222,1,EXP(-1*(B5222-C5222)/(Utilities!$B$11*IterData!H5222)))</f>
        <v>1</v>
      </c>
    </row>
    <row r="5223" spans="8:11" x14ac:dyDescent="0.3">
      <c r="H5223">
        <v>0.5</v>
      </c>
      <c r="I5223" s="11">
        <f t="shared" si="81"/>
        <v>0</v>
      </c>
      <c r="J5223" s="11">
        <f>1/(H5223*Utilities!$B$11)</f>
        <v>8</v>
      </c>
      <c r="K5223" s="11">
        <f>IF(B5223&lt;C5223,1,EXP(-1*(B5223-C5223)/(Utilities!$B$11*IterData!H5223)))</f>
        <v>1</v>
      </c>
    </row>
    <row r="5224" spans="8:11" x14ac:dyDescent="0.3">
      <c r="H5224">
        <v>0.5</v>
      </c>
      <c r="I5224" s="11">
        <f t="shared" si="81"/>
        <v>0</v>
      </c>
      <c r="J5224" s="11">
        <f>1/(H5224*Utilities!$B$11)</f>
        <v>8</v>
      </c>
      <c r="K5224" s="11">
        <f>IF(B5224&lt;C5224,1,EXP(-1*(B5224-C5224)/(Utilities!$B$11*IterData!H5224)))</f>
        <v>1</v>
      </c>
    </row>
    <row r="5225" spans="8:11" x14ac:dyDescent="0.3">
      <c r="H5225">
        <v>0.5</v>
      </c>
      <c r="I5225" s="11">
        <f t="shared" si="81"/>
        <v>0</v>
      </c>
      <c r="J5225" s="11">
        <f>1/(H5225*Utilities!$B$11)</f>
        <v>8</v>
      </c>
      <c r="K5225" s="11">
        <f>IF(B5225&lt;C5225,1,EXP(-1*(B5225-C5225)/(Utilities!$B$11*IterData!H5225)))</f>
        <v>1</v>
      </c>
    </row>
    <row r="5226" spans="8:11" x14ac:dyDescent="0.3">
      <c r="H5226">
        <v>0.5</v>
      </c>
      <c r="I5226" s="11">
        <f t="shared" si="81"/>
        <v>0</v>
      </c>
      <c r="J5226" s="11">
        <f>1/(H5226*Utilities!$B$11)</f>
        <v>8</v>
      </c>
      <c r="K5226" s="11">
        <f>IF(B5226&lt;C5226,1,EXP(-1*(B5226-C5226)/(Utilities!$B$11*IterData!H5226)))</f>
        <v>1</v>
      </c>
    </row>
    <row r="5227" spans="8:11" x14ac:dyDescent="0.3">
      <c r="H5227">
        <v>0.5</v>
      </c>
      <c r="I5227" s="11">
        <f t="shared" si="81"/>
        <v>0</v>
      </c>
      <c r="J5227" s="11">
        <f>1/(H5227*Utilities!$B$11)</f>
        <v>8</v>
      </c>
      <c r="K5227" s="11">
        <f>IF(B5227&lt;C5227,1,EXP(-1*(B5227-C5227)/(Utilities!$B$11*IterData!H5227)))</f>
        <v>1</v>
      </c>
    </row>
    <row r="5228" spans="8:11" x14ac:dyDescent="0.3">
      <c r="H5228">
        <v>0.5</v>
      </c>
      <c r="I5228" s="11">
        <f t="shared" si="81"/>
        <v>0</v>
      </c>
      <c r="J5228" s="11">
        <f>1/(H5228*Utilities!$B$11)</f>
        <v>8</v>
      </c>
      <c r="K5228" s="11">
        <f>IF(B5228&lt;C5228,1,EXP(-1*(B5228-C5228)/(Utilities!$B$11*IterData!H5228)))</f>
        <v>1</v>
      </c>
    </row>
    <row r="5229" spans="8:11" x14ac:dyDescent="0.3">
      <c r="H5229">
        <v>0.5</v>
      </c>
      <c r="I5229" s="11">
        <f t="shared" si="81"/>
        <v>0</v>
      </c>
      <c r="J5229" s="11">
        <f>1/(H5229*Utilities!$B$11)</f>
        <v>8</v>
      </c>
      <c r="K5229" s="11">
        <f>IF(B5229&lt;C5229,1,EXP(-1*(B5229-C5229)/(Utilities!$B$11*IterData!H5229)))</f>
        <v>1</v>
      </c>
    </row>
    <row r="5230" spans="8:11" x14ac:dyDescent="0.3">
      <c r="H5230">
        <v>0.5</v>
      </c>
      <c r="I5230" s="11">
        <f t="shared" si="81"/>
        <v>0</v>
      </c>
      <c r="J5230" s="11">
        <f>1/(H5230*Utilities!$B$11)</f>
        <v>8</v>
      </c>
      <c r="K5230" s="11">
        <f>IF(B5230&lt;C5230,1,EXP(-1*(B5230-C5230)/(Utilities!$B$11*IterData!H5230)))</f>
        <v>1</v>
      </c>
    </row>
    <row r="5231" spans="8:11" x14ac:dyDescent="0.3">
      <c r="H5231">
        <v>0.5</v>
      </c>
      <c r="I5231" s="11">
        <f t="shared" si="81"/>
        <v>0</v>
      </c>
      <c r="J5231" s="11">
        <f>1/(H5231*Utilities!$B$11)</f>
        <v>8</v>
      </c>
      <c r="K5231" s="11">
        <f>IF(B5231&lt;C5231,1,EXP(-1*(B5231-C5231)/(Utilities!$B$11*IterData!H5231)))</f>
        <v>1</v>
      </c>
    </row>
    <row r="5232" spans="8:11" x14ac:dyDescent="0.3">
      <c r="H5232">
        <v>0.5</v>
      </c>
      <c r="I5232" s="11">
        <f t="shared" si="81"/>
        <v>0</v>
      </c>
      <c r="J5232" s="11">
        <f>1/(H5232*Utilities!$B$11)</f>
        <v>8</v>
      </c>
      <c r="K5232" s="11">
        <f>IF(B5232&lt;C5232,1,EXP(-1*(B5232-C5232)/(Utilities!$B$11*IterData!H5232)))</f>
        <v>1</v>
      </c>
    </row>
    <row r="5233" spans="8:11" x14ac:dyDescent="0.3">
      <c r="H5233">
        <v>0.5</v>
      </c>
      <c r="I5233" s="11">
        <f t="shared" si="81"/>
        <v>0</v>
      </c>
      <c r="J5233" s="11">
        <f>1/(H5233*Utilities!$B$11)</f>
        <v>8</v>
      </c>
      <c r="K5233" s="11">
        <f>IF(B5233&lt;C5233,1,EXP(-1*(B5233-C5233)/(Utilities!$B$11*IterData!H5233)))</f>
        <v>1</v>
      </c>
    </row>
    <row r="5234" spans="8:11" x14ac:dyDescent="0.3">
      <c r="H5234">
        <v>0.5</v>
      </c>
      <c r="I5234" s="11">
        <f t="shared" si="81"/>
        <v>0</v>
      </c>
      <c r="J5234" s="11">
        <f>1/(H5234*Utilities!$B$11)</f>
        <v>8</v>
      </c>
      <c r="K5234" s="11">
        <f>IF(B5234&lt;C5234,1,EXP(-1*(B5234-C5234)/(Utilities!$B$11*IterData!H5234)))</f>
        <v>1</v>
      </c>
    </row>
    <row r="5235" spans="8:11" x14ac:dyDescent="0.3">
      <c r="H5235">
        <v>0.5</v>
      </c>
      <c r="I5235" s="11">
        <f t="shared" si="81"/>
        <v>0</v>
      </c>
      <c r="J5235" s="11">
        <f>1/(H5235*Utilities!$B$11)</f>
        <v>8</v>
      </c>
      <c r="K5235" s="11">
        <f>IF(B5235&lt;C5235,1,EXP(-1*(B5235-C5235)/(Utilities!$B$11*IterData!H5235)))</f>
        <v>1</v>
      </c>
    </row>
    <row r="5236" spans="8:11" x14ac:dyDescent="0.3">
      <c r="H5236">
        <v>0.5</v>
      </c>
      <c r="I5236" s="11">
        <f t="shared" si="81"/>
        <v>0</v>
      </c>
      <c r="J5236" s="11">
        <f>1/(H5236*Utilities!$B$11)</f>
        <v>8</v>
      </c>
      <c r="K5236" s="11">
        <f>IF(B5236&lt;C5236,1,EXP(-1*(B5236-C5236)/(Utilities!$B$11*IterData!H5236)))</f>
        <v>1</v>
      </c>
    </row>
    <row r="5237" spans="8:11" x14ac:dyDescent="0.3">
      <c r="H5237">
        <v>0.5</v>
      </c>
      <c r="I5237" s="11">
        <f t="shared" si="81"/>
        <v>0</v>
      </c>
      <c r="J5237" s="11">
        <f>1/(H5237*Utilities!$B$11)</f>
        <v>8</v>
      </c>
      <c r="K5237" s="11">
        <f>IF(B5237&lt;C5237,1,EXP(-1*(B5237-C5237)/(Utilities!$B$11*IterData!H5237)))</f>
        <v>1</v>
      </c>
    </row>
    <row r="5238" spans="8:11" x14ac:dyDescent="0.3">
      <c r="H5238">
        <v>0.5</v>
      </c>
      <c r="I5238" s="11">
        <f t="shared" si="81"/>
        <v>0</v>
      </c>
      <c r="J5238" s="11">
        <f>1/(H5238*Utilities!$B$11)</f>
        <v>8</v>
      </c>
      <c r="K5238" s="11">
        <f>IF(B5238&lt;C5238,1,EXP(-1*(B5238-C5238)/(Utilities!$B$11*IterData!H5238)))</f>
        <v>1</v>
      </c>
    </row>
    <row r="5239" spans="8:11" x14ac:dyDescent="0.3">
      <c r="H5239">
        <v>0.5</v>
      </c>
      <c r="I5239" s="11">
        <f t="shared" si="81"/>
        <v>0</v>
      </c>
      <c r="J5239" s="11">
        <f>1/(H5239*Utilities!$B$11)</f>
        <v>8</v>
      </c>
      <c r="K5239" s="11">
        <f>IF(B5239&lt;C5239,1,EXP(-1*(B5239-C5239)/(Utilities!$B$11*IterData!H5239)))</f>
        <v>1</v>
      </c>
    </row>
    <row r="5240" spans="8:11" x14ac:dyDescent="0.3">
      <c r="H5240">
        <v>0.5</v>
      </c>
      <c r="I5240" s="11">
        <f t="shared" si="81"/>
        <v>0</v>
      </c>
      <c r="J5240" s="11">
        <f>1/(H5240*Utilities!$B$11)</f>
        <v>8</v>
      </c>
      <c r="K5240" s="11">
        <f>IF(B5240&lt;C5240,1,EXP(-1*(B5240-C5240)/(Utilities!$B$11*IterData!H5240)))</f>
        <v>1</v>
      </c>
    </row>
    <row r="5241" spans="8:11" x14ac:dyDescent="0.3">
      <c r="H5241">
        <v>0.5</v>
      </c>
      <c r="I5241" s="11">
        <f t="shared" si="81"/>
        <v>0</v>
      </c>
      <c r="J5241" s="11">
        <f>1/(H5241*Utilities!$B$11)</f>
        <v>8</v>
      </c>
      <c r="K5241" s="11">
        <f>IF(B5241&lt;C5241,1,EXP(-1*(B5241-C5241)/(Utilities!$B$11*IterData!H5241)))</f>
        <v>1</v>
      </c>
    </row>
    <row r="5242" spans="8:11" x14ac:dyDescent="0.3">
      <c r="H5242">
        <v>0.5</v>
      </c>
      <c r="I5242" s="11">
        <f t="shared" si="81"/>
        <v>0</v>
      </c>
      <c r="J5242" s="11">
        <f>1/(H5242*Utilities!$B$11)</f>
        <v>8</v>
      </c>
      <c r="K5242" s="11">
        <f>IF(B5242&lt;C5242,1,EXP(-1*(B5242-C5242)/(Utilities!$B$11*IterData!H5242)))</f>
        <v>1</v>
      </c>
    </row>
    <row r="5243" spans="8:11" x14ac:dyDescent="0.3">
      <c r="H5243">
        <v>0.5</v>
      </c>
      <c r="I5243" s="11">
        <f t="shared" si="81"/>
        <v>0</v>
      </c>
      <c r="J5243" s="11">
        <f>1/(H5243*Utilities!$B$11)</f>
        <v>8</v>
      </c>
      <c r="K5243" s="11">
        <f>IF(B5243&lt;C5243,1,EXP(-1*(B5243-C5243)/(Utilities!$B$11*IterData!H5243)))</f>
        <v>1</v>
      </c>
    </row>
    <row r="5244" spans="8:11" x14ac:dyDescent="0.3">
      <c r="H5244">
        <v>0.5</v>
      </c>
      <c r="I5244" s="11">
        <f t="shared" si="81"/>
        <v>0</v>
      </c>
      <c r="J5244" s="11">
        <f>1/(H5244*Utilities!$B$11)</f>
        <v>8</v>
      </c>
      <c r="K5244" s="11">
        <f>IF(B5244&lt;C5244,1,EXP(-1*(B5244-C5244)/(Utilities!$B$11*IterData!H5244)))</f>
        <v>1</v>
      </c>
    </row>
    <row r="5245" spans="8:11" x14ac:dyDescent="0.3">
      <c r="H5245">
        <v>0.5</v>
      </c>
      <c r="I5245" s="11">
        <f t="shared" si="81"/>
        <v>0</v>
      </c>
      <c r="J5245" s="11">
        <f>1/(H5245*Utilities!$B$11)</f>
        <v>8</v>
      </c>
      <c r="K5245" s="11">
        <f>IF(B5245&lt;C5245,1,EXP(-1*(B5245-C5245)/(Utilities!$B$11*IterData!H5245)))</f>
        <v>1</v>
      </c>
    </row>
    <row r="5246" spans="8:11" x14ac:dyDescent="0.3">
      <c r="H5246">
        <v>0.5</v>
      </c>
      <c r="I5246" s="11">
        <f t="shared" si="81"/>
        <v>0</v>
      </c>
      <c r="J5246" s="11">
        <f>1/(H5246*Utilities!$B$11)</f>
        <v>8</v>
      </c>
      <c r="K5246" s="11">
        <f>IF(B5246&lt;C5246,1,EXP(-1*(B5246-C5246)/(Utilities!$B$11*IterData!H5246)))</f>
        <v>1</v>
      </c>
    </row>
    <row r="5247" spans="8:11" x14ac:dyDescent="0.3">
      <c r="H5247">
        <v>0.5</v>
      </c>
      <c r="I5247" s="11">
        <f t="shared" si="81"/>
        <v>0</v>
      </c>
      <c r="J5247" s="11">
        <f>1/(H5247*Utilities!$B$11)</f>
        <v>8</v>
      </c>
      <c r="K5247" s="11">
        <f>IF(B5247&lt;C5247,1,EXP(-1*(B5247-C5247)/(Utilities!$B$11*IterData!H5247)))</f>
        <v>1</v>
      </c>
    </row>
    <row r="5248" spans="8:11" x14ac:dyDescent="0.3">
      <c r="H5248">
        <v>0.5</v>
      </c>
      <c r="I5248" s="11">
        <f t="shared" si="81"/>
        <v>0</v>
      </c>
      <c r="J5248" s="11">
        <f>1/(H5248*Utilities!$B$11)</f>
        <v>8</v>
      </c>
      <c r="K5248" s="11">
        <f>IF(B5248&lt;C5248,1,EXP(-1*(B5248-C5248)/(Utilities!$B$11*IterData!H5248)))</f>
        <v>1</v>
      </c>
    </row>
    <row r="5249" spans="8:11" x14ac:dyDescent="0.3">
      <c r="H5249">
        <v>0.5</v>
      </c>
      <c r="I5249" s="11">
        <f t="shared" si="81"/>
        <v>0</v>
      </c>
      <c r="J5249" s="11">
        <f>1/(H5249*Utilities!$B$11)</f>
        <v>8</v>
      </c>
      <c r="K5249" s="11">
        <f>IF(B5249&lt;C5249,1,EXP(-1*(B5249-C5249)/(Utilities!$B$11*IterData!H5249)))</f>
        <v>1</v>
      </c>
    </row>
    <row r="5250" spans="8:11" x14ac:dyDescent="0.3">
      <c r="H5250">
        <v>0.5</v>
      </c>
      <c r="I5250" s="11">
        <f t="shared" si="81"/>
        <v>0</v>
      </c>
      <c r="J5250" s="11">
        <f>1/(H5250*Utilities!$B$11)</f>
        <v>8</v>
      </c>
      <c r="K5250" s="11">
        <f>IF(B5250&lt;C5250,1,EXP(-1*(B5250-C5250)/(Utilities!$B$11*IterData!H5250)))</f>
        <v>1</v>
      </c>
    </row>
    <row r="5251" spans="8:11" x14ac:dyDescent="0.3">
      <c r="H5251">
        <v>0.5</v>
      </c>
      <c r="I5251" s="11">
        <f t="shared" ref="I5251:I5314" si="82">B5251-C5251</f>
        <v>0</v>
      </c>
      <c r="J5251" s="11">
        <f>1/(H5251*Utilities!$B$11)</f>
        <v>8</v>
      </c>
      <c r="K5251" s="11">
        <f>IF(B5251&lt;C5251,1,EXP(-1*(B5251-C5251)/(Utilities!$B$11*IterData!H5251)))</f>
        <v>1</v>
      </c>
    </row>
    <row r="5252" spans="8:11" x14ac:dyDescent="0.3">
      <c r="H5252">
        <v>0.5</v>
      </c>
      <c r="I5252" s="11">
        <f t="shared" si="82"/>
        <v>0</v>
      </c>
      <c r="J5252" s="11">
        <f>1/(H5252*Utilities!$B$11)</f>
        <v>8</v>
      </c>
      <c r="K5252" s="11">
        <f>IF(B5252&lt;C5252,1,EXP(-1*(B5252-C5252)/(Utilities!$B$11*IterData!H5252)))</f>
        <v>1</v>
      </c>
    </row>
    <row r="5253" spans="8:11" x14ac:dyDescent="0.3">
      <c r="H5253">
        <v>0.5</v>
      </c>
      <c r="I5253" s="11">
        <f t="shared" si="82"/>
        <v>0</v>
      </c>
      <c r="J5253" s="11">
        <f>1/(H5253*Utilities!$B$11)</f>
        <v>8</v>
      </c>
      <c r="K5253" s="11">
        <f>IF(B5253&lt;C5253,1,EXP(-1*(B5253-C5253)/(Utilities!$B$11*IterData!H5253)))</f>
        <v>1</v>
      </c>
    </row>
    <row r="5254" spans="8:11" x14ac:dyDescent="0.3">
      <c r="H5254">
        <v>0.5</v>
      </c>
      <c r="I5254" s="11">
        <f t="shared" si="82"/>
        <v>0</v>
      </c>
      <c r="J5254" s="11">
        <f>1/(H5254*Utilities!$B$11)</f>
        <v>8</v>
      </c>
      <c r="K5254" s="11">
        <f>IF(B5254&lt;C5254,1,EXP(-1*(B5254-C5254)/(Utilities!$B$11*IterData!H5254)))</f>
        <v>1</v>
      </c>
    </row>
    <row r="5255" spans="8:11" x14ac:dyDescent="0.3">
      <c r="H5255">
        <v>0.5</v>
      </c>
      <c r="I5255" s="11">
        <f t="shared" si="82"/>
        <v>0</v>
      </c>
      <c r="J5255" s="11">
        <f>1/(H5255*Utilities!$B$11)</f>
        <v>8</v>
      </c>
      <c r="K5255" s="11">
        <f>IF(B5255&lt;C5255,1,EXP(-1*(B5255-C5255)/(Utilities!$B$11*IterData!H5255)))</f>
        <v>1</v>
      </c>
    </row>
    <row r="5256" spans="8:11" x14ac:dyDescent="0.3">
      <c r="H5256">
        <v>0.5</v>
      </c>
      <c r="I5256" s="11">
        <f t="shared" si="82"/>
        <v>0</v>
      </c>
      <c r="J5256" s="11">
        <f>1/(H5256*Utilities!$B$11)</f>
        <v>8</v>
      </c>
      <c r="K5256" s="11">
        <f>IF(B5256&lt;C5256,1,EXP(-1*(B5256-C5256)/(Utilities!$B$11*IterData!H5256)))</f>
        <v>1</v>
      </c>
    </row>
    <row r="5257" spans="8:11" x14ac:dyDescent="0.3">
      <c r="H5257">
        <v>0.5</v>
      </c>
      <c r="I5257" s="11">
        <f t="shared" si="82"/>
        <v>0</v>
      </c>
      <c r="J5257" s="11">
        <f>1/(H5257*Utilities!$B$11)</f>
        <v>8</v>
      </c>
      <c r="K5257" s="11">
        <f>IF(B5257&lt;C5257,1,EXP(-1*(B5257-C5257)/(Utilities!$B$11*IterData!H5257)))</f>
        <v>1</v>
      </c>
    </row>
    <row r="5258" spans="8:11" x14ac:dyDescent="0.3">
      <c r="H5258">
        <v>0.5</v>
      </c>
      <c r="I5258" s="11">
        <f t="shared" si="82"/>
        <v>0</v>
      </c>
      <c r="J5258" s="11">
        <f>1/(H5258*Utilities!$B$11)</f>
        <v>8</v>
      </c>
      <c r="K5258" s="11">
        <f>IF(B5258&lt;C5258,1,EXP(-1*(B5258-C5258)/(Utilities!$B$11*IterData!H5258)))</f>
        <v>1</v>
      </c>
    </row>
    <row r="5259" spans="8:11" x14ac:dyDescent="0.3">
      <c r="H5259">
        <v>0.5</v>
      </c>
      <c r="I5259" s="11">
        <f t="shared" si="82"/>
        <v>0</v>
      </c>
      <c r="J5259" s="11">
        <f>1/(H5259*Utilities!$B$11)</f>
        <v>8</v>
      </c>
      <c r="K5259" s="11">
        <f>IF(B5259&lt;C5259,1,EXP(-1*(B5259-C5259)/(Utilities!$B$11*IterData!H5259)))</f>
        <v>1</v>
      </c>
    </row>
    <row r="5260" spans="8:11" x14ac:dyDescent="0.3">
      <c r="H5260">
        <v>0.5</v>
      </c>
      <c r="I5260" s="11">
        <f t="shared" si="82"/>
        <v>0</v>
      </c>
      <c r="J5260" s="11">
        <f>1/(H5260*Utilities!$B$11)</f>
        <v>8</v>
      </c>
      <c r="K5260" s="11">
        <f>IF(B5260&lt;C5260,1,EXP(-1*(B5260-C5260)/(Utilities!$B$11*IterData!H5260)))</f>
        <v>1</v>
      </c>
    </row>
    <row r="5261" spans="8:11" x14ac:dyDescent="0.3">
      <c r="H5261">
        <v>0.5</v>
      </c>
      <c r="I5261" s="11">
        <f t="shared" si="82"/>
        <v>0</v>
      </c>
      <c r="J5261" s="11">
        <f>1/(H5261*Utilities!$B$11)</f>
        <v>8</v>
      </c>
      <c r="K5261" s="11">
        <f>IF(B5261&lt;C5261,1,EXP(-1*(B5261-C5261)/(Utilities!$B$11*IterData!H5261)))</f>
        <v>1</v>
      </c>
    </row>
    <row r="5262" spans="8:11" x14ac:dyDescent="0.3">
      <c r="H5262">
        <v>0.5</v>
      </c>
      <c r="I5262" s="11">
        <f t="shared" si="82"/>
        <v>0</v>
      </c>
      <c r="J5262" s="11">
        <f>1/(H5262*Utilities!$B$11)</f>
        <v>8</v>
      </c>
      <c r="K5262" s="11">
        <f>IF(B5262&lt;C5262,1,EXP(-1*(B5262-C5262)/(Utilities!$B$11*IterData!H5262)))</f>
        <v>1</v>
      </c>
    </row>
    <row r="5263" spans="8:11" x14ac:dyDescent="0.3">
      <c r="H5263">
        <v>0.5</v>
      </c>
      <c r="I5263" s="11">
        <f t="shared" si="82"/>
        <v>0</v>
      </c>
      <c r="J5263" s="11">
        <f>1/(H5263*Utilities!$B$11)</f>
        <v>8</v>
      </c>
      <c r="K5263" s="11">
        <f>IF(B5263&lt;C5263,1,EXP(-1*(B5263-C5263)/(Utilities!$B$11*IterData!H5263)))</f>
        <v>1</v>
      </c>
    </row>
    <row r="5264" spans="8:11" x14ac:dyDescent="0.3">
      <c r="H5264">
        <v>0.5</v>
      </c>
      <c r="I5264" s="11">
        <f t="shared" si="82"/>
        <v>0</v>
      </c>
      <c r="J5264" s="11">
        <f>1/(H5264*Utilities!$B$11)</f>
        <v>8</v>
      </c>
      <c r="K5264" s="11">
        <f>IF(B5264&lt;C5264,1,EXP(-1*(B5264-C5264)/(Utilities!$B$11*IterData!H5264)))</f>
        <v>1</v>
      </c>
    </row>
    <row r="5265" spans="8:11" x14ac:dyDescent="0.3">
      <c r="H5265">
        <v>0.5</v>
      </c>
      <c r="I5265" s="11">
        <f t="shared" si="82"/>
        <v>0</v>
      </c>
      <c r="J5265" s="11">
        <f>1/(H5265*Utilities!$B$11)</f>
        <v>8</v>
      </c>
      <c r="K5265" s="11">
        <f>IF(B5265&lt;C5265,1,EXP(-1*(B5265-C5265)/(Utilities!$B$11*IterData!H5265)))</f>
        <v>1</v>
      </c>
    </row>
    <row r="5266" spans="8:11" x14ac:dyDescent="0.3">
      <c r="H5266">
        <v>0.5</v>
      </c>
      <c r="I5266" s="11">
        <f t="shared" si="82"/>
        <v>0</v>
      </c>
      <c r="J5266" s="11">
        <f>1/(H5266*Utilities!$B$11)</f>
        <v>8</v>
      </c>
      <c r="K5266" s="11">
        <f>IF(B5266&lt;C5266,1,EXP(-1*(B5266-C5266)/(Utilities!$B$11*IterData!H5266)))</f>
        <v>1</v>
      </c>
    </row>
    <row r="5267" spans="8:11" x14ac:dyDescent="0.3">
      <c r="H5267">
        <v>0.5</v>
      </c>
      <c r="I5267" s="11">
        <f t="shared" si="82"/>
        <v>0</v>
      </c>
      <c r="J5267" s="11">
        <f>1/(H5267*Utilities!$B$11)</f>
        <v>8</v>
      </c>
      <c r="K5267" s="11">
        <f>IF(B5267&lt;C5267,1,EXP(-1*(B5267-C5267)/(Utilities!$B$11*IterData!H5267)))</f>
        <v>1</v>
      </c>
    </row>
    <row r="5268" spans="8:11" x14ac:dyDescent="0.3">
      <c r="H5268">
        <v>0.5</v>
      </c>
      <c r="I5268" s="11">
        <f t="shared" si="82"/>
        <v>0</v>
      </c>
      <c r="J5268" s="11">
        <f>1/(H5268*Utilities!$B$11)</f>
        <v>8</v>
      </c>
      <c r="K5268" s="11">
        <f>IF(B5268&lt;C5268,1,EXP(-1*(B5268-C5268)/(Utilities!$B$11*IterData!H5268)))</f>
        <v>1</v>
      </c>
    </row>
    <row r="5269" spans="8:11" x14ac:dyDescent="0.3">
      <c r="H5269">
        <v>0.5</v>
      </c>
      <c r="I5269" s="11">
        <f t="shared" si="82"/>
        <v>0</v>
      </c>
      <c r="J5269" s="11">
        <f>1/(H5269*Utilities!$B$11)</f>
        <v>8</v>
      </c>
      <c r="K5269" s="11">
        <f>IF(B5269&lt;C5269,1,EXP(-1*(B5269-C5269)/(Utilities!$B$11*IterData!H5269)))</f>
        <v>1</v>
      </c>
    </row>
    <row r="5270" spans="8:11" x14ac:dyDescent="0.3">
      <c r="H5270">
        <v>0.5</v>
      </c>
      <c r="I5270" s="11">
        <f t="shared" si="82"/>
        <v>0</v>
      </c>
      <c r="J5270" s="11">
        <f>1/(H5270*Utilities!$B$11)</f>
        <v>8</v>
      </c>
      <c r="K5270" s="11">
        <f>IF(B5270&lt;C5270,1,EXP(-1*(B5270-C5270)/(Utilities!$B$11*IterData!H5270)))</f>
        <v>1</v>
      </c>
    </row>
    <row r="5271" spans="8:11" x14ac:dyDescent="0.3">
      <c r="H5271">
        <v>0.5</v>
      </c>
      <c r="I5271" s="11">
        <f t="shared" si="82"/>
        <v>0</v>
      </c>
      <c r="J5271" s="11">
        <f>1/(H5271*Utilities!$B$11)</f>
        <v>8</v>
      </c>
      <c r="K5271" s="11">
        <f>IF(B5271&lt;C5271,1,EXP(-1*(B5271-C5271)/(Utilities!$B$11*IterData!H5271)))</f>
        <v>1</v>
      </c>
    </row>
    <row r="5272" spans="8:11" x14ac:dyDescent="0.3">
      <c r="H5272">
        <v>0.5</v>
      </c>
      <c r="I5272" s="11">
        <f t="shared" si="82"/>
        <v>0</v>
      </c>
      <c r="J5272" s="11">
        <f>1/(H5272*Utilities!$B$11)</f>
        <v>8</v>
      </c>
      <c r="K5272" s="11">
        <f>IF(B5272&lt;C5272,1,EXP(-1*(B5272-C5272)/(Utilities!$B$11*IterData!H5272)))</f>
        <v>1</v>
      </c>
    </row>
    <row r="5273" spans="8:11" x14ac:dyDescent="0.3">
      <c r="H5273">
        <v>0.5</v>
      </c>
      <c r="I5273" s="11">
        <f t="shared" si="82"/>
        <v>0</v>
      </c>
      <c r="J5273" s="11">
        <f>1/(H5273*Utilities!$B$11)</f>
        <v>8</v>
      </c>
      <c r="K5273" s="11">
        <f>IF(B5273&lt;C5273,1,EXP(-1*(B5273-C5273)/(Utilities!$B$11*IterData!H5273)))</f>
        <v>1</v>
      </c>
    </row>
    <row r="5274" spans="8:11" x14ac:dyDescent="0.3">
      <c r="H5274">
        <v>0.5</v>
      </c>
      <c r="I5274" s="11">
        <f t="shared" si="82"/>
        <v>0</v>
      </c>
      <c r="J5274" s="11">
        <f>1/(H5274*Utilities!$B$11)</f>
        <v>8</v>
      </c>
      <c r="K5274" s="11">
        <f>IF(B5274&lt;C5274,1,EXP(-1*(B5274-C5274)/(Utilities!$B$11*IterData!H5274)))</f>
        <v>1</v>
      </c>
    </row>
    <row r="5275" spans="8:11" x14ac:dyDescent="0.3">
      <c r="H5275">
        <v>0.5</v>
      </c>
      <c r="I5275" s="11">
        <f t="shared" si="82"/>
        <v>0</v>
      </c>
      <c r="J5275" s="11">
        <f>1/(H5275*Utilities!$B$11)</f>
        <v>8</v>
      </c>
      <c r="K5275" s="11">
        <f>IF(B5275&lt;C5275,1,EXP(-1*(B5275-C5275)/(Utilities!$B$11*IterData!H5275)))</f>
        <v>1</v>
      </c>
    </row>
    <row r="5276" spans="8:11" x14ac:dyDescent="0.3">
      <c r="H5276">
        <v>0.5</v>
      </c>
      <c r="I5276" s="11">
        <f t="shared" si="82"/>
        <v>0</v>
      </c>
      <c r="J5276" s="11">
        <f>1/(H5276*Utilities!$B$11)</f>
        <v>8</v>
      </c>
      <c r="K5276" s="11">
        <f>IF(B5276&lt;C5276,1,EXP(-1*(B5276-C5276)/(Utilities!$B$11*IterData!H5276)))</f>
        <v>1</v>
      </c>
    </row>
    <row r="5277" spans="8:11" x14ac:dyDescent="0.3">
      <c r="H5277">
        <v>0.5</v>
      </c>
      <c r="I5277" s="11">
        <f t="shared" si="82"/>
        <v>0</v>
      </c>
      <c r="J5277" s="11">
        <f>1/(H5277*Utilities!$B$11)</f>
        <v>8</v>
      </c>
      <c r="K5277" s="11">
        <f>IF(B5277&lt;C5277,1,EXP(-1*(B5277-C5277)/(Utilities!$B$11*IterData!H5277)))</f>
        <v>1</v>
      </c>
    </row>
    <row r="5278" spans="8:11" x14ac:dyDescent="0.3">
      <c r="H5278">
        <v>0.5</v>
      </c>
      <c r="I5278" s="11">
        <f t="shared" si="82"/>
        <v>0</v>
      </c>
      <c r="J5278" s="11">
        <f>1/(H5278*Utilities!$B$11)</f>
        <v>8</v>
      </c>
      <c r="K5278" s="11">
        <f>IF(B5278&lt;C5278,1,EXP(-1*(B5278-C5278)/(Utilities!$B$11*IterData!H5278)))</f>
        <v>1</v>
      </c>
    </row>
    <row r="5279" spans="8:11" x14ac:dyDescent="0.3">
      <c r="H5279">
        <v>0.5</v>
      </c>
      <c r="I5279" s="11">
        <f t="shared" si="82"/>
        <v>0</v>
      </c>
      <c r="J5279" s="11">
        <f>1/(H5279*Utilities!$B$11)</f>
        <v>8</v>
      </c>
      <c r="K5279" s="11">
        <f>IF(B5279&lt;C5279,1,EXP(-1*(B5279-C5279)/(Utilities!$B$11*IterData!H5279)))</f>
        <v>1</v>
      </c>
    </row>
    <row r="5280" spans="8:11" x14ac:dyDescent="0.3">
      <c r="H5280">
        <v>0.5</v>
      </c>
      <c r="I5280" s="11">
        <f t="shared" si="82"/>
        <v>0</v>
      </c>
      <c r="J5280" s="11">
        <f>1/(H5280*Utilities!$B$11)</f>
        <v>8</v>
      </c>
      <c r="K5280" s="11">
        <f>IF(B5280&lt;C5280,1,EXP(-1*(B5280-C5280)/(Utilities!$B$11*IterData!H5280)))</f>
        <v>1</v>
      </c>
    </row>
    <row r="5281" spans="8:11" x14ac:dyDescent="0.3">
      <c r="H5281">
        <v>0.5</v>
      </c>
      <c r="I5281" s="11">
        <f t="shared" si="82"/>
        <v>0</v>
      </c>
      <c r="J5281" s="11">
        <f>1/(H5281*Utilities!$B$11)</f>
        <v>8</v>
      </c>
      <c r="K5281" s="11">
        <f>IF(B5281&lt;C5281,1,EXP(-1*(B5281-C5281)/(Utilities!$B$11*IterData!H5281)))</f>
        <v>1</v>
      </c>
    </row>
    <row r="5282" spans="8:11" x14ac:dyDescent="0.3">
      <c r="H5282">
        <v>0.5</v>
      </c>
      <c r="I5282" s="11">
        <f t="shared" si="82"/>
        <v>0</v>
      </c>
      <c r="J5282" s="11">
        <f>1/(H5282*Utilities!$B$11)</f>
        <v>8</v>
      </c>
      <c r="K5282" s="11">
        <f>IF(B5282&lt;C5282,1,EXP(-1*(B5282-C5282)/(Utilities!$B$11*IterData!H5282)))</f>
        <v>1</v>
      </c>
    </row>
    <row r="5283" spans="8:11" x14ac:dyDescent="0.3">
      <c r="H5283">
        <v>0.5</v>
      </c>
      <c r="I5283" s="11">
        <f t="shared" si="82"/>
        <v>0</v>
      </c>
      <c r="J5283" s="11">
        <f>1/(H5283*Utilities!$B$11)</f>
        <v>8</v>
      </c>
      <c r="K5283" s="11">
        <f>IF(B5283&lt;C5283,1,EXP(-1*(B5283-C5283)/(Utilities!$B$11*IterData!H5283)))</f>
        <v>1</v>
      </c>
    </row>
    <row r="5284" spans="8:11" x14ac:dyDescent="0.3">
      <c r="H5284">
        <v>0.5</v>
      </c>
      <c r="I5284" s="11">
        <f t="shared" si="82"/>
        <v>0</v>
      </c>
      <c r="J5284" s="11">
        <f>1/(H5284*Utilities!$B$11)</f>
        <v>8</v>
      </c>
      <c r="K5284" s="11">
        <f>IF(B5284&lt;C5284,1,EXP(-1*(B5284-C5284)/(Utilities!$B$11*IterData!H5284)))</f>
        <v>1</v>
      </c>
    </row>
    <row r="5285" spans="8:11" x14ac:dyDescent="0.3">
      <c r="H5285">
        <v>0.5</v>
      </c>
      <c r="I5285" s="11">
        <f t="shared" si="82"/>
        <v>0</v>
      </c>
      <c r="J5285" s="11">
        <f>1/(H5285*Utilities!$B$11)</f>
        <v>8</v>
      </c>
      <c r="K5285" s="11">
        <f>IF(B5285&lt;C5285,1,EXP(-1*(B5285-C5285)/(Utilities!$B$11*IterData!H5285)))</f>
        <v>1</v>
      </c>
    </row>
    <row r="5286" spans="8:11" x14ac:dyDescent="0.3">
      <c r="H5286">
        <v>0.5</v>
      </c>
      <c r="I5286" s="11">
        <f t="shared" si="82"/>
        <v>0</v>
      </c>
      <c r="J5286" s="11">
        <f>1/(H5286*Utilities!$B$11)</f>
        <v>8</v>
      </c>
      <c r="K5286" s="11">
        <f>IF(B5286&lt;C5286,1,EXP(-1*(B5286-C5286)/(Utilities!$B$11*IterData!H5286)))</f>
        <v>1</v>
      </c>
    </row>
    <row r="5287" spans="8:11" x14ac:dyDescent="0.3">
      <c r="H5287">
        <v>0.5</v>
      </c>
      <c r="I5287" s="11">
        <f t="shared" si="82"/>
        <v>0</v>
      </c>
      <c r="J5287" s="11">
        <f>1/(H5287*Utilities!$B$11)</f>
        <v>8</v>
      </c>
      <c r="K5287" s="11">
        <f>IF(B5287&lt;C5287,1,EXP(-1*(B5287-C5287)/(Utilities!$B$11*IterData!H5287)))</f>
        <v>1</v>
      </c>
    </row>
    <row r="5288" spans="8:11" x14ac:dyDescent="0.3">
      <c r="H5288">
        <v>0.5</v>
      </c>
      <c r="I5288" s="11">
        <f t="shared" si="82"/>
        <v>0</v>
      </c>
      <c r="J5288" s="11">
        <f>1/(H5288*Utilities!$B$11)</f>
        <v>8</v>
      </c>
      <c r="K5288" s="11">
        <f>IF(B5288&lt;C5288,1,EXP(-1*(B5288-C5288)/(Utilities!$B$11*IterData!H5288)))</f>
        <v>1</v>
      </c>
    </row>
    <row r="5289" spans="8:11" x14ac:dyDescent="0.3">
      <c r="H5289">
        <v>0.5</v>
      </c>
      <c r="I5289" s="11">
        <f t="shared" si="82"/>
        <v>0</v>
      </c>
      <c r="J5289" s="11">
        <f>1/(H5289*Utilities!$B$11)</f>
        <v>8</v>
      </c>
      <c r="K5289" s="11">
        <f>IF(B5289&lt;C5289,1,EXP(-1*(B5289-C5289)/(Utilities!$B$11*IterData!H5289)))</f>
        <v>1</v>
      </c>
    </row>
    <row r="5290" spans="8:11" x14ac:dyDescent="0.3">
      <c r="H5290">
        <v>0.5</v>
      </c>
      <c r="I5290" s="11">
        <f t="shared" si="82"/>
        <v>0</v>
      </c>
      <c r="J5290" s="11">
        <f>1/(H5290*Utilities!$B$11)</f>
        <v>8</v>
      </c>
      <c r="K5290" s="11">
        <f>IF(B5290&lt;C5290,1,EXP(-1*(B5290-C5290)/(Utilities!$B$11*IterData!H5290)))</f>
        <v>1</v>
      </c>
    </row>
    <row r="5291" spans="8:11" x14ac:dyDescent="0.3">
      <c r="H5291">
        <v>0.5</v>
      </c>
      <c r="I5291" s="11">
        <f t="shared" si="82"/>
        <v>0</v>
      </c>
      <c r="J5291" s="11">
        <f>1/(H5291*Utilities!$B$11)</f>
        <v>8</v>
      </c>
      <c r="K5291" s="11">
        <f>IF(B5291&lt;C5291,1,EXP(-1*(B5291-C5291)/(Utilities!$B$11*IterData!H5291)))</f>
        <v>1</v>
      </c>
    </row>
    <row r="5292" spans="8:11" x14ac:dyDescent="0.3">
      <c r="H5292">
        <v>0.5</v>
      </c>
      <c r="I5292" s="11">
        <f t="shared" si="82"/>
        <v>0</v>
      </c>
      <c r="J5292" s="11">
        <f>1/(H5292*Utilities!$B$11)</f>
        <v>8</v>
      </c>
      <c r="K5292" s="11">
        <f>IF(B5292&lt;C5292,1,EXP(-1*(B5292-C5292)/(Utilities!$B$11*IterData!H5292)))</f>
        <v>1</v>
      </c>
    </row>
    <row r="5293" spans="8:11" x14ac:dyDescent="0.3">
      <c r="H5293">
        <v>0.5</v>
      </c>
      <c r="I5293" s="11">
        <f t="shared" si="82"/>
        <v>0</v>
      </c>
      <c r="J5293" s="11">
        <f>1/(H5293*Utilities!$B$11)</f>
        <v>8</v>
      </c>
      <c r="K5293" s="11">
        <f>IF(B5293&lt;C5293,1,EXP(-1*(B5293-C5293)/(Utilities!$B$11*IterData!H5293)))</f>
        <v>1</v>
      </c>
    </row>
    <row r="5294" spans="8:11" x14ac:dyDescent="0.3">
      <c r="H5294">
        <v>0.5</v>
      </c>
      <c r="I5294" s="11">
        <f t="shared" si="82"/>
        <v>0</v>
      </c>
      <c r="J5294" s="11">
        <f>1/(H5294*Utilities!$B$11)</f>
        <v>8</v>
      </c>
      <c r="K5294" s="11">
        <f>IF(B5294&lt;C5294,1,EXP(-1*(B5294-C5294)/(Utilities!$B$11*IterData!H5294)))</f>
        <v>1</v>
      </c>
    </row>
    <row r="5295" spans="8:11" x14ac:dyDescent="0.3">
      <c r="H5295">
        <v>0.5</v>
      </c>
      <c r="I5295" s="11">
        <f t="shared" si="82"/>
        <v>0</v>
      </c>
      <c r="J5295" s="11">
        <f>1/(H5295*Utilities!$B$11)</f>
        <v>8</v>
      </c>
      <c r="K5295" s="11">
        <f>IF(B5295&lt;C5295,1,EXP(-1*(B5295-C5295)/(Utilities!$B$11*IterData!H5295)))</f>
        <v>1</v>
      </c>
    </row>
    <row r="5296" spans="8:11" x14ac:dyDescent="0.3">
      <c r="H5296">
        <v>0.5</v>
      </c>
      <c r="I5296" s="11">
        <f t="shared" si="82"/>
        <v>0</v>
      </c>
      <c r="J5296" s="11">
        <f>1/(H5296*Utilities!$B$11)</f>
        <v>8</v>
      </c>
      <c r="K5296" s="11">
        <f>IF(B5296&lt;C5296,1,EXP(-1*(B5296-C5296)/(Utilities!$B$11*IterData!H5296)))</f>
        <v>1</v>
      </c>
    </row>
    <row r="5297" spans="8:11" x14ac:dyDescent="0.3">
      <c r="H5297">
        <v>0.5</v>
      </c>
      <c r="I5297" s="11">
        <f t="shared" si="82"/>
        <v>0</v>
      </c>
      <c r="J5297" s="11">
        <f>1/(H5297*Utilities!$B$11)</f>
        <v>8</v>
      </c>
      <c r="K5297" s="11">
        <f>IF(B5297&lt;C5297,1,EXP(-1*(B5297-C5297)/(Utilities!$B$11*IterData!H5297)))</f>
        <v>1</v>
      </c>
    </row>
    <row r="5298" spans="8:11" x14ac:dyDescent="0.3">
      <c r="H5298">
        <v>0.5</v>
      </c>
      <c r="I5298" s="11">
        <f t="shared" si="82"/>
        <v>0</v>
      </c>
      <c r="J5298" s="11">
        <f>1/(H5298*Utilities!$B$11)</f>
        <v>8</v>
      </c>
      <c r="K5298" s="11">
        <f>IF(B5298&lt;C5298,1,EXP(-1*(B5298-C5298)/(Utilities!$B$11*IterData!H5298)))</f>
        <v>1</v>
      </c>
    </row>
    <row r="5299" spans="8:11" x14ac:dyDescent="0.3">
      <c r="H5299">
        <v>0.5</v>
      </c>
      <c r="I5299" s="11">
        <f t="shared" si="82"/>
        <v>0</v>
      </c>
      <c r="J5299" s="11">
        <f>1/(H5299*Utilities!$B$11)</f>
        <v>8</v>
      </c>
      <c r="K5299" s="11">
        <f>IF(B5299&lt;C5299,1,EXP(-1*(B5299-C5299)/(Utilities!$B$11*IterData!H5299)))</f>
        <v>1</v>
      </c>
    </row>
    <row r="5300" spans="8:11" x14ac:dyDescent="0.3">
      <c r="H5300">
        <v>0.5</v>
      </c>
      <c r="I5300" s="11">
        <f t="shared" si="82"/>
        <v>0</v>
      </c>
      <c r="J5300" s="11">
        <f>1/(H5300*Utilities!$B$11)</f>
        <v>8</v>
      </c>
      <c r="K5300" s="11">
        <f>IF(B5300&lt;C5300,1,EXP(-1*(B5300-C5300)/(Utilities!$B$11*IterData!H5300)))</f>
        <v>1</v>
      </c>
    </row>
    <row r="5301" spans="8:11" x14ac:dyDescent="0.3">
      <c r="H5301">
        <v>0.5</v>
      </c>
      <c r="I5301" s="11">
        <f t="shared" si="82"/>
        <v>0</v>
      </c>
      <c r="J5301" s="11">
        <f>1/(H5301*Utilities!$B$11)</f>
        <v>8</v>
      </c>
      <c r="K5301" s="11">
        <f>IF(B5301&lt;C5301,1,EXP(-1*(B5301-C5301)/(Utilities!$B$11*IterData!H5301)))</f>
        <v>1</v>
      </c>
    </row>
    <row r="5302" spans="8:11" x14ac:dyDescent="0.3">
      <c r="H5302">
        <v>0.5</v>
      </c>
      <c r="I5302" s="11">
        <f t="shared" si="82"/>
        <v>0</v>
      </c>
      <c r="J5302" s="11">
        <f>1/(H5302*Utilities!$B$11)</f>
        <v>8</v>
      </c>
      <c r="K5302" s="11">
        <f>IF(B5302&lt;C5302,1,EXP(-1*(B5302-C5302)/(Utilities!$B$11*IterData!H5302)))</f>
        <v>1</v>
      </c>
    </row>
    <row r="5303" spans="8:11" x14ac:dyDescent="0.3">
      <c r="H5303">
        <v>0.5</v>
      </c>
      <c r="I5303" s="11">
        <f t="shared" si="82"/>
        <v>0</v>
      </c>
      <c r="J5303" s="11">
        <f>1/(H5303*Utilities!$B$11)</f>
        <v>8</v>
      </c>
      <c r="K5303" s="11">
        <f>IF(B5303&lt;C5303,1,EXP(-1*(B5303-C5303)/(Utilities!$B$11*IterData!H5303)))</f>
        <v>1</v>
      </c>
    </row>
    <row r="5304" spans="8:11" x14ac:dyDescent="0.3">
      <c r="H5304">
        <v>0.5</v>
      </c>
      <c r="I5304" s="11">
        <f t="shared" si="82"/>
        <v>0</v>
      </c>
      <c r="J5304" s="11">
        <f>1/(H5304*Utilities!$B$11)</f>
        <v>8</v>
      </c>
      <c r="K5304" s="11">
        <f>IF(B5304&lt;C5304,1,EXP(-1*(B5304-C5304)/(Utilities!$B$11*IterData!H5304)))</f>
        <v>1</v>
      </c>
    </row>
    <row r="5305" spans="8:11" x14ac:dyDescent="0.3">
      <c r="H5305">
        <v>0.5</v>
      </c>
      <c r="I5305" s="11">
        <f t="shared" si="82"/>
        <v>0</v>
      </c>
      <c r="J5305" s="11">
        <f>1/(H5305*Utilities!$B$11)</f>
        <v>8</v>
      </c>
      <c r="K5305" s="11">
        <f>IF(B5305&lt;C5305,1,EXP(-1*(B5305-C5305)/(Utilities!$B$11*IterData!H5305)))</f>
        <v>1</v>
      </c>
    </row>
    <row r="5306" spans="8:11" x14ac:dyDescent="0.3">
      <c r="H5306">
        <v>0.5</v>
      </c>
      <c r="I5306" s="11">
        <f t="shared" si="82"/>
        <v>0</v>
      </c>
      <c r="J5306" s="11">
        <f>1/(H5306*Utilities!$B$11)</f>
        <v>8</v>
      </c>
      <c r="K5306" s="11">
        <f>IF(B5306&lt;C5306,1,EXP(-1*(B5306-C5306)/(Utilities!$B$11*IterData!H5306)))</f>
        <v>1</v>
      </c>
    </row>
    <row r="5307" spans="8:11" x14ac:dyDescent="0.3">
      <c r="H5307">
        <v>0.5</v>
      </c>
      <c r="I5307" s="11">
        <f t="shared" si="82"/>
        <v>0</v>
      </c>
      <c r="J5307" s="11">
        <f>1/(H5307*Utilities!$B$11)</f>
        <v>8</v>
      </c>
      <c r="K5307" s="11">
        <f>IF(B5307&lt;C5307,1,EXP(-1*(B5307-C5307)/(Utilities!$B$11*IterData!H5307)))</f>
        <v>1</v>
      </c>
    </row>
    <row r="5308" spans="8:11" x14ac:dyDescent="0.3">
      <c r="H5308">
        <v>0.5</v>
      </c>
      <c r="I5308" s="11">
        <f t="shared" si="82"/>
        <v>0</v>
      </c>
      <c r="J5308" s="11">
        <f>1/(H5308*Utilities!$B$11)</f>
        <v>8</v>
      </c>
      <c r="K5308" s="11">
        <f>IF(B5308&lt;C5308,1,EXP(-1*(B5308-C5308)/(Utilities!$B$11*IterData!H5308)))</f>
        <v>1</v>
      </c>
    </row>
    <row r="5309" spans="8:11" x14ac:dyDescent="0.3">
      <c r="H5309">
        <v>0.5</v>
      </c>
      <c r="I5309" s="11">
        <f t="shared" si="82"/>
        <v>0</v>
      </c>
      <c r="J5309" s="11">
        <f>1/(H5309*Utilities!$B$11)</f>
        <v>8</v>
      </c>
      <c r="K5309" s="11">
        <f>IF(B5309&lt;C5309,1,EXP(-1*(B5309-C5309)/(Utilities!$B$11*IterData!H5309)))</f>
        <v>1</v>
      </c>
    </row>
    <row r="5310" spans="8:11" x14ac:dyDescent="0.3">
      <c r="H5310">
        <v>0.5</v>
      </c>
      <c r="I5310" s="11">
        <f t="shared" si="82"/>
        <v>0</v>
      </c>
      <c r="J5310" s="11">
        <f>1/(H5310*Utilities!$B$11)</f>
        <v>8</v>
      </c>
      <c r="K5310" s="11">
        <f>IF(B5310&lt;C5310,1,EXP(-1*(B5310-C5310)/(Utilities!$B$11*IterData!H5310)))</f>
        <v>1</v>
      </c>
    </row>
    <row r="5311" spans="8:11" x14ac:dyDescent="0.3">
      <c r="H5311">
        <v>0.5</v>
      </c>
      <c r="I5311" s="11">
        <f t="shared" si="82"/>
        <v>0</v>
      </c>
      <c r="J5311" s="11">
        <f>1/(H5311*Utilities!$B$11)</f>
        <v>8</v>
      </c>
      <c r="K5311" s="11">
        <f>IF(B5311&lt;C5311,1,EXP(-1*(B5311-C5311)/(Utilities!$B$11*IterData!H5311)))</f>
        <v>1</v>
      </c>
    </row>
    <row r="5312" spans="8:11" x14ac:dyDescent="0.3">
      <c r="H5312">
        <v>0.5</v>
      </c>
      <c r="I5312" s="11">
        <f t="shared" si="82"/>
        <v>0</v>
      </c>
      <c r="J5312" s="11">
        <f>1/(H5312*Utilities!$B$11)</f>
        <v>8</v>
      </c>
      <c r="K5312" s="11">
        <f>IF(B5312&lt;C5312,1,EXP(-1*(B5312-C5312)/(Utilities!$B$11*IterData!H5312)))</f>
        <v>1</v>
      </c>
    </row>
    <row r="5313" spans="8:11" x14ac:dyDescent="0.3">
      <c r="H5313">
        <v>0.5</v>
      </c>
      <c r="I5313" s="11">
        <f t="shared" si="82"/>
        <v>0</v>
      </c>
      <c r="J5313" s="11">
        <f>1/(H5313*Utilities!$B$11)</f>
        <v>8</v>
      </c>
      <c r="K5313" s="11">
        <f>IF(B5313&lt;C5313,1,EXP(-1*(B5313-C5313)/(Utilities!$B$11*IterData!H5313)))</f>
        <v>1</v>
      </c>
    </row>
    <row r="5314" spans="8:11" x14ac:dyDescent="0.3">
      <c r="H5314">
        <v>0.5</v>
      </c>
      <c r="I5314" s="11">
        <f t="shared" si="82"/>
        <v>0</v>
      </c>
      <c r="J5314" s="11">
        <f>1/(H5314*Utilities!$B$11)</f>
        <v>8</v>
      </c>
      <c r="K5314" s="11">
        <f>IF(B5314&lt;C5314,1,EXP(-1*(B5314-C5314)/(Utilities!$B$11*IterData!H5314)))</f>
        <v>1</v>
      </c>
    </row>
    <row r="5315" spans="8:11" x14ac:dyDescent="0.3">
      <c r="H5315">
        <v>0.5</v>
      </c>
      <c r="I5315" s="11">
        <f t="shared" ref="I5315:I5378" si="83">B5315-C5315</f>
        <v>0</v>
      </c>
      <c r="J5315" s="11">
        <f>1/(H5315*Utilities!$B$11)</f>
        <v>8</v>
      </c>
      <c r="K5315" s="11">
        <f>IF(B5315&lt;C5315,1,EXP(-1*(B5315-C5315)/(Utilities!$B$11*IterData!H5315)))</f>
        <v>1</v>
      </c>
    </row>
    <row r="5316" spans="8:11" x14ac:dyDescent="0.3">
      <c r="H5316">
        <v>0.5</v>
      </c>
      <c r="I5316" s="11">
        <f t="shared" si="83"/>
        <v>0</v>
      </c>
      <c r="J5316" s="11">
        <f>1/(H5316*Utilities!$B$11)</f>
        <v>8</v>
      </c>
      <c r="K5316" s="11">
        <f>IF(B5316&lt;C5316,1,EXP(-1*(B5316-C5316)/(Utilities!$B$11*IterData!H5316)))</f>
        <v>1</v>
      </c>
    </row>
    <row r="5317" spans="8:11" x14ac:dyDescent="0.3">
      <c r="H5317">
        <v>0.5</v>
      </c>
      <c r="I5317" s="11">
        <f t="shared" si="83"/>
        <v>0</v>
      </c>
      <c r="J5317" s="11">
        <f>1/(H5317*Utilities!$B$11)</f>
        <v>8</v>
      </c>
      <c r="K5317" s="11">
        <f>IF(B5317&lt;C5317,1,EXP(-1*(B5317-C5317)/(Utilities!$B$11*IterData!H5317)))</f>
        <v>1</v>
      </c>
    </row>
    <row r="5318" spans="8:11" x14ac:dyDescent="0.3">
      <c r="H5318">
        <v>0.5</v>
      </c>
      <c r="I5318" s="11">
        <f t="shared" si="83"/>
        <v>0</v>
      </c>
      <c r="J5318" s="11">
        <f>1/(H5318*Utilities!$B$11)</f>
        <v>8</v>
      </c>
      <c r="K5318" s="11">
        <f>IF(B5318&lt;C5318,1,EXP(-1*(B5318-C5318)/(Utilities!$B$11*IterData!H5318)))</f>
        <v>1</v>
      </c>
    </row>
    <row r="5319" spans="8:11" x14ac:dyDescent="0.3">
      <c r="H5319">
        <v>0.5</v>
      </c>
      <c r="I5319" s="11">
        <f t="shared" si="83"/>
        <v>0</v>
      </c>
      <c r="J5319" s="11">
        <f>1/(H5319*Utilities!$B$11)</f>
        <v>8</v>
      </c>
      <c r="K5319" s="11">
        <f>IF(B5319&lt;C5319,1,EXP(-1*(B5319-C5319)/(Utilities!$B$11*IterData!H5319)))</f>
        <v>1</v>
      </c>
    </row>
    <row r="5320" spans="8:11" x14ac:dyDescent="0.3">
      <c r="H5320">
        <v>0.5</v>
      </c>
      <c r="I5320" s="11">
        <f t="shared" si="83"/>
        <v>0</v>
      </c>
      <c r="J5320" s="11">
        <f>1/(H5320*Utilities!$B$11)</f>
        <v>8</v>
      </c>
      <c r="K5320" s="11">
        <f>IF(B5320&lt;C5320,1,EXP(-1*(B5320-C5320)/(Utilities!$B$11*IterData!H5320)))</f>
        <v>1</v>
      </c>
    </row>
    <row r="5321" spans="8:11" x14ac:dyDescent="0.3">
      <c r="H5321">
        <v>0.5</v>
      </c>
      <c r="I5321" s="11">
        <f t="shared" si="83"/>
        <v>0</v>
      </c>
      <c r="J5321" s="11">
        <f>1/(H5321*Utilities!$B$11)</f>
        <v>8</v>
      </c>
      <c r="K5321" s="11">
        <f>IF(B5321&lt;C5321,1,EXP(-1*(B5321-C5321)/(Utilities!$B$11*IterData!H5321)))</f>
        <v>1</v>
      </c>
    </row>
    <row r="5322" spans="8:11" x14ac:dyDescent="0.3">
      <c r="H5322">
        <v>0.5</v>
      </c>
      <c r="I5322" s="11">
        <f t="shared" si="83"/>
        <v>0</v>
      </c>
      <c r="J5322" s="11">
        <f>1/(H5322*Utilities!$B$11)</f>
        <v>8</v>
      </c>
      <c r="K5322" s="11">
        <f>IF(B5322&lt;C5322,1,EXP(-1*(B5322-C5322)/(Utilities!$B$11*IterData!H5322)))</f>
        <v>1</v>
      </c>
    </row>
    <row r="5323" spans="8:11" x14ac:dyDescent="0.3">
      <c r="H5323">
        <v>0.5</v>
      </c>
      <c r="I5323" s="11">
        <f t="shared" si="83"/>
        <v>0</v>
      </c>
      <c r="J5323" s="11">
        <f>1/(H5323*Utilities!$B$11)</f>
        <v>8</v>
      </c>
      <c r="K5323" s="11">
        <f>IF(B5323&lt;C5323,1,EXP(-1*(B5323-C5323)/(Utilities!$B$11*IterData!H5323)))</f>
        <v>1</v>
      </c>
    </row>
    <row r="5324" spans="8:11" x14ac:dyDescent="0.3">
      <c r="H5324">
        <v>0.5</v>
      </c>
      <c r="I5324" s="11">
        <f t="shared" si="83"/>
        <v>0</v>
      </c>
      <c r="J5324" s="11">
        <f>1/(H5324*Utilities!$B$11)</f>
        <v>8</v>
      </c>
      <c r="K5324" s="11">
        <f>IF(B5324&lt;C5324,1,EXP(-1*(B5324-C5324)/(Utilities!$B$11*IterData!H5324)))</f>
        <v>1</v>
      </c>
    </row>
    <row r="5325" spans="8:11" x14ac:dyDescent="0.3">
      <c r="H5325">
        <v>0.5</v>
      </c>
      <c r="I5325" s="11">
        <f t="shared" si="83"/>
        <v>0</v>
      </c>
      <c r="J5325" s="11">
        <f>1/(H5325*Utilities!$B$11)</f>
        <v>8</v>
      </c>
      <c r="K5325" s="11">
        <f>IF(B5325&lt;C5325,1,EXP(-1*(B5325-C5325)/(Utilities!$B$11*IterData!H5325)))</f>
        <v>1</v>
      </c>
    </row>
    <row r="5326" spans="8:11" x14ac:dyDescent="0.3">
      <c r="H5326">
        <v>0.5</v>
      </c>
      <c r="I5326" s="11">
        <f t="shared" si="83"/>
        <v>0</v>
      </c>
      <c r="J5326" s="11">
        <f>1/(H5326*Utilities!$B$11)</f>
        <v>8</v>
      </c>
      <c r="K5326" s="11">
        <f>IF(B5326&lt;C5326,1,EXP(-1*(B5326-C5326)/(Utilities!$B$11*IterData!H5326)))</f>
        <v>1</v>
      </c>
    </row>
    <row r="5327" spans="8:11" x14ac:dyDescent="0.3">
      <c r="H5327">
        <v>0.5</v>
      </c>
      <c r="I5327" s="11">
        <f t="shared" si="83"/>
        <v>0</v>
      </c>
      <c r="J5327" s="11">
        <f>1/(H5327*Utilities!$B$11)</f>
        <v>8</v>
      </c>
      <c r="K5327" s="11">
        <f>IF(B5327&lt;C5327,1,EXP(-1*(B5327-C5327)/(Utilities!$B$11*IterData!H5327)))</f>
        <v>1</v>
      </c>
    </row>
    <row r="5328" spans="8:11" x14ac:dyDescent="0.3">
      <c r="H5328">
        <v>0.5</v>
      </c>
      <c r="I5328" s="11">
        <f t="shared" si="83"/>
        <v>0</v>
      </c>
      <c r="J5328" s="11">
        <f>1/(H5328*Utilities!$B$11)</f>
        <v>8</v>
      </c>
      <c r="K5328" s="11">
        <f>IF(B5328&lt;C5328,1,EXP(-1*(B5328-C5328)/(Utilities!$B$11*IterData!H5328)))</f>
        <v>1</v>
      </c>
    </row>
    <row r="5329" spans="8:11" x14ac:dyDescent="0.3">
      <c r="H5329">
        <v>0.5</v>
      </c>
      <c r="I5329" s="11">
        <f t="shared" si="83"/>
        <v>0</v>
      </c>
      <c r="J5329" s="11">
        <f>1/(H5329*Utilities!$B$11)</f>
        <v>8</v>
      </c>
      <c r="K5329" s="11">
        <f>IF(B5329&lt;C5329,1,EXP(-1*(B5329-C5329)/(Utilities!$B$11*IterData!H5329)))</f>
        <v>1</v>
      </c>
    </row>
    <row r="5330" spans="8:11" x14ac:dyDescent="0.3">
      <c r="H5330">
        <v>0.5</v>
      </c>
      <c r="I5330" s="11">
        <f t="shared" si="83"/>
        <v>0</v>
      </c>
      <c r="J5330" s="11">
        <f>1/(H5330*Utilities!$B$11)</f>
        <v>8</v>
      </c>
      <c r="K5330" s="11">
        <f>IF(B5330&lt;C5330,1,EXP(-1*(B5330-C5330)/(Utilities!$B$11*IterData!H5330)))</f>
        <v>1</v>
      </c>
    </row>
    <row r="5331" spans="8:11" x14ac:dyDescent="0.3">
      <c r="H5331">
        <v>0.5</v>
      </c>
      <c r="I5331" s="11">
        <f t="shared" si="83"/>
        <v>0</v>
      </c>
      <c r="J5331" s="11">
        <f>1/(H5331*Utilities!$B$11)</f>
        <v>8</v>
      </c>
      <c r="K5331" s="11">
        <f>IF(B5331&lt;C5331,1,EXP(-1*(B5331-C5331)/(Utilities!$B$11*IterData!H5331)))</f>
        <v>1</v>
      </c>
    </row>
    <row r="5332" spans="8:11" x14ac:dyDescent="0.3">
      <c r="H5332">
        <v>0.5</v>
      </c>
      <c r="I5332" s="11">
        <f t="shared" si="83"/>
        <v>0</v>
      </c>
      <c r="J5332" s="11">
        <f>1/(H5332*Utilities!$B$11)</f>
        <v>8</v>
      </c>
      <c r="K5332" s="11">
        <f>IF(B5332&lt;C5332,1,EXP(-1*(B5332-C5332)/(Utilities!$B$11*IterData!H5332)))</f>
        <v>1</v>
      </c>
    </row>
    <row r="5333" spans="8:11" x14ac:dyDescent="0.3">
      <c r="H5333">
        <v>0.5</v>
      </c>
      <c r="I5333" s="11">
        <f t="shared" si="83"/>
        <v>0</v>
      </c>
      <c r="J5333" s="11">
        <f>1/(H5333*Utilities!$B$11)</f>
        <v>8</v>
      </c>
      <c r="K5333" s="11">
        <f>IF(B5333&lt;C5333,1,EXP(-1*(B5333-C5333)/(Utilities!$B$11*IterData!H5333)))</f>
        <v>1</v>
      </c>
    </row>
    <row r="5334" spans="8:11" x14ac:dyDescent="0.3">
      <c r="H5334">
        <v>0.5</v>
      </c>
      <c r="I5334" s="11">
        <f t="shared" si="83"/>
        <v>0</v>
      </c>
      <c r="J5334" s="11">
        <f>1/(H5334*Utilities!$B$11)</f>
        <v>8</v>
      </c>
      <c r="K5334" s="11">
        <f>IF(B5334&lt;C5334,1,EXP(-1*(B5334-C5334)/(Utilities!$B$11*IterData!H5334)))</f>
        <v>1</v>
      </c>
    </row>
    <row r="5335" spans="8:11" x14ac:dyDescent="0.3">
      <c r="H5335">
        <v>0.5</v>
      </c>
      <c r="I5335" s="11">
        <f t="shared" si="83"/>
        <v>0</v>
      </c>
      <c r="J5335" s="11">
        <f>1/(H5335*Utilities!$B$11)</f>
        <v>8</v>
      </c>
      <c r="K5335" s="11">
        <f>IF(B5335&lt;C5335,1,EXP(-1*(B5335-C5335)/(Utilities!$B$11*IterData!H5335)))</f>
        <v>1</v>
      </c>
    </row>
    <row r="5336" spans="8:11" x14ac:dyDescent="0.3">
      <c r="H5336">
        <v>0.5</v>
      </c>
      <c r="I5336" s="11">
        <f t="shared" si="83"/>
        <v>0</v>
      </c>
      <c r="J5336" s="11">
        <f>1/(H5336*Utilities!$B$11)</f>
        <v>8</v>
      </c>
      <c r="K5336" s="11">
        <f>IF(B5336&lt;C5336,1,EXP(-1*(B5336-C5336)/(Utilities!$B$11*IterData!H5336)))</f>
        <v>1</v>
      </c>
    </row>
    <row r="5337" spans="8:11" x14ac:dyDescent="0.3">
      <c r="H5337">
        <v>0.5</v>
      </c>
      <c r="I5337" s="11">
        <f t="shared" si="83"/>
        <v>0</v>
      </c>
      <c r="J5337" s="11">
        <f>1/(H5337*Utilities!$B$11)</f>
        <v>8</v>
      </c>
      <c r="K5337" s="11">
        <f>IF(B5337&lt;C5337,1,EXP(-1*(B5337-C5337)/(Utilities!$B$11*IterData!H5337)))</f>
        <v>1</v>
      </c>
    </row>
    <row r="5338" spans="8:11" x14ac:dyDescent="0.3">
      <c r="H5338">
        <v>0.5</v>
      </c>
      <c r="I5338" s="11">
        <f t="shared" si="83"/>
        <v>0</v>
      </c>
      <c r="J5338" s="11">
        <f>1/(H5338*Utilities!$B$11)</f>
        <v>8</v>
      </c>
      <c r="K5338" s="11">
        <f>IF(B5338&lt;C5338,1,EXP(-1*(B5338-C5338)/(Utilities!$B$11*IterData!H5338)))</f>
        <v>1</v>
      </c>
    </row>
    <row r="5339" spans="8:11" x14ac:dyDescent="0.3">
      <c r="H5339">
        <v>0.5</v>
      </c>
      <c r="I5339" s="11">
        <f t="shared" si="83"/>
        <v>0</v>
      </c>
      <c r="J5339" s="11">
        <f>1/(H5339*Utilities!$B$11)</f>
        <v>8</v>
      </c>
      <c r="K5339" s="11">
        <f>IF(B5339&lt;C5339,1,EXP(-1*(B5339-C5339)/(Utilities!$B$11*IterData!H5339)))</f>
        <v>1</v>
      </c>
    </row>
    <row r="5340" spans="8:11" x14ac:dyDescent="0.3">
      <c r="H5340">
        <v>0.5</v>
      </c>
      <c r="I5340" s="11">
        <f t="shared" si="83"/>
        <v>0</v>
      </c>
      <c r="J5340" s="11">
        <f>1/(H5340*Utilities!$B$11)</f>
        <v>8</v>
      </c>
      <c r="K5340" s="11">
        <f>IF(B5340&lt;C5340,1,EXP(-1*(B5340-C5340)/(Utilities!$B$11*IterData!H5340)))</f>
        <v>1</v>
      </c>
    </row>
    <row r="5341" spans="8:11" x14ac:dyDescent="0.3">
      <c r="H5341">
        <v>0.5</v>
      </c>
      <c r="I5341" s="11">
        <f t="shared" si="83"/>
        <v>0</v>
      </c>
      <c r="J5341" s="11">
        <f>1/(H5341*Utilities!$B$11)</f>
        <v>8</v>
      </c>
      <c r="K5341" s="11">
        <f>IF(B5341&lt;C5341,1,EXP(-1*(B5341-C5341)/(Utilities!$B$11*IterData!H5341)))</f>
        <v>1</v>
      </c>
    </row>
    <row r="5342" spans="8:11" x14ac:dyDescent="0.3">
      <c r="H5342">
        <v>0.5</v>
      </c>
      <c r="I5342" s="11">
        <f t="shared" si="83"/>
        <v>0</v>
      </c>
      <c r="J5342" s="11">
        <f>1/(H5342*Utilities!$B$11)</f>
        <v>8</v>
      </c>
      <c r="K5342" s="11">
        <f>IF(B5342&lt;C5342,1,EXP(-1*(B5342-C5342)/(Utilities!$B$11*IterData!H5342)))</f>
        <v>1</v>
      </c>
    </row>
    <row r="5343" spans="8:11" x14ac:dyDescent="0.3">
      <c r="H5343">
        <v>0.5</v>
      </c>
      <c r="I5343" s="11">
        <f t="shared" si="83"/>
        <v>0</v>
      </c>
      <c r="J5343" s="11">
        <f>1/(H5343*Utilities!$B$11)</f>
        <v>8</v>
      </c>
      <c r="K5343" s="11">
        <f>IF(B5343&lt;C5343,1,EXP(-1*(B5343-C5343)/(Utilities!$B$11*IterData!H5343)))</f>
        <v>1</v>
      </c>
    </row>
    <row r="5344" spans="8:11" x14ac:dyDescent="0.3">
      <c r="H5344">
        <v>0.5</v>
      </c>
      <c r="I5344" s="11">
        <f t="shared" si="83"/>
        <v>0</v>
      </c>
      <c r="J5344" s="11">
        <f>1/(H5344*Utilities!$B$11)</f>
        <v>8</v>
      </c>
      <c r="K5344" s="11">
        <f>IF(B5344&lt;C5344,1,EXP(-1*(B5344-C5344)/(Utilities!$B$11*IterData!H5344)))</f>
        <v>1</v>
      </c>
    </row>
    <row r="5345" spans="8:11" x14ac:dyDescent="0.3">
      <c r="H5345">
        <v>0.5</v>
      </c>
      <c r="I5345" s="11">
        <f t="shared" si="83"/>
        <v>0</v>
      </c>
      <c r="J5345" s="11">
        <f>1/(H5345*Utilities!$B$11)</f>
        <v>8</v>
      </c>
      <c r="K5345" s="11">
        <f>IF(B5345&lt;C5345,1,EXP(-1*(B5345-C5345)/(Utilities!$B$11*IterData!H5345)))</f>
        <v>1</v>
      </c>
    </row>
    <row r="5346" spans="8:11" x14ac:dyDescent="0.3">
      <c r="H5346">
        <v>0.5</v>
      </c>
      <c r="I5346" s="11">
        <f t="shared" si="83"/>
        <v>0</v>
      </c>
      <c r="J5346" s="11">
        <f>1/(H5346*Utilities!$B$11)</f>
        <v>8</v>
      </c>
      <c r="K5346" s="11">
        <f>IF(B5346&lt;C5346,1,EXP(-1*(B5346-C5346)/(Utilities!$B$11*IterData!H5346)))</f>
        <v>1</v>
      </c>
    </row>
    <row r="5347" spans="8:11" x14ac:dyDescent="0.3">
      <c r="H5347">
        <v>0.5</v>
      </c>
      <c r="I5347" s="11">
        <f t="shared" si="83"/>
        <v>0</v>
      </c>
      <c r="J5347" s="11">
        <f>1/(H5347*Utilities!$B$11)</f>
        <v>8</v>
      </c>
      <c r="K5347" s="11">
        <f>IF(B5347&lt;C5347,1,EXP(-1*(B5347-C5347)/(Utilities!$B$11*IterData!H5347)))</f>
        <v>1</v>
      </c>
    </row>
    <row r="5348" spans="8:11" x14ac:dyDescent="0.3">
      <c r="H5348">
        <v>0.5</v>
      </c>
      <c r="I5348" s="11">
        <f t="shared" si="83"/>
        <v>0</v>
      </c>
      <c r="J5348" s="11">
        <f>1/(H5348*Utilities!$B$11)</f>
        <v>8</v>
      </c>
      <c r="K5348" s="11">
        <f>IF(B5348&lt;C5348,1,EXP(-1*(B5348-C5348)/(Utilities!$B$11*IterData!H5348)))</f>
        <v>1</v>
      </c>
    </row>
    <row r="5349" spans="8:11" x14ac:dyDescent="0.3">
      <c r="H5349">
        <v>0.5</v>
      </c>
      <c r="I5349" s="11">
        <f t="shared" si="83"/>
        <v>0</v>
      </c>
      <c r="J5349" s="11">
        <f>1/(H5349*Utilities!$B$11)</f>
        <v>8</v>
      </c>
      <c r="K5349" s="11">
        <f>IF(B5349&lt;C5349,1,EXP(-1*(B5349-C5349)/(Utilities!$B$11*IterData!H5349)))</f>
        <v>1</v>
      </c>
    </row>
    <row r="5350" spans="8:11" x14ac:dyDescent="0.3">
      <c r="H5350">
        <v>0.5</v>
      </c>
      <c r="I5350" s="11">
        <f t="shared" si="83"/>
        <v>0</v>
      </c>
      <c r="J5350" s="11">
        <f>1/(H5350*Utilities!$B$11)</f>
        <v>8</v>
      </c>
      <c r="K5350" s="11">
        <f>IF(B5350&lt;C5350,1,EXP(-1*(B5350-C5350)/(Utilities!$B$11*IterData!H5350)))</f>
        <v>1</v>
      </c>
    </row>
    <row r="5351" spans="8:11" x14ac:dyDescent="0.3">
      <c r="H5351">
        <v>0.5</v>
      </c>
      <c r="I5351" s="11">
        <f t="shared" si="83"/>
        <v>0</v>
      </c>
      <c r="J5351" s="11">
        <f>1/(H5351*Utilities!$B$11)</f>
        <v>8</v>
      </c>
      <c r="K5351" s="11">
        <f>IF(B5351&lt;C5351,1,EXP(-1*(B5351-C5351)/(Utilities!$B$11*IterData!H5351)))</f>
        <v>1</v>
      </c>
    </row>
    <row r="5352" spans="8:11" x14ac:dyDescent="0.3">
      <c r="H5352">
        <v>0.5</v>
      </c>
      <c r="I5352" s="11">
        <f t="shared" si="83"/>
        <v>0</v>
      </c>
      <c r="J5352" s="11">
        <f>1/(H5352*Utilities!$B$11)</f>
        <v>8</v>
      </c>
      <c r="K5352" s="11">
        <f>IF(B5352&lt;C5352,1,EXP(-1*(B5352-C5352)/(Utilities!$B$11*IterData!H5352)))</f>
        <v>1</v>
      </c>
    </row>
    <row r="5353" spans="8:11" x14ac:dyDescent="0.3">
      <c r="H5353">
        <v>0.5</v>
      </c>
      <c r="I5353" s="11">
        <f t="shared" si="83"/>
        <v>0</v>
      </c>
      <c r="J5353" s="11">
        <f>1/(H5353*Utilities!$B$11)</f>
        <v>8</v>
      </c>
      <c r="K5353" s="11">
        <f>IF(B5353&lt;C5353,1,EXP(-1*(B5353-C5353)/(Utilities!$B$11*IterData!H5353)))</f>
        <v>1</v>
      </c>
    </row>
    <row r="5354" spans="8:11" x14ac:dyDescent="0.3">
      <c r="H5354">
        <v>0.5</v>
      </c>
      <c r="I5354" s="11">
        <f t="shared" si="83"/>
        <v>0</v>
      </c>
      <c r="J5354" s="11">
        <f>1/(H5354*Utilities!$B$11)</f>
        <v>8</v>
      </c>
      <c r="K5354" s="11">
        <f>IF(B5354&lt;C5354,1,EXP(-1*(B5354-C5354)/(Utilities!$B$11*IterData!H5354)))</f>
        <v>1</v>
      </c>
    </row>
    <row r="5355" spans="8:11" x14ac:dyDescent="0.3">
      <c r="H5355">
        <v>0.5</v>
      </c>
      <c r="I5355" s="11">
        <f t="shared" si="83"/>
        <v>0</v>
      </c>
      <c r="J5355" s="11">
        <f>1/(H5355*Utilities!$B$11)</f>
        <v>8</v>
      </c>
      <c r="K5355" s="11">
        <f>IF(B5355&lt;C5355,1,EXP(-1*(B5355-C5355)/(Utilities!$B$11*IterData!H5355)))</f>
        <v>1</v>
      </c>
    </row>
    <row r="5356" spans="8:11" x14ac:dyDescent="0.3">
      <c r="H5356">
        <v>0.5</v>
      </c>
      <c r="I5356" s="11">
        <f t="shared" si="83"/>
        <v>0</v>
      </c>
      <c r="J5356" s="11">
        <f>1/(H5356*Utilities!$B$11)</f>
        <v>8</v>
      </c>
      <c r="K5356" s="11">
        <f>IF(B5356&lt;C5356,1,EXP(-1*(B5356-C5356)/(Utilities!$B$11*IterData!H5356)))</f>
        <v>1</v>
      </c>
    </row>
    <row r="5357" spans="8:11" x14ac:dyDescent="0.3">
      <c r="H5357">
        <v>0.5</v>
      </c>
      <c r="I5357" s="11">
        <f t="shared" si="83"/>
        <v>0</v>
      </c>
      <c r="J5357" s="11">
        <f>1/(H5357*Utilities!$B$11)</f>
        <v>8</v>
      </c>
      <c r="K5357" s="11">
        <f>IF(B5357&lt;C5357,1,EXP(-1*(B5357-C5357)/(Utilities!$B$11*IterData!H5357)))</f>
        <v>1</v>
      </c>
    </row>
    <row r="5358" spans="8:11" x14ac:dyDescent="0.3">
      <c r="H5358">
        <v>0.5</v>
      </c>
      <c r="I5358" s="11">
        <f t="shared" si="83"/>
        <v>0</v>
      </c>
      <c r="J5358" s="11">
        <f>1/(H5358*Utilities!$B$11)</f>
        <v>8</v>
      </c>
      <c r="K5358" s="11">
        <f>IF(B5358&lt;C5358,1,EXP(-1*(B5358-C5358)/(Utilities!$B$11*IterData!H5358)))</f>
        <v>1</v>
      </c>
    </row>
    <row r="5359" spans="8:11" x14ac:dyDescent="0.3">
      <c r="H5359">
        <v>0.5</v>
      </c>
      <c r="I5359" s="11">
        <f t="shared" si="83"/>
        <v>0</v>
      </c>
      <c r="J5359" s="11">
        <f>1/(H5359*Utilities!$B$11)</f>
        <v>8</v>
      </c>
      <c r="K5359" s="11">
        <f>IF(B5359&lt;C5359,1,EXP(-1*(B5359-C5359)/(Utilities!$B$11*IterData!H5359)))</f>
        <v>1</v>
      </c>
    </row>
    <row r="5360" spans="8:11" x14ac:dyDescent="0.3">
      <c r="H5360">
        <v>0.5</v>
      </c>
      <c r="I5360" s="11">
        <f t="shared" si="83"/>
        <v>0</v>
      </c>
      <c r="J5360" s="11">
        <f>1/(H5360*Utilities!$B$11)</f>
        <v>8</v>
      </c>
      <c r="K5360" s="11">
        <f>IF(B5360&lt;C5360,1,EXP(-1*(B5360-C5360)/(Utilities!$B$11*IterData!H5360)))</f>
        <v>1</v>
      </c>
    </row>
    <row r="5361" spans="8:11" x14ac:dyDescent="0.3">
      <c r="H5361">
        <v>0.5</v>
      </c>
      <c r="I5361" s="11">
        <f t="shared" si="83"/>
        <v>0</v>
      </c>
      <c r="J5361" s="11">
        <f>1/(H5361*Utilities!$B$11)</f>
        <v>8</v>
      </c>
      <c r="K5361" s="11">
        <f>IF(B5361&lt;C5361,1,EXP(-1*(B5361-C5361)/(Utilities!$B$11*IterData!H5361)))</f>
        <v>1</v>
      </c>
    </row>
    <row r="5362" spans="8:11" x14ac:dyDescent="0.3">
      <c r="H5362">
        <v>0.5</v>
      </c>
      <c r="I5362" s="11">
        <f t="shared" si="83"/>
        <v>0</v>
      </c>
      <c r="J5362" s="11">
        <f>1/(H5362*Utilities!$B$11)</f>
        <v>8</v>
      </c>
      <c r="K5362" s="11">
        <f>IF(B5362&lt;C5362,1,EXP(-1*(B5362-C5362)/(Utilities!$B$11*IterData!H5362)))</f>
        <v>1</v>
      </c>
    </row>
    <row r="5363" spans="8:11" x14ac:dyDescent="0.3">
      <c r="H5363">
        <v>0.5</v>
      </c>
      <c r="I5363" s="11">
        <f t="shared" si="83"/>
        <v>0</v>
      </c>
      <c r="J5363" s="11">
        <f>1/(H5363*Utilities!$B$11)</f>
        <v>8</v>
      </c>
      <c r="K5363" s="11">
        <f>IF(B5363&lt;C5363,1,EXP(-1*(B5363-C5363)/(Utilities!$B$11*IterData!H5363)))</f>
        <v>1</v>
      </c>
    </row>
    <row r="5364" spans="8:11" x14ac:dyDescent="0.3">
      <c r="H5364">
        <v>0.5</v>
      </c>
      <c r="I5364" s="11">
        <f t="shared" si="83"/>
        <v>0</v>
      </c>
      <c r="J5364" s="11">
        <f>1/(H5364*Utilities!$B$11)</f>
        <v>8</v>
      </c>
      <c r="K5364" s="11">
        <f>IF(B5364&lt;C5364,1,EXP(-1*(B5364-C5364)/(Utilities!$B$11*IterData!H5364)))</f>
        <v>1</v>
      </c>
    </row>
    <row r="5365" spans="8:11" x14ac:dyDescent="0.3">
      <c r="H5365">
        <v>0.5</v>
      </c>
      <c r="I5365" s="11">
        <f t="shared" si="83"/>
        <v>0</v>
      </c>
      <c r="J5365" s="11">
        <f>1/(H5365*Utilities!$B$11)</f>
        <v>8</v>
      </c>
      <c r="K5365" s="11">
        <f>IF(B5365&lt;C5365,1,EXP(-1*(B5365-C5365)/(Utilities!$B$11*IterData!H5365)))</f>
        <v>1</v>
      </c>
    </row>
    <row r="5366" spans="8:11" x14ac:dyDescent="0.3">
      <c r="H5366">
        <v>0.5</v>
      </c>
      <c r="I5366" s="11">
        <f t="shared" si="83"/>
        <v>0</v>
      </c>
      <c r="J5366" s="11">
        <f>1/(H5366*Utilities!$B$11)</f>
        <v>8</v>
      </c>
      <c r="K5366" s="11">
        <f>IF(B5366&lt;C5366,1,EXP(-1*(B5366-C5366)/(Utilities!$B$11*IterData!H5366)))</f>
        <v>1</v>
      </c>
    </row>
    <row r="5367" spans="8:11" x14ac:dyDescent="0.3">
      <c r="H5367">
        <v>0.5</v>
      </c>
      <c r="I5367" s="11">
        <f t="shared" si="83"/>
        <v>0</v>
      </c>
      <c r="J5367" s="11">
        <f>1/(H5367*Utilities!$B$11)</f>
        <v>8</v>
      </c>
      <c r="K5367" s="11">
        <f>IF(B5367&lt;C5367,1,EXP(-1*(B5367-C5367)/(Utilities!$B$11*IterData!H5367)))</f>
        <v>1</v>
      </c>
    </row>
    <row r="5368" spans="8:11" x14ac:dyDescent="0.3">
      <c r="H5368">
        <v>0.5</v>
      </c>
      <c r="I5368" s="11">
        <f t="shared" si="83"/>
        <v>0</v>
      </c>
      <c r="J5368" s="11">
        <f>1/(H5368*Utilities!$B$11)</f>
        <v>8</v>
      </c>
      <c r="K5368" s="11">
        <f>IF(B5368&lt;C5368,1,EXP(-1*(B5368-C5368)/(Utilities!$B$11*IterData!H5368)))</f>
        <v>1</v>
      </c>
    </row>
    <row r="5369" spans="8:11" x14ac:dyDescent="0.3">
      <c r="H5369">
        <v>0.5</v>
      </c>
      <c r="I5369" s="11">
        <f t="shared" si="83"/>
        <v>0</v>
      </c>
      <c r="J5369" s="11">
        <f>1/(H5369*Utilities!$B$11)</f>
        <v>8</v>
      </c>
      <c r="K5369" s="11">
        <f>IF(B5369&lt;C5369,1,EXP(-1*(B5369-C5369)/(Utilities!$B$11*IterData!H5369)))</f>
        <v>1</v>
      </c>
    </row>
    <row r="5370" spans="8:11" x14ac:dyDescent="0.3">
      <c r="H5370">
        <v>0.5</v>
      </c>
      <c r="I5370" s="11">
        <f t="shared" si="83"/>
        <v>0</v>
      </c>
      <c r="J5370" s="11">
        <f>1/(H5370*Utilities!$B$11)</f>
        <v>8</v>
      </c>
      <c r="K5370" s="11">
        <f>IF(B5370&lt;C5370,1,EXP(-1*(B5370-C5370)/(Utilities!$B$11*IterData!H5370)))</f>
        <v>1</v>
      </c>
    </row>
    <row r="5371" spans="8:11" x14ac:dyDescent="0.3">
      <c r="H5371">
        <v>0.5</v>
      </c>
      <c r="I5371" s="11">
        <f t="shared" si="83"/>
        <v>0</v>
      </c>
      <c r="J5371" s="11">
        <f>1/(H5371*Utilities!$B$11)</f>
        <v>8</v>
      </c>
      <c r="K5371" s="11">
        <f>IF(B5371&lt;C5371,1,EXP(-1*(B5371-C5371)/(Utilities!$B$11*IterData!H5371)))</f>
        <v>1</v>
      </c>
    </row>
    <row r="5372" spans="8:11" x14ac:dyDescent="0.3">
      <c r="H5372">
        <v>0.5</v>
      </c>
      <c r="I5372" s="11">
        <f t="shared" si="83"/>
        <v>0</v>
      </c>
      <c r="J5372" s="11">
        <f>1/(H5372*Utilities!$B$11)</f>
        <v>8</v>
      </c>
      <c r="K5372" s="11">
        <f>IF(B5372&lt;C5372,1,EXP(-1*(B5372-C5372)/(Utilities!$B$11*IterData!H5372)))</f>
        <v>1</v>
      </c>
    </row>
    <row r="5373" spans="8:11" x14ac:dyDescent="0.3">
      <c r="H5373">
        <v>0.5</v>
      </c>
      <c r="I5373" s="11">
        <f t="shared" si="83"/>
        <v>0</v>
      </c>
      <c r="J5373" s="11">
        <f>1/(H5373*Utilities!$B$11)</f>
        <v>8</v>
      </c>
      <c r="K5373" s="11">
        <f>IF(B5373&lt;C5373,1,EXP(-1*(B5373-C5373)/(Utilities!$B$11*IterData!H5373)))</f>
        <v>1</v>
      </c>
    </row>
    <row r="5374" spans="8:11" x14ac:dyDescent="0.3">
      <c r="H5374">
        <v>0.5</v>
      </c>
      <c r="I5374" s="11">
        <f t="shared" si="83"/>
        <v>0</v>
      </c>
      <c r="J5374" s="11">
        <f>1/(H5374*Utilities!$B$11)</f>
        <v>8</v>
      </c>
      <c r="K5374" s="11">
        <f>IF(B5374&lt;C5374,1,EXP(-1*(B5374-C5374)/(Utilities!$B$11*IterData!H5374)))</f>
        <v>1</v>
      </c>
    </row>
    <row r="5375" spans="8:11" x14ac:dyDescent="0.3">
      <c r="H5375">
        <v>0.5</v>
      </c>
      <c r="I5375" s="11">
        <f t="shared" si="83"/>
        <v>0</v>
      </c>
      <c r="J5375" s="11">
        <f>1/(H5375*Utilities!$B$11)</f>
        <v>8</v>
      </c>
      <c r="K5375" s="11">
        <f>IF(B5375&lt;C5375,1,EXP(-1*(B5375-C5375)/(Utilities!$B$11*IterData!H5375)))</f>
        <v>1</v>
      </c>
    </row>
    <row r="5376" spans="8:11" x14ac:dyDescent="0.3">
      <c r="H5376">
        <v>0.5</v>
      </c>
      <c r="I5376" s="11">
        <f t="shared" si="83"/>
        <v>0</v>
      </c>
      <c r="J5376" s="11">
        <f>1/(H5376*Utilities!$B$11)</f>
        <v>8</v>
      </c>
      <c r="K5376" s="11">
        <f>IF(B5376&lt;C5376,1,EXP(-1*(B5376-C5376)/(Utilities!$B$11*IterData!H5376)))</f>
        <v>1</v>
      </c>
    </row>
    <row r="5377" spans="8:11" x14ac:dyDescent="0.3">
      <c r="H5377">
        <v>0.5</v>
      </c>
      <c r="I5377" s="11">
        <f t="shared" si="83"/>
        <v>0</v>
      </c>
      <c r="J5377" s="11">
        <f>1/(H5377*Utilities!$B$11)</f>
        <v>8</v>
      </c>
      <c r="K5377" s="11">
        <f>IF(B5377&lt;C5377,1,EXP(-1*(B5377-C5377)/(Utilities!$B$11*IterData!H5377)))</f>
        <v>1</v>
      </c>
    </row>
    <row r="5378" spans="8:11" x14ac:dyDescent="0.3">
      <c r="H5378">
        <v>0.5</v>
      </c>
      <c r="I5378" s="11">
        <f t="shared" si="83"/>
        <v>0</v>
      </c>
      <c r="J5378" s="11">
        <f>1/(H5378*Utilities!$B$11)</f>
        <v>8</v>
      </c>
      <c r="K5378" s="11">
        <f>IF(B5378&lt;C5378,1,EXP(-1*(B5378-C5378)/(Utilities!$B$11*IterData!H5378)))</f>
        <v>1</v>
      </c>
    </row>
    <row r="5379" spans="8:11" x14ac:dyDescent="0.3">
      <c r="H5379">
        <v>0.5</v>
      </c>
      <c r="I5379" s="11">
        <f t="shared" ref="I5379:I5442" si="84">B5379-C5379</f>
        <v>0</v>
      </c>
      <c r="J5379" s="11">
        <f>1/(H5379*Utilities!$B$11)</f>
        <v>8</v>
      </c>
      <c r="K5379" s="11">
        <f>IF(B5379&lt;C5379,1,EXP(-1*(B5379-C5379)/(Utilities!$B$11*IterData!H5379)))</f>
        <v>1</v>
      </c>
    </row>
    <row r="5380" spans="8:11" x14ac:dyDescent="0.3">
      <c r="H5380">
        <v>0.5</v>
      </c>
      <c r="I5380" s="11">
        <f t="shared" si="84"/>
        <v>0</v>
      </c>
      <c r="J5380" s="11">
        <f>1/(H5380*Utilities!$B$11)</f>
        <v>8</v>
      </c>
      <c r="K5380" s="11">
        <f>IF(B5380&lt;C5380,1,EXP(-1*(B5380-C5380)/(Utilities!$B$11*IterData!H5380)))</f>
        <v>1</v>
      </c>
    </row>
    <row r="5381" spans="8:11" x14ac:dyDescent="0.3">
      <c r="H5381">
        <v>0.5</v>
      </c>
      <c r="I5381" s="11">
        <f t="shared" si="84"/>
        <v>0</v>
      </c>
      <c r="J5381" s="11">
        <f>1/(H5381*Utilities!$B$11)</f>
        <v>8</v>
      </c>
      <c r="K5381" s="11">
        <f>IF(B5381&lt;C5381,1,EXP(-1*(B5381-C5381)/(Utilities!$B$11*IterData!H5381)))</f>
        <v>1</v>
      </c>
    </row>
    <row r="5382" spans="8:11" x14ac:dyDescent="0.3">
      <c r="H5382">
        <v>0.5</v>
      </c>
      <c r="I5382" s="11">
        <f t="shared" si="84"/>
        <v>0</v>
      </c>
      <c r="J5382" s="11">
        <f>1/(H5382*Utilities!$B$11)</f>
        <v>8</v>
      </c>
      <c r="K5382" s="11">
        <f>IF(B5382&lt;C5382,1,EXP(-1*(B5382-C5382)/(Utilities!$B$11*IterData!H5382)))</f>
        <v>1</v>
      </c>
    </row>
    <row r="5383" spans="8:11" x14ac:dyDescent="0.3">
      <c r="H5383">
        <v>0.5</v>
      </c>
      <c r="I5383" s="11">
        <f t="shared" si="84"/>
        <v>0</v>
      </c>
      <c r="J5383" s="11">
        <f>1/(H5383*Utilities!$B$11)</f>
        <v>8</v>
      </c>
      <c r="K5383" s="11">
        <f>IF(B5383&lt;C5383,1,EXP(-1*(B5383-C5383)/(Utilities!$B$11*IterData!H5383)))</f>
        <v>1</v>
      </c>
    </row>
    <row r="5384" spans="8:11" x14ac:dyDescent="0.3">
      <c r="H5384">
        <v>0.5</v>
      </c>
      <c r="I5384" s="11">
        <f t="shared" si="84"/>
        <v>0</v>
      </c>
      <c r="J5384" s="11">
        <f>1/(H5384*Utilities!$B$11)</f>
        <v>8</v>
      </c>
      <c r="K5384" s="11">
        <f>IF(B5384&lt;C5384,1,EXP(-1*(B5384-C5384)/(Utilities!$B$11*IterData!H5384)))</f>
        <v>1</v>
      </c>
    </row>
    <row r="5385" spans="8:11" x14ac:dyDescent="0.3">
      <c r="H5385">
        <v>0.5</v>
      </c>
      <c r="I5385" s="11">
        <f t="shared" si="84"/>
        <v>0</v>
      </c>
      <c r="J5385" s="11">
        <f>1/(H5385*Utilities!$B$11)</f>
        <v>8</v>
      </c>
      <c r="K5385" s="11">
        <f>IF(B5385&lt;C5385,1,EXP(-1*(B5385-C5385)/(Utilities!$B$11*IterData!H5385)))</f>
        <v>1</v>
      </c>
    </row>
    <row r="5386" spans="8:11" x14ac:dyDescent="0.3">
      <c r="H5386">
        <v>0.5</v>
      </c>
      <c r="I5386" s="11">
        <f t="shared" si="84"/>
        <v>0</v>
      </c>
      <c r="J5386" s="11">
        <f>1/(H5386*Utilities!$B$11)</f>
        <v>8</v>
      </c>
      <c r="K5386" s="11">
        <f>IF(B5386&lt;C5386,1,EXP(-1*(B5386-C5386)/(Utilities!$B$11*IterData!H5386)))</f>
        <v>1</v>
      </c>
    </row>
    <row r="5387" spans="8:11" x14ac:dyDescent="0.3">
      <c r="H5387">
        <v>0.5</v>
      </c>
      <c r="I5387" s="11">
        <f t="shared" si="84"/>
        <v>0</v>
      </c>
      <c r="J5387" s="11">
        <f>1/(H5387*Utilities!$B$11)</f>
        <v>8</v>
      </c>
      <c r="K5387" s="11">
        <f>IF(B5387&lt;C5387,1,EXP(-1*(B5387-C5387)/(Utilities!$B$11*IterData!H5387)))</f>
        <v>1</v>
      </c>
    </row>
    <row r="5388" spans="8:11" x14ac:dyDescent="0.3">
      <c r="H5388">
        <v>0.5</v>
      </c>
      <c r="I5388" s="11">
        <f t="shared" si="84"/>
        <v>0</v>
      </c>
      <c r="J5388" s="11">
        <f>1/(H5388*Utilities!$B$11)</f>
        <v>8</v>
      </c>
      <c r="K5388" s="11">
        <f>IF(B5388&lt;C5388,1,EXP(-1*(B5388-C5388)/(Utilities!$B$11*IterData!H5388)))</f>
        <v>1</v>
      </c>
    </row>
    <row r="5389" spans="8:11" x14ac:dyDescent="0.3">
      <c r="H5389">
        <v>0.5</v>
      </c>
      <c r="I5389" s="11">
        <f t="shared" si="84"/>
        <v>0</v>
      </c>
      <c r="J5389" s="11">
        <f>1/(H5389*Utilities!$B$11)</f>
        <v>8</v>
      </c>
      <c r="K5389" s="11">
        <f>IF(B5389&lt;C5389,1,EXP(-1*(B5389-C5389)/(Utilities!$B$11*IterData!H5389)))</f>
        <v>1</v>
      </c>
    </row>
    <row r="5390" spans="8:11" x14ac:dyDescent="0.3">
      <c r="H5390">
        <v>0.5</v>
      </c>
      <c r="I5390" s="11">
        <f t="shared" si="84"/>
        <v>0</v>
      </c>
      <c r="J5390" s="11">
        <f>1/(H5390*Utilities!$B$11)</f>
        <v>8</v>
      </c>
      <c r="K5390" s="11">
        <f>IF(B5390&lt;C5390,1,EXP(-1*(B5390-C5390)/(Utilities!$B$11*IterData!H5390)))</f>
        <v>1</v>
      </c>
    </row>
    <row r="5391" spans="8:11" x14ac:dyDescent="0.3">
      <c r="H5391">
        <v>0.5</v>
      </c>
      <c r="I5391" s="11">
        <f t="shared" si="84"/>
        <v>0</v>
      </c>
      <c r="J5391" s="11">
        <f>1/(H5391*Utilities!$B$11)</f>
        <v>8</v>
      </c>
      <c r="K5391" s="11">
        <f>IF(B5391&lt;C5391,1,EXP(-1*(B5391-C5391)/(Utilities!$B$11*IterData!H5391)))</f>
        <v>1</v>
      </c>
    </row>
    <row r="5392" spans="8:11" x14ac:dyDescent="0.3">
      <c r="H5392">
        <v>0.5</v>
      </c>
      <c r="I5392" s="11">
        <f t="shared" si="84"/>
        <v>0</v>
      </c>
      <c r="J5392" s="11">
        <f>1/(H5392*Utilities!$B$11)</f>
        <v>8</v>
      </c>
      <c r="K5392" s="11">
        <f>IF(B5392&lt;C5392,1,EXP(-1*(B5392-C5392)/(Utilities!$B$11*IterData!H5392)))</f>
        <v>1</v>
      </c>
    </row>
    <row r="5393" spans="8:11" x14ac:dyDescent="0.3">
      <c r="H5393">
        <v>0.5</v>
      </c>
      <c r="I5393" s="11">
        <f t="shared" si="84"/>
        <v>0</v>
      </c>
      <c r="J5393" s="11">
        <f>1/(H5393*Utilities!$B$11)</f>
        <v>8</v>
      </c>
      <c r="K5393" s="11">
        <f>IF(B5393&lt;C5393,1,EXP(-1*(B5393-C5393)/(Utilities!$B$11*IterData!H5393)))</f>
        <v>1</v>
      </c>
    </row>
    <row r="5394" spans="8:11" x14ac:dyDescent="0.3">
      <c r="H5394">
        <v>0.5</v>
      </c>
      <c r="I5394" s="11">
        <f t="shared" si="84"/>
        <v>0</v>
      </c>
      <c r="J5394" s="11">
        <f>1/(H5394*Utilities!$B$11)</f>
        <v>8</v>
      </c>
      <c r="K5394" s="11">
        <f>IF(B5394&lt;C5394,1,EXP(-1*(B5394-C5394)/(Utilities!$B$11*IterData!H5394)))</f>
        <v>1</v>
      </c>
    </row>
    <row r="5395" spans="8:11" x14ac:dyDescent="0.3">
      <c r="H5395">
        <v>0.5</v>
      </c>
      <c r="I5395" s="11">
        <f t="shared" si="84"/>
        <v>0</v>
      </c>
      <c r="J5395" s="11">
        <f>1/(H5395*Utilities!$B$11)</f>
        <v>8</v>
      </c>
      <c r="K5395" s="11">
        <f>IF(B5395&lt;C5395,1,EXP(-1*(B5395-C5395)/(Utilities!$B$11*IterData!H5395)))</f>
        <v>1</v>
      </c>
    </row>
    <row r="5396" spans="8:11" x14ac:dyDescent="0.3">
      <c r="H5396">
        <v>0.5</v>
      </c>
      <c r="I5396" s="11">
        <f t="shared" si="84"/>
        <v>0</v>
      </c>
      <c r="J5396" s="11">
        <f>1/(H5396*Utilities!$B$11)</f>
        <v>8</v>
      </c>
      <c r="K5396" s="11">
        <f>IF(B5396&lt;C5396,1,EXP(-1*(B5396-C5396)/(Utilities!$B$11*IterData!H5396)))</f>
        <v>1</v>
      </c>
    </row>
    <row r="5397" spans="8:11" x14ac:dyDescent="0.3">
      <c r="H5397">
        <v>0.5</v>
      </c>
      <c r="I5397" s="11">
        <f t="shared" si="84"/>
        <v>0</v>
      </c>
      <c r="J5397" s="11">
        <f>1/(H5397*Utilities!$B$11)</f>
        <v>8</v>
      </c>
      <c r="K5397" s="11">
        <f>IF(B5397&lt;C5397,1,EXP(-1*(B5397-C5397)/(Utilities!$B$11*IterData!H5397)))</f>
        <v>1</v>
      </c>
    </row>
    <row r="5398" spans="8:11" x14ac:dyDescent="0.3">
      <c r="H5398">
        <v>0.5</v>
      </c>
      <c r="I5398" s="11">
        <f t="shared" si="84"/>
        <v>0</v>
      </c>
      <c r="J5398" s="11">
        <f>1/(H5398*Utilities!$B$11)</f>
        <v>8</v>
      </c>
      <c r="K5398" s="11">
        <f>IF(B5398&lt;C5398,1,EXP(-1*(B5398-C5398)/(Utilities!$B$11*IterData!H5398)))</f>
        <v>1</v>
      </c>
    </row>
    <row r="5399" spans="8:11" x14ac:dyDescent="0.3">
      <c r="H5399">
        <v>0.5</v>
      </c>
      <c r="I5399" s="11">
        <f t="shared" si="84"/>
        <v>0</v>
      </c>
      <c r="J5399" s="11">
        <f>1/(H5399*Utilities!$B$11)</f>
        <v>8</v>
      </c>
      <c r="K5399" s="11">
        <f>IF(B5399&lt;C5399,1,EXP(-1*(B5399-C5399)/(Utilities!$B$11*IterData!H5399)))</f>
        <v>1</v>
      </c>
    </row>
    <row r="5400" spans="8:11" x14ac:dyDescent="0.3">
      <c r="H5400">
        <v>0.5</v>
      </c>
      <c r="I5400" s="11">
        <f t="shared" si="84"/>
        <v>0</v>
      </c>
      <c r="J5400" s="11">
        <f>1/(H5400*Utilities!$B$11)</f>
        <v>8</v>
      </c>
      <c r="K5400" s="11">
        <f>IF(B5400&lt;C5400,1,EXP(-1*(B5400-C5400)/(Utilities!$B$11*IterData!H5400)))</f>
        <v>1</v>
      </c>
    </row>
    <row r="5401" spans="8:11" x14ac:dyDescent="0.3">
      <c r="H5401">
        <v>0.5</v>
      </c>
      <c r="I5401" s="11">
        <f t="shared" si="84"/>
        <v>0</v>
      </c>
      <c r="J5401" s="11">
        <f>1/(H5401*Utilities!$B$11)</f>
        <v>8</v>
      </c>
      <c r="K5401" s="11">
        <f>IF(B5401&lt;C5401,1,EXP(-1*(B5401-C5401)/(Utilities!$B$11*IterData!H5401)))</f>
        <v>1</v>
      </c>
    </row>
    <row r="5402" spans="8:11" x14ac:dyDescent="0.3">
      <c r="H5402">
        <v>0.5</v>
      </c>
      <c r="I5402" s="11">
        <f t="shared" si="84"/>
        <v>0</v>
      </c>
      <c r="J5402" s="11">
        <f>1/(H5402*Utilities!$B$11)</f>
        <v>8</v>
      </c>
      <c r="K5402" s="11">
        <f>IF(B5402&lt;C5402,1,EXP(-1*(B5402-C5402)/(Utilities!$B$11*IterData!H5402)))</f>
        <v>1</v>
      </c>
    </row>
    <row r="5403" spans="8:11" x14ac:dyDescent="0.3">
      <c r="H5403">
        <v>0.5</v>
      </c>
      <c r="I5403" s="11">
        <f t="shared" si="84"/>
        <v>0</v>
      </c>
      <c r="J5403" s="11">
        <f>1/(H5403*Utilities!$B$11)</f>
        <v>8</v>
      </c>
      <c r="K5403" s="11">
        <f>IF(B5403&lt;C5403,1,EXP(-1*(B5403-C5403)/(Utilities!$B$11*IterData!H5403)))</f>
        <v>1</v>
      </c>
    </row>
    <row r="5404" spans="8:11" x14ac:dyDescent="0.3">
      <c r="H5404">
        <v>0.5</v>
      </c>
      <c r="I5404" s="11">
        <f t="shared" si="84"/>
        <v>0</v>
      </c>
      <c r="J5404" s="11">
        <f>1/(H5404*Utilities!$B$11)</f>
        <v>8</v>
      </c>
      <c r="K5404" s="11">
        <f>IF(B5404&lt;C5404,1,EXP(-1*(B5404-C5404)/(Utilities!$B$11*IterData!H5404)))</f>
        <v>1</v>
      </c>
    </row>
    <row r="5405" spans="8:11" x14ac:dyDescent="0.3">
      <c r="H5405">
        <v>0.5</v>
      </c>
      <c r="I5405" s="11">
        <f t="shared" si="84"/>
        <v>0</v>
      </c>
      <c r="J5405" s="11">
        <f>1/(H5405*Utilities!$B$11)</f>
        <v>8</v>
      </c>
      <c r="K5405" s="11">
        <f>IF(B5405&lt;C5405,1,EXP(-1*(B5405-C5405)/(Utilities!$B$11*IterData!H5405)))</f>
        <v>1</v>
      </c>
    </row>
    <row r="5406" spans="8:11" x14ac:dyDescent="0.3">
      <c r="H5406">
        <v>0.5</v>
      </c>
      <c r="I5406" s="11">
        <f t="shared" si="84"/>
        <v>0</v>
      </c>
      <c r="J5406" s="11">
        <f>1/(H5406*Utilities!$B$11)</f>
        <v>8</v>
      </c>
      <c r="K5406" s="11">
        <f>IF(B5406&lt;C5406,1,EXP(-1*(B5406-C5406)/(Utilities!$B$11*IterData!H5406)))</f>
        <v>1</v>
      </c>
    </row>
    <row r="5407" spans="8:11" x14ac:dyDescent="0.3">
      <c r="H5407">
        <v>0.5</v>
      </c>
      <c r="I5407" s="11">
        <f t="shared" si="84"/>
        <v>0</v>
      </c>
      <c r="J5407" s="11">
        <f>1/(H5407*Utilities!$B$11)</f>
        <v>8</v>
      </c>
      <c r="K5407" s="11">
        <f>IF(B5407&lt;C5407,1,EXP(-1*(B5407-C5407)/(Utilities!$B$11*IterData!H5407)))</f>
        <v>1</v>
      </c>
    </row>
    <row r="5408" spans="8:11" x14ac:dyDescent="0.3">
      <c r="H5408">
        <v>0.5</v>
      </c>
      <c r="I5408" s="11">
        <f t="shared" si="84"/>
        <v>0</v>
      </c>
      <c r="J5408" s="11">
        <f>1/(H5408*Utilities!$B$11)</f>
        <v>8</v>
      </c>
      <c r="K5408" s="11">
        <f>IF(B5408&lt;C5408,1,EXP(-1*(B5408-C5408)/(Utilities!$B$11*IterData!H5408)))</f>
        <v>1</v>
      </c>
    </row>
    <row r="5409" spans="8:11" x14ac:dyDescent="0.3">
      <c r="H5409">
        <v>0.5</v>
      </c>
      <c r="I5409" s="11">
        <f t="shared" si="84"/>
        <v>0</v>
      </c>
      <c r="J5409" s="11">
        <f>1/(H5409*Utilities!$B$11)</f>
        <v>8</v>
      </c>
      <c r="K5409" s="11">
        <f>IF(B5409&lt;C5409,1,EXP(-1*(B5409-C5409)/(Utilities!$B$11*IterData!H5409)))</f>
        <v>1</v>
      </c>
    </row>
    <row r="5410" spans="8:11" x14ac:dyDescent="0.3">
      <c r="H5410">
        <v>0.5</v>
      </c>
      <c r="I5410" s="11">
        <f t="shared" si="84"/>
        <v>0</v>
      </c>
      <c r="J5410" s="11">
        <f>1/(H5410*Utilities!$B$11)</f>
        <v>8</v>
      </c>
      <c r="K5410" s="11">
        <f>IF(B5410&lt;C5410,1,EXP(-1*(B5410-C5410)/(Utilities!$B$11*IterData!H5410)))</f>
        <v>1</v>
      </c>
    </row>
    <row r="5411" spans="8:11" x14ac:dyDescent="0.3">
      <c r="H5411">
        <v>0.5</v>
      </c>
      <c r="I5411" s="11">
        <f t="shared" si="84"/>
        <v>0</v>
      </c>
      <c r="J5411" s="11">
        <f>1/(H5411*Utilities!$B$11)</f>
        <v>8</v>
      </c>
      <c r="K5411" s="11">
        <f>IF(B5411&lt;C5411,1,EXP(-1*(B5411-C5411)/(Utilities!$B$11*IterData!H5411)))</f>
        <v>1</v>
      </c>
    </row>
    <row r="5412" spans="8:11" x14ac:dyDescent="0.3">
      <c r="H5412">
        <v>0.5</v>
      </c>
      <c r="I5412" s="11">
        <f t="shared" si="84"/>
        <v>0</v>
      </c>
      <c r="J5412" s="11">
        <f>1/(H5412*Utilities!$B$11)</f>
        <v>8</v>
      </c>
      <c r="K5412" s="11">
        <f>IF(B5412&lt;C5412,1,EXP(-1*(B5412-C5412)/(Utilities!$B$11*IterData!H5412)))</f>
        <v>1</v>
      </c>
    </row>
    <row r="5413" spans="8:11" x14ac:dyDescent="0.3">
      <c r="H5413">
        <v>0.5</v>
      </c>
      <c r="I5413" s="11">
        <f t="shared" si="84"/>
        <v>0</v>
      </c>
      <c r="J5413" s="11">
        <f>1/(H5413*Utilities!$B$11)</f>
        <v>8</v>
      </c>
      <c r="K5413" s="11">
        <f>IF(B5413&lt;C5413,1,EXP(-1*(B5413-C5413)/(Utilities!$B$11*IterData!H5413)))</f>
        <v>1</v>
      </c>
    </row>
    <row r="5414" spans="8:11" x14ac:dyDescent="0.3">
      <c r="H5414">
        <v>0.5</v>
      </c>
      <c r="I5414" s="11">
        <f t="shared" si="84"/>
        <v>0</v>
      </c>
      <c r="J5414" s="11">
        <f>1/(H5414*Utilities!$B$11)</f>
        <v>8</v>
      </c>
      <c r="K5414" s="11">
        <f>IF(B5414&lt;C5414,1,EXP(-1*(B5414-C5414)/(Utilities!$B$11*IterData!H5414)))</f>
        <v>1</v>
      </c>
    </row>
    <row r="5415" spans="8:11" x14ac:dyDescent="0.3">
      <c r="H5415">
        <v>0.5</v>
      </c>
      <c r="I5415" s="11">
        <f t="shared" si="84"/>
        <v>0</v>
      </c>
      <c r="J5415" s="11">
        <f>1/(H5415*Utilities!$B$11)</f>
        <v>8</v>
      </c>
      <c r="K5415" s="11">
        <f>IF(B5415&lt;C5415,1,EXP(-1*(B5415-C5415)/(Utilities!$B$11*IterData!H5415)))</f>
        <v>1</v>
      </c>
    </row>
    <row r="5416" spans="8:11" x14ac:dyDescent="0.3">
      <c r="H5416">
        <v>0.5</v>
      </c>
      <c r="I5416" s="11">
        <f t="shared" si="84"/>
        <v>0</v>
      </c>
      <c r="J5416" s="11">
        <f>1/(H5416*Utilities!$B$11)</f>
        <v>8</v>
      </c>
      <c r="K5416" s="11">
        <f>IF(B5416&lt;C5416,1,EXP(-1*(B5416-C5416)/(Utilities!$B$11*IterData!H5416)))</f>
        <v>1</v>
      </c>
    </row>
    <row r="5417" spans="8:11" x14ac:dyDescent="0.3">
      <c r="H5417">
        <v>0.5</v>
      </c>
      <c r="I5417" s="11">
        <f t="shared" si="84"/>
        <v>0</v>
      </c>
      <c r="J5417" s="11">
        <f>1/(H5417*Utilities!$B$11)</f>
        <v>8</v>
      </c>
      <c r="K5417" s="11">
        <f>IF(B5417&lt;C5417,1,EXP(-1*(B5417-C5417)/(Utilities!$B$11*IterData!H5417)))</f>
        <v>1</v>
      </c>
    </row>
    <row r="5418" spans="8:11" x14ac:dyDescent="0.3">
      <c r="H5418">
        <v>0.5</v>
      </c>
      <c r="I5418" s="11">
        <f t="shared" si="84"/>
        <v>0</v>
      </c>
      <c r="J5418" s="11">
        <f>1/(H5418*Utilities!$B$11)</f>
        <v>8</v>
      </c>
      <c r="K5418" s="11">
        <f>IF(B5418&lt;C5418,1,EXP(-1*(B5418-C5418)/(Utilities!$B$11*IterData!H5418)))</f>
        <v>1</v>
      </c>
    </row>
    <row r="5419" spans="8:11" x14ac:dyDescent="0.3">
      <c r="H5419">
        <v>0.5</v>
      </c>
      <c r="I5419" s="11">
        <f t="shared" si="84"/>
        <v>0</v>
      </c>
      <c r="J5419" s="11">
        <f>1/(H5419*Utilities!$B$11)</f>
        <v>8</v>
      </c>
      <c r="K5419" s="11">
        <f>IF(B5419&lt;C5419,1,EXP(-1*(B5419-C5419)/(Utilities!$B$11*IterData!H5419)))</f>
        <v>1</v>
      </c>
    </row>
    <row r="5420" spans="8:11" x14ac:dyDescent="0.3">
      <c r="H5420">
        <v>0.5</v>
      </c>
      <c r="I5420" s="11">
        <f t="shared" si="84"/>
        <v>0</v>
      </c>
      <c r="J5420" s="11">
        <f>1/(H5420*Utilities!$B$11)</f>
        <v>8</v>
      </c>
      <c r="K5420" s="11">
        <f>IF(B5420&lt;C5420,1,EXP(-1*(B5420-C5420)/(Utilities!$B$11*IterData!H5420)))</f>
        <v>1</v>
      </c>
    </row>
    <row r="5421" spans="8:11" x14ac:dyDescent="0.3">
      <c r="H5421">
        <v>0.5</v>
      </c>
      <c r="I5421" s="11">
        <f t="shared" si="84"/>
        <v>0</v>
      </c>
      <c r="J5421" s="11">
        <f>1/(H5421*Utilities!$B$11)</f>
        <v>8</v>
      </c>
      <c r="K5421" s="11">
        <f>IF(B5421&lt;C5421,1,EXP(-1*(B5421-C5421)/(Utilities!$B$11*IterData!H5421)))</f>
        <v>1</v>
      </c>
    </row>
    <row r="5422" spans="8:11" x14ac:dyDescent="0.3">
      <c r="H5422">
        <v>0.5</v>
      </c>
      <c r="I5422" s="11">
        <f t="shared" si="84"/>
        <v>0</v>
      </c>
      <c r="J5422" s="11">
        <f>1/(H5422*Utilities!$B$11)</f>
        <v>8</v>
      </c>
      <c r="K5422" s="11">
        <f>IF(B5422&lt;C5422,1,EXP(-1*(B5422-C5422)/(Utilities!$B$11*IterData!H5422)))</f>
        <v>1</v>
      </c>
    </row>
    <row r="5423" spans="8:11" x14ac:dyDescent="0.3">
      <c r="H5423">
        <v>0.5</v>
      </c>
      <c r="I5423" s="11">
        <f t="shared" si="84"/>
        <v>0</v>
      </c>
      <c r="J5423" s="11">
        <f>1/(H5423*Utilities!$B$11)</f>
        <v>8</v>
      </c>
      <c r="K5423" s="11">
        <f>IF(B5423&lt;C5423,1,EXP(-1*(B5423-C5423)/(Utilities!$B$11*IterData!H5423)))</f>
        <v>1</v>
      </c>
    </row>
    <row r="5424" spans="8:11" x14ac:dyDescent="0.3">
      <c r="H5424">
        <v>0.5</v>
      </c>
      <c r="I5424" s="11">
        <f t="shared" si="84"/>
        <v>0</v>
      </c>
      <c r="J5424" s="11">
        <f>1/(H5424*Utilities!$B$11)</f>
        <v>8</v>
      </c>
      <c r="K5424" s="11">
        <f>IF(B5424&lt;C5424,1,EXP(-1*(B5424-C5424)/(Utilities!$B$11*IterData!H5424)))</f>
        <v>1</v>
      </c>
    </row>
    <row r="5425" spans="8:11" x14ac:dyDescent="0.3">
      <c r="H5425">
        <v>0.5</v>
      </c>
      <c r="I5425" s="11">
        <f t="shared" si="84"/>
        <v>0</v>
      </c>
      <c r="J5425" s="11">
        <f>1/(H5425*Utilities!$B$11)</f>
        <v>8</v>
      </c>
      <c r="K5425" s="11">
        <f>IF(B5425&lt;C5425,1,EXP(-1*(B5425-C5425)/(Utilities!$B$11*IterData!H5425)))</f>
        <v>1</v>
      </c>
    </row>
    <row r="5426" spans="8:11" x14ac:dyDescent="0.3">
      <c r="H5426">
        <v>0.5</v>
      </c>
      <c r="I5426" s="11">
        <f t="shared" si="84"/>
        <v>0</v>
      </c>
      <c r="J5426" s="11">
        <f>1/(H5426*Utilities!$B$11)</f>
        <v>8</v>
      </c>
      <c r="K5426" s="11">
        <f>IF(B5426&lt;C5426,1,EXP(-1*(B5426-C5426)/(Utilities!$B$11*IterData!H5426)))</f>
        <v>1</v>
      </c>
    </row>
    <row r="5427" spans="8:11" x14ac:dyDescent="0.3">
      <c r="H5427">
        <v>0.5</v>
      </c>
      <c r="I5427" s="11">
        <f t="shared" si="84"/>
        <v>0</v>
      </c>
      <c r="J5427" s="11">
        <f>1/(H5427*Utilities!$B$11)</f>
        <v>8</v>
      </c>
      <c r="K5427" s="11">
        <f>IF(B5427&lt;C5427,1,EXP(-1*(B5427-C5427)/(Utilities!$B$11*IterData!H5427)))</f>
        <v>1</v>
      </c>
    </row>
    <row r="5428" spans="8:11" x14ac:dyDescent="0.3">
      <c r="H5428">
        <v>0.5</v>
      </c>
      <c r="I5428" s="11">
        <f t="shared" si="84"/>
        <v>0</v>
      </c>
      <c r="J5428" s="11">
        <f>1/(H5428*Utilities!$B$11)</f>
        <v>8</v>
      </c>
      <c r="K5428" s="11">
        <f>IF(B5428&lt;C5428,1,EXP(-1*(B5428-C5428)/(Utilities!$B$11*IterData!H5428)))</f>
        <v>1</v>
      </c>
    </row>
    <row r="5429" spans="8:11" x14ac:dyDescent="0.3">
      <c r="H5429">
        <v>0.5</v>
      </c>
      <c r="I5429" s="11">
        <f t="shared" si="84"/>
        <v>0</v>
      </c>
      <c r="J5429" s="11">
        <f>1/(H5429*Utilities!$B$11)</f>
        <v>8</v>
      </c>
      <c r="K5429" s="11">
        <f>IF(B5429&lt;C5429,1,EXP(-1*(B5429-C5429)/(Utilities!$B$11*IterData!H5429)))</f>
        <v>1</v>
      </c>
    </row>
    <row r="5430" spans="8:11" x14ac:dyDescent="0.3">
      <c r="H5430">
        <v>0.5</v>
      </c>
      <c r="I5430" s="11">
        <f t="shared" si="84"/>
        <v>0</v>
      </c>
      <c r="J5430" s="11">
        <f>1/(H5430*Utilities!$B$11)</f>
        <v>8</v>
      </c>
      <c r="K5430" s="11">
        <f>IF(B5430&lt;C5430,1,EXP(-1*(B5430-C5430)/(Utilities!$B$11*IterData!H5430)))</f>
        <v>1</v>
      </c>
    </row>
    <row r="5431" spans="8:11" x14ac:dyDescent="0.3">
      <c r="H5431">
        <v>0.5</v>
      </c>
      <c r="I5431" s="11">
        <f t="shared" si="84"/>
        <v>0</v>
      </c>
      <c r="J5431" s="11">
        <f>1/(H5431*Utilities!$B$11)</f>
        <v>8</v>
      </c>
      <c r="K5431" s="11">
        <f>IF(B5431&lt;C5431,1,EXP(-1*(B5431-C5431)/(Utilities!$B$11*IterData!H5431)))</f>
        <v>1</v>
      </c>
    </row>
    <row r="5432" spans="8:11" x14ac:dyDescent="0.3">
      <c r="H5432">
        <v>0.5</v>
      </c>
      <c r="I5432" s="11">
        <f t="shared" si="84"/>
        <v>0</v>
      </c>
      <c r="J5432" s="11">
        <f>1/(H5432*Utilities!$B$11)</f>
        <v>8</v>
      </c>
      <c r="K5432" s="11">
        <f>IF(B5432&lt;C5432,1,EXP(-1*(B5432-C5432)/(Utilities!$B$11*IterData!H5432)))</f>
        <v>1</v>
      </c>
    </row>
    <row r="5433" spans="8:11" x14ac:dyDescent="0.3">
      <c r="H5433">
        <v>0.5</v>
      </c>
      <c r="I5433" s="11">
        <f t="shared" si="84"/>
        <v>0</v>
      </c>
      <c r="J5433" s="11">
        <f>1/(H5433*Utilities!$B$11)</f>
        <v>8</v>
      </c>
      <c r="K5433" s="11">
        <f>IF(B5433&lt;C5433,1,EXP(-1*(B5433-C5433)/(Utilities!$B$11*IterData!H5433)))</f>
        <v>1</v>
      </c>
    </row>
    <row r="5434" spans="8:11" x14ac:dyDescent="0.3">
      <c r="H5434">
        <v>0.5</v>
      </c>
      <c r="I5434" s="11">
        <f t="shared" si="84"/>
        <v>0</v>
      </c>
      <c r="J5434" s="11">
        <f>1/(H5434*Utilities!$B$11)</f>
        <v>8</v>
      </c>
      <c r="K5434" s="11">
        <f>IF(B5434&lt;C5434,1,EXP(-1*(B5434-C5434)/(Utilities!$B$11*IterData!H5434)))</f>
        <v>1</v>
      </c>
    </row>
    <row r="5435" spans="8:11" x14ac:dyDescent="0.3">
      <c r="H5435">
        <v>0.5</v>
      </c>
      <c r="I5435" s="11">
        <f t="shared" si="84"/>
        <v>0</v>
      </c>
      <c r="J5435" s="11">
        <f>1/(H5435*Utilities!$B$11)</f>
        <v>8</v>
      </c>
      <c r="K5435" s="11">
        <f>IF(B5435&lt;C5435,1,EXP(-1*(B5435-C5435)/(Utilities!$B$11*IterData!H5435)))</f>
        <v>1</v>
      </c>
    </row>
    <row r="5436" spans="8:11" x14ac:dyDescent="0.3">
      <c r="H5436">
        <v>0.5</v>
      </c>
      <c r="I5436" s="11">
        <f t="shared" si="84"/>
        <v>0</v>
      </c>
      <c r="J5436" s="11">
        <f>1/(H5436*Utilities!$B$11)</f>
        <v>8</v>
      </c>
      <c r="K5436" s="11">
        <f>IF(B5436&lt;C5436,1,EXP(-1*(B5436-C5436)/(Utilities!$B$11*IterData!H5436)))</f>
        <v>1</v>
      </c>
    </row>
    <row r="5437" spans="8:11" x14ac:dyDescent="0.3">
      <c r="H5437">
        <v>0.5</v>
      </c>
      <c r="I5437" s="11">
        <f t="shared" si="84"/>
        <v>0</v>
      </c>
      <c r="J5437" s="11">
        <f>1/(H5437*Utilities!$B$11)</f>
        <v>8</v>
      </c>
      <c r="K5437" s="11">
        <f>IF(B5437&lt;C5437,1,EXP(-1*(B5437-C5437)/(Utilities!$B$11*IterData!H5437)))</f>
        <v>1</v>
      </c>
    </row>
    <row r="5438" spans="8:11" x14ac:dyDescent="0.3">
      <c r="H5438">
        <v>0.5</v>
      </c>
      <c r="I5438" s="11">
        <f t="shared" si="84"/>
        <v>0</v>
      </c>
      <c r="J5438" s="11">
        <f>1/(H5438*Utilities!$B$11)</f>
        <v>8</v>
      </c>
      <c r="K5438" s="11">
        <f>IF(B5438&lt;C5438,1,EXP(-1*(B5438-C5438)/(Utilities!$B$11*IterData!H5438)))</f>
        <v>1</v>
      </c>
    </row>
    <row r="5439" spans="8:11" x14ac:dyDescent="0.3">
      <c r="H5439">
        <v>0.5</v>
      </c>
      <c r="I5439" s="11">
        <f t="shared" si="84"/>
        <v>0</v>
      </c>
      <c r="J5439" s="11">
        <f>1/(H5439*Utilities!$B$11)</f>
        <v>8</v>
      </c>
      <c r="K5439" s="11">
        <f>IF(B5439&lt;C5439,1,EXP(-1*(B5439-C5439)/(Utilities!$B$11*IterData!H5439)))</f>
        <v>1</v>
      </c>
    </row>
    <row r="5440" spans="8:11" x14ac:dyDescent="0.3">
      <c r="H5440">
        <v>0.5</v>
      </c>
      <c r="I5440" s="11">
        <f t="shared" si="84"/>
        <v>0</v>
      </c>
      <c r="J5440" s="11">
        <f>1/(H5440*Utilities!$B$11)</f>
        <v>8</v>
      </c>
      <c r="K5440" s="11">
        <f>IF(B5440&lt;C5440,1,EXP(-1*(B5440-C5440)/(Utilities!$B$11*IterData!H5440)))</f>
        <v>1</v>
      </c>
    </row>
    <row r="5441" spans="8:11" x14ac:dyDescent="0.3">
      <c r="H5441">
        <v>0.5</v>
      </c>
      <c r="I5441" s="11">
        <f t="shared" si="84"/>
        <v>0</v>
      </c>
      <c r="J5441" s="11">
        <f>1/(H5441*Utilities!$B$11)</f>
        <v>8</v>
      </c>
      <c r="K5441" s="11">
        <f>IF(B5441&lt;C5441,1,EXP(-1*(B5441-C5441)/(Utilities!$B$11*IterData!H5441)))</f>
        <v>1</v>
      </c>
    </row>
    <row r="5442" spans="8:11" x14ac:dyDescent="0.3">
      <c r="H5442">
        <v>0.5</v>
      </c>
      <c r="I5442" s="11">
        <f t="shared" si="84"/>
        <v>0</v>
      </c>
      <c r="J5442" s="11">
        <f>1/(H5442*Utilities!$B$11)</f>
        <v>8</v>
      </c>
      <c r="K5442" s="11">
        <f>IF(B5442&lt;C5442,1,EXP(-1*(B5442-C5442)/(Utilities!$B$11*IterData!H5442)))</f>
        <v>1</v>
      </c>
    </row>
    <row r="5443" spans="8:11" x14ac:dyDescent="0.3">
      <c r="H5443">
        <v>0.5</v>
      </c>
      <c r="I5443" s="11">
        <f t="shared" ref="I5443:I5506" si="85">B5443-C5443</f>
        <v>0</v>
      </c>
      <c r="J5443" s="11">
        <f>1/(H5443*Utilities!$B$11)</f>
        <v>8</v>
      </c>
      <c r="K5443" s="11">
        <f>IF(B5443&lt;C5443,1,EXP(-1*(B5443-C5443)/(Utilities!$B$11*IterData!H5443)))</f>
        <v>1</v>
      </c>
    </row>
    <row r="5444" spans="8:11" x14ac:dyDescent="0.3">
      <c r="H5444">
        <v>0.5</v>
      </c>
      <c r="I5444" s="11">
        <f t="shared" si="85"/>
        <v>0</v>
      </c>
      <c r="J5444" s="11">
        <f>1/(H5444*Utilities!$B$11)</f>
        <v>8</v>
      </c>
      <c r="K5444" s="11">
        <f>IF(B5444&lt;C5444,1,EXP(-1*(B5444-C5444)/(Utilities!$B$11*IterData!H5444)))</f>
        <v>1</v>
      </c>
    </row>
    <row r="5445" spans="8:11" x14ac:dyDescent="0.3">
      <c r="H5445">
        <v>0.5</v>
      </c>
      <c r="I5445" s="11">
        <f t="shared" si="85"/>
        <v>0</v>
      </c>
      <c r="J5445" s="11">
        <f>1/(H5445*Utilities!$B$11)</f>
        <v>8</v>
      </c>
      <c r="K5445" s="11">
        <f>IF(B5445&lt;C5445,1,EXP(-1*(B5445-C5445)/(Utilities!$B$11*IterData!H5445)))</f>
        <v>1</v>
      </c>
    </row>
    <row r="5446" spans="8:11" x14ac:dyDescent="0.3">
      <c r="H5446">
        <v>0.5</v>
      </c>
      <c r="I5446" s="11">
        <f t="shared" si="85"/>
        <v>0</v>
      </c>
      <c r="J5446" s="11">
        <f>1/(H5446*Utilities!$B$11)</f>
        <v>8</v>
      </c>
      <c r="K5446" s="11">
        <f>IF(B5446&lt;C5446,1,EXP(-1*(B5446-C5446)/(Utilities!$B$11*IterData!H5446)))</f>
        <v>1</v>
      </c>
    </row>
    <row r="5447" spans="8:11" x14ac:dyDescent="0.3">
      <c r="H5447">
        <v>0.5</v>
      </c>
      <c r="I5447" s="11">
        <f t="shared" si="85"/>
        <v>0</v>
      </c>
      <c r="J5447" s="11">
        <f>1/(H5447*Utilities!$B$11)</f>
        <v>8</v>
      </c>
      <c r="K5447" s="11">
        <f>IF(B5447&lt;C5447,1,EXP(-1*(B5447-C5447)/(Utilities!$B$11*IterData!H5447)))</f>
        <v>1</v>
      </c>
    </row>
    <row r="5448" spans="8:11" x14ac:dyDescent="0.3">
      <c r="H5448">
        <v>0.5</v>
      </c>
      <c r="I5448" s="11">
        <f t="shared" si="85"/>
        <v>0</v>
      </c>
      <c r="J5448" s="11">
        <f>1/(H5448*Utilities!$B$11)</f>
        <v>8</v>
      </c>
      <c r="K5448" s="11">
        <f>IF(B5448&lt;C5448,1,EXP(-1*(B5448-C5448)/(Utilities!$B$11*IterData!H5448)))</f>
        <v>1</v>
      </c>
    </row>
    <row r="5449" spans="8:11" x14ac:dyDescent="0.3">
      <c r="H5449">
        <v>0.5</v>
      </c>
      <c r="I5449" s="11">
        <f t="shared" si="85"/>
        <v>0</v>
      </c>
      <c r="J5449" s="11">
        <f>1/(H5449*Utilities!$B$11)</f>
        <v>8</v>
      </c>
      <c r="K5449" s="11">
        <f>IF(B5449&lt;C5449,1,EXP(-1*(B5449-C5449)/(Utilities!$B$11*IterData!H5449)))</f>
        <v>1</v>
      </c>
    </row>
    <row r="5450" spans="8:11" x14ac:dyDescent="0.3">
      <c r="H5450">
        <v>0.5</v>
      </c>
      <c r="I5450" s="11">
        <f t="shared" si="85"/>
        <v>0</v>
      </c>
      <c r="J5450" s="11">
        <f>1/(H5450*Utilities!$B$11)</f>
        <v>8</v>
      </c>
      <c r="K5450" s="11">
        <f>IF(B5450&lt;C5450,1,EXP(-1*(B5450-C5450)/(Utilities!$B$11*IterData!H5450)))</f>
        <v>1</v>
      </c>
    </row>
    <row r="5451" spans="8:11" x14ac:dyDescent="0.3">
      <c r="H5451">
        <v>0.5</v>
      </c>
      <c r="I5451" s="11">
        <f t="shared" si="85"/>
        <v>0</v>
      </c>
      <c r="J5451" s="11">
        <f>1/(H5451*Utilities!$B$11)</f>
        <v>8</v>
      </c>
      <c r="K5451" s="11">
        <f>IF(B5451&lt;C5451,1,EXP(-1*(B5451-C5451)/(Utilities!$B$11*IterData!H5451)))</f>
        <v>1</v>
      </c>
    </row>
    <row r="5452" spans="8:11" x14ac:dyDescent="0.3">
      <c r="H5452">
        <v>0.5</v>
      </c>
      <c r="I5452" s="11">
        <f t="shared" si="85"/>
        <v>0</v>
      </c>
      <c r="J5452" s="11">
        <f>1/(H5452*Utilities!$B$11)</f>
        <v>8</v>
      </c>
      <c r="K5452" s="11">
        <f>IF(B5452&lt;C5452,1,EXP(-1*(B5452-C5452)/(Utilities!$B$11*IterData!H5452)))</f>
        <v>1</v>
      </c>
    </row>
    <row r="5453" spans="8:11" x14ac:dyDescent="0.3">
      <c r="H5453">
        <v>0.5</v>
      </c>
      <c r="I5453" s="11">
        <f t="shared" si="85"/>
        <v>0</v>
      </c>
      <c r="J5453" s="11">
        <f>1/(H5453*Utilities!$B$11)</f>
        <v>8</v>
      </c>
      <c r="K5453" s="11">
        <f>IF(B5453&lt;C5453,1,EXP(-1*(B5453-C5453)/(Utilities!$B$11*IterData!H5453)))</f>
        <v>1</v>
      </c>
    </row>
    <row r="5454" spans="8:11" x14ac:dyDescent="0.3">
      <c r="H5454">
        <v>0.5</v>
      </c>
      <c r="I5454" s="11">
        <f t="shared" si="85"/>
        <v>0</v>
      </c>
      <c r="J5454" s="11">
        <f>1/(H5454*Utilities!$B$11)</f>
        <v>8</v>
      </c>
      <c r="K5454" s="11">
        <f>IF(B5454&lt;C5454,1,EXP(-1*(B5454-C5454)/(Utilities!$B$11*IterData!H5454)))</f>
        <v>1</v>
      </c>
    </row>
    <row r="5455" spans="8:11" x14ac:dyDescent="0.3">
      <c r="H5455">
        <v>0.5</v>
      </c>
      <c r="I5455" s="11">
        <f t="shared" si="85"/>
        <v>0</v>
      </c>
      <c r="J5455" s="11">
        <f>1/(H5455*Utilities!$B$11)</f>
        <v>8</v>
      </c>
      <c r="K5455" s="11">
        <f>IF(B5455&lt;C5455,1,EXP(-1*(B5455-C5455)/(Utilities!$B$11*IterData!H5455)))</f>
        <v>1</v>
      </c>
    </row>
    <row r="5456" spans="8:11" x14ac:dyDescent="0.3">
      <c r="H5456">
        <v>0.5</v>
      </c>
      <c r="I5456" s="11">
        <f t="shared" si="85"/>
        <v>0</v>
      </c>
      <c r="J5456" s="11">
        <f>1/(H5456*Utilities!$B$11)</f>
        <v>8</v>
      </c>
      <c r="K5456" s="11">
        <f>IF(B5456&lt;C5456,1,EXP(-1*(B5456-C5456)/(Utilities!$B$11*IterData!H5456)))</f>
        <v>1</v>
      </c>
    </row>
    <row r="5457" spans="8:11" x14ac:dyDescent="0.3">
      <c r="H5457">
        <v>0.5</v>
      </c>
      <c r="I5457" s="11">
        <f t="shared" si="85"/>
        <v>0</v>
      </c>
      <c r="J5457" s="11">
        <f>1/(H5457*Utilities!$B$11)</f>
        <v>8</v>
      </c>
      <c r="K5457" s="11">
        <f>IF(B5457&lt;C5457,1,EXP(-1*(B5457-C5457)/(Utilities!$B$11*IterData!H5457)))</f>
        <v>1</v>
      </c>
    </row>
    <row r="5458" spans="8:11" x14ac:dyDescent="0.3">
      <c r="H5458">
        <v>0.5</v>
      </c>
      <c r="I5458" s="11">
        <f t="shared" si="85"/>
        <v>0</v>
      </c>
      <c r="J5458" s="11">
        <f>1/(H5458*Utilities!$B$11)</f>
        <v>8</v>
      </c>
      <c r="K5458" s="11">
        <f>IF(B5458&lt;C5458,1,EXP(-1*(B5458-C5458)/(Utilities!$B$11*IterData!H5458)))</f>
        <v>1</v>
      </c>
    </row>
    <row r="5459" spans="8:11" x14ac:dyDescent="0.3">
      <c r="H5459">
        <v>0.5</v>
      </c>
      <c r="I5459" s="11">
        <f t="shared" si="85"/>
        <v>0</v>
      </c>
      <c r="J5459" s="11">
        <f>1/(H5459*Utilities!$B$11)</f>
        <v>8</v>
      </c>
      <c r="K5459" s="11">
        <f>IF(B5459&lt;C5459,1,EXP(-1*(B5459-C5459)/(Utilities!$B$11*IterData!H5459)))</f>
        <v>1</v>
      </c>
    </row>
    <row r="5460" spans="8:11" x14ac:dyDescent="0.3">
      <c r="H5460">
        <v>0.5</v>
      </c>
      <c r="I5460" s="11">
        <f t="shared" si="85"/>
        <v>0</v>
      </c>
      <c r="J5460" s="11">
        <f>1/(H5460*Utilities!$B$11)</f>
        <v>8</v>
      </c>
      <c r="K5460" s="11">
        <f>IF(B5460&lt;C5460,1,EXP(-1*(B5460-C5460)/(Utilities!$B$11*IterData!H5460)))</f>
        <v>1</v>
      </c>
    </row>
    <row r="5461" spans="8:11" x14ac:dyDescent="0.3">
      <c r="H5461">
        <v>0.5</v>
      </c>
      <c r="I5461" s="11">
        <f t="shared" si="85"/>
        <v>0</v>
      </c>
      <c r="J5461" s="11">
        <f>1/(H5461*Utilities!$B$11)</f>
        <v>8</v>
      </c>
      <c r="K5461" s="11">
        <f>IF(B5461&lt;C5461,1,EXP(-1*(B5461-C5461)/(Utilities!$B$11*IterData!H5461)))</f>
        <v>1</v>
      </c>
    </row>
    <row r="5462" spans="8:11" x14ac:dyDescent="0.3">
      <c r="H5462">
        <v>0.5</v>
      </c>
      <c r="I5462" s="11">
        <f t="shared" si="85"/>
        <v>0</v>
      </c>
      <c r="J5462" s="11">
        <f>1/(H5462*Utilities!$B$11)</f>
        <v>8</v>
      </c>
      <c r="K5462" s="11">
        <f>IF(B5462&lt;C5462,1,EXP(-1*(B5462-C5462)/(Utilities!$B$11*IterData!H5462)))</f>
        <v>1</v>
      </c>
    </row>
    <row r="5463" spans="8:11" x14ac:dyDescent="0.3">
      <c r="H5463">
        <v>0.5</v>
      </c>
      <c r="I5463" s="11">
        <f t="shared" si="85"/>
        <v>0</v>
      </c>
      <c r="J5463" s="11">
        <f>1/(H5463*Utilities!$B$11)</f>
        <v>8</v>
      </c>
      <c r="K5463" s="11">
        <f>IF(B5463&lt;C5463,1,EXP(-1*(B5463-C5463)/(Utilities!$B$11*IterData!H5463)))</f>
        <v>1</v>
      </c>
    </row>
    <row r="5464" spans="8:11" x14ac:dyDescent="0.3">
      <c r="H5464">
        <v>0.5</v>
      </c>
      <c r="I5464" s="11">
        <f t="shared" si="85"/>
        <v>0</v>
      </c>
      <c r="J5464" s="11">
        <f>1/(H5464*Utilities!$B$11)</f>
        <v>8</v>
      </c>
      <c r="K5464" s="11">
        <f>IF(B5464&lt;C5464,1,EXP(-1*(B5464-C5464)/(Utilities!$B$11*IterData!H5464)))</f>
        <v>1</v>
      </c>
    </row>
    <row r="5465" spans="8:11" x14ac:dyDescent="0.3">
      <c r="H5465">
        <v>0.5</v>
      </c>
      <c r="I5465" s="11">
        <f t="shared" si="85"/>
        <v>0</v>
      </c>
      <c r="J5465" s="11">
        <f>1/(H5465*Utilities!$B$11)</f>
        <v>8</v>
      </c>
      <c r="K5465" s="11">
        <f>IF(B5465&lt;C5465,1,EXP(-1*(B5465-C5465)/(Utilities!$B$11*IterData!H5465)))</f>
        <v>1</v>
      </c>
    </row>
    <row r="5466" spans="8:11" x14ac:dyDescent="0.3">
      <c r="H5466">
        <v>0.5</v>
      </c>
      <c r="I5466" s="11">
        <f t="shared" si="85"/>
        <v>0</v>
      </c>
      <c r="J5466" s="11">
        <f>1/(H5466*Utilities!$B$11)</f>
        <v>8</v>
      </c>
      <c r="K5466" s="11">
        <f>IF(B5466&lt;C5466,1,EXP(-1*(B5466-C5466)/(Utilities!$B$11*IterData!H5466)))</f>
        <v>1</v>
      </c>
    </row>
    <row r="5467" spans="8:11" x14ac:dyDescent="0.3">
      <c r="H5467">
        <v>0.5</v>
      </c>
      <c r="I5467" s="11">
        <f t="shared" si="85"/>
        <v>0</v>
      </c>
      <c r="J5467" s="11">
        <f>1/(H5467*Utilities!$B$11)</f>
        <v>8</v>
      </c>
      <c r="K5467" s="11">
        <f>IF(B5467&lt;C5467,1,EXP(-1*(B5467-C5467)/(Utilities!$B$11*IterData!H5467)))</f>
        <v>1</v>
      </c>
    </row>
    <row r="5468" spans="8:11" x14ac:dyDescent="0.3">
      <c r="H5468">
        <v>0.5</v>
      </c>
      <c r="I5468" s="11">
        <f t="shared" si="85"/>
        <v>0</v>
      </c>
      <c r="J5468" s="11">
        <f>1/(H5468*Utilities!$B$11)</f>
        <v>8</v>
      </c>
      <c r="K5468" s="11">
        <f>IF(B5468&lt;C5468,1,EXP(-1*(B5468-C5468)/(Utilities!$B$11*IterData!H5468)))</f>
        <v>1</v>
      </c>
    </row>
    <row r="5469" spans="8:11" x14ac:dyDescent="0.3">
      <c r="H5469">
        <v>0.5</v>
      </c>
      <c r="I5469" s="11">
        <f t="shared" si="85"/>
        <v>0</v>
      </c>
      <c r="J5469" s="11">
        <f>1/(H5469*Utilities!$B$11)</f>
        <v>8</v>
      </c>
      <c r="K5469" s="11">
        <f>IF(B5469&lt;C5469,1,EXP(-1*(B5469-C5469)/(Utilities!$B$11*IterData!H5469)))</f>
        <v>1</v>
      </c>
    </row>
    <row r="5470" spans="8:11" x14ac:dyDescent="0.3">
      <c r="H5470">
        <v>0.5</v>
      </c>
      <c r="I5470" s="11">
        <f t="shared" si="85"/>
        <v>0</v>
      </c>
      <c r="J5470" s="11">
        <f>1/(H5470*Utilities!$B$11)</f>
        <v>8</v>
      </c>
      <c r="K5470" s="11">
        <f>IF(B5470&lt;C5470,1,EXP(-1*(B5470-C5470)/(Utilities!$B$11*IterData!H5470)))</f>
        <v>1</v>
      </c>
    </row>
    <row r="5471" spans="8:11" x14ac:dyDescent="0.3">
      <c r="H5471">
        <v>0.5</v>
      </c>
      <c r="I5471" s="11">
        <f t="shared" si="85"/>
        <v>0</v>
      </c>
      <c r="J5471" s="11">
        <f>1/(H5471*Utilities!$B$11)</f>
        <v>8</v>
      </c>
      <c r="K5471" s="11">
        <f>IF(B5471&lt;C5471,1,EXP(-1*(B5471-C5471)/(Utilities!$B$11*IterData!H5471)))</f>
        <v>1</v>
      </c>
    </row>
    <row r="5472" spans="8:11" x14ac:dyDescent="0.3">
      <c r="H5472">
        <v>0.5</v>
      </c>
      <c r="I5472" s="11">
        <f t="shared" si="85"/>
        <v>0</v>
      </c>
      <c r="J5472" s="11">
        <f>1/(H5472*Utilities!$B$11)</f>
        <v>8</v>
      </c>
      <c r="K5472" s="11">
        <f>IF(B5472&lt;C5472,1,EXP(-1*(B5472-C5472)/(Utilities!$B$11*IterData!H5472)))</f>
        <v>1</v>
      </c>
    </row>
    <row r="5473" spans="8:11" x14ac:dyDescent="0.3">
      <c r="H5473">
        <v>0.5</v>
      </c>
      <c r="I5473" s="11">
        <f t="shared" si="85"/>
        <v>0</v>
      </c>
      <c r="J5473" s="11">
        <f>1/(H5473*Utilities!$B$11)</f>
        <v>8</v>
      </c>
      <c r="K5473" s="11">
        <f>IF(B5473&lt;C5473,1,EXP(-1*(B5473-C5473)/(Utilities!$B$11*IterData!H5473)))</f>
        <v>1</v>
      </c>
    </row>
    <row r="5474" spans="8:11" x14ac:dyDescent="0.3">
      <c r="H5474">
        <v>0.5</v>
      </c>
      <c r="I5474" s="11">
        <f t="shared" si="85"/>
        <v>0</v>
      </c>
      <c r="J5474" s="11">
        <f>1/(H5474*Utilities!$B$11)</f>
        <v>8</v>
      </c>
      <c r="K5474" s="11">
        <f>IF(B5474&lt;C5474,1,EXP(-1*(B5474-C5474)/(Utilities!$B$11*IterData!H5474)))</f>
        <v>1</v>
      </c>
    </row>
    <row r="5475" spans="8:11" x14ac:dyDescent="0.3">
      <c r="H5475">
        <v>0.5</v>
      </c>
      <c r="I5475" s="11">
        <f t="shared" si="85"/>
        <v>0</v>
      </c>
      <c r="J5475" s="11">
        <f>1/(H5475*Utilities!$B$11)</f>
        <v>8</v>
      </c>
      <c r="K5475" s="11">
        <f>IF(B5475&lt;C5475,1,EXP(-1*(B5475-C5475)/(Utilities!$B$11*IterData!H5475)))</f>
        <v>1</v>
      </c>
    </row>
    <row r="5476" spans="8:11" x14ac:dyDescent="0.3">
      <c r="H5476">
        <v>0.5</v>
      </c>
      <c r="I5476" s="11">
        <f t="shared" si="85"/>
        <v>0</v>
      </c>
      <c r="J5476" s="11">
        <f>1/(H5476*Utilities!$B$11)</f>
        <v>8</v>
      </c>
      <c r="K5476" s="11">
        <f>IF(B5476&lt;C5476,1,EXP(-1*(B5476-C5476)/(Utilities!$B$11*IterData!H5476)))</f>
        <v>1</v>
      </c>
    </row>
    <row r="5477" spans="8:11" x14ac:dyDescent="0.3">
      <c r="H5477">
        <v>0.5</v>
      </c>
      <c r="I5477" s="11">
        <f t="shared" si="85"/>
        <v>0</v>
      </c>
      <c r="J5477" s="11">
        <f>1/(H5477*Utilities!$B$11)</f>
        <v>8</v>
      </c>
      <c r="K5477" s="11">
        <f>IF(B5477&lt;C5477,1,EXP(-1*(B5477-C5477)/(Utilities!$B$11*IterData!H5477)))</f>
        <v>1</v>
      </c>
    </row>
    <row r="5478" spans="8:11" x14ac:dyDescent="0.3">
      <c r="H5478">
        <v>0.5</v>
      </c>
      <c r="I5478" s="11">
        <f t="shared" si="85"/>
        <v>0</v>
      </c>
      <c r="J5478" s="11">
        <f>1/(H5478*Utilities!$B$11)</f>
        <v>8</v>
      </c>
      <c r="K5478" s="11">
        <f>IF(B5478&lt;C5478,1,EXP(-1*(B5478-C5478)/(Utilities!$B$11*IterData!H5478)))</f>
        <v>1</v>
      </c>
    </row>
    <row r="5479" spans="8:11" x14ac:dyDescent="0.3">
      <c r="H5479">
        <v>0.5</v>
      </c>
      <c r="I5479" s="11">
        <f t="shared" si="85"/>
        <v>0</v>
      </c>
      <c r="J5479" s="11">
        <f>1/(H5479*Utilities!$B$11)</f>
        <v>8</v>
      </c>
      <c r="K5479" s="11">
        <f>IF(B5479&lt;C5479,1,EXP(-1*(B5479-C5479)/(Utilities!$B$11*IterData!H5479)))</f>
        <v>1</v>
      </c>
    </row>
    <row r="5480" spans="8:11" x14ac:dyDescent="0.3">
      <c r="H5480">
        <v>0.5</v>
      </c>
      <c r="I5480" s="11">
        <f t="shared" si="85"/>
        <v>0</v>
      </c>
      <c r="J5480" s="11">
        <f>1/(H5480*Utilities!$B$11)</f>
        <v>8</v>
      </c>
      <c r="K5480" s="11">
        <f>IF(B5480&lt;C5480,1,EXP(-1*(B5480-C5480)/(Utilities!$B$11*IterData!H5480)))</f>
        <v>1</v>
      </c>
    </row>
    <row r="5481" spans="8:11" x14ac:dyDescent="0.3">
      <c r="H5481">
        <v>0.5</v>
      </c>
      <c r="I5481" s="11">
        <f t="shared" si="85"/>
        <v>0</v>
      </c>
      <c r="J5481" s="11">
        <f>1/(H5481*Utilities!$B$11)</f>
        <v>8</v>
      </c>
      <c r="K5481" s="11">
        <f>IF(B5481&lt;C5481,1,EXP(-1*(B5481-C5481)/(Utilities!$B$11*IterData!H5481)))</f>
        <v>1</v>
      </c>
    </row>
    <row r="5482" spans="8:11" x14ac:dyDescent="0.3">
      <c r="H5482">
        <v>0.5</v>
      </c>
      <c r="I5482" s="11">
        <f t="shared" si="85"/>
        <v>0</v>
      </c>
      <c r="J5482" s="11">
        <f>1/(H5482*Utilities!$B$11)</f>
        <v>8</v>
      </c>
      <c r="K5482" s="11">
        <f>IF(B5482&lt;C5482,1,EXP(-1*(B5482-C5482)/(Utilities!$B$11*IterData!H5482)))</f>
        <v>1</v>
      </c>
    </row>
    <row r="5483" spans="8:11" x14ac:dyDescent="0.3">
      <c r="H5483">
        <v>0.5</v>
      </c>
      <c r="I5483" s="11">
        <f t="shared" si="85"/>
        <v>0</v>
      </c>
      <c r="J5483" s="11">
        <f>1/(H5483*Utilities!$B$11)</f>
        <v>8</v>
      </c>
      <c r="K5483" s="11">
        <f>IF(B5483&lt;C5483,1,EXP(-1*(B5483-C5483)/(Utilities!$B$11*IterData!H5483)))</f>
        <v>1</v>
      </c>
    </row>
    <row r="5484" spans="8:11" x14ac:dyDescent="0.3">
      <c r="H5484">
        <v>0.5</v>
      </c>
      <c r="I5484" s="11">
        <f t="shared" si="85"/>
        <v>0</v>
      </c>
      <c r="J5484" s="11">
        <f>1/(H5484*Utilities!$B$11)</f>
        <v>8</v>
      </c>
      <c r="K5484" s="11">
        <f>IF(B5484&lt;C5484,1,EXP(-1*(B5484-C5484)/(Utilities!$B$11*IterData!H5484)))</f>
        <v>1</v>
      </c>
    </row>
    <row r="5485" spans="8:11" x14ac:dyDescent="0.3">
      <c r="H5485">
        <v>0.5</v>
      </c>
      <c r="I5485" s="11">
        <f t="shared" si="85"/>
        <v>0</v>
      </c>
      <c r="J5485" s="11">
        <f>1/(H5485*Utilities!$B$11)</f>
        <v>8</v>
      </c>
      <c r="K5485" s="11">
        <f>IF(B5485&lt;C5485,1,EXP(-1*(B5485-C5485)/(Utilities!$B$11*IterData!H5485)))</f>
        <v>1</v>
      </c>
    </row>
    <row r="5486" spans="8:11" x14ac:dyDescent="0.3">
      <c r="H5486">
        <v>0.5</v>
      </c>
      <c r="I5486" s="11">
        <f t="shared" si="85"/>
        <v>0</v>
      </c>
      <c r="J5486" s="11">
        <f>1/(H5486*Utilities!$B$11)</f>
        <v>8</v>
      </c>
      <c r="K5486" s="11">
        <f>IF(B5486&lt;C5486,1,EXP(-1*(B5486-C5486)/(Utilities!$B$11*IterData!H5486)))</f>
        <v>1</v>
      </c>
    </row>
    <row r="5487" spans="8:11" x14ac:dyDescent="0.3">
      <c r="H5487">
        <v>0.5</v>
      </c>
      <c r="I5487" s="11">
        <f t="shared" si="85"/>
        <v>0</v>
      </c>
      <c r="J5487" s="11">
        <f>1/(H5487*Utilities!$B$11)</f>
        <v>8</v>
      </c>
      <c r="K5487" s="11">
        <f>IF(B5487&lt;C5487,1,EXP(-1*(B5487-C5487)/(Utilities!$B$11*IterData!H5487)))</f>
        <v>1</v>
      </c>
    </row>
    <row r="5488" spans="8:11" x14ac:dyDescent="0.3">
      <c r="H5488">
        <v>0.5</v>
      </c>
      <c r="I5488" s="11">
        <f t="shared" si="85"/>
        <v>0</v>
      </c>
      <c r="J5488" s="11">
        <f>1/(H5488*Utilities!$B$11)</f>
        <v>8</v>
      </c>
      <c r="K5488" s="11">
        <f>IF(B5488&lt;C5488,1,EXP(-1*(B5488-C5488)/(Utilities!$B$11*IterData!H5488)))</f>
        <v>1</v>
      </c>
    </row>
    <row r="5489" spans="8:11" x14ac:dyDescent="0.3">
      <c r="H5489">
        <v>0.5</v>
      </c>
      <c r="I5489" s="11">
        <f t="shared" si="85"/>
        <v>0</v>
      </c>
      <c r="J5489" s="11">
        <f>1/(H5489*Utilities!$B$11)</f>
        <v>8</v>
      </c>
      <c r="K5489" s="11">
        <f>IF(B5489&lt;C5489,1,EXP(-1*(B5489-C5489)/(Utilities!$B$11*IterData!H5489)))</f>
        <v>1</v>
      </c>
    </row>
    <row r="5490" spans="8:11" x14ac:dyDescent="0.3">
      <c r="H5490">
        <v>0.5</v>
      </c>
      <c r="I5490" s="11">
        <f t="shared" si="85"/>
        <v>0</v>
      </c>
      <c r="J5490" s="11">
        <f>1/(H5490*Utilities!$B$11)</f>
        <v>8</v>
      </c>
      <c r="K5490" s="11">
        <f>IF(B5490&lt;C5490,1,EXP(-1*(B5490-C5490)/(Utilities!$B$11*IterData!H5490)))</f>
        <v>1</v>
      </c>
    </row>
    <row r="5491" spans="8:11" x14ac:dyDescent="0.3">
      <c r="H5491">
        <v>0.5</v>
      </c>
      <c r="I5491" s="11">
        <f t="shared" si="85"/>
        <v>0</v>
      </c>
      <c r="J5491" s="11">
        <f>1/(H5491*Utilities!$B$11)</f>
        <v>8</v>
      </c>
      <c r="K5491" s="11">
        <f>IF(B5491&lt;C5491,1,EXP(-1*(B5491-C5491)/(Utilities!$B$11*IterData!H5491)))</f>
        <v>1</v>
      </c>
    </row>
    <row r="5492" spans="8:11" x14ac:dyDescent="0.3">
      <c r="H5492">
        <v>0.5</v>
      </c>
      <c r="I5492" s="11">
        <f t="shared" si="85"/>
        <v>0</v>
      </c>
      <c r="J5492" s="11">
        <f>1/(H5492*Utilities!$B$11)</f>
        <v>8</v>
      </c>
      <c r="K5492" s="11">
        <f>IF(B5492&lt;C5492,1,EXP(-1*(B5492-C5492)/(Utilities!$B$11*IterData!H5492)))</f>
        <v>1</v>
      </c>
    </row>
    <row r="5493" spans="8:11" x14ac:dyDescent="0.3">
      <c r="H5493">
        <v>0.5</v>
      </c>
      <c r="I5493" s="11">
        <f t="shared" si="85"/>
        <v>0</v>
      </c>
      <c r="J5493" s="11">
        <f>1/(H5493*Utilities!$B$11)</f>
        <v>8</v>
      </c>
      <c r="K5493" s="11">
        <f>IF(B5493&lt;C5493,1,EXP(-1*(B5493-C5493)/(Utilities!$B$11*IterData!H5493)))</f>
        <v>1</v>
      </c>
    </row>
    <row r="5494" spans="8:11" x14ac:dyDescent="0.3">
      <c r="H5494">
        <v>0.5</v>
      </c>
      <c r="I5494" s="11">
        <f t="shared" si="85"/>
        <v>0</v>
      </c>
      <c r="J5494" s="11">
        <f>1/(H5494*Utilities!$B$11)</f>
        <v>8</v>
      </c>
      <c r="K5494" s="11">
        <f>IF(B5494&lt;C5494,1,EXP(-1*(B5494-C5494)/(Utilities!$B$11*IterData!H5494)))</f>
        <v>1</v>
      </c>
    </row>
    <row r="5495" spans="8:11" x14ac:dyDescent="0.3">
      <c r="H5495">
        <v>0.5</v>
      </c>
      <c r="I5495" s="11">
        <f t="shared" si="85"/>
        <v>0</v>
      </c>
      <c r="J5495" s="11">
        <f>1/(H5495*Utilities!$B$11)</f>
        <v>8</v>
      </c>
      <c r="K5495" s="11">
        <f>IF(B5495&lt;C5495,1,EXP(-1*(B5495-C5495)/(Utilities!$B$11*IterData!H5495)))</f>
        <v>1</v>
      </c>
    </row>
    <row r="5496" spans="8:11" x14ac:dyDescent="0.3">
      <c r="H5496">
        <v>0.5</v>
      </c>
      <c r="I5496" s="11">
        <f t="shared" si="85"/>
        <v>0</v>
      </c>
      <c r="J5496" s="11">
        <f>1/(H5496*Utilities!$B$11)</f>
        <v>8</v>
      </c>
      <c r="K5496" s="11">
        <f>IF(B5496&lt;C5496,1,EXP(-1*(B5496-C5496)/(Utilities!$B$11*IterData!H5496)))</f>
        <v>1</v>
      </c>
    </row>
    <row r="5497" spans="8:11" x14ac:dyDescent="0.3">
      <c r="H5497">
        <v>0.5</v>
      </c>
      <c r="I5497" s="11">
        <f t="shared" si="85"/>
        <v>0</v>
      </c>
      <c r="J5497" s="11">
        <f>1/(H5497*Utilities!$B$11)</f>
        <v>8</v>
      </c>
      <c r="K5497" s="11">
        <f>IF(B5497&lt;C5497,1,EXP(-1*(B5497-C5497)/(Utilities!$B$11*IterData!H5497)))</f>
        <v>1</v>
      </c>
    </row>
    <row r="5498" spans="8:11" x14ac:dyDescent="0.3">
      <c r="H5498">
        <v>0.5</v>
      </c>
      <c r="I5498" s="11">
        <f t="shared" si="85"/>
        <v>0</v>
      </c>
      <c r="J5498" s="11">
        <f>1/(H5498*Utilities!$B$11)</f>
        <v>8</v>
      </c>
      <c r="K5498" s="11">
        <f>IF(B5498&lt;C5498,1,EXP(-1*(B5498-C5498)/(Utilities!$B$11*IterData!H5498)))</f>
        <v>1</v>
      </c>
    </row>
    <row r="5499" spans="8:11" x14ac:dyDescent="0.3">
      <c r="H5499">
        <v>0.5</v>
      </c>
      <c r="I5499" s="11">
        <f t="shared" si="85"/>
        <v>0</v>
      </c>
      <c r="J5499" s="11">
        <f>1/(H5499*Utilities!$B$11)</f>
        <v>8</v>
      </c>
      <c r="K5499" s="11">
        <f>IF(B5499&lt;C5499,1,EXP(-1*(B5499-C5499)/(Utilities!$B$11*IterData!H5499)))</f>
        <v>1</v>
      </c>
    </row>
    <row r="5500" spans="8:11" x14ac:dyDescent="0.3">
      <c r="H5500">
        <v>0.5</v>
      </c>
      <c r="I5500" s="11">
        <f t="shared" si="85"/>
        <v>0</v>
      </c>
      <c r="J5500" s="11">
        <f>1/(H5500*Utilities!$B$11)</f>
        <v>8</v>
      </c>
      <c r="K5500" s="11">
        <f>IF(B5500&lt;C5500,1,EXP(-1*(B5500-C5500)/(Utilities!$B$11*IterData!H5500)))</f>
        <v>1</v>
      </c>
    </row>
    <row r="5501" spans="8:11" x14ac:dyDescent="0.3">
      <c r="H5501">
        <v>0.5</v>
      </c>
      <c r="I5501" s="11">
        <f t="shared" si="85"/>
        <v>0</v>
      </c>
      <c r="J5501" s="11">
        <f>1/(H5501*Utilities!$B$11)</f>
        <v>8</v>
      </c>
      <c r="K5501" s="11">
        <f>IF(B5501&lt;C5501,1,EXP(-1*(B5501-C5501)/(Utilities!$B$11*IterData!H5501)))</f>
        <v>1</v>
      </c>
    </row>
    <row r="5502" spans="8:11" x14ac:dyDescent="0.3">
      <c r="H5502">
        <v>0.5</v>
      </c>
      <c r="I5502" s="11">
        <f t="shared" si="85"/>
        <v>0</v>
      </c>
      <c r="J5502" s="11">
        <f>1/(H5502*Utilities!$B$11)</f>
        <v>8</v>
      </c>
      <c r="K5502" s="11">
        <f>IF(B5502&lt;C5502,1,EXP(-1*(B5502-C5502)/(Utilities!$B$11*IterData!H5502)))</f>
        <v>1</v>
      </c>
    </row>
    <row r="5503" spans="8:11" x14ac:dyDescent="0.3">
      <c r="H5503">
        <v>0.5</v>
      </c>
      <c r="I5503" s="11">
        <f t="shared" si="85"/>
        <v>0</v>
      </c>
      <c r="J5503" s="11">
        <f>1/(H5503*Utilities!$B$11)</f>
        <v>8</v>
      </c>
      <c r="K5503" s="11">
        <f>IF(B5503&lt;C5503,1,EXP(-1*(B5503-C5503)/(Utilities!$B$11*IterData!H5503)))</f>
        <v>1</v>
      </c>
    </row>
    <row r="5504" spans="8:11" x14ac:dyDescent="0.3">
      <c r="H5504">
        <v>0.5</v>
      </c>
      <c r="I5504" s="11">
        <f t="shared" si="85"/>
        <v>0</v>
      </c>
      <c r="J5504" s="11">
        <f>1/(H5504*Utilities!$B$11)</f>
        <v>8</v>
      </c>
      <c r="K5504" s="11">
        <f>IF(B5504&lt;C5504,1,EXP(-1*(B5504-C5504)/(Utilities!$B$11*IterData!H5504)))</f>
        <v>1</v>
      </c>
    </row>
    <row r="5505" spans="8:11" x14ac:dyDescent="0.3">
      <c r="H5505">
        <v>0.5</v>
      </c>
      <c r="I5505" s="11">
        <f t="shared" si="85"/>
        <v>0</v>
      </c>
      <c r="J5505" s="11">
        <f>1/(H5505*Utilities!$B$11)</f>
        <v>8</v>
      </c>
      <c r="K5505" s="11">
        <f>IF(B5505&lt;C5505,1,EXP(-1*(B5505-C5505)/(Utilities!$B$11*IterData!H5505)))</f>
        <v>1</v>
      </c>
    </row>
    <row r="5506" spans="8:11" x14ac:dyDescent="0.3">
      <c r="H5506">
        <v>0.5</v>
      </c>
      <c r="I5506" s="11">
        <f t="shared" si="85"/>
        <v>0</v>
      </c>
      <c r="J5506" s="11">
        <f>1/(H5506*Utilities!$B$11)</f>
        <v>8</v>
      </c>
      <c r="K5506" s="11">
        <f>IF(B5506&lt;C5506,1,EXP(-1*(B5506-C5506)/(Utilities!$B$11*IterData!H5506)))</f>
        <v>1</v>
      </c>
    </row>
    <row r="5507" spans="8:11" x14ac:dyDescent="0.3">
      <c r="H5507">
        <v>0.5</v>
      </c>
      <c r="I5507" s="11">
        <f t="shared" ref="I5507:I5570" si="86">B5507-C5507</f>
        <v>0</v>
      </c>
      <c r="J5507" s="11">
        <f>1/(H5507*Utilities!$B$11)</f>
        <v>8</v>
      </c>
      <c r="K5507" s="11">
        <f>IF(B5507&lt;C5507,1,EXP(-1*(B5507-C5507)/(Utilities!$B$11*IterData!H5507)))</f>
        <v>1</v>
      </c>
    </row>
    <row r="5508" spans="8:11" x14ac:dyDescent="0.3">
      <c r="H5508">
        <v>0.5</v>
      </c>
      <c r="I5508" s="11">
        <f t="shared" si="86"/>
        <v>0</v>
      </c>
      <c r="J5508" s="11">
        <f>1/(H5508*Utilities!$B$11)</f>
        <v>8</v>
      </c>
      <c r="K5508" s="11">
        <f>IF(B5508&lt;C5508,1,EXP(-1*(B5508-C5508)/(Utilities!$B$11*IterData!H5508)))</f>
        <v>1</v>
      </c>
    </row>
    <row r="5509" spans="8:11" x14ac:dyDescent="0.3">
      <c r="H5509">
        <v>0.5</v>
      </c>
      <c r="I5509" s="11">
        <f t="shared" si="86"/>
        <v>0</v>
      </c>
      <c r="J5509" s="11">
        <f>1/(H5509*Utilities!$B$11)</f>
        <v>8</v>
      </c>
      <c r="K5509" s="11">
        <f>IF(B5509&lt;C5509,1,EXP(-1*(B5509-C5509)/(Utilities!$B$11*IterData!H5509)))</f>
        <v>1</v>
      </c>
    </row>
    <row r="5510" spans="8:11" x14ac:dyDescent="0.3">
      <c r="H5510">
        <v>0.5</v>
      </c>
      <c r="I5510" s="11">
        <f t="shared" si="86"/>
        <v>0</v>
      </c>
      <c r="J5510" s="11">
        <f>1/(H5510*Utilities!$B$11)</f>
        <v>8</v>
      </c>
      <c r="K5510" s="11">
        <f>IF(B5510&lt;C5510,1,EXP(-1*(B5510-C5510)/(Utilities!$B$11*IterData!H5510)))</f>
        <v>1</v>
      </c>
    </row>
    <row r="5511" spans="8:11" x14ac:dyDescent="0.3">
      <c r="H5511">
        <v>0.5</v>
      </c>
      <c r="I5511" s="11">
        <f t="shared" si="86"/>
        <v>0</v>
      </c>
      <c r="J5511" s="11">
        <f>1/(H5511*Utilities!$B$11)</f>
        <v>8</v>
      </c>
      <c r="K5511" s="11">
        <f>IF(B5511&lt;C5511,1,EXP(-1*(B5511-C5511)/(Utilities!$B$11*IterData!H5511)))</f>
        <v>1</v>
      </c>
    </row>
    <row r="5512" spans="8:11" x14ac:dyDescent="0.3">
      <c r="H5512">
        <v>0.5</v>
      </c>
      <c r="I5512" s="11">
        <f t="shared" si="86"/>
        <v>0</v>
      </c>
      <c r="J5512" s="11">
        <f>1/(H5512*Utilities!$B$11)</f>
        <v>8</v>
      </c>
      <c r="K5512" s="11">
        <f>IF(B5512&lt;C5512,1,EXP(-1*(B5512-C5512)/(Utilities!$B$11*IterData!H5512)))</f>
        <v>1</v>
      </c>
    </row>
    <row r="5513" spans="8:11" x14ac:dyDescent="0.3">
      <c r="H5513">
        <v>0.5</v>
      </c>
      <c r="I5513" s="11">
        <f t="shared" si="86"/>
        <v>0</v>
      </c>
      <c r="J5513" s="11">
        <f>1/(H5513*Utilities!$B$11)</f>
        <v>8</v>
      </c>
      <c r="K5513" s="11">
        <f>IF(B5513&lt;C5513,1,EXP(-1*(B5513-C5513)/(Utilities!$B$11*IterData!H5513)))</f>
        <v>1</v>
      </c>
    </row>
    <row r="5514" spans="8:11" x14ac:dyDescent="0.3">
      <c r="H5514">
        <v>0.5</v>
      </c>
      <c r="I5514" s="11">
        <f t="shared" si="86"/>
        <v>0</v>
      </c>
      <c r="J5514" s="11">
        <f>1/(H5514*Utilities!$B$11)</f>
        <v>8</v>
      </c>
      <c r="K5514" s="11">
        <f>IF(B5514&lt;C5514,1,EXP(-1*(B5514-C5514)/(Utilities!$B$11*IterData!H5514)))</f>
        <v>1</v>
      </c>
    </row>
    <row r="5515" spans="8:11" x14ac:dyDescent="0.3">
      <c r="H5515">
        <v>0.5</v>
      </c>
      <c r="I5515" s="11">
        <f t="shared" si="86"/>
        <v>0</v>
      </c>
      <c r="J5515" s="11">
        <f>1/(H5515*Utilities!$B$11)</f>
        <v>8</v>
      </c>
      <c r="K5515" s="11">
        <f>IF(B5515&lt;C5515,1,EXP(-1*(B5515-C5515)/(Utilities!$B$11*IterData!H5515)))</f>
        <v>1</v>
      </c>
    </row>
    <row r="5516" spans="8:11" x14ac:dyDescent="0.3">
      <c r="H5516">
        <v>0.5</v>
      </c>
      <c r="I5516" s="11">
        <f t="shared" si="86"/>
        <v>0</v>
      </c>
      <c r="J5516" s="11">
        <f>1/(H5516*Utilities!$B$11)</f>
        <v>8</v>
      </c>
      <c r="K5516" s="11">
        <f>IF(B5516&lt;C5516,1,EXP(-1*(B5516-C5516)/(Utilities!$B$11*IterData!H5516)))</f>
        <v>1</v>
      </c>
    </row>
    <row r="5517" spans="8:11" x14ac:dyDescent="0.3">
      <c r="H5517">
        <v>0.5</v>
      </c>
      <c r="I5517" s="11">
        <f t="shared" si="86"/>
        <v>0</v>
      </c>
      <c r="J5517" s="11">
        <f>1/(H5517*Utilities!$B$11)</f>
        <v>8</v>
      </c>
      <c r="K5517" s="11">
        <f>IF(B5517&lt;C5517,1,EXP(-1*(B5517-C5517)/(Utilities!$B$11*IterData!H5517)))</f>
        <v>1</v>
      </c>
    </row>
    <row r="5518" spans="8:11" x14ac:dyDescent="0.3">
      <c r="H5518">
        <v>0.5</v>
      </c>
      <c r="I5518" s="11">
        <f t="shared" si="86"/>
        <v>0</v>
      </c>
      <c r="J5518" s="11">
        <f>1/(H5518*Utilities!$B$11)</f>
        <v>8</v>
      </c>
      <c r="K5518" s="11">
        <f>IF(B5518&lt;C5518,1,EXP(-1*(B5518-C5518)/(Utilities!$B$11*IterData!H5518)))</f>
        <v>1</v>
      </c>
    </row>
    <row r="5519" spans="8:11" x14ac:dyDescent="0.3">
      <c r="H5519">
        <v>0.5</v>
      </c>
      <c r="I5519" s="11">
        <f t="shared" si="86"/>
        <v>0</v>
      </c>
      <c r="J5519" s="11">
        <f>1/(H5519*Utilities!$B$11)</f>
        <v>8</v>
      </c>
      <c r="K5519" s="11">
        <f>IF(B5519&lt;C5519,1,EXP(-1*(B5519-C5519)/(Utilities!$B$11*IterData!H5519)))</f>
        <v>1</v>
      </c>
    </row>
    <row r="5520" spans="8:11" x14ac:dyDescent="0.3">
      <c r="H5520">
        <v>0.5</v>
      </c>
      <c r="I5520" s="11">
        <f t="shared" si="86"/>
        <v>0</v>
      </c>
      <c r="J5520" s="11">
        <f>1/(H5520*Utilities!$B$11)</f>
        <v>8</v>
      </c>
      <c r="K5520" s="11">
        <f>IF(B5520&lt;C5520,1,EXP(-1*(B5520-C5520)/(Utilities!$B$11*IterData!H5520)))</f>
        <v>1</v>
      </c>
    </row>
    <row r="5521" spans="8:11" x14ac:dyDescent="0.3">
      <c r="H5521">
        <v>0.5</v>
      </c>
      <c r="I5521" s="11">
        <f t="shared" si="86"/>
        <v>0</v>
      </c>
      <c r="J5521" s="11">
        <f>1/(H5521*Utilities!$B$11)</f>
        <v>8</v>
      </c>
      <c r="K5521" s="11">
        <f>IF(B5521&lt;C5521,1,EXP(-1*(B5521-C5521)/(Utilities!$B$11*IterData!H5521)))</f>
        <v>1</v>
      </c>
    </row>
    <row r="5522" spans="8:11" x14ac:dyDescent="0.3">
      <c r="H5522">
        <v>0.5</v>
      </c>
      <c r="I5522" s="11">
        <f t="shared" si="86"/>
        <v>0</v>
      </c>
      <c r="J5522" s="11">
        <f>1/(H5522*Utilities!$B$11)</f>
        <v>8</v>
      </c>
      <c r="K5522" s="11">
        <f>IF(B5522&lt;C5522,1,EXP(-1*(B5522-C5522)/(Utilities!$B$11*IterData!H5522)))</f>
        <v>1</v>
      </c>
    </row>
    <row r="5523" spans="8:11" x14ac:dyDescent="0.3">
      <c r="H5523">
        <v>0.5</v>
      </c>
      <c r="I5523" s="11">
        <f t="shared" si="86"/>
        <v>0</v>
      </c>
      <c r="J5523" s="11">
        <f>1/(H5523*Utilities!$B$11)</f>
        <v>8</v>
      </c>
      <c r="K5523" s="11">
        <f>IF(B5523&lt;C5523,1,EXP(-1*(B5523-C5523)/(Utilities!$B$11*IterData!H5523)))</f>
        <v>1</v>
      </c>
    </row>
    <row r="5524" spans="8:11" x14ac:dyDescent="0.3">
      <c r="H5524">
        <v>0.5</v>
      </c>
      <c r="I5524" s="11">
        <f t="shared" si="86"/>
        <v>0</v>
      </c>
      <c r="J5524" s="11">
        <f>1/(H5524*Utilities!$B$11)</f>
        <v>8</v>
      </c>
      <c r="K5524" s="11">
        <f>IF(B5524&lt;C5524,1,EXP(-1*(B5524-C5524)/(Utilities!$B$11*IterData!H5524)))</f>
        <v>1</v>
      </c>
    </row>
    <row r="5525" spans="8:11" x14ac:dyDescent="0.3">
      <c r="H5525">
        <v>0.5</v>
      </c>
      <c r="I5525" s="11">
        <f t="shared" si="86"/>
        <v>0</v>
      </c>
      <c r="J5525" s="11">
        <f>1/(H5525*Utilities!$B$11)</f>
        <v>8</v>
      </c>
      <c r="K5525" s="11">
        <f>IF(B5525&lt;C5525,1,EXP(-1*(B5525-C5525)/(Utilities!$B$11*IterData!H5525)))</f>
        <v>1</v>
      </c>
    </row>
    <row r="5526" spans="8:11" x14ac:dyDescent="0.3">
      <c r="H5526">
        <v>0.5</v>
      </c>
      <c r="I5526" s="11">
        <f t="shared" si="86"/>
        <v>0</v>
      </c>
      <c r="J5526" s="11">
        <f>1/(H5526*Utilities!$B$11)</f>
        <v>8</v>
      </c>
      <c r="K5526" s="11">
        <f>IF(B5526&lt;C5526,1,EXP(-1*(B5526-C5526)/(Utilities!$B$11*IterData!H5526)))</f>
        <v>1</v>
      </c>
    </row>
    <row r="5527" spans="8:11" x14ac:dyDescent="0.3">
      <c r="H5527">
        <v>0.5</v>
      </c>
      <c r="I5527" s="11">
        <f t="shared" si="86"/>
        <v>0</v>
      </c>
      <c r="J5527" s="11">
        <f>1/(H5527*Utilities!$B$11)</f>
        <v>8</v>
      </c>
      <c r="K5527" s="11">
        <f>IF(B5527&lt;C5527,1,EXP(-1*(B5527-C5527)/(Utilities!$B$11*IterData!H5527)))</f>
        <v>1</v>
      </c>
    </row>
    <row r="5528" spans="8:11" x14ac:dyDescent="0.3">
      <c r="H5528">
        <v>0.5</v>
      </c>
      <c r="I5528" s="11">
        <f t="shared" si="86"/>
        <v>0</v>
      </c>
      <c r="J5528" s="11">
        <f>1/(H5528*Utilities!$B$11)</f>
        <v>8</v>
      </c>
      <c r="K5528" s="11">
        <f>IF(B5528&lt;C5528,1,EXP(-1*(B5528-C5528)/(Utilities!$B$11*IterData!H5528)))</f>
        <v>1</v>
      </c>
    </row>
    <row r="5529" spans="8:11" x14ac:dyDescent="0.3">
      <c r="H5529">
        <v>0.5</v>
      </c>
      <c r="I5529" s="11">
        <f t="shared" si="86"/>
        <v>0</v>
      </c>
      <c r="J5529" s="11">
        <f>1/(H5529*Utilities!$B$11)</f>
        <v>8</v>
      </c>
      <c r="K5529" s="11">
        <f>IF(B5529&lt;C5529,1,EXP(-1*(B5529-C5529)/(Utilities!$B$11*IterData!H5529)))</f>
        <v>1</v>
      </c>
    </row>
    <row r="5530" spans="8:11" x14ac:dyDescent="0.3">
      <c r="H5530">
        <v>0.5</v>
      </c>
      <c r="I5530" s="11">
        <f t="shared" si="86"/>
        <v>0</v>
      </c>
      <c r="J5530" s="11">
        <f>1/(H5530*Utilities!$B$11)</f>
        <v>8</v>
      </c>
      <c r="K5530" s="11">
        <f>IF(B5530&lt;C5530,1,EXP(-1*(B5530-C5530)/(Utilities!$B$11*IterData!H5530)))</f>
        <v>1</v>
      </c>
    </row>
    <row r="5531" spans="8:11" x14ac:dyDescent="0.3">
      <c r="H5531">
        <v>0.5</v>
      </c>
      <c r="I5531" s="11">
        <f t="shared" si="86"/>
        <v>0</v>
      </c>
      <c r="J5531" s="11">
        <f>1/(H5531*Utilities!$B$11)</f>
        <v>8</v>
      </c>
      <c r="K5531" s="11">
        <f>IF(B5531&lt;C5531,1,EXP(-1*(B5531-C5531)/(Utilities!$B$11*IterData!H5531)))</f>
        <v>1</v>
      </c>
    </row>
    <row r="5532" spans="8:11" x14ac:dyDescent="0.3">
      <c r="H5532">
        <v>0.5</v>
      </c>
      <c r="I5532" s="11">
        <f t="shared" si="86"/>
        <v>0</v>
      </c>
      <c r="J5532" s="11">
        <f>1/(H5532*Utilities!$B$11)</f>
        <v>8</v>
      </c>
      <c r="K5532" s="11">
        <f>IF(B5532&lt;C5532,1,EXP(-1*(B5532-C5532)/(Utilities!$B$11*IterData!H5532)))</f>
        <v>1</v>
      </c>
    </row>
    <row r="5533" spans="8:11" x14ac:dyDescent="0.3">
      <c r="H5533">
        <v>0.5</v>
      </c>
      <c r="I5533" s="11">
        <f t="shared" si="86"/>
        <v>0</v>
      </c>
      <c r="J5533" s="11">
        <f>1/(H5533*Utilities!$B$11)</f>
        <v>8</v>
      </c>
      <c r="K5533" s="11">
        <f>IF(B5533&lt;C5533,1,EXP(-1*(B5533-C5533)/(Utilities!$B$11*IterData!H5533)))</f>
        <v>1</v>
      </c>
    </row>
    <row r="5534" spans="8:11" x14ac:dyDescent="0.3">
      <c r="H5534">
        <v>0.5</v>
      </c>
      <c r="I5534" s="11">
        <f t="shared" si="86"/>
        <v>0</v>
      </c>
      <c r="J5534" s="11">
        <f>1/(H5534*Utilities!$B$11)</f>
        <v>8</v>
      </c>
      <c r="K5534" s="11">
        <f>IF(B5534&lt;C5534,1,EXP(-1*(B5534-C5534)/(Utilities!$B$11*IterData!H5534)))</f>
        <v>1</v>
      </c>
    </row>
    <row r="5535" spans="8:11" x14ac:dyDescent="0.3">
      <c r="H5535">
        <v>0.5</v>
      </c>
      <c r="I5535" s="11">
        <f t="shared" si="86"/>
        <v>0</v>
      </c>
      <c r="J5535" s="11">
        <f>1/(H5535*Utilities!$B$11)</f>
        <v>8</v>
      </c>
      <c r="K5535" s="11">
        <f>IF(B5535&lt;C5535,1,EXP(-1*(B5535-C5535)/(Utilities!$B$11*IterData!H5535)))</f>
        <v>1</v>
      </c>
    </row>
    <row r="5536" spans="8:11" x14ac:dyDescent="0.3">
      <c r="H5536">
        <v>0.5</v>
      </c>
      <c r="I5536" s="11">
        <f t="shared" si="86"/>
        <v>0</v>
      </c>
      <c r="J5536" s="11">
        <f>1/(H5536*Utilities!$B$11)</f>
        <v>8</v>
      </c>
      <c r="K5536" s="11">
        <f>IF(B5536&lt;C5536,1,EXP(-1*(B5536-C5536)/(Utilities!$B$11*IterData!H5536)))</f>
        <v>1</v>
      </c>
    </row>
    <row r="5537" spans="8:11" x14ac:dyDescent="0.3">
      <c r="H5537">
        <v>0.5</v>
      </c>
      <c r="I5537" s="11">
        <f t="shared" si="86"/>
        <v>0</v>
      </c>
      <c r="J5537" s="11">
        <f>1/(H5537*Utilities!$B$11)</f>
        <v>8</v>
      </c>
      <c r="K5537" s="11">
        <f>IF(B5537&lt;C5537,1,EXP(-1*(B5537-C5537)/(Utilities!$B$11*IterData!H5537)))</f>
        <v>1</v>
      </c>
    </row>
    <row r="5538" spans="8:11" x14ac:dyDescent="0.3">
      <c r="H5538">
        <v>0.5</v>
      </c>
      <c r="I5538" s="11">
        <f t="shared" si="86"/>
        <v>0</v>
      </c>
      <c r="J5538" s="11">
        <f>1/(H5538*Utilities!$B$11)</f>
        <v>8</v>
      </c>
      <c r="K5538" s="11">
        <f>IF(B5538&lt;C5538,1,EXP(-1*(B5538-C5538)/(Utilities!$B$11*IterData!H5538)))</f>
        <v>1</v>
      </c>
    </row>
    <row r="5539" spans="8:11" x14ac:dyDescent="0.3">
      <c r="H5539">
        <v>0.5</v>
      </c>
      <c r="I5539" s="11">
        <f t="shared" si="86"/>
        <v>0</v>
      </c>
      <c r="J5539" s="11">
        <f>1/(H5539*Utilities!$B$11)</f>
        <v>8</v>
      </c>
      <c r="K5539" s="11">
        <f>IF(B5539&lt;C5539,1,EXP(-1*(B5539-C5539)/(Utilities!$B$11*IterData!H5539)))</f>
        <v>1</v>
      </c>
    </row>
    <row r="5540" spans="8:11" x14ac:dyDescent="0.3">
      <c r="H5540">
        <v>0.5</v>
      </c>
      <c r="I5540" s="11">
        <f t="shared" si="86"/>
        <v>0</v>
      </c>
      <c r="J5540" s="11">
        <f>1/(H5540*Utilities!$B$11)</f>
        <v>8</v>
      </c>
      <c r="K5540" s="11">
        <f>IF(B5540&lt;C5540,1,EXP(-1*(B5540-C5540)/(Utilities!$B$11*IterData!H5540)))</f>
        <v>1</v>
      </c>
    </row>
    <row r="5541" spans="8:11" x14ac:dyDescent="0.3">
      <c r="H5541">
        <v>0.5</v>
      </c>
      <c r="I5541" s="11">
        <f t="shared" si="86"/>
        <v>0</v>
      </c>
      <c r="J5541" s="11">
        <f>1/(H5541*Utilities!$B$11)</f>
        <v>8</v>
      </c>
      <c r="K5541" s="11">
        <f>IF(B5541&lt;C5541,1,EXP(-1*(B5541-C5541)/(Utilities!$B$11*IterData!H5541)))</f>
        <v>1</v>
      </c>
    </row>
    <row r="5542" spans="8:11" x14ac:dyDescent="0.3">
      <c r="H5542">
        <v>0.5</v>
      </c>
      <c r="I5542" s="11">
        <f t="shared" si="86"/>
        <v>0</v>
      </c>
      <c r="J5542" s="11">
        <f>1/(H5542*Utilities!$B$11)</f>
        <v>8</v>
      </c>
      <c r="K5542" s="11">
        <f>IF(B5542&lt;C5542,1,EXP(-1*(B5542-C5542)/(Utilities!$B$11*IterData!H5542)))</f>
        <v>1</v>
      </c>
    </row>
    <row r="5543" spans="8:11" x14ac:dyDescent="0.3">
      <c r="H5543">
        <v>0.5</v>
      </c>
      <c r="I5543" s="11">
        <f t="shared" si="86"/>
        <v>0</v>
      </c>
      <c r="J5543" s="11">
        <f>1/(H5543*Utilities!$B$11)</f>
        <v>8</v>
      </c>
      <c r="K5543" s="11">
        <f>IF(B5543&lt;C5543,1,EXP(-1*(B5543-C5543)/(Utilities!$B$11*IterData!H5543)))</f>
        <v>1</v>
      </c>
    </row>
    <row r="5544" spans="8:11" x14ac:dyDescent="0.3">
      <c r="H5544">
        <v>0.5</v>
      </c>
      <c r="I5544" s="11">
        <f t="shared" si="86"/>
        <v>0</v>
      </c>
      <c r="J5544" s="11">
        <f>1/(H5544*Utilities!$B$11)</f>
        <v>8</v>
      </c>
      <c r="K5544" s="11">
        <f>IF(B5544&lt;C5544,1,EXP(-1*(B5544-C5544)/(Utilities!$B$11*IterData!H5544)))</f>
        <v>1</v>
      </c>
    </row>
    <row r="5545" spans="8:11" x14ac:dyDescent="0.3">
      <c r="H5545">
        <v>0.5</v>
      </c>
      <c r="I5545" s="11">
        <f t="shared" si="86"/>
        <v>0</v>
      </c>
      <c r="J5545" s="11">
        <f>1/(H5545*Utilities!$B$11)</f>
        <v>8</v>
      </c>
      <c r="K5545" s="11">
        <f>IF(B5545&lt;C5545,1,EXP(-1*(B5545-C5545)/(Utilities!$B$11*IterData!H5545)))</f>
        <v>1</v>
      </c>
    </row>
    <row r="5546" spans="8:11" x14ac:dyDescent="0.3">
      <c r="H5546">
        <v>0.5</v>
      </c>
      <c r="I5546" s="11">
        <f t="shared" si="86"/>
        <v>0</v>
      </c>
      <c r="J5546" s="11">
        <f>1/(H5546*Utilities!$B$11)</f>
        <v>8</v>
      </c>
      <c r="K5546" s="11">
        <f>IF(B5546&lt;C5546,1,EXP(-1*(B5546-C5546)/(Utilities!$B$11*IterData!H5546)))</f>
        <v>1</v>
      </c>
    </row>
    <row r="5547" spans="8:11" x14ac:dyDescent="0.3">
      <c r="H5547">
        <v>0.5</v>
      </c>
      <c r="I5547" s="11">
        <f t="shared" si="86"/>
        <v>0</v>
      </c>
      <c r="J5547" s="11">
        <f>1/(H5547*Utilities!$B$11)</f>
        <v>8</v>
      </c>
      <c r="K5547" s="11">
        <f>IF(B5547&lt;C5547,1,EXP(-1*(B5547-C5547)/(Utilities!$B$11*IterData!H5547)))</f>
        <v>1</v>
      </c>
    </row>
    <row r="5548" spans="8:11" x14ac:dyDescent="0.3">
      <c r="H5548">
        <v>0.5</v>
      </c>
      <c r="I5548" s="11">
        <f t="shared" si="86"/>
        <v>0</v>
      </c>
      <c r="J5548" s="11">
        <f>1/(H5548*Utilities!$B$11)</f>
        <v>8</v>
      </c>
      <c r="K5548" s="11">
        <f>IF(B5548&lt;C5548,1,EXP(-1*(B5548-C5548)/(Utilities!$B$11*IterData!H5548)))</f>
        <v>1</v>
      </c>
    </row>
    <row r="5549" spans="8:11" x14ac:dyDescent="0.3">
      <c r="H5549">
        <v>0.5</v>
      </c>
      <c r="I5549" s="11">
        <f t="shared" si="86"/>
        <v>0</v>
      </c>
      <c r="J5549" s="11">
        <f>1/(H5549*Utilities!$B$11)</f>
        <v>8</v>
      </c>
      <c r="K5549" s="11">
        <f>IF(B5549&lt;C5549,1,EXP(-1*(B5549-C5549)/(Utilities!$B$11*IterData!H5549)))</f>
        <v>1</v>
      </c>
    </row>
    <row r="5550" spans="8:11" x14ac:dyDescent="0.3">
      <c r="H5550">
        <v>0.5</v>
      </c>
      <c r="I5550" s="11">
        <f t="shared" si="86"/>
        <v>0</v>
      </c>
      <c r="J5550" s="11">
        <f>1/(H5550*Utilities!$B$11)</f>
        <v>8</v>
      </c>
      <c r="K5550" s="11">
        <f>IF(B5550&lt;C5550,1,EXP(-1*(B5550-C5550)/(Utilities!$B$11*IterData!H5550)))</f>
        <v>1</v>
      </c>
    </row>
    <row r="5551" spans="8:11" x14ac:dyDescent="0.3">
      <c r="H5551">
        <v>0.5</v>
      </c>
      <c r="I5551" s="11">
        <f t="shared" si="86"/>
        <v>0</v>
      </c>
      <c r="J5551" s="11">
        <f>1/(H5551*Utilities!$B$11)</f>
        <v>8</v>
      </c>
      <c r="K5551" s="11">
        <f>IF(B5551&lt;C5551,1,EXP(-1*(B5551-C5551)/(Utilities!$B$11*IterData!H5551)))</f>
        <v>1</v>
      </c>
    </row>
    <row r="5552" spans="8:11" x14ac:dyDescent="0.3">
      <c r="H5552">
        <v>0.5</v>
      </c>
      <c r="I5552" s="11">
        <f t="shared" si="86"/>
        <v>0</v>
      </c>
      <c r="J5552" s="11">
        <f>1/(H5552*Utilities!$B$11)</f>
        <v>8</v>
      </c>
      <c r="K5552" s="11">
        <f>IF(B5552&lt;C5552,1,EXP(-1*(B5552-C5552)/(Utilities!$B$11*IterData!H5552)))</f>
        <v>1</v>
      </c>
    </row>
    <row r="5553" spans="8:11" x14ac:dyDescent="0.3">
      <c r="H5553">
        <v>0.5</v>
      </c>
      <c r="I5553" s="11">
        <f t="shared" si="86"/>
        <v>0</v>
      </c>
      <c r="J5553" s="11">
        <f>1/(H5553*Utilities!$B$11)</f>
        <v>8</v>
      </c>
      <c r="K5553" s="11">
        <f>IF(B5553&lt;C5553,1,EXP(-1*(B5553-C5553)/(Utilities!$B$11*IterData!H5553)))</f>
        <v>1</v>
      </c>
    </row>
    <row r="5554" spans="8:11" x14ac:dyDescent="0.3">
      <c r="H5554">
        <v>0.5</v>
      </c>
      <c r="I5554" s="11">
        <f t="shared" si="86"/>
        <v>0</v>
      </c>
      <c r="J5554" s="11">
        <f>1/(H5554*Utilities!$B$11)</f>
        <v>8</v>
      </c>
      <c r="K5554" s="11">
        <f>IF(B5554&lt;C5554,1,EXP(-1*(B5554-C5554)/(Utilities!$B$11*IterData!H5554)))</f>
        <v>1</v>
      </c>
    </row>
    <row r="5555" spans="8:11" x14ac:dyDescent="0.3">
      <c r="H5555">
        <v>0.5</v>
      </c>
      <c r="I5555" s="11">
        <f t="shared" si="86"/>
        <v>0</v>
      </c>
      <c r="J5555" s="11">
        <f>1/(H5555*Utilities!$B$11)</f>
        <v>8</v>
      </c>
      <c r="K5555" s="11">
        <f>IF(B5555&lt;C5555,1,EXP(-1*(B5555-C5555)/(Utilities!$B$11*IterData!H5555)))</f>
        <v>1</v>
      </c>
    </row>
    <row r="5556" spans="8:11" x14ac:dyDescent="0.3">
      <c r="H5556">
        <v>0.5</v>
      </c>
      <c r="I5556" s="11">
        <f t="shared" si="86"/>
        <v>0</v>
      </c>
      <c r="J5556" s="11">
        <f>1/(H5556*Utilities!$B$11)</f>
        <v>8</v>
      </c>
      <c r="K5556" s="11">
        <f>IF(B5556&lt;C5556,1,EXP(-1*(B5556-C5556)/(Utilities!$B$11*IterData!H5556)))</f>
        <v>1</v>
      </c>
    </row>
    <row r="5557" spans="8:11" x14ac:dyDescent="0.3">
      <c r="H5557">
        <v>0.5</v>
      </c>
      <c r="I5557" s="11">
        <f t="shared" si="86"/>
        <v>0</v>
      </c>
      <c r="J5557" s="11">
        <f>1/(H5557*Utilities!$B$11)</f>
        <v>8</v>
      </c>
      <c r="K5557" s="11">
        <f>IF(B5557&lt;C5557,1,EXP(-1*(B5557-C5557)/(Utilities!$B$11*IterData!H5557)))</f>
        <v>1</v>
      </c>
    </row>
    <row r="5558" spans="8:11" x14ac:dyDescent="0.3">
      <c r="H5558">
        <v>0.5</v>
      </c>
      <c r="I5558" s="11">
        <f t="shared" si="86"/>
        <v>0</v>
      </c>
      <c r="J5558" s="11">
        <f>1/(H5558*Utilities!$B$11)</f>
        <v>8</v>
      </c>
      <c r="K5558" s="11">
        <f>IF(B5558&lt;C5558,1,EXP(-1*(B5558-C5558)/(Utilities!$B$11*IterData!H5558)))</f>
        <v>1</v>
      </c>
    </row>
    <row r="5559" spans="8:11" x14ac:dyDescent="0.3">
      <c r="H5559">
        <v>0.5</v>
      </c>
      <c r="I5559" s="11">
        <f t="shared" si="86"/>
        <v>0</v>
      </c>
      <c r="J5559" s="11">
        <f>1/(H5559*Utilities!$B$11)</f>
        <v>8</v>
      </c>
      <c r="K5559" s="11">
        <f>IF(B5559&lt;C5559,1,EXP(-1*(B5559-C5559)/(Utilities!$B$11*IterData!H5559)))</f>
        <v>1</v>
      </c>
    </row>
    <row r="5560" spans="8:11" x14ac:dyDescent="0.3">
      <c r="H5560">
        <v>0.5</v>
      </c>
      <c r="I5560" s="11">
        <f t="shared" si="86"/>
        <v>0</v>
      </c>
      <c r="J5560" s="11">
        <f>1/(H5560*Utilities!$B$11)</f>
        <v>8</v>
      </c>
      <c r="K5560" s="11">
        <f>IF(B5560&lt;C5560,1,EXP(-1*(B5560-C5560)/(Utilities!$B$11*IterData!H5560)))</f>
        <v>1</v>
      </c>
    </row>
    <row r="5561" spans="8:11" x14ac:dyDescent="0.3">
      <c r="H5561">
        <v>0.5</v>
      </c>
      <c r="I5561" s="11">
        <f t="shared" si="86"/>
        <v>0</v>
      </c>
      <c r="J5561" s="11">
        <f>1/(H5561*Utilities!$B$11)</f>
        <v>8</v>
      </c>
      <c r="K5561" s="11">
        <f>IF(B5561&lt;C5561,1,EXP(-1*(B5561-C5561)/(Utilities!$B$11*IterData!H5561)))</f>
        <v>1</v>
      </c>
    </row>
    <row r="5562" spans="8:11" x14ac:dyDescent="0.3">
      <c r="H5562">
        <v>0.5</v>
      </c>
      <c r="I5562" s="11">
        <f t="shared" si="86"/>
        <v>0</v>
      </c>
      <c r="J5562" s="11">
        <f>1/(H5562*Utilities!$B$11)</f>
        <v>8</v>
      </c>
      <c r="K5562" s="11">
        <f>IF(B5562&lt;C5562,1,EXP(-1*(B5562-C5562)/(Utilities!$B$11*IterData!H5562)))</f>
        <v>1</v>
      </c>
    </row>
    <row r="5563" spans="8:11" x14ac:dyDescent="0.3">
      <c r="H5563">
        <v>0.5</v>
      </c>
      <c r="I5563" s="11">
        <f t="shared" si="86"/>
        <v>0</v>
      </c>
      <c r="J5563" s="11">
        <f>1/(H5563*Utilities!$B$11)</f>
        <v>8</v>
      </c>
      <c r="K5563" s="11">
        <f>IF(B5563&lt;C5563,1,EXP(-1*(B5563-C5563)/(Utilities!$B$11*IterData!H5563)))</f>
        <v>1</v>
      </c>
    </row>
    <row r="5564" spans="8:11" x14ac:dyDescent="0.3">
      <c r="H5564">
        <v>0.5</v>
      </c>
      <c r="I5564" s="11">
        <f t="shared" si="86"/>
        <v>0</v>
      </c>
      <c r="J5564" s="11">
        <f>1/(H5564*Utilities!$B$11)</f>
        <v>8</v>
      </c>
      <c r="K5564" s="11">
        <f>IF(B5564&lt;C5564,1,EXP(-1*(B5564-C5564)/(Utilities!$B$11*IterData!H5564)))</f>
        <v>1</v>
      </c>
    </row>
    <row r="5565" spans="8:11" x14ac:dyDescent="0.3">
      <c r="H5565">
        <v>0.5</v>
      </c>
      <c r="I5565" s="11">
        <f t="shared" si="86"/>
        <v>0</v>
      </c>
      <c r="J5565" s="11">
        <f>1/(H5565*Utilities!$B$11)</f>
        <v>8</v>
      </c>
      <c r="K5565" s="11">
        <f>IF(B5565&lt;C5565,1,EXP(-1*(B5565-C5565)/(Utilities!$B$11*IterData!H5565)))</f>
        <v>1</v>
      </c>
    </row>
    <row r="5566" spans="8:11" x14ac:dyDescent="0.3">
      <c r="H5566">
        <v>0.5</v>
      </c>
      <c r="I5566" s="11">
        <f t="shared" si="86"/>
        <v>0</v>
      </c>
      <c r="J5566" s="11">
        <f>1/(H5566*Utilities!$B$11)</f>
        <v>8</v>
      </c>
      <c r="K5566" s="11">
        <f>IF(B5566&lt;C5566,1,EXP(-1*(B5566-C5566)/(Utilities!$B$11*IterData!H5566)))</f>
        <v>1</v>
      </c>
    </row>
    <row r="5567" spans="8:11" x14ac:dyDescent="0.3">
      <c r="H5567">
        <v>0.5</v>
      </c>
      <c r="I5567" s="11">
        <f t="shared" si="86"/>
        <v>0</v>
      </c>
      <c r="J5567" s="11">
        <f>1/(H5567*Utilities!$B$11)</f>
        <v>8</v>
      </c>
      <c r="K5567" s="11">
        <f>IF(B5567&lt;C5567,1,EXP(-1*(B5567-C5567)/(Utilities!$B$11*IterData!H5567)))</f>
        <v>1</v>
      </c>
    </row>
    <row r="5568" spans="8:11" x14ac:dyDescent="0.3">
      <c r="H5568">
        <v>0.5</v>
      </c>
      <c r="I5568" s="11">
        <f t="shared" si="86"/>
        <v>0</v>
      </c>
      <c r="J5568" s="11">
        <f>1/(H5568*Utilities!$B$11)</f>
        <v>8</v>
      </c>
      <c r="K5568" s="11">
        <f>IF(B5568&lt;C5568,1,EXP(-1*(B5568-C5568)/(Utilities!$B$11*IterData!H5568)))</f>
        <v>1</v>
      </c>
    </row>
    <row r="5569" spans="8:11" x14ac:dyDescent="0.3">
      <c r="H5569">
        <v>0.5</v>
      </c>
      <c r="I5569" s="11">
        <f t="shared" si="86"/>
        <v>0</v>
      </c>
      <c r="J5569" s="11">
        <f>1/(H5569*Utilities!$B$11)</f>
        <v>8</v>
      </c>
      <c r="K5569" s="11">
        <f>IF(B5569&lt;C5569,1,EXP(-1*(B5569-C5569)/(Utilities!$B$11*IterData!H5569)))</f>
        <v>1</v>
      </c>
    </row>
    <row r="5570" spans="8:11" x14ac:dyDescent="0.3">
      <c r="H5570">
        <v>0.5</v>
      </c>
      <c r="I5570" s="11">
        <f t="shared" si="86"/>
        <v>0</v>
      </c>
      <c r="J5570" s="11">
        <f>1/(H5570*Utilities!$B$11)</f>
        <v>8</v>
      </c>
      <c r="K5570" s="11">
        <f>IF(B5570&lt;C5570,1,EXP(-1*(B5570-C5570)/(Utilities!$B$11*IterData!H5570)))</f>
        <v>1</v>
      </c>
    </row>
    <row r="5571" spans="8:11" x14ac:dyDescent="0.3">
      <c r="H5571">
        <v>0.5</v>
      </c>
      <c r="I5571" s="11">
        <f t="shared" ref="I5571:I5634" si="87">B5571-C5571</f>
        <v>0</v>
      </c>
      <c r="J5571" s="11">
        <f>1/(H5571*Utilities!$B$11)</f>
        <v>8</v>
      </c>
      <c r="K5571" s="11">
        <f>IF(B5571&lt;C5571,1,EXP(-1*(B5571-C5571)/(Utilities!$B$11*IterData!H5571)))</f>
        <v>1</v>
      </c>
    </row>
    <row r="5572" spans="8:11" x14ac:dyDescent="0.3">
      <c r="H5572">
        <v>0.5</v>
      </c>
      <c r="I5572" s="11">
        <f t="shared" si="87"/>
        <v>0</v>
      </c>
      <c r="J5572" s="11">
        <f>1/(H5572*Utilities!$B$11)</f>
        <v>8</v>
      </c>
      <c r="K5572" s="11">
        <f>IF(B5572&lt;C5572,1,EXP(-1*(B5572-C5572)/(Utilities!$B$11*IterData!H5572)))</f>
        <v>1</v>
      </c>
    </row>
    <row r="5573" spans="8:11" x14ac:dyDescent="0.3">
      <c r="H5573">
        <v>0.5</v>
      </c>
      <c r="I5573" s="11">
        <f t="shared" si="87"/>
        <v>0</v>
      </c>
      <c r="J5573" s="11">
        <f>1/(H5573*Utilities!$B$11)</f>
        <v>8</v>
      </c>
      <c r="K5573" s="11">
        <f>IF(B5573&lt;C5573,1,EXP(-1*(B5573-C5573)/(Utilities!$B$11*IterData!H5573)))</f>
        <v>1</v>
      </c>
    </row>
    <row r="5574" spans="8:11" x14ac:dyDescent="0.3">
      <c r="H5574">
        <v>0.5</v>
      </c>
      <c r="I5574" s="11">
        <f t="shared" si="87"/>
        <v>0</v>
      </c>
      <c r="J5574" s="11">
        <f>1/(H5574*Utilities!$B$11)</f>
        <v>8</v>
      </c>
      <c r="K5574" s="11">
        <f>IF(B5574&lt;C5574,1,EXP(-1*(B5574-C5574)/(Utilities!$B$11*IterData!H5574)))</f>
        <v>1</v>
      </c>
    </row>
    <row r="5575" spans="8:11" x14ac:dyDescent="0.3">
      <c r="H5575">
        <v>0.5</v>
      </c>
      <c r="I5575" s="11">
        <f t="shared" si="87"/>
        <v>0</v>
      </c>
      <c r="J5575" s="11">
        <f>1/(H5575*Utilities!$B$11)</f>
        <v>8</v>
      </c>
      <c r="K5575" s="11">
        <f>IF(B5575&lt;C5575,1,EXP(-1*(B5575-C5575)/(Utilities!$B$11*IterData!H5575)))</f>
        <v>1</v>
      </c>
    </row>
    <row r="5576" spans="8:11" x14ac:dyDescent="0.3">
      <c r="H5576">
        <v>0.5</v>
      </c>
      <c r="I5576" s="11">
        <f t="shared" si="87"/>
        <v>0</v>
      </c>
      <c r="J5576" s="11">
        <f>1/(H5576*Utilities!$B$11)</f>
        <v>8</v>
      </c>
      <c r="K5576" s="11">
        <f>IF(B5576&lt;C5576,1,EXP(-1*(B5576-C5576)/(Utilities!$B$11*IterData!H5576)))</f>
        <v>1</v>
      </c>
    </row>
    <row r="5577" spans="8:11" x14ac:dyDescent="0.3">
      <c r="H5577">
        <v>0.5</v>
      </c>
      <c r="I5577" s="11">
        <f t="shared" si="87"/>
        <v>0</v>
      </c>
      <c r="J5577" s="11">
        <f>1/(H5577*Utilities!$B$11)</f>
        <v>8</v>
      </c>
      <c r="K5577" s="11">
        <f>IF(B5577&lt;C5577,1,EXP(-1*(B5577-C5577)/(Utilities!$B$11*IterData!H5577)))</f>
        <v>1</v>
      </c>
    </row>
    <row r="5578" spans="8:11" x14ac:dyDescent="0.3">
      <c r="H5578">
        <v>0.5</v>
      </c>
      <c r="I5578" s="11">
        <f t="shared" si="87"/>
        <v>0</v>
      </c>
      <c r="J5578" s="11">
        <f>1/(H5578*Utilities!$B$11)</f>
        <v>8</v>
      </c>
      <c r="K5578" s="11">
        <f>IF(B5578&lt;C5578,1,EXP(-1*(B5578-C5578)/(Utilities!$B$11*IterData!H5578)))</f>
        <v>1</v>
      </c>
    </row>
    <row r="5579" spans="8:11" x14ac:dyDescent="0.3">
      <c r="H5579">
        <v>0.5</v>
      </c>
      <c r="I5579" s="11">
        <f t="shared" si="87"/>
        <v>0</v>
      </c>
      <c r="J5579" s="11">
        <f>1/(H5579*Utilities!$B$11)</f>
        <v>8</v>
      </c>
      <c r="K5579" s="11">
        <f>IF(B5579&lt;C5579,1,EXP(-1*(B5579-C5579)/(Utilities!$B$11*IterData!H5579)))</f>
        <v>1</v>
      </c>
    </row>
    <row r="5580" spans="8:11" x14ac:dyDescent="0.3">
      <c r="H5580">
        <v>0.5</v>
      </c>
      <c r="I5580" s="11">
        <f t="shared" si="87"/>
        <v>0</v>
      </c>
      <c r="J5580" s="11">
        <f>1/(H5580*Utilities!$B$11)</f>
        <v>8</v>
      </c>
      <c r="K5580" s="11">
        <f>IF(B5580&lt;C5580,1,EXP(-1*(B5580-C5580)/(Utilities!$B$11*IterData!H5580)))</f>
        <v>1</v>
      </c>
    </row>
    <row r="5581" spans="8:11" x14ac:dyDescent="0.3">
      <c r="H5581">
        <v>0.5</v>
      </c>
      <c r="I5581" s="11">
        <f t="shared" si="87"/>
        <v>0</v>
      </c>
      <c r="J5581" s="11">
        <f>1/(H5581*Utilities!$B$11)</f>
        <v>8</v>
      </c>
      <c r="K5581" s="11">
        <f>IF(B5581&lt;C5581,1,EXP(-1*(B5581-C5581)/(Utilities!$B$11*IterData!H5581)))</f>
        <v>1</v>
      </c>
    </row>
    <row r="5582" spans="8:11" x14ac:dyDescent="0.3">
      <c r="H5582">
        <v>0.5</v>
      </c>
      <c r="I5582" s="11">
        <f t="shared" si="87"/>
        <v>0</v>
      </c>
      <c r="J5582" s="11">
        <f>1/(H5582*Utilities!$B$11)</f>
        <v>8</v>
      </c>
      <c r="K5582" s="11">
        <f>IF(B5582&lt;C5582,1,EXP(-1*(B5582-C5582)/(Utilities!$B$11*IterData!H5582)))</f>
        <v>1</v>
      </c>
    </row>
    <row r="5583" spans="8:11" x14ac:dyDescent="0.3">
      <c r="H5583">
        <v>0.5</v>
      </c>
      <c r="I5583" s="11">
        <f t="shared" si="87"/>
        <v>0</v>
      </c>
      <c r="J5583" s="11">
        <f>1/(H5583*Utilities!$B$11)</f>
        <v>8</v>
      </c>
      <c r="K5583" s="11">
        <f>IF(B5583&lt;C5583,1,EXP(-1*(B5583-C5583)/(Utilities!$B$11*IterData!H5583)))</f>
        <v>1</v>
      </c>
    </row>
    <row r="5584" spans="8:11" x14ac:dyDescent="0.3">
      <c r="H5584">
        <v>0.5</v>
      </c>
      <c r="I5584" s="11">
        <f t="shared" si="87"/>
        <v>0</v>
      </c>
      <c r="J5584" s="11">
        <f>1/(H5584*Utilities!$B$11)</f>
        <v>8</v>
      </c>
      <c r="K5584" s="11">
        <f>IF(B5584&lt;C5584,1,EXP(-1*(B5584-C5584)/(Utilities!$B$11*IterData!H5584)))</f>
        <v>1</v>
      </c>
    </row>
    <row r="5585" spans="8:11" x14ac:dyDescent="0.3">
      <c r="H5585">
        <v>0.5</v>
      </c>
      <c r="I5585" s="11">
        <f t="shared" si="87"/>
        <v>0</v>
      </c>
      <c r="J5585" s="11">
        <f>1/(H5585*Utilities!$B$11)</f>
        <v>8</v>
      </c>
      <c r="K5585" s="11">
        <f>IF(B5585&lt;C5585,1,EXP(-1*(B5585-C5585)/(Utilities!$B$11*IterData!H5585)))</f>
        <v>1</v>
      </c>
    </row>
    <row r="5586" spans="8:11" x14ac:dyDescent="0.3">
      <c r="H5586">
        <v>0.5</v>
      </c>
      <c r="I5586" s="11">
        <f t="shared" si="87"/>
        <v>0</v>
      </c>
      <c r="J5586" s="11">
        <f>1/(H5586*Utilities!$B$11)</f>
        <v>8</v>
      </c>
      <c r="K5586" s="11">
        <f>IF(B5586&lt;C5586,1,EXP(-1*(B5586-C5586)/(Utilities!$B$11*IterData!H5586)))</f>
        <v>1</v>
      </c>
    </row>
    <row r="5587" spans="8:11" x14ac:dyDescent="0.3">
      <c r="H5587">
        <v>0.5</v>
      </c>
      <c r="I5587" s="11">
        <f t="shared" si="87"/>
        <v>0</v>
      </c>
      <c r="J5587" s="11">
        <f>1/(H5587*Utilities!$B$11)</f>
        <v>8</v>
      </c>
      <c r="K5587" s="11">
        <f>IF(B5587&lt;C5587,1,EXP(-1*(B5587-C5587)/(Utilities!$B$11*IterData!H5587)))</f>
        <v>1</v>
      </c>
    </row>
    <row r="5588" spans="8:11" x14ac:dyDescent="0.3">
      <c r="H5588">
        <v>0.5</v>
      </c>
      <c r="I5588" s="11">
        <f t="shared" si="87"/>
        <v>0</v>
      </c>
      <c r="J5588" s="11">
        <f>1/(H5588*Utilities!$B$11)</f>
        <v>8</v>
      </c>
      <c r="K5588" s="11">
        <f>IF(B5588&lt;C5588,1,EXP(-1*(B5588-C5588)/(Utilities!$B$11*IterData!H5588)))</f>
        <v>1</v>
      </c>
    </row>
    <row r="5589" spans="8:11" x14ac:dyDescent="0.3">
      <c r="H5589">
        <v>0.5</v>
      </c>
      <c r="I5589" s="11">
        <f t="shared" si="87"/>
        <v>0</v>
      </c>
      <c r="J5589" s="11">
        <f>1/(H5589*Utilities!$B$11)</f>
        <v>8</v>
      </c>
      <c r="K5589" s="11">
        <f>IF(B5589&lt;C5589,1,EXP(-1*(B5589-C5589)/(Utilities!$B$11*IterData!H5589)))</f>
        <v>1</v>
      </c>
    </row>
    <row r="5590" spans="8:11" x14ac:dyDescent="0.3">
      <c r="H5590">
        <v>0.5</v>
      </c>
      <c r="I5590" s="11">
        <f t="shared" si="87"/>
        <v>0</v>
      </c>
      <c r="J5590" s="11">
        <f>1/(H5590*Utilities!$B$11)</f>
        <v>8</v>
      </c>
      <c r="K5590" s="11">
        <f>IF(B5590&lt;C5590,1,EXP(-1*(B5590-C5590)/(Utilities!$B$11*IterData!H5590)))</f>
        <v>1</v>
      </c>
    </row>
    <row r="5591" spans="8:11" x14ac:dyDescent="0.3">
      <c r="H5591">
        <v>0.5</v>
      </c>
      <c r="I5591" s="11">
        <f t="shared" si="87"/>
        <v>0</v>
      </c>
      <c r="J5591" s="11">
        <f>1/(H5591*Utilities!$B$11)</f>
        <v>8</v>
      </c>
      <c r="K5591" s="11">
        <f>IF(B5591&lt;C5591,1,EXP(-1*(B5591-C5591)/(Utilities!$B$11*IterData!H5591)))</f>
        <v>1</v>
      </c>
    </row>
    <row r="5592" spans="8:11" x14ac:dyDescent="0.3">
      <c r="H5592">
        <v>0.5</v>
      </c>
      <c r="I5592" s="11">
        <f t="shared" si="87"/>
        <v>0</v>
      </c>
      <c r="J5592" s="11">
        <f>1/(H5592*Utilities!$B$11)</f>
        <v>8</v>
      </c>
      <c r="K5592" s="11">
        <f>IF(B5592&lt;C5592,1,EXP(-1*(B5592-C5592)/(Utilities!$B$11*IterData!H5592)))</f>
        <v>1</v>
      </c>
    </row>
    <row r="5593" spans="8:11" x14ac:dyDescent="0.3">
      <c r="H5593">
        <v>0.5</v>
      </c>
      <c r="I5593" s="11">
        <f t="shared" si="87"/>
        <v>0</v>
      </c>
      <c r="J5593" s="11">
        <f>1/(H5593*Utilities!$B$11)</f>
        <v>8</v>
      </c>
      <c r="K5593" s="11">
        <f>IF(B5593&lt;C5593,1,EXP(-1*(B5593-C5593)/(Utilities!$B$11*IterData!H5593)))</f>
        <v>1</v>
      </c>
    </row>
    <row r="5594" spans="8:11" x14ac:dyDescent="0.3">
      <c r="H5594">
        <v>0.5</v>
      </c>
      <c r="I5594" s="11">
        <f t="shared" si="87"/>
        <v>0</v>
      </c>
      <c r="J5594" s="11">
        <f>1/(H5594*Utilities!$B$11)</f>
        <v>8</v>
      </c>
      <c r="K5594" s="11">
        <f>IF(B5594&lt;C5594,1,EXP(-1*(B5594-C5594)/(Utilities!$B$11*IterData!H5594)))</f>
        <v>1</v>
      </c>
    </row>
    <row r="5595" spans="8:11" x14ac:dyDescent="0.3">
      <c r="H5595">
        <v>0.5</v>
      </c>
      <c r="I5595" s="11">
        <f t="shared" si="87"/>
        <v>0</v>
      </c>
      <c r="J5595" s="11">
        <f>1/(H5595*Utilities!$B$11)</f>
        <v>8</v>
      </c>
      <c r="K5595" s="11">
        <f>IF(B5595&lt;C5595,1,EXP(-1*(B5595-C5595)/(Utilities!$B$11*IterData!H5595)))</f>
        <v>1</v>
      </c>
    </row>
    <row r="5596" spans="8:11" x14ac:dyDescent="0.3">
      <c r="H5596">
        <v>0.5</v>
      </c>
      <c r="I5596" s="11">
        <f t="shared" si="87"/>
        <v>0</v>
      </c>
      <c r="J5596" s="11">
        <f>1/(H5596*Utilities!$B$11)</f>
        <v>8</v>
      </c>
      <c r="K5596" s="11">
        <f>IF(B5596&lt;C5596,1,EXP(-1*(B5596-C5596)/(Utilities!$B$11*IterData!H5596)))</f>
        <v>1</v>
      </c>
    </row>
    <row r="5597" spans="8:11" x14ac:dyDescent="0.3">
      <c r="H5597">
        <v>0.5</v>
      </c>
      <c r="I5597" s="11">
        <f t="shared" si="87"/>
        <v>0</v>
      </c>
      <c r="J5597" s="11">
        <f>1/(H5597*Utilities!$B$11)</f>
        <v>8</v>
      </c>
      <c r="K5597" s="11">
        <f>IF(B5597&lt;C5597,1,EXP(-1*(B5597-C5597)/(Utilities!$B$11*IterData!H5597)))</f>
        <v>1</v>
      </c>
    </row>
    <row r="5598" spans="8:11" x14ac:dyDescent="0.3">
      <c r="H5598">
        <v>0.5</v>
      </c>
      <c r="I5598" s="11">
        <f t="shared" si="87"/>
        <v>0</v>
      </c>
      <c r="J5598" s="11">
        <f>1/(H5598*Utilities!$B$11)</f>
        <v>8</v>
      </c>
      <c r="K5598" s="11">
        <f>IF(B5598&lt;C5598,1,EXP(-1*(B5598-C5598)/(Utilities!$B$11*IterData!H5598)))</f>
        <v>1</v>
      </c>
    </row>
    <row r="5599" spans="8:11" x14ac:dyDescent="0.3">
      <c r="H5599">
        <v>0.5</v>
      </c>
      <c r="I5599" s="11">
        <f t="shared" si="87"/>
        <v>0</v>
      </c>
      <c r="J5599" s="11">
        <f>1/(H5599*Utilities!$B$11)</f>
        <v>8</v>
      </c>
      <c r="K5599" s="11">
        <f>IF(B5599&lt;C5599,1,EXP(-1*(B5599-C5599)/(Utilities!$B$11*IterData!H5599)))</f>
        <v>1</v>
      </c>
    </row>
    <row r="5600" spans="8:11" x14ac:dyDescent="0.3">
      <c r="H5600">
        <v>0.5</v>
      </c>
      <c r="I5600" s="11">
        <f t="shared" si="87"/>
        <v>0</v>
      </c>
      <c r="J5600" s="11">
        <f>1/(H5600*Utilities!$B$11)</f>
        <v>8</v>
      </c>
      <c r="K5600" s="11">
        <f>IF(B5600&lt;C5600,1,EXP(-1*(B5600-C5600)/(Utilities!$B$11*IterData!H5600)))</f>
        <v>1</v>
      </c>
    </row>
    <row r="5601" spans="8:11" x14ac:dyDescent="0.3">
      <c r="H5601">
        <v>0.5</v>
      </c>
      <c r="I5601" s="11">
        <f t="shared" si="87"/>
        <v>0</v>
      </c>
      <c r="J5601" s="11">
        <f>1/(H5601*Utilities!$B$11)</f>
        <v>8</v>
      </c>
      <c r="K5601" s="11">
        <f>IF(B5601&lt;C5601,1,EXP(-1*(B5601-C5601)/(Utilities!$B$11*IterData!H5601)))</f>
        <v>1</v>
      </c>
    </row>
    <row r="5602" spans="8:11" x14ac:dyDescent="0.3">
      <c r="H5602">
        <v>0.5</v>
      </c>
      <c r="I5602" s="11">
        <f t="shared" si="87"/>
        <v>0</v>
      </c>
      <c r="J5602" s="11">
        <f>1/(H5602*Utilities!$B$11)</f>
        <v>8</v>
      </c>
      <c r="K5602" s="11">
        <f>IF(B5602&lt;C5602,1,EXP(-1*(B5602-C5602)/(Utilities!$B$11*IterData!H5602)))</f>
        <v>1</v>
      </c>
    </row>
    <row r="5603" spans="8:11" x14ac:dyDescent="0.3">
      <c r="H5603">
        <v>0.5</v>
      </c>
      <c r="I5603" s="11">
        <f t="shared" si="87"/>
        <v>0</v>
      </c>
      <c r="J5603" s="11">
        <f>1/(H5603*Utilities!$B$11)</f>
        <v>8</v>
      </c>
      <c r="K5603" s="11">
        <f>IF(B5603&lt;C5603,1,EXP(-1*(B5603-C5603)/(Utilities!$B$11*IterData!H5603)))</f>
        <v>1</v>
      </c>
    </row>
    <row r="5604" spans="8:11" x14ac:dyDescent="0.3">
      <c r="H5604">
        <v>0.5</v>
      </c>
      <c r="I5604" s="11">
        <f t="shared" si="87"/>
        <v>0</v>
      </c>
      <c r="J5604" s="11">
        <f>1/(H5604*Utilities!$B$11)</f>
        <v>8</v>
      </c>
      <c r="K5604" s="11">
        <f>IF(B5604&lt;C5604,1,EXP(-1*(B5604-C5604)/(Utilities!$B$11*IterData!H5604)))</f>
        <v>1</v>
      </c>
    </row>
    <row r="5605" spans="8:11" x14ac:dyDescent="0.3">
      <c r="H5605">
        <v>0.5</v>
      </c>
      <c r="I5605" s="11">
        <f t="shared" si="87"/>
        <v>0</v>
      </c>
      <c r="J5605" s="11">
        <f>1/(H5605*Utilities!$B$11)</f>
        <v>8</v>
      </c>
      <c r="K5605" s="11">
        <f>IF(B5605&lt;C5605,1,EXP(-1*(B5605-C5605)/(Utilities!$B$11*IterData!H5605)))</f>
        <v>1</v>
      </c>
    </row>
    <row r="5606" spans="8:11" x14ac:dyDescent="0.3">
      <c r="H5606">
        <v>0.5</v>
      </c>
      <c r="I5606" s="11">
        <f t="shared" si="87"/>
        <v>0</v>
      </c>
      <c r="J5606" s="11">
        <f>1/(H5606*Utilities!$B$11)</f>
        <v>8</v>
      </c>
      <c r="K5606" s="11">
        <f>IF(B5606&lt;C5606,1,EXP(-1*(B5606-C5606)/(Utilities!$B$11*IterData!H5606)))</f>
        <v>1</v>
      </c>
    </row>
    <row r="5607" spans="8:11" x14ac:dyDescent="0.3">
      <c r="H5607">
        <v>0.5</v>
      </c>
      <c r="I5607" s="11">
        <f t="shared" si="87"/>
        <v>0</v>
      </c>
      <c r="J5607" s="11">
        <f>1/(H5607*Utilities!$B$11)</f>
        <v>8</v>
      </c>
      <c r="K5607" s="11">
        <f>IF(B5607&lt;C5607,1,EXP(-1*(B5607-C5607)/(Utilities!$B$11*IterData!H5607)))</f>
        <v>1</v>
      </c>
    </row>
    <row r="5608" spans="8:11" x14ac:dyDescent="0.3">
      <c r="H5608">
        <v>0.5</v>
      </c>
      <c r="I5608" s="11">
        <f t="shared" si="87"/>
        <v>0</v>
      </c>
      <c r="J5608" s="11">
        <f>1/(H5608*Utilities!$B$11)</f>
        <v>8</v>
      </c>
      <c r="K5608" s="11">
        <f>IF(B5608&lt;C5608,1,EXP(-1*(B5608-C5608)/(Utilities!$B$11*IterData!H5608)))</f>
        <v>1</v>
      </c>
    </row>
    <row r="5609" spans="8:11" x14ac:dyDescent="0.3">
      <c r="H5609">
        <v>0.5</v>
      </c>
      <c r="I5609" s="11">
        <f t="shared" si="87"/>
        <v>0</v>
      </c>
      <c r="J5609" s="11">
        <f>1/(H5609*Utilities!$B$11)</f>
        <v>8</v>
      </c>
      <c r="K5609" s="11">
        <f>IF(B5609&lt;C5609,1,EXP(-1*(B5609-C5609)/(Utilities!$B$11*IterData!H5609)))</f>
        <v>1</v>
      </c>
    </row>
    <row r="5610" spans="8:11" x14ac:dyDescent="0.3">
      <c r="H5610">
        <v>0.5</v>
      </c>
      <c r="I5610" s="11">
        <f t="shared" si="87"/>
        <v>0</v>
      </c>
      <c r="J5610" s="11">
        <f>1/(H5610*Utilities!$B$11)</f>
        <v>8</v>
      </c>
      <c r="K5610" s="11">
        <f>IF(B5610&lt;C5610,1,EXP(-1*(B5610-C5610)/(Utilities!$B$11*IterData!H5610)))</f>
        <v>1</v>
      </c>
    </row>
    <row r="5611" spans="8:11" x14ac:dyDescent="0.3">
      <c r="H5611">
        <v>0.5</v>
      </c>
      <c r="I5611" s="11">
        <f t="shared" si="87"/>
        <v>0</v>
      </c>
      <c r="J5611" s="11">
        <f>1/(H5611*Utilities!$B$11)</f>
        <v>8</v>
      </c>
      <c r="K5611" s="11">
        <f>IF(B5611&lt;C5611,1,EXP(-1*(B5611-C5611)/(Utilities!$B$11*IterData!H5611)))</f>
        <v>1</v>
      </c>
    </row>
    <row r="5612" spans="8:11" x14ac:dyDescent="0.3">
      <c r="H5612">
        <v>0.5</v>
      </c>
      <c r="I5612" s="11">
        <f t="shared" si="87"/>
        <v>0</v>
      </c>
      <c r="J5612" s="11">
        <f>1/(H5612*Utilities!$B$11)</f>
        <v>8</v>
      </c>
      <c r="K5612" s="11">
        <f>IF(B5612&lt;C5612,1,EXP(-1*(B5612-C5612)/(Utilities!$B$11*IterData!H5612)))</f>
        <v>1</v>
      </c>
    </row>
    <row r="5613" spans="8:11" x14ac:dyDescent="0.3">
      <c r="H5613">
        <v>0.5</v>
      </c>
      <c r="I5613" s="11">
        <f t="shared" si="87"/>
        <v>0</v>
      </c>
      <c r="J5613" s="11">
        <f>1/(H5613*Utilities!$B$11)</f>
        <v>8</v>
      </c>
      <c r="K5613" s="11">
        <f>IF(B5613&lt;C5613,1,EXP(-1*(B5613-C5613)/(Utilities!$B$11*IterData!H5613)))</f>
        <v>1</v>
      </c>
    </row>
    <row r="5614" spans="8:11" x14ac:dyDescent="0.3">
      <c r="H5614">
        <v>0.5</v>
      </c>
      <c r="I5614" s="11">
        <f t="shared" si="87"/>
        <v>0</v>
      </c>
      <c r="J5614" s="11">
        <f>1/(H5614*Utilities!$B$11)</f>
        <v>8</v>
      </c>
      <c r="K5614" s="11">
        <f>IF(B5614&lt;C5614,1,EXP(-1*(B5614-C5614)/(Utilities!$B$11*IterData!H5614)))</f>
        <v>1</v>
      </c>
    </row>
    <row r="5615" spans="8:11" x14ac:dyDescent="0.3">
      <c r="H5615">
        <v>0.5</v>
      </c>
      <c r="I5615" s="11">
        <f t="shared" si="87"/>
        <v>0</v>
      </c>
      <c r="J5615" s="11">
        <f>1/(H5615*Utilities!$B$11)</f>
        <v>8</v>
      </c>
      <c r="K5615" s="11">
        <f>IF(B5615&lt;C5615,1,EXP(-1*(B5615-C5615)/(Utilities!$B$11*IterData!H5615)))</f>
        <v>1</v>
      </c>
    </row>
    <row r="5616" spans="8:11" x14ac:dyDescent="0.3">
      <c r="H5616">
        <v>0.5</v>
      </c>
      <c r="I5616" s="11">
        <f t="shared" si="87"/>
        <v>0</v>
      </c>
      <c r="J5616" s="11">
        <f>1/(H5616*Utilities!$B$11)</f>
        <v>8</v>
      </c>
      <c r="K5616" s="11">
        <f>IF(B5616&lt;C5616,1,EXP(-1*(B5616-C5616)/(Utilities!$B$11*IterData!H5616)))</f>
        <v>1</v>
      </c>
    </row>
    <row r="5617" spans="8:11" x14ac:dyDescent="0.3">
      <c r="H5617">
        <v>0.5</v>
      </c>
      <c r="I5617" s="11">
        <f t="shared" si="87"/>
        <v>0</v>
      </c>
      <c r="J5617" s="11">
        <f>1/(H5617*Utilities!$B$11)</f>
        <v>8</v>
      </c>
      <c r="K5617" s="11">
        <f>IF(B5617&lt;C5617,1,EXP(-1*(B5617-C5617)/(Utilities!$B$11*IterData!H5617)))</f>
        <v>1</v>
      </c>
    </row>
    <row r="5618" spans="8:11" x14ac:dyDescent="0.3">
      <c r="H5618">
        <v>0.5</v>
      </c>
      <c r="I5618" s="11">
        <f t="shared" si="87"/>
        <v>0</v>
      </c>
      <c r="J5618" s="11">
        <f>1/(H5618*Utilities!$B$11)</f>
        <v>8</v>
      </c>
      <c r="K5618" s="11">
        <f>IF(B5618&lt;C5618,1,EXP(-1*(B5618-C5618)/(Utilities!$B$11*IterData!H5618)))</f>
        <v>1</v>
      </c>
    </row>
    <row r="5619" spans="8:11" x14ac:dyDescent="0.3">
      <c r="H5619">
        <v>0.5</v>
      </c>
      <c r="I5619" s="11">
        <f t="shared" si="87"/>
        <v>0</v>
      </c>
      <c r="J5619" s="11">
        <f>1/(H5619*Utilities!$B$11)</f>
        <v>8</v>
      </c>
      <c r="K5619" s="11">
        <f>IF(B5619&lt;C5619,1,EXP(-1*(B5619-C5619)/(Utilities!$B$11*IterData!H5619)))</f>
        <v>1</v>
      </c>
    </row>
    <row r="5620" spans="8:11" x14ac:dyDescent="0.3">
      <c r="H5620">
        <v>0.5</v>
      </c>
      <c r="I5620" s="11">
        <f t="shared" si="87"/>
        <v>0</v>
      </c>
      <c r="J5620" s="11">
        <f>1/(H5620*Utilities!$B$11)</f>
        <v>8</v>
      </c>
      <c r="K5620" s="11">
        <f>IF(B5620&lt;C5620,1,EXP(-1*(B5620-C5620)/(Utilities!$B$11*IterData!H5620)))</f>
        <v>1</v>
      </c>
    </row>
    <row r="5621" spans="8:11" x14ac:dyDescent="0.3">
      <c r="H5621">
        <v>0.5</v>
      </c>
      <c r="I5621" s="11">
        <f t="shared" si="87"/>
        <v>0</v>
      </c>
      <c r="J5621" s="11">
        <f>1/(H5621*Utilities!$B$11)</f>
        <v>8</v>
      </c>
      <c r="K5621" s="11">
        <f>IF(B5621&lt;C5621,1,EXP(-1*(B5621-C5621)/(Utilities!$B$11*IterData!H5621)))</f>
        <v>1</v>
      </c>
    </row>
    <row r="5622" spans="8:11" x14ac:dyDescent="0.3">
      <c r="H5622">
        <v>0.5</v>
      </c>
      <c r="I5622" s="11">
        <f t="shared" si="87"/>
        <v>0</v>
      </c>
      <c r="J5622" s="11">
        <f>1/(H5622*Utilities!$B$11)</f>
        <v>8</v>
      </c>
      <c r="K5622" s="11">
        <f>IF(B5622&lt;C5622,1,EXP(-1*(B5622-C5622)/(Utilities!$B$11*IterData!H5622)))</f>
        <v>1</v>
      </c>
    </row>
    <row r="5623" spans="8:11" x14ac:dyDescent="0.3">
      <c r="H5623">
        <v>0.5</v>
      </c>
      <c r="I5623" s="11">
        <f t="shared" si="87"/>
        <v>0</v>
      </c>
      <c r="J5623" s="11">
        <f>1/(H5623*Utilities!$B$11)</f>
        <v>8</v>
      </c>
      <c r="K5623" s="11">
        <f>IF(B5623&lt;C5623,1,EXP(-1*(B5623-C5623)/(Utilities!$B$11*IterData!H5623)))</f>
        <v>1</v>
      </c>
    </row>
    <row r="5624" spans="8:11" x14ac:dyDescent="0.3">
      <c r="H5624">
        <v>0.5</v>
      </c>
      <c r="I5624" s="11">
        <f t="shared" si="87"/>
        <v>0</v>
      </c>
      <c r="J5624" s="11">
        <f>1/(H5624*Utilities!$B$11)</f>
        <v>8</v>
      </c>
      <c r="K5624" s="11">
        <f>IF(B5624&lt;C5624,1,EXP(-1*(B5624-C5624)/(Utilities!$B$11*IterData!H5624)))</f>
        <v>1</v>
      </c>
    </row>
    <row r="5625" spans="8:11" x14ac:dyDescent="0.3">
      <c r="H5625">
        <v>0.5</v>
      </c>
      <c r="I5625" s="11">
        <f t="shared" si="87"/>
        <v>0</v>
      </c>
      <c r="J5625" s="11">
        <f>1/(H5625*Utilities!$B$11)</f>
        <v>8</v>
      </c>
      <c r="K5625" s="11">
        <f>IF(B5625&lt;C5625,1,EXP(-1*(B5625-C5625)/(Utilities!$B$11*IterData!H5625)))</f>
        <v>1</v>
      </c>
    </row>
    <row r="5626" spans="8:11" x14ac:dyDescent="0.3">
      <c r="H5626">
        <v>0.5</v>
      </c>
      <c r="I5626" s="11">
        <f t="shared" si="87"/>
        <v>0</v>
      </c>
      <c r="J5626" s="11">
        <f>1/(H5626*Utilities!$B$11)</f>
        <v>8</v>
      </c>
      <c r="K5626" s="11">
        <f>IF(B5626&lt;C5626,1,EXP(-1*(B5626-C5626)/(Utilities!$B$11*IterData!H5626)))</f>
        <v>1</v>
      </c>
    </row>
    <row r="5627" spans="8:11" x14ac:dyDescent="0.3">
      <c r="H5627">
        <v>0.5</v>
      </c>
      <c r="I5627" s="11">
        <f t="shared" si="87"/>
        <v>0</v>
      </c>
      <c r="J5627" s="11">
        <f>1/(H5627*Utilities!$B$11)</f>
        <v>8</v>
      </c>
      <c r="K5627" s="11">
        <f>IF(B5627&lt;C5627,1,EXP(-1*(B5627-C5627)/(Utilities!$B$11*IterData!H5627)))</f>
        <v>1</v>
      </c>
    </row>
    <row r="5628" spans="8:11" x14ac:dyDescent="0.3">
      <c r="H5628">
        <v>0.5</v>
      </c>
      <c r="I5628" s="11">
        <f t="shared" si="87"/>
        <v>0</v>
      </c>
      <c r="J5628" s="11">
        <f>1/(H5628*Utilities!$B$11)</f>
        <v>8</v>
      </c>
      <c r="K5628" s="11">
        <f>IF(B5628&lt;C5628,1,EXP(-1*(B5628-C5628)/(Utilities!$B$11*IterData!H5628)))</f>
        <v>1</v>
      </c>
    </row>
    <row r="5629" spans="8:11" x14ac:dyDescent="0.3">
      <c r="H5629">
        <v>0.5</v>
      </c>
      <c r="I5629" s="11">
        <f t="shared" si="87"/>
        <v>0</v>
      </c>
      <c r="J5629" s="11">
        <f>1/(H5629*Utilities!$B$11)</f>
        <v>8</v>
      </c>
      <c r="K5629" s="11">
        <f>IF(B5629&lt;C5629,1,EXP(-1*(B5629-C5629)/(Utilities!$B$11*IterData!H5629)))</f>
        <v>1</v>
      </c>
    </row>
    <row r="5630" spans="8:11" x14ac:dyDescent="0.3">
      <c r="H5630">
        <v>0.5</v>
      </c>
      <c r="I5630" s="11">
        <f t="shared" si="87"/>
        <v>0</v>
      </c>
      <c r="J5630" s="11">
        <f>1/(H5630*Utilities!$B$11)</f>
        <v>8</v>
      </c>
      <c r="K5630" s="11">
        <f>IF(B5630&lt;C5630,1,EXP(-1*(B5630-C5630)/(Utilities!$B$11*IterData!H5630)))</f>
        <v>1</v>
      </c>
    </row>
    <row r="5631" spans="8:11" x14ac:dyDescent="0.3">
      <c r="H5631">
        <v>0.5</v>
      </c>
      <c r="I5631" s="11">
        <f t="shared" si="87"/>
        <v>0</v>
      </c>
      <c r="J5631" s="11">
        <f>1/(H5631*Utilities!$B$11)</f>
        <v>8</v>
      </c>
      <c r="K5631" s="11">
        <f>IF(B5631&lt;C5631,1,EXP(-1*(B5631-C5631)/(Utilities!$B$11*IterData!H5631)))</f>
        <v>1</v>
      </c>
    </row>
    <row r="5632" spans="8:11" x14ac:dyDescent="0.3">
      <c r="H5632">
        <v>0.5</v>
      </c>
      <c r="I5632" s="11">
        <f t="shared" si="87"/>
        <v>0</v>
      </c>
      <c r="J5632" s="11">
        <f>1/(H5632*Utilities!$B$11)</f>
        <v>8</v>
      </c>
      <c r="K5632" s="11">
        <f>IF(B5632&lt;C5632,1,EXP(-1*(B5632-C5632)/(Utilities!$B$11*IterData!H5632)))</f>
        <v>1</v>
      </c>
    </row>
    <row r="5633" spans="8:11" x14ac:dyDescent="0.3">
      <c r="H5633">
        <v>0.5</v>
      </c>
      <c r="I5633" s="11">
        <f t="shared" si="87"/>
        <v>0</v>
      </c>
      <c r="J5633" s="11">
        <f>1/(H5633*Utilities!$B$11)</f>
        <v>8</v>
      </c>
      <c r="K5633" s="11">
        <f>IF(B5633&lt;C5633,1,EXP(-1*(B5633-C5633)/(Utilities!$B$11*IterData!H5633)))</f>
        <v>1</v>
      </c>
    </row>
    <row r="5634" spans="8:11" x14ac:dyDescent="0.3">
      <c r="H5634">
        <v>0.5</v>
      </c>
      <c r="I5634" s="11">
        <f t="shared" si="87"/>
        <v>0</v>
      </c>
      <c r="J5634" s="11">
        <f>1/(H5634*Utilities!$B$11)</f>
        <v>8</v>
      </c>
      <c r="K5634" s="11">
        <f>IF(B5634&lt;C5634,1,EXP(-1*(B5634-C5634)/(Utilities!$B$11*IterData!H5634)))</f>
        <v>1</v>
      </c>
    </row>
    <row r="5635" spans="8:11" x14ac:dyDescent="0.3">
      <c r="H5635">
        <v>0.5</v>
      </c>
      <c r="I5635" s="11">
        <f t="shared" ref="I5635:I5698" si="88">B5635-C5635</f>
        <v>0</v>
      </c>
      <c r="J5635" s="11">
        <f>1/(H5635*Utilities!$B$11)</f>
        <v>8</v>
      </c>
      <c r="K5635" s="11">
        <f>IF(B5635&lt;C5635,1,EXP(-1*(B5635-C5635)/(Utilities!$B$11*IterData!H5635)))</f>
        <v>1</v>
      </c>
    </row>
    <row r="5636" spans="8:11" x14ac:dyDescent="0.3">
      <c r="H5636">
        <v>0.5</v>
      </c>
      <c r="I5636" s="11">
        <f t="shared" si="88"/>
        <v>0</v>
      </c>
      <c r="J5636" s="11">
        <f>1/(H5636*Utilities!$B$11)</f>
        <v>8</v>
      </c>
      <c r="K5636" s="11">
        <f>IF(B5636&lt;C5636,1,EXP(-1*(B5636-C5636)/(Utilities!$B$11*IterData!H5636)))</f>
        <v>1</v>
      </c>
    </row>
    <row r="5637" spans="8:11" x14ac:dyDescent="0.3">
      <c r="H5637">
        <v>0.5</v>
      </c>
      <c r="I5637" s="11">
        <f t="shared" si="88"/>
        <v>0</v>
      </c>
      <c r="J5637" s="11">
        <f>1/(H5637*Utilities!$B$11)</f>
        <v>8</v>
      </c>
      <c r="K5637" s="11">
        <f>IF(B5637&lt;C5637,1,EXP(-1*(B5637-C5637)/(Utilities!$B$11*IterData!H5637)))</f>
        <v>1</v>
      </c>
    </row>
    <row r="5638" spans="8:11" x14ac:dyDescent="0.3">
      <c r="H5638">
        <v>0.5</v>
      </c>
      <c r="I5638" s="11">
        <f t="shared" si="88"/>
        <v>0</v>
      </c>
      <c r="J5638" s="11">
        <f>1/(H5638*Utilities!$B$11)</f>
        <v>8</v>
      </c>
      <c r="K5638" s="11">
        <f>IF(B5638&lt;C5638,1,EXP(-1*(B5638-C5638)/(Utilities!$B$11*IterData!H5638)))</f>
        <v>1</v>
      </c>
    </row>
    <row r="5639" spans="8:11" x14ac:dyDescent="0.3">
      <c r="H5639">
        <v>0.5</v>
      </c>
      <c r="I5639" s="11">
        <f t="shared" si="88"/>
        <v>0</v>
      </c>
      <c r="J5639" s="11">
        <f>1/(H5639*Utilities!$B$11)</f>
        <v>8</v>
      </c>
      <c r="K5639" s="11">
        <f>IF(B5639&lt;C5639,1,EXP(-1*(B5639-C5639)/(Utilities!$B$11*IterData!H5639)))</f>
        <v>1</v>
      </c>
    </row>
    <row r="5640" spans="8:11" x14ac:dyDescent="0.3">
      <c r="H5640">
        <v>0.5</v>
      </c>
      <c r="I5640" s="11">
        <f t="shared" si="88"/>
        <v>0</v>
      </c>
      <c r="J5640" s="11">
        <f>1/(H5640*Utilities!$B$11)</f>
        <v>8</v>
      </c>
      <c r="K5640" s="11">
        <f>IF(B5640&lt;C5640,1,EXP(-1*(B5640-C5640)/(Utilities!$B$11*IterData!H5640)))</f>
        <v>1</v>
      </c>
    </row>
    <row r="5641" spans="8:11" x14ac:dyDescent="0.3">
      <c r="H5641">
        <v>0.5</v>
      </c>
      <c r="I5641" s="11">
        <f t="shared" si="88"/>
        <v>0</v>
      </c>
      <c r="J5641" s="11">
        <f>1/(H5641*Utilities!$B$11)</f>
        <v>8</v>
      </c>
      <c r="K5641" s="11">
        <f>IF(B5641&lt;C5641,1,EXP(-1*(B5641-C5641)/(Utilities!$B$11*IterData!H5641)))</f>
        <v>1</v>
      </c>
    </row>
    <row r="5642" spans="8:11" x14ac:dyDescent="0.3">
      <c r="H5642">
        <v>0.5</v>
      </c>
      <c r="I5642" s="11">
        <f t="shared" si="88"/>
        <v>0</v>
      </c>
      <c r="J5642" s="11">
        <f>1/(H5642*Utilities!$B$11)</f>
        <v>8</v>
      </c>
      <c r="K5642" s="11">
        <f>IF(B5642&lt;C5642,1,EXP(-1*(B5642-C5642)/(Utilities!$B$11*IterData!H5642)))</f>
        <v>1</v>
      </c>
    </row>
    <row r="5643" spans="8:11" x14ac:dyDescent="0.3">
      <c r="H5643">
        <v>0.5</v>
      </c>
      <c r="I5643" s="11">
        <f t="shared" si="88"/>
        <v>0</v>
      </c>
      <c r="J5643" s="11">
        <f>1/(H5643*Utilities!$B$11)</f>
        <v>8</v>
      </c>
      <c r="K5643" s="11">
        <f>IF(B5643&lt;C5643,1,EXP(-1*(B5643-C5643)/(Utilities!$B$11*IterData!H5643)))</f>
        <v>1</v>
      </c>
    </row>
    <row r="5644" spans="8:11" x14ac:dyDescent="0.3">
      <c r="H5644">
        <v>0.5</v>
      </c>
      <c r="I5644" s="11">
        <f t="shared" si="88"/>
        <v>0</v>
      </c>
      <c r="J5644" s="11">
        <f>1/(H5644*Utilities!$B$11)</f>
        <v>8</v>
      </c>
      <c r="K5644" s="11">
        <f>IF(B5644&lt;C5644,1,EXP(-1*(B5644-C5644)/(Utilities!$B$11*IterData!H5644)))</f>
        <v>1</v>
      </c>
    </row>
    <row r="5645" spans="8:11" x14ac:dyDescent="0.3">
      <c r="H5645">
        <v>0.5</v>
      </c>
      <c r="I5645" s="11">
        <f t="shared" si="88"/>
        <v>0</v>
      </c>
      <c r="J5645" s="11">
        <f>1/(H5645*Utilities!$B$11)</f>
        <v>8</v>
      </c>
      <c r="K5645" s="11">
        <f>IF(B5645&lt;C5645,1,EXP(-1*(B5645-C5645)/(Utilities!$B$11*IterData!H5645)))</f>
        <v>1</v>
      </c>
    </row>
    <row r="5646" spans="8:11" x14ac:dyDescent="0.3">
      <c r="H5646">
        <v>0.5</v>
      </c>
      <c r="I5646" s="11">
        <f t="shared" si="88"/>
        <v>0</v>
      </c>
      <c r="J5646" s="11">
        <f>1/(H5646*Utilities!$B$11)</f>
        <v>8</v>
      </c>
      <c r="K5646" s="11">
        <f>IF(B5646&lt;C5646,1,EXP(-1*(B5646-C5646)/(Utilities!$B$11*IterData!H5646)))</f>
        <v>1</v>
      </c>
    </row>
    <row r="5647" spans="8:11" x14ac:dyDescent="0.3">
      <c r="H5647">
        <v>0.5</v>
      </c>
      <c r="I5647" s="11">
        <f t="shared" si="88"/>
        <v>0</v>
      </c>
      <c r="J5647" s="11">
        <f>1/(H5647*Utilities!$B$11)</f>
        <v>8</v>
      </c>
      <c r="K5647" s="11">
        <f>IF(B5647&lt;C5647,1,EXP(-1*(B5647-C5647)/(Utilities!$B$11*IterData!H5647)))</f>
        <v>1</v>
      </c>
    </row>
    <row r="5648" spans="8:11" x14ac:dyDescent="0.3">
      <c r="H5648">
        <v>0.5</v>
      </c>
      <c r="I5648" s="11">
        <f t="shared" si="88"/>
        <v>0</v>
      </c>
      <c r="J5648" s="11">
        <f>1/(H5648*Utilities!$B$11)</f>
        <v>8</v>
      </c>
      <c r="K5648" s="11">
        <f>IF(B5648&lt;C5648,1,EXP(-1*(B5648-C5648)/(Utilities!$B$11*IterData!H5648)))</f>
        <v>1</v>
      </c>
    </row>
    <row r="5649" spans="8:11" x14ac:dyDescent="0.3">
      <c r="H5649">
        <v>0.5</v>
      </c>
      <c r="I5649" s="11">
        <f t="shared" si="88"/>
        <v>0</v>
      </c>
      <c r="J5649" s="11">
        <f>1/(H5649*Utilities!$B$11)</f>
        <v>8</v>
      </c>
      <c r="K5649" s="11">
        <f>IF(B5649&lt;C5649,1,EXP(-1*(B5649-C5649)/(Utilities!$B$11*IterData!H5649)))</f>
        <v>1</v>
      </c>
    </row>
    <row r="5650" spans="8:11" x14ac:dyDescent="0.3">
      <c r="H5650">
        <v>0.5</v>
      </c>
      <c r="I5650" s="11">
        <f t="shared" si="88"/>
        <v>0</v>
      </c>
      <c r="J5650" s="11">
        <f>1/(H5650*Utilities!$B$11)</f>
        <v>8</v>
      </c>
      <c r="K5650" s="11">
        <f>IF(B5650&lt;C5650,1,EXP(-1*(B5650-C5650)/(Utilities!$B$11*IterData!H5650)))</f>
        <v>1</v>
      </c>
    </row>
    <row r="5651" spans="8:11" x14ac:dyDescent="0.3">
      <c r="H5651">
        <v>0.5</v>
      </c>
      <c r="I5651" s="11">
        <f t="shared" si="88"/>
        <v>0</v>
      </c>
      <c r="J5651" s="11">
        <f>1/(H5651*Utilities!$B$11)</f>
        <v>8</v>
      </c>
      <c r="K5651" s="11">
        <f>IF(B5651&lt;C5651,1,EXP(-1*(B5651-C5651)/(Utilities!$B$11*IterData!H5651)))</f>
        <v>1</v>
      </c>
    </row>
    <row r="5652" spans="8:11" x14ac:dyDescent="0.3">
      <c r="H5652">
        <v>0.5</v>
      </c>
      <c r="I5652" s="11">
        <f t="shared" si="88"/>
        <v>0</v>
      </c>
      <c r="J5652" s="11">
        <f>1/(H5652*Utilities!$B$11)</f>
        <v>8</v>
      </c>
      <c r="K5652" s="11">
        <f>IF(B5652&lt;C5652,1,EXP(-1*(B5652-C5652)/(Utilities!$B$11*IterData!H5652)))</f>
        <v>1</v>
      </c>
    </row>
    <row r="5653" spans="8:11" x14ac:dyDescent="0.3">
      <c r="H5653">
        <v>0.5</v>
      </c>
      <c r="I5653" s="11">
        <f t="shared" si="88"/>
        <v>0</v>
      </c>
      <c r="J5653" s="11">
        <f>1/(H5653*Utilities!$B$11)</f>
        <v>8</v>
      </c>
      <c r="K5653" s="11">
        <f>IF(B5653&lt;C5653,1,EXP(-1*(B5653-C5653)/(Utilities!$B$11*IterData!H5653)))</f>
        <v>1</v>
      </c>
    </row>
    <row r="5654" spans="8:11" x14ac:dyDescent="0.3">
      <c r="H5654">
        <v>0.5</v>
      </c>
      <c r="I5654" s="11">
        <f t="shared" si="88"/>
        <v>0</v>
      </c>
      <c r="J5654" s="11">
        <f>1/(H5654*Utilities!$B$11)</f>
        <v>8</v>
      </c>
      <c r="K5654" s="11">
        <f>IF(B5654&lt;C5654,1,EXP(-1*(B5654-C5654)/(Utilities!$B$11*IterData!H5654)))</f>
        <v>1</v>
      </c>
    </row>
    <row r="5655" spans="8:11" x14ac:dyDescent="0.3">
      <c r="H5655">
        <v>0.5</v>
      </c>
      <c r="I5655" s="11">
        <f t="shared" si="88"/>
        <v>0</v>
      </c>
      <c r="J5655" s="11">
        <f>1/(H5655*Utilities!$B$11)</f>
        <v>8</v>
      </c>
      <c r="K5655" s="11">
        <f>IF(B5655&lt;C5655,1,EXP(-1*(B5655-C5655)/(Utilities!$B$11*IterData!H5655)))</f>
        <v>1</v>
      </c>
    </row>
    <row r="5656" spans="8:11" x14ac:dyDescent="0.3">
      <c r="H5656">
        <v>0.5</v>
      </c>
      <c r="I5656" s="11">
        <f t="shared" si="88"/>
        <v>0</v>
      </c>
      <c r="J5656" s="11">
        <f>1/(H5656*Utilities!$B$11)</f>
        <v>8</v>
      </c>
      <c r="K5656" s="11">
        <f>IF(B5656&lt;C5656,1,EXP(-1*(B5656-C5656)/(Utilities!$B$11*IterData!H5656)))</f>
        <v>1</v>
      </c>
    </row>
    <row r="5657" spans="8:11" x14ac:dyDescent="0.3">
      <c r="H5657">
        <v>0.5</v>
      </c>
      <c r="I5657" s="11">
        <f t="shared" si="88"/>
        <v>0</v>
      </c>
      <c r="J5657" s="11">
        <f>1/(H5657*Utilities!$B$11)</f>
        <v>8</v>
      </c>
      <c r="K5657" s="11">
        <f>IF(B5657&lt;C5657,1,EXP(-1*(B5657-C5657)/(Utilities!$B$11*IterData!H5657)))</f>
        <v>1</v>
      </c>
    </row>
    <row r="5658" spans="8:11" x14ac:dyDescent="0.3">
      <c r="H5658">
        <v>0.5</v>
      </c>
      <c r="I5658" s="11">
        <f t="shared" si="88"/>
        <v>0</v>
      </c>
      <c r="J5658" s="11">
        <f>1/(H5658*Utilities!$B$11)</f>
        <v>8</v>
      </c>
      <c r="K5658" s="11">
        <f>IF(B5658&lt;C5658,1,EXP(-1*(B5658-C5658)/(Utilities!$B$11*IterData!H5658)))</f>
        <v>1</v>
      </c>
    </row>
    <row r="5659" spans="8:11" x14ac:dyDescent="0.3">
      <c r="H5659">
        <v>0.5</v>
      </c>
      <c r="I5659" s="11">
        <f t="shared" si="88"/>
        <v>0</v>
      </c>
      <c r="J5659" s="11">
        <f>1/(H5659*Utilities!$B$11)</f>
        <v>8</v>
      </c>
      <c r="K5659" s="11">
        <f>IF(B5659&lt;C5659,1,EXP(-1*(B5659-C5659)/(Utilities!$B$11*IterData!H5659)))</f>
        <v>1</v>
      </c>
    </row>
    <row r="5660" spans="8:11" x14ac:dyDescent="0.3">
      <c r="H5660">
        <v>0.5</v>
      </c>
      <c r="I5660" s="11">
        <f t="shared" si="88"/>
        <v>0</v>
      </c>
      <c r="J5660" s="11">
        <f>1/(H5660*Utilities!$B$11)</f>
        <v>8</v>
      </c>
      <c r="K5660" s="11">
        <f>IF(B5660&lt;C5660,1,EXP(-1*(B5660-C5660)/(Utilities!$B$11*IterData!H5660)))</f>
        <v>1</v>
      </c>
    </row>
    <row r="5661" spans="8:11" x14ac:dyDescent="0.3">
      <c r="H5661">
        <v>0.5</v>
      </c>
      <c r="I5661" s="11">
        <f t="shared" si="88"/>
        <v>0</v>
      </c>
      <c r="J5661" s="11">
        <f>1/(H5661*Utilities!$B$11)</f>
        <v>8</v>
      </c>
      <c r="K5661" s="11">
        <f>IF(B5661&lt;C5661,1,EXP(-1*(B5661-C5661)/(Utilities!$B$11*IterData!H5661)))</f>
        <v>1</v>
      </c>
    </row>
    <row r="5662" spans="8:11" x14ac:dyDescent="0.3">
      <c r="H5662">
        <v>0.5</v>
      </c>
      <c r="I5662" s="11">
        <f t="shared" si="88"/>
        <v>0</v>
      </c>
      <c r="J5662" s="11">
        <f>1/(H5662*Utilities!$B$11)</f>
        <v>8</v>
      </c>
      <c r="K5662" s="11">
        <f>IF(B5662&lt;C5662,1,EXP(-1*(B5662-C5662)/(Utilities!$B$11*IterData!H5662)))</f>
        <v>1</v>
      </c>
    </row>
    <row r="5663" spans="8:11" x14ac:dyDescent="0.3">
      <c r="H5663">
        <v>0.5</v>
      </c>
      <c r="I5663" s="11">
        <f t="shared" si="88"/>
        <v>0</v>
      </c>
      <c r="J5663" s="11">
        <f>1/(H5663*Utilities!$B$11)</f>
        <v>8</v>
      </c>
      <c r="K5663" s="11">
        <f>IF(B5663&lt;C5663,1,EXP(-1*(B5663-C5663)/(Utilities!$B$11*IterData!H5663)))</f>
        <v>1</v>
      </c>
    </row>
    <row r="5664" spans="8:11" x14ac:dyDescent="0.3">
      <c r="H5664">
        <v>0.5</v>
      </c>
      <c r="I5664" s="11">
        <f t="shared" si="88"/>
        <v>0</v>
      </c>
      <c r="J5664" s="11">
        <f>1/(H5664*Utilities!$B$11)</f>
        <v>8</v>
      </c>
      <c r="K5664" s="11">
        <f>IF(B5664&lt;C5664,1,EXP(-1*(B5664-C5664)/(Utilities!$B$11*IterData!H5664)))</f>
        <v>1</v>
      </c>
    </row>
    <row r="5665" spans="8:11" x14ac:dyDescent="0.3">
      <c r="H5665">
        <v>0.5</v>
      </c>
      <c r="I5665" s="11">
        <f t="shared" si="88"/>
        <v>0</v>
      </c>
      <c r="J5665" s="11">
        <f>1/(H5665*Utilities!$B$11)</f>
        <v>8</v>
      </c>
      <c r="K5665" s="11">
        <f>IF(B5665&lt;C5665,1,EXP(-1*(B5665-C5665)/(Utilities!$B$11*IterData!H5665)))</f>
        <v>1</v>
      </c>
    </row>
    <row r="5666" spans="8:11" x14ac:dyDescent="0.3">
      <c r="H5666">
        <v>0.5</v>
      </c>
      <c r="I5666" s="11">
        <f t="shared" si="88"/>
        <v>0</v>
      </c>
      <c r="J5666" s="11">
        <f>1/(H5666*Utilities!$B$11)</f>
        <v>8</v>
      </c>
      <c r="K5666" s="11">
        <f>IF(B5666&lt;C5666,1,EXP(-1*(B5666-C5666)/(Utilities!$B$11*IterData!H5666)))</f>
        <v>1</v>
      </c>
    </row>
    <row r="5667" spans="8:11" x14ac:dyDescent="0.3">
      <c r="H5667">
        <v>0.5</v>
      </c>
      <c r="I5667" s="11">
        <f t="shared" si="88"/>
        <v>0</v>
      </c>
      <c r="J5667" s="11">
        <f>1/(H5667*Utilities!$B$11)</f>
        <v>8</v>
      </c>
      <c r="K5667" s="11">
        <f>IF(B5667&lt;C5667,1,EXP(-1*(B5667-C5667)/(Utilities!$B$11*IterData!H5667)))</f>
        <v>1</v>
      </c>
    </row>
    <row r="5668" spans="8:11" x14ac:dyDescent="0.3">
      <c r="H5668">
        <v>0.5</v>
      </c>
      <c r="I5668" s="11">
        <f t="shared" si="88"/>
        <v>0</v>
      </c>
      <c r="J5668" s="11">
        <f>1/(H5668*Utilities!$B$11)</f>
        <v>8</v>
      </c>
      <c r="K5668" s="11">
        <f>IF(B5668&lt;C5668,1,EXP(-1*(B5668-C5668)/(Utilities!$B$11*IterData!H5668)))</f>
        <v>1</v>
      </c>
    </row>
    <row r="5669" spans="8:11" x14ac:dyDescent="0.3">
      <c r="H5669">
        <v>0.5</v>
      </c>
      <c r="I5669" s="11">
        <f t="shared" si="88"/>
        <v>0</v>
      </c>
      <c r="J5669" s="11">
        <f>1/(H5669*Utilities!$B$11)</f>
        <v>8</v>
      </c>
      <c r="K5669" s="11">
        <f>IF(B5669&lt;C5669,1,EXP(-1*(B5669-C5669)/(Utilities!$B$11*IterData!H5669)))</f>
        <v>1</v>
      </c>
    </row>
    <row r="5670" spans="8:11" x14ac:dyDescent="0.3">
      <c r="H5670">
        <v>0.5</v>
      </c>
      <c r="I5670" s="11">
        <f t="shared" si="88"/>
        <v>0</v>
      </c>
      <c r="J5670" s="11">
        <f>1/(H5670*Utilities!$B$11)</f>
        <v>8</v>
      </c>
      <c r="K5670" s="11">
        <f>IF(B5670&lt;C5670,1,EXP(-1*(B5670-C5670)/(Utilities!$B$11*IterData!H5670)))</f>
        <v>1</v>
      </c>
    </row>
    <row r="5671" spans="8:11" x14ac:dyDescent="0.3">
      <c r="H5671">
        <v>0.5</v>
      </c>
      <c r="I5671" s="11">
        <f t="shared" si="88"/>
        <v>0</v>
      </c>
      <c r="J5671" s="11">
        <f>1/(H5671*Utilities!$B$11)</f>
        <v>8</v>
      </c>
      <c r="K5671" s="11">
        <f>IF(B5671&lt;C5671,1,EXP(-1*(B5671-C5671)/(Utilities!$B$11*IterData!H5671)))</f>
        <v>1</v>
      </c>
    </row>
    <row r="5672" spans="8:11" x14ac:dyDescent="0.3">
      <c r="H5672">
        <v>0.5</v>
      </c>
      <c r="I5672" s="11">
        <f t="shared" si="88"/>
        <v>0</v>
      </c>
      <c r="J5672" s="11">
        <f>1/(H5672*Utilities!$B$11)</f>
        <v>8</v>
      </c>
      <c r="K5672" s="11">
        <f>IF(B5672&lt;C5672,1,EXP(-1*(B5672-C5672)/(Utilities!$B$11*IterData!H5672)))</f>
        <v>1</v>
      </c>
    </row>
    <row r="5673" spans="8:11" x14ac:dyDescent="0.3">
      <c r="H5673">
        <v>0.5</v>
      </c>
      <c r="I5673" s="11">
        <f t="shared" si="88"/>
        <v>0</v>
      </c>
      <c r="J5673" s="11">
        <f>1/(H5673*Utilities!$B$11)</f>
        <v>8</v>
      </c>
      <c r="K5673" s="11">
        <f>IF(B5673&lt;C5673,1,EXP(-1*(B5673-C5673)/(Utilities!$B$11*IterData!H5673)))</f>
        <v>1</v>
      </c>
    </row>
    <row r="5674" spans="8:11" x14ac:dyDescent="0.3">
      <c r="H5674">
        <v>0.5</v>
      </c>
      <c r="I5674" s="11">
        <f t="shared" si="88"/>
        <v>0</v>
      </c>
      <c r="J5674" s="11">
        <f>1/(H5674*Utilities!$B$11)</f>
        <v>8</v>
      </c>
      <c r="K5674" s="11">
        <f>IF(B5674&lt;C5674,1,EXP(-1*(B5674-C5674)/(Utilities!$B$11*IterData!H5674)))</f>
        <v>1</v>
      </c>
    </row>
    <row r="5675" spans="8:11" x14ac:dyDescent="0.3">
      <c r="H5675">
        <v>0.5</v>
      </c>
      <c r="I5675" s="11">
        <f t="shared" si="88"/>
        <v>0</v>
      </c>
      <c r="J5675" s="11">
        <f>1/(H5675*Utilities!$B$11)</f>
        <v>8</v>
      </c>
      <c r="K5675" s="11">
        <f>IF(B5675&lt;C5675,1,EXP(-1*(B5675-C5675)/(Utilities!$B$11*IterData!H5675)))</f>
        <v>1</v>
      </c>
    </row>
    <row r="5676" spans="8:11" x14ac:dyDescent="0.3">
      <c r="H5676">
        <v>0.5</v>
      </c>
      <c r="I5676" s="11">
        <f t="shared" si="88"/>
        <v>0</v>
      </c>
      <c r="J5676" s="11">
        <f>1/(H5676*Utilities!$B$11)</f>
        <v>8</v>
      </c>
      <c r="K5676" s="11">
        <f>IF(B5676&lt;C5676,1,EXP(-1*(B5676-C5676)/(Utilities!$B$11*IterData!H5676)))</f>
        <v>1</v>
      </c>
    </row>
    <row r="5677" spans="8:11" x14ac:dyDescent="0.3">
      <c r="H5677">
        <v>0.5</v>
      </c>
      <c r="I5677" s="11">
        <f t="shared" si="88"/>
        <v>0</v>
      </c>
      <c r="J5677" s="11">
        <f>1/(H5677*Utilities!$B$11)</f>
        <v>8</v>
      </c>
      <c r="K5677" s="11">
        <f>IF(B5677&lt;C5677,1,EXP(-1*(B5677-C5677)/(Utilities!$B$11*IterData!H5677)))</f>
        <v>1</v>
      </c>
    </row>
    <row r="5678" spans="8:11" x14ac:dyDescent="0.3">
      <c r="H5678">
        <v>0.5</v>
      </c>
      <c r="I5678" s="11">
        <f t="shared" si="88"/>
        <v>0</v>
      </c>
      <c r="J5678" s="11">
        <f>1/(H5678*Utilities!$B$11)</f>
        <v>8</v>
      </c>
      <c r="K5678" s="11">
        <f>IF(B5678&lt;C5678,1,EXP(-1*(B5678-C5678)/(Utilities!$B$11*IterData!H5678)))</f>
        <v>1</v>
      </c>
    </row>
    <row r="5679" spans="8:11" x14ac:dyDescent="0.3">
      <c r="H5679">
        <v>0.5</v>
      </c>
      <c r="I5679" s="11">
        <f t="shared" si="88"/>
        <v>0</v>
      </c>
      <c r="J5679" s="11">
        <f>1/(H5679*Utilities!$B$11)</f>
        <v>8</v>
      </c>
      <c r="K5679" s="11">
        <f>IF(B5679&lt;C5679,1,EXP(-1*(B5679-C5679)/(Utilities!$B$11*IterData!H5679)))</f>
        <v>1</v>
      </c>
    </row>
    <row r="5680" spans="8:11" x14ac:dyDescent="0.3">
      <c r="H5680">
        <v>0.5</v>
      </c>
      <c r="I5680" s="11">
        <f t="shared" si="88"/>
        <v>0</v>
      </c>
      <c r="J5680" s="11">
        <f>1/(H5680*Utilities!$B$11)</f>
        <v>8</v>
      </c>
      <c r="K5680" s="11">
        <f>IF(B5680&lt;C5680,1,EXP(-1*(B5680-C5680)/(Utilities!$B$11*IterData!H5680)))</f>
        <v>1</v>
      </c>
    </row>
    <row r="5681" spans="8:11" x14ac:dyDescent="0.3">
      <c r="H5681">
        <v>0.5</v>
      </c>
      <c r="I5681" s="11">
        <f t="shared" si="88"/>
        <v>0</v>
      </c>
      <c r="J5681" s="11">
        <f>1/(H5681*Utilities!$B$11)</f>
        <v>8</v>
      </c>
      <c r="K5681" s="11">
        <f>IF(B5681&lt;C5681,1,EXP(-1*(B5681-C5681)/(Utilities!$B$11*IterData!H5681)))</f>
        <v>1</v>
      </c>
    </row>
    <row r="5682" spans="8:11" x14ac:dyDescent="0.3">
      <c r="H5682">
        <v>0.5</v>
      </c>
      <c r="I5682" s="11">
        <f t="shared" si="88"/>
        <v>0</v>
      </c>
      <c r="J5682" s="11">
        <f>1/(H5682*Utilities!$B$11)</f>
        <v>8</v>
      </c>
      <c r="K5682" s="11">
        <f>IF(B5682&lt;C5682,1,EXP(-1*(B5682-C5682)/(Utilities!$B$11*IterData!H5682)))</f>
        <v>1</v>
      </c>
    </row>
    <row r="5683" spans="8:11" x14ac:dyDescent="0.3">
      <c r="H5683">
        <v>0.5</v>
      </c>
      <c r="I5683" s="11">
        <f t="shared" si="88"/>
        <v>0</v>
      </c>
      <c r="J5683" s="11">
        <f>1/(H5683*Utilities!$B$11)</f>
        <v>8</v>
      </c>
      <c r="K5683" s="11">
        <f>IF(B5683&lt;C5683,1,EXP(-1*(B5683-C5683)/(Utilities!$B$11*IterData!H5683)))</f>
        <v>1</v>
      </c>
    </row>
    <row r="5684" spans="8:11" x14ac:dyDescent="0.3">
      <c r="H5684">
        <v>0.5</v>
      </c>
      <c r="I5684" s="11">
        <f t="shared" si="88"/>
        <v>0</v>
      </c>
      <c r="J5684" s="11">
        <f>1/(H5684*Utilities!$B$11)</f>
        <v>8</v>
      </c>
      <c r="K5684" s="11">
        <f>IF(B5684&lt;C5684,1,EXP(-1*(B5684-C5684)/(Utilities!$B$11*IterData!H5684)))</f>
        <v>1</v>
      </c>
    </row>
    <row r="5685" spans="8:11" x14ac:dyDescent="0.3">
      <c r="H5685">
        <v>0.5</v>
      </c>
      <c r="I5685" s="11">
        <f t="shared" si="88"/>
        <v>0</v>
      </c>
      <c r="J5685" s="11">
        <f>1/(H5685*Utilities!$B$11)</f>
        <v>8</v>
      </c>
      <c r="K5685" s="11">
        <f>IF(B5685&lt;C5685,1,EXP(-1*(B5685-C5685)/(Utilities!$B$11*IterData!H5685)))</f>
        <v>1</v>
      </c>
    </row>
    <row r="5686" spans="8:11" x14ac:dyDescent="0.3">
      <c r="H5686">
        <v>0.5</v>
      </c>
      <c r="I5686" s="11">
        <f t="shared" si="88"/>
        <v>0</v>
      </c>
      <c r="J5686" s="11">
        <f>1/(H5686*Utilities!$B$11)</f>
        <v>8</v>
      </c>
      <c r="K5686" s="11">
        <f>IF(B5686&lt;C5686,1,EXP(-1*(B5686-C5686)/(Utilities!$B$11*IterData!H5686)))</f>
        <v>1</v>
      </c>
    </row>
    <row r="5687" spans="8:11" x14ac:dyDescent="0.3">
      <c r="H5687">
        <v>0.5</v>
      </c>
      <c r="I5687" s="11">
        <f t="shared" si="88"/>
        <v>0</v>
      </c>
      <c r="J5687" s="11">
        <f>1/(H5687*Utilities!$B$11)</f>
        <v>8</v>
      </c>
      <c r="K5687" s="11">
        <f>IF(B5687&lt;C5687,1,EXP(-1*(B5687-C5687)/(Utilities!$B$11*IterData!H5687)))</f>
        <v>1</v>
      </c>
    </row>
    <row r="5688" spans="8:11" x14ac:dyDescent="0.3">
      <c r="H5688">
        <v>0.5</v>
      </c>
      <c r="I5688" s="11">
        <f t="shared" si="88"/>
        <v>0</v>
      </c>
      <c r="J5688" s="11">
        <f>1/(H5688*Utilities!$B$11)</f>
        <v>8</v>
      </c>
      <c r="K5688" s="11">
        <f>IF(B5688&lt;C5688,1,EXP(-1*(B5688-C5688)/(Utilities!$B$11*IterData!H5688)))</f>
        <v>1</v>
      </c>
    </row>
    <row r="5689" spans="8:11" x14ac:dyDescent="0.3">
      <c r="H5689">
        <v>0.5</v>
      </c>
      <c r="I5689" s="11">
        <f t="shared" si="88"/>
        <v>0</v>
      </c>
      <c r="J5689" s="11">
        <f>1/(H5689*Utilities!$B$11)</f>
        <v>8</v>
      </c>
      <c r="K5689" s="11">
        <f>IF(B5689&lt;C5689,1,EXP(-1*(B5689-C5689)/(Utilities!$B$11*IterData!H5689)))</f>
        <v>1</v>
      </c>
    </row>
    <row r="5690" spans="8:11" x14ac:dyDescent="0.3">
      <c r="H5690">
        <v>0.5</v>
      </c>
      <c r="I5690" s="11">
        <f t="shared" si="88"/>
        <v>0</v>
      </c>
      <c r="J5690" s="11">
        <f>1/(H5690*Utilities!$B$11)</f>
        <v>8</v>
      </c>
      <c r="K5690" s="11">
        <f>IF(B5690&lt;C5690,1,EXP(-1*(B5690-C5690)/(Utilities!$B$11*IterData!H5690)))</f>
        <v>1</v>
      </c>
    </row>
    <row r="5691" spans="8:11" x14ac:dyDescent="0.3">
      <c r="H5691">
        <v>0.5</v>
      </c>
      <c r="I5691" s="11">
        <f t="shared" si="88"/>
        <v>0</v>
      </c>
      <c r="J5691" s="11">
        <f>1/(H5691*Utilities!$B$11)</f>
        <v>8</v>
      </c>
      <c r="K5691" s="11">
        <f>IF(B5691&lt;C5691,1,EXP(-1*(B5691-C5691)/(Utilities!$B$11*IterData!H5691)))</f>
        <v>1</v>
      </c>
    </row>
    <row r="5692" spans="8:11" x14ac:dyDescent="0.3">
      <c r="H5692">
        <v>0.5</v>
      </c>
      <c r="I5692" s="11">
        <f t="shared" si="88"/>
        <v>0</v>
      </c>
      <c r="J5692" s="11">
        <f>1/(H5692*Utilities!$B$11)</f>
        <v>8</v>
      </c>
      <c r="K5692" s="11">
        <f>IF(B5692&lt;C5692,1,EXP(-1*(B5692-C5692)/(Utilities!$B$11*IterData!H5692)))</f>
        <v>1</v>
      </c>
    </row>
    <row r="5693" spans="8:11" x14ac:dyDescent="0.3">
      <c r="H5693">
        <v>0.5</v>
      </c>
      <c r="I5693" s="11">
        <f t="shared" si="88"/>
        <v>0</v>
      </c>
      <c r="J5693" s="11">
        <f>1/(H5693*Utilities!$B$11)</f>
        <v>8</v>
      </c>
      <c r="K5693" s="11">
        <f>IF(B5693&lt;C5693,1,EXP(-1*(B5693-C5693)/(Utilities!$B$11*IterData!H5693)))</f>
        <v>1</v>
      </c>
    </row>
    <row r="5694" spans="8:11" x14ac:dyDescent="0.3">
      <c r="H5694">
        <v>0.5</v>
      </c>
      <c r="I5694" s="11">
        <f t="shared" si="88"/>
        <v>0</v>
      </c>
      <c r="J5694" s="11">
        <f>1/(H5694*Utilities!$B$11)</f>
        <v>8</v>
      </c>
      <c r="K5694" s="11">
        <f>IF(B5694&lt;C5694,1,EXP(-1*(B5694-C5694)/(Utilities!$B$11*IterData!H5694)))</f>
        <v>1</v>
      </c>
    </row>
    <row r="5695" spans="8:11" x14ac:dyDescent="0.3">
      <c r="H5695">
        <v>0.5</v>
      </c>
      <c r="I5695" s="11">
        <f t="shared" si="88"/>
        <v>0</v>
      </c>
      <c r="J5695" s="11">
        <f>1/(H5695*Utilities!$B$11)</f>
        <v>8</v>
      </c>
      <c r="K5695" s="11">
        <f>IF(B5695&lt;C5695,1,EXP(-1*(B5695-C5695)/(Utilities!$B$11*IterData!H5695)))</f>
        <v>1</v>
      </c>
    </row>
    <row r="5696" spans="8:11" x14ac:dyDescent="0.3">
      <c r="H5696">
        <v>0.5</v>
      </c>
      <c r="I5696" s="11">
        <f t="shared" si="88"/>
        <v>0</v>
      </c>
      <c r="J5696" s="11">
        <f>1/(H5696*Utilities!$B$11)</f>
        <v>8</v>
      </c>
      <c r="K5696" s="11">
        <f>IF(B5696&lt;C5696,1,EXP(-1*(B5696-C5696)/(Utilities!$B$11*IterData!H5696)))</f>
        <v>1</v>
      </c>
    </row>
    <row r="5697" spans="8:11" x14ac:dyDescent="0.3">
      <c r="H5697">
        <v>0.5</v>
      </c>
      <c r="I5697" s="11">
        <f t="shared" si="88"/>
        <v>0</v>
      </c>
      <c r="J5697" s="11">
        <f>1/(H5697*Utilities!$B$11)</f>
        <v>8</v>
      </c>
      <c r="K5697" s="11">
        <f>IF(B5697&lt;C5697,1,EXP(-1*(B5697-C5697)/(Utilities!$B$11*IterData!H5697)))</f>
        <v>1</v>
      </c>
    </row>
    <row r="5698" spans="8:11" x14ac:dyDescent="0.3">
      <c r="H5698">
        <v>0.5</v>
      </c>
      <c r="I5698" s="11">
        <f t="shared" si="88"/>
        <v>0</v>
      </c>
      <c r="J5698" s="11">
        <f>1/(H5698*Utilities!$B$11)</f>
        <v>8</v>
      </c>
      <c r="K5698" s="11">
        <f>IF(B5698&lt;C5698,1,EXP(-1*(B5698-C5698)/(Utilities!$B$11*IterData!H5698)))</f>
        <v>1</v>
      </c>
    </row>
    <row r="5699" spans="8:11" x14ac:dyDescent="0.3">
      <c r="H5699">
        <v>0.5</v>
      </c>
      <c r="I5699" s="11">
        <f t="shared" ref="I5699:I5762" si="89">B5699-C5699</f>
        <v>0</v>
      </c>
      <c r="J5699" s="11">
        <f>1/(H5699*Utilities!$B$11)</f>
        <v>8</v>
      </c>
      <c r="K5699" s="11">
        <f>IF(B5699&lt;C5699,1,EXP(-1*(B5699-C5699)/(Utilities!$B$11*IterData!H5699)))</f>
        <v>1</v>
      </c>
    </row>
    <row r="5700" spans="8:11" x14ac:dyDescent="0.3">
      <c r="H5700">
        <v>0.5</v>
      </c>
      <c r="I5700" s="11">
        <f t="shared" si="89"/>
        <v>0</v>
      </c>
      <c r="J5700" s="11">
        <f>1/(H5700*Utilities!$B$11)</f>
        <v>8</v>
      </c>
      <c r="K5700" s="11">
        <f>IF(B5700&lt;C5700,1,EXP(-1*(B5700-C5700)/(Utilities!$B$11*IterData!H5700)))</f>
        <v>1</v>
      </c>
    </row>
    <row r="5701" spans="8:11" x14ac:dyDescent="0.3">
      <c r="H5701">
        <v>0.5</v>
      </c>
      <c r="I5701" s="11">
        <f t="shared" si="89"/>
        <v>0</v>
      </c>
      <c r="J5701" s="11">
        <f>1/(H5701*Utilities!$B$11)</f>
        <v>8</v>
      </c>
      <c r="K5701" s="11">
        <f>IF(B5701&lt;C5701,1,EXP(-1*(B5701-C5701)/(Utilities!$B$11*IterData!H5701)))</f>
        <v>1</v>
      </c>
    </row>
    <row r="5702" spans="8:11" x14ac:dyDescent="0.3">
      <c r="H5702">
        <v>0.5</v>
      </c>
      <c r="I5702" s="11">
        <f t="shared" si="89"/>
        <v>0</v>
      </c>
      <c r="J5702" s="11">
        <f>1/(H5702*Utilities!$B$11)</f>
        <v>8</v>
      </c>
      <c r="K5702" s="11">
        <f>IF(B5702&lt;C5702,1,EXP(-1*(B5702-C5702)/(Utilities!$B$11*IterData!H5702)))</f>
        <v>1</v>
      </c>
    </row>
    <row r="5703" spans="8:11" x14ac:dyDescent="0.3">
      <c r="H5703">
        <v>0.5</v>
      </c>
      <c r="I5703" s="11">
        <f t="shared" si="89"/>
        <v>0</v>
      </c>
      <c r="J5703" s="11">
        <f>1/(H5703*Utilities!$B$11)</f>
        <v>8</v>
      </c>
      <c r="K5703" s="11">
        <f>IF(B5703&lt;C5703,1,EXP(-1*(B5703-C5703)/(Utilities!$B$11*IterData!H5703)))</f>
        <v>1</v>
      </c>
    </row>
    <row r="5704" spans="8:11" x14ac:dyDescent="0.3">
      <c r="H5704">
        <v>0.5</v>
      </c>
      <c r="I5704" s="11">
        <f t="shared" si="89"/>
        <v>0</v>
      </c>
      <c r="J5704" s="11">
        <f>1/(H5704*Utilities!$B$11)</f>
        <v>8</v>
      </c>
      <c r="K5704" s="11">
        <f>IF(B5704&lt;C5704,1,EXP(-1*(B5704-C5704)/(Utilities!$B$11*IterData!H5704)))</f>
        <v>1</v>
      </c>
    </row>
    <row r="5705" spans="8:11" x14ac:dyDescent="0.3">
      <c r="H5705">
        <v>0.5</v>
      </c>
      <c r="I5705" s="11">
        <f t="shared" si="89"/>
        <v>0</v>
      </c>
      <c r="J5705" s="11">
        <f>1/(H5705*Utilities!$B$11)</f>
        <v>8</v>
      </c>
      <c r="K5705" s="11">
        <f>IF(B5705&lt;C5705,1,EXP(-1*(B5705-C5705)/(Utilities!$B$11*IterData!H5705)))</f>
        <v>1</v>
      </c>
    </row>
    <row r="5706" spans="8:11" x14ac:dyDescent="0.3">
      <c r="H5706">
        <v>0.5</v>
      </c>
      <c r="I5706" s="11">
        <f t="shared" si="89"/>
        <v>0</v>
      </c>
      <c r="J5706" s="11">
        <f>1/(H5706*Utilities!$B$11)</f>
        <v>8</v>
      </c>
      <c r="K5706" s="11">
        <f>IF(B5706&lt;C5706,1,EXP(-1*(B5706-C5706)/(Utilities!$B$11*IterData!H5706)))</f>
        <v>1</v>
      </c>
    </row>
    <row r="5707" spans="8:11" x14ac:dyDescent="0.3">
      <c r="H5707">
        <v>0.5</v>
      </c>
      <c r="I5707" s="11">
        <f t="shared" si="89"/>
        <v>0</v>
      </c>
      <c r="J5707" s="11">
        <f>1/(H5707*Utilities!$B$11)</f>
        <v>8</v>
      </c>
      <c r="K5707" s="11">
        <f>IF(B5707&lt;C5707,1,EXP(-1*(B5707-C5707)/(Utilities!$B$11*IterData!H5707)))</f>
        <v>1</v>
      </c>
    </row>
    <row r="5708" spans="8:11" x14ac:dyDescent="0.3">
      <c r="H5708">
        <v>0.5</v>
      </c>
      <c r="I5708" s="11">
        <f t="shared" si="89"/>
        <v>0</v>
      </c>
      <c r="J5708" s="11">
        <f>1/(H5708*Utilities!$B$11)</f>
        <v>8</v>
      </c>
      <c r="K5708" s="11">
        <f>IF(B5708&lt;C5708,1,EXP(-1*(B5708-C5708)/(Utilities!$B$11*IterData!H5708)))</f>
        <v>1</v>
      </c>
    </row>
    <row r="5709" spans="8:11" x14ac:dyDescent="0.3">
      <c r="H5709">
        <v>0.5</v>
      </c>
      <c r="I5709" s="11">
        <f t="shared" si="89"/>
        <v>0</v>
      </c>
      <c r="J5709" s="11">
        <f>1/(H5709*Utilities!$B$11)</f>
        <v>8</v>
      </c>
      <c r="K5709" s="11">
        <f>IF(B5709&lt;C5709,1,EXP(-1*(B5709-C5709)/(Utilities!$B$11*IterData!H5709)))</f>
        <v>1</v>
      </c>
    </row>
    <row r="5710" spans="8:11" x14ac:dyDescent="0.3">
      <c r="H5710">
        <v>0.5</v>
      </c>
      <c r="I5710" s="11">
        <f t="shared" si="89"/>
        <v>0</v>
      </c>
      <c r="J5710" s="11">
        <f>1/(H5710*Utilities!$B$11)</f>
        <v>8</v>
      </c>
      <c r="K5710" s="11">
        <f>IF(B5710&lt;C5710,1,EXP(-1*(B5710-C5710)/(Utilities!$B$11*IterData!H5710)))</f>
        <v>1</v>
      </c>
    </row>
    <row r="5711" spans="8:11" x14ac:dyDescent="0.3">
      <c r="H5711">
        <v>0.5</v>
      </c>
      <c r="I5711" s="11">
        <f t="shared" si="89"/>
        <v>0</v>
      </c>
      <c r="J5711" s="11">
        <f>1/(H5711*Utilities!$B$11)</f>
        <v>8</v>
      </c>
      <c r="K5711" s="11">
        <f>IF(B5711&lt;C5711,1,EXP(-1*(B5711-C5711)/(Utilities!$B$11*IterData!H5711)))</f>
        <v>1</v>
      </c>
    </row>
    <row r="5712" spans="8:11" x14ac:dyDescent="0.3">
      <c r="H5712">
        <v>0.5</v>
      </c>
      <c r="I5712" s="11">
        <f t="shared" si="89"/>
        <v>0</v>
      </c>
      <c r="J5712" s="11">
        <f>1/(H5712*Utilities!$B$11)</f>
        <v>8</v>
      </c>
      <c r="K5712" s="11">
        <f>IF(B5712&lt;C5712,1,EXP(-1*(B5712-C5712)/(Utilities!$B$11*IterData!H5712)))</f>
        <v>1</v>
      </c>
    </row>
    <row r="5713" spans="8:11" x14ac:dyDescent="0.3">
      <c r="H5713">
        <v>0.5</v>
      </c>
      <c r="I5713" s="11">
        <f t="shared" si="89"/>
        <v>0</v>
      </c>
      <c r="J5713" s="11">
        <f>1/(H5713*Utilities!$B$11)</f>
        <v>8</v>
      </c>
      <c r="K5713" s="11">
        <f>IF(B5713&lt;C5713,1,EXP(-1*(B5713-C5713)/(Utilities!$B$11*IterData!H5713)))</f>
        <v>1</v>
      </c>
    </row>
    <row r="5714" spans="8:11" x14ac:dyDescent="0.3">
      <c r="H5714">
        <v>0.5</v>
      </c>
      <c r="I5714" s="11">
        <f t="shared" si="89"/>
        <v>0</v>
      </c>
      <c r="J5714" s="11">
        <f>1/(H5714*Utilities!$B$11)</f>
        <v>8</v>
      </c>
      <c r="K5714" s="11">
        <f>IF(B5714&lt;C5714,1,EXP(-1*(B5714-C5714)/(Utilities!$B$11*IterData!H5714)))</f>
        <v>1</v>
      </c>
    </row>
    <row r="5715" spans="8:11" x14ac:dyDescent="0.3">
      <c r="H5715">
        <v>0.5</v>
      </c>
      <c r="I5715" s="11">
        <f t="shared" si="89"/>
        <v>0</v>
      </c>
      <c r="J5715" s="11">
        <f>1/(H5715*Utilities!$B$11)</f>
        <v>8</v>
      </c>
      <c r="K5715" s="11">
        <f>IF(B5715&lt;C5715,1,EXP(-1*(B5715-C5715)/(Utilities!$B$11*IterData!H5715)))</f>
        <v>1</v>
      </c>
    </row>
    <row r="5716" spans="8:11" x14ac:dyDescent="0.3">
      <c r="H5716">
        <v>0.5</v>
      </c>
      <c r="I5716" s="11">
        <f t="shared" si="89"/>
        <v>0</v>
      </c>
      <c r="J5716" s="11">
        <f>1/(H5716*Utilities!$B$11)</f>
        <v>8</v>
      </c>
      <c r="K5716" s="11">
        <f>IF(B5716&lt;C5716,1,EXP(-1*(B5716-C5716)/(Utilities!$B$11*IterData!H5716)))</f>
        <v>1</v>
      </c>
    </row>
    <row r="5717" spans="8:11" x14ac:dyDescent="0.3">
      <c r="H5717">
        <v>0.5</v>
      </c>
      <c r="I5717" s="11">
        <f t="shared" si="89"/>
        <v>0</v>
      </c>
      <c r="J5717" s="11">
        <f>1/(H5717*Utilities!$B$11)</f>
        <v>8</v>
      </c>
      <c r="K5717" s="11">
        <f>IF(B5717&lt;C5717,1,EXP(-1*(B5717-C5717)/(Utilities!$B$11*IterData!H5717)))</f>
        <v>1</v>
      </c>
    </row>
    <row r="5718" spans="8:11" x14ac:dyDescent="0.3">
      <c r="H5718">
        <v>0.5</v>
      </c>
      <c r="I5718" s="11">
        <f t="shared" si="89"/>
        <v>0</v>
      </c>
      <c r="J5718" s="11">
        <f>1/(H5718*Utilities!$B$11)</f>
        <v>8</v>
      </c>
      <c r="K5718" s="11">
        <f>IF(B5718&lt;C5718,1,EXP(-1*(B5718-C5718)/(Utilities!$B$11*IterData!H5718)))</f>
        <v>1</v>
      </c>
    </row>
    <row r="5719" spans="8:11" x14ac:dyDescent="0.3">
      <c r="H5719">
        <v>0.5</v>
      </c>
      <c r="I5719" s="11">
        <f t="shared" si="89"/>
        <v>0</v>
      </c>
      <c r="J5719" s="11">
        <f>1/(H5719*Utilities!$B$11)</f>
        <v>8</v>
      </c>
      <c r="K5719" s="11">
        <f>IF(B5719&lt;C5719,1,EXP(-1*(B5719-C5719)/(Utilities!$B$11*IterData!H5719)))</f>
        <v>1</v>
      </c>
    </row>
    <row r="5720" spans="8:11" x14ac:dyDescent="0.3">
      <c r="H5720">
        <v>0.5</v>
      </c>
      <c r="I5720" s="11">
        <f t="shared" si="89"/>
        <v>0</v>
      </c>
      <c r="J5720" s="11">
        <f>1/(H5720*Utilities!$B$11)</f>
        <v>8</v>
      </c>
      <c r="K5720" s="11">
        <f>IF(B5720&lt;C5720,1,EXP(-1*(B5720-C5720)/(Utilities!$B$11*IterData!H5720)))</f>
        <v>1</v>
      </c>
    </row>
    <row r="5721" spans="8:11" x14ac:dyDescent="0.3">
      <c r="H5721">
        <v>0.5</v>
      </c>
      <c r="I5721" s="11">
        <f t="shared" si="89"/>
        <v>0</v>
      </c>
      <c r="J5721" s="11">
        <f>1/(H5721*Utilities!$B$11)</f>
        <v>8</v>
      </c>
      <c r="K5721" s="11">
        <f>IF(B5721&lt;C5721,1,EXP(-1*(B5721-C5721)/(Utilities!$B$11*IterData!H5721)))</f>
        <v>1</v>
      </c>
    </row>
    <row r="5722" spans="8:11" x14ac:dyDescent="0.3">
      <c r="H5722">
        <v>0.5</v>
      </c>
      <c r="I5722" s="11">
        <f t="shared" si="89"/>
        <v>0</v>
      </c>
      <c r="J5722" s="11">
        <f>1/(H5722*Utilities!$B$11)</f>
        <v>8</v>
      </c>
      <c r="K5722" s="11">
        <f>IF(B5722&lt;C5722,1,EXP(-1*(B5722-C5722)/(Utilities!$B$11*IterData!H5722)))</f>
        <v>1</v>
      </c>
    </row>
    <row r="5723" spans="8:11" x14ac:dyDescent="0.3">
      <c r="H5723">
        <v>0.5</v>
      </c>
      <c r="I5723" s="11">
        <f t="shared" si="89"/>
        <v>0</v>
      </c>
      <c r="J5723" s="11">
        <f>1/(H5723*Utilities!$B$11)</f>
        <v>8</v>
      </c>
      <c r="K5723" s="11">
        <f>IF(B5723&lt;C5723,1,EXP(-1*(B5723-C5723)/(Utilities!$B$11*IterData!H5723)))</f>
        <v>1</v>
      </c>
    </row>
    <row r="5724" spans="8:11" x14ac:dyDescent="0.3">
      <c r="H5724">
        <v>0.5</v>
      </c>
      <c r="I5724" s="11">
        <f t="shared" si="89"/>
        <v>0</v>
      </c>
      <c r="J5724" s="11">
        <f>1/(H5724*Utilities!$B$11)</f>
        <v>8</v>
      </c>
      <c r="K5724" s="11">
        <f>IF(B5724&lt;C5724,1,EXP(-1*(B5724-C5724)/(Utilities!$B$11*IterData!H5724)))</f>
        <v>1</v>
      </c>
    </row>
    <row r="5725" spans="8:11" x14ac:dyDescent="0.3">
      <c r="H5725">
        <v>0.5</v>
      </c>
      <c r="I5725" s="11">
        <f t="shared" si="89"/>
        <v>0</v>
      </c>
      <c r="J5725" s="11">
        <f>1/(H5725*Utilities!$B$11)</f>
        <v>8</v>
      </c>
      <c r="K5725" s="11">
        <f>IF(B5725&lt;C5725,1,EXP(-1*(B5725-C5725)/(Utilities!$B$11*IterData!H5725)))</f>
        <v>1</v>
      </c>
    </row>
    <row r="5726" spans="8:11" x14ac:dyDescent="0.3">
      <c r="H5726">
        <v>0.5</v>
      </c>
      <c r="I5726" s="11">
        <f t="shared" si="89"/>
        <v>0</v>
      </c>
      <c r="J5726" s="11">
        <f>1/(H5726*Utilities!$B$11)</f>
        <v>8</v>
      </c>
      <c r="K5726" s="11">
        <f>IF(B5726&lt;C5726,1,EXP(-1*(B5726-C5726)/(Utilities!$B$11*IterData!H5726)))</f>
        <v>1</v>
      </c>
    </row>
    <row r="5727" spans="8:11" x14ac:dyDescent="0.3">
      <c r="H5727">
        <v>0.5</v>
      </c>
      <c r="I5727" s="11">
        <f t="shared" si="89"/>
        <v>0</v>
      </c>
      <c r="J5727" s="11">
        <f>1/(H5727*Utilities!$B$11)</f>
        <v>8</v>
      </c>
      <c r="K5727" s="11">
        <f>IF(B5727&lt;C5727,1,EXP(-1*(B5727-C5727)/(Utilities!$B$11*IterData!H5727)))</f>
        <v>1</v>
      </c>
    </row>
    <row r="5728" spans="8:11" x14ac:dyDescent="0.3">
      <c r="H5728">
        <v>0.5</v>
      </c>
      <c r="I5728" s="11">
        <f t="shared" si="89"/>
        <v>0</v>
      </c>
      <c r="J5728" s="11">
        <f>1/(H5728*Utilities!$B$11)</f>
        <v>8</v>
      </c>
      <c r="K5728" s="11">
        <f>IF(B5728&lt;C5728,1,EXP(-1*(B5728-C5728)/(Utilities!$B$11*IterData!H5728)))</f>
        <v>1</v>
      </c>
    </row>
    <row r="5729" spans="8:11" x14ac:dyDescent="0.3">
      <c r="H5729">
        <v>0.5</v>
      </c>
      <c r="I5729" s="11">
        <f t="shared" si="89"/>
        <v>0</v>
      </c>
      <c r="J5729" s="11">
        <f>1/(H5729*Utilities!$B$11)</f>
        <v>8</v>
      </c>
      <c r="K5729" s="11">
        <f>IF(B5729&lt;C5729,1,EXP(-1*(B5729-C5729)/(Utilities!$B$11*IterData!H5729)))</f>
        <v>1</v>
      </c>
    </row>
    <row r="5730" spans="8:11" x14ac:dyDescent="0.3">
      <c r="H5730">
        <v>0.5</v>
      </c>
      <c r="I5730" s="11">
        <f t="shared" si="89"/>
        <v>0</v>
      </c>
      <c r="J5730" s="11">
        <f>1/(H5730*Utilities!$B$11)</f>
        <v>8</v>
      </c>
      <c r="K5730" s="11">
        <f>IF(B5730&lt;C5730,1,EXP(-1*(B5730-C5730)/(Utilities!$B$11*IterData!H5730)))</f>
        <v>1</v>
      </c>
    </row>
    <row r="5731" spans="8:11" x14ac:dyDescent="0.3">
      <c r="H5731">
        <v>0.5</v>
      </c>
      <c r="I5731" s="11">
        <f t="shared" si="89"/>
        <v>0</v>
      </c>
      <c r="J5731" s="11">
        <f>1/(H5731*Utilities!$B$11)</f>
        <v>8</v>
      </c>
      <c r="K5731" s="11">
        <f>IF(B5731&lt;C5731,1,EXP(-1*(B5731-C5731)/(Utilities!$B$11*IterData!H5731)))</f>
        <v>1</v>
      </c>
    </row>
    <row r="5732" spans="8:11" x14ac:dyDescent="0.3">
      <c r="H5732">
        <v>0.5</v>
      </c>
      <c r="I5732" s="11">
        <f t="shared" si="89"/>
        <v>0</v>
      </c>
      <c r="J5732" s="11">
        <f>1/(H5732*Utilities!$B$11)</f>
        <v>8</v>
      </c>
      <c r="K5732" s="11">
        <f>IF(B5732&lt;C5732,1,EXP(-1*(B5732-C5732)/(Utilities!$B$11*IterData!H5732)))</f>
        <v>1</v>
      </c>
    </row>
    <row r="5733" spans="8:11" x14ac:dyDescent="0.3">
      <c r="H5733">
        <v>0.5</v>
      </c>
      <c r="I5733" s="11">
        <f t="shared" si="89"/>
        <v>0</v>
      </c>
      <c r="J5733" s="11">
        <f>1/(H5733*Utilities!$B$11)</f>
        <v>8</v>
      </c>
      <c r="K5733" s="11">
        <f>IF(B5733&lt;C5733,1,EXP(-1*(B5733-C5733)/(Utilities!$B$11*IterData!H5733)))</f>
        <v>1</v>
      </c>
    </row>
    <row r="5734" spans="8:11" x14ac:dyDescent="0.3">
      <c r="H5734">
        <v>0.5</v>
      </c>
      <c r="I5734" s="11">
        <f t="shared" si="89"/>
        <v>0</v>
      </c>
      <c r="J5734" s="11">
        <f>1/(H5734*Utilities!$B$11)</f>
        <v>8</v>
      </c>
      <c r="K5734" s="11">
        <f>IF(B5734&lt;C5734,1,EXP(-1*(B5734-C5734)/(Utilities!$B$11*IterData!H5734)))</f>
        <v>1</v>
      </c>
    </row>
    <row r="5735" spans="8:11" x14ac:dyDescent="0.3">
      <c r="H5735">
        <v>0.5</v>
      </c>
      <c r="I5735" s="11">
        <f t="shared" si="89"/>
        <v>0</v>
      </c>
      <c r="J5735" s="11">
        <f>1/(H5735*Utilities!$B$11)</f>
        <v>8</v>
      </c>
      <c r="K5735" s="11">
        <f>IF(B5735&lt;C5735,1,EXP(-1*(B5735-C5735)/(Utilities!$B$11*IterData!H5735)))</f>
        <v>1</v>
      </c>
    </row>
    <row r="5736" spans="8:11" x14ac:dyDescent="0.3">
      <c r="H5736">
        <v>0.5</v>
      </c>
      <c r="I5736" s="11">
        <f t="shared" si="89"/>
        <v>0</v>
      </c>
      <c r="J5736" s="11">
        <f>1/(H5736*Utilities!$B$11)</f>
        <v>8</v>
      </c>
      <c r="K5736" s="11">
        <f>IF(B5736&lt;C5736,1,EXP(-1*(B5736-C5736)/(Utilities!$B$11*IterData!H5736)))</f>
        <v>1</v>
      </c>
    </row>
    <row r="5737" spans="8:11" x14ac:dyDescent="0.3">
      <c r="H5737">
        <v>0.5</v>
      </c>
      <c r="I5737" s="11">
        <f t="shared" si="89"/>
        <v>0</v>
      </c>
      <c r="J5737" s="11">
        <f>1/(H5737*Utilities!$B$11)</f>
        <v>8</v>
      </c>
      <c r="K5737" s="11">
        <f>IF(B5737&lt;C5737,1,EXP(-1*(B5737-C5737)/(Utilities!$B$11*IterData!H5737)))</f>
        <v>1</v>
      </c>
    </row>
    <row r="5738" spans="8:11" x14ac:dyDescent="0.3">
      <c r="H5738">
        <v>0.5</v>
      </c>
      <c r="I5738" s="11">
        <f t="shared" si="89"/>
        <v>0</v>
      </c>
      <c r="J5738" s="11">
        <f>1/(H5738*Utilities!$B$11)</f>
        <v>8</v>
      </c>
      <c r="K5738" s="11">
        <f>IF(B5738&lt;C5738,1,EXP(-1*(B5738-C5738)/(Utilities!$B$11*IterData!H5738)))</f>
        <v>1</v>
      </c>
    </row>
    <row r="5739" spans="8:11" x14ac:dyDescent="0.3">
      <c r="H5739">
        <v>0.5</v>
      </c>
      <c r="I5739" s="11">
        <f t="shared" si="89"/>
        <v>0</v>
      </c>
      <c r="J5739" s="11">
        <f>1/(H5739*Utilities!$B$11)</f>
        <v>8</v>
      </c>
      <c r="K5739" s="11">
        <f>IF(B5739&lt;C5739,1,EXP(-1*(B5739-C5739)/(Utilities!$B$11*IterData!H5739)))</f>
        <v>1</v>
      </c>
    </row>
    <row r="5740" spans="8:11" x14ac:dyDescent="0.3">
      <c r="H5740">
        <v>0.5</v>
      </c>
      <c r="I5740" s="11">
        <f t="shared" si="89"/>
        <v>0</v>
      </c>
      <c r="J5740" s="11">
        <f>1/(H5740*Utilities!$B$11)</f>
        <v>8</v>
      </c>
      <c r="K5740" s="11">
        <f>IF(B5740&lt;C5740,1,EXP(-1*(B5740-C5740)/(Utilities!$B$11*IterData!H5740)))</f>
        <v>1</v>
      </c>
    </row>
    <row r="5741" spans="8:11" x14ac:dyDescent="0.3">
      <c r="H5741">
        <v>0.5</v>
      </c>
      <c r="I5741" s="11">
        <f t="shared" si="89"/>
        <v>0</v>
      </c>
      <c r="J5741" s="11">
        <f>1/(H5741*Utilities!$B$11)</f>
        <v>8</v>
      </c>
      <c r="K5741" s="11">
        <f>IF(B5741&lt;C5741,1,EXP(-1*(B5741-C5741)/(Utilities!$B$11*IterData!H5741)))</f>
        <v>1</v>
      </c>
    </row>
    <row r="5742" spans="8:11" x14ac:dyDescent="0.3">
      <c r="H5742">
        <v>0.5</v>
      </c>
      <c r="I5742" s="11">
        <f t="shared" si="89"/>
        <v>0</v>
      </c>
      <c r="J5742" s="11">
        <f>1/(H5742*Utilities!$B$11)</f>
        <v>8</v>
      </c>
      <c r="K5742" s="11">
        <f>IF(B5742&lt;C5742,1,EXP(-1*(B5742-C5742)/(Utilities!$B$11*IterData!H5742)))</f>
        <v>1</v>
      </c>
    </row>
    <row r="5743" spans="8:11" x14ac:dyDescent="0.3">
      <c r="H5743">
        <v>0.5</v>
      </c>
      <c r="I5743" s="11">
        <f t="shared" si="89"/>
        <v>0</v>
      </c>
      <c r="J5743" s="11">
        <f>1/(H5743*Utilities!$B$11)</f>
        <v>8</v>
      </c>
      <c r="K5743" s="11">
        <f>IF(B5743&lt;C5743,1,EXP(-1*(B5743-C5743)/(Utilities!$B$11*IterData!H5743)))</f>
        <v>1</v>
      </c>
    </row>
    <row r="5744" spans="8:11" x14ac:dyDescent="0.3">
      <c r="H5744">
        <v>0.5</v>
      </c>
      <c r="I5744" s="11">
        <f t="shared" si="89"/>
        <v>0</v>
      </c>
      <c r="J5744" s="11">
        <f>1/(H5744*Utilities!$B$11)</f>
        <v>8</v>
      </c>
      <c r="K5744" s="11">
        <f>IF(B5744&lt;C5744,1,EXP(-1*(B5744-C5744)/(Utilities!$B$11*IterData!H5744)))</f>
        <v>1</v>
      </c>
    </row>
    <row r="5745" spans="8:11" x14ac:dyDescent="0.3">
      <c r="H5745">
        <v>0.5</v>
      </c>
      <c r="I5745" s="11">
        <f t="shared" si="89"/>
        <v>0</v>
      </c>
      <c r="J5745" s="11">
        <f>1/(H5745*Utilities!$B$11)</f>
        <v>8</v>
      </c>
      <c r="K5745" s="11">
        <f>IF(B5745&lt;C5745,1,EXP(-1*(B5745-C5745)/(Utilities!$B$11*IterData!H5745)))</f>
        <v>1</v>
      </c>
    </row>
    <row r="5746" spans="8:11" x14ac:dyDescent="0.3">
      <c r="H5746">
        <v>0.5</v>
      </c>
      <c r="I5746" s="11">
        <f t="shared" si="89"/>
        <v>0</v>
      </c>
      <c r="J5746" s="11">
        <f>1/(H5746*Utilities!$B$11)</f>
        <v>8</v>
      </c>
      <c r="K5746" s="11">
        <f>IF(B5746&lt;C5746,1,EXP(-1*(B5746-C5746)/(Utilities!$B$11*IterData!H5746)))</f>
        <v>1</v>
      </c>
    </row>
    <row r="5747" spans="8:11" x14ac:dyDescent="0.3">
      <c r="H5747">
        <v>0.5</v>
      </c>
      <c r="I5747" s="11">
        <f t="shared" si="89"/>
        <v>0</v>
      </c>
      <c r="J5747" s="11">
        <f>1/(H5747*Utilities!$B$11)</f>
        <v>8</v>
      </c>
      <c r="K5747" s="11">
        <f>IF(B5747&lt;C5747,1,EXP(-1*(B5747-C5747)/(Utilities!$B$11*IterData!H5747)))</f>
        <v>1</v>
      </c>
    </row>
    <row r="5748" spans="8:11" x14ac:dyDescent="0.3">
      <c r="H5748">
        <v>0.5</v>
      </c>
      <c r="I5748" s="11">
        <f t="shared" si="89"/>
        <v>0</v>
      </c>
      <c r="J5748" s="11">
        <f>1/(H5748*Utilities!$B$11)</f>
        <v>8</v>
      </c>
      <c r="K5748" s="11">
        <f>IF(B5748&lt;C5748,1,EXP(-1*(B5748-C5748)/(Utilities!$B$11*IterData!H5748)))</f>
        <v>1</v>
      </c>
    </row>
    <row r="5749" spans="8:11" x14ac:dyDescent="0.3">
      <c r="H5749">
        <v>0.5</v>
      </c>
      <c r="I5749" s="11">
        <f t="shared" si="89"/>
        <v>0</v>
      </c>
      <c r="J5749" s="11">
        <f>1/(H5749*Utilities!$B$11)</f>
        <v>8</v>
      </c>
      <c r="K5749" s="11">
        <f>IF(B5749&lt;C5749,1,EXP(-1*(B5749-C5749)/(Utilities!$B$11*IterData!H5749)))</f>
        <v>1</v>
      </c>
    </row>
    <row r="5750" spans="8:11" x14ac:dyDescent="0.3">
      <c r="H5750">
        <v>0.5</v>
      </c>
      <c r="I5750" s="11">
        <f t="shared" si="89"/>
        <v>0</v>
      </c>
      <c r="J5750" s="11">
        <f>1/(H5750*Utilities!$B$11)</f>
        <v>8</v>
      </c>
      <c r="K5750" s="11">
        <f>IF(B5750&lt;C5750,1,EXP(-1*(B5750-C5750)/(Utilities!$B$11*IterData!H5750)))</f>
        <v>1</v>
      </c>
    </row>
    <row r="5751" spans="8:11" x14ac:dyDescent="0.3">
      <c r="H5751">
        <v>0.5</v>
      </c>
      <c r="I5751" s="11">
        <f t="shared" si="89"/>
        <v>0</v>
      </c>
      <c r="J5751" s="11">
        <f>1/(H5751*Utilities!$B$11)</f>
        <v>8</v>
      </c>
      <c r="K5751" s="11">
        <f>IF(B5751&lt;C5751,1,EXP(-1*(B5751-C5751)/(Utilities!$B$11*IterData!H5751)))</f>
        <v>1</v>
      </c>
    </row>
    <row r="5752" spans="8:11" x14ac:dyDescent="0.3">
      <c r="H5752">
        <v>0.5</v>
      </c>
      <c r="I5752" s="11">
        <f t="shared" si="89"/>
        <v>0</v>
      </c>
      <c r="J5752" s="11">
        <f>1/(H5752*Utilities!$B$11)</f>
        <v>8</v>
      </c>
      <c r="K5752" s="11">
        <f>IF(B5752&lt;C5752,1,EXP(-1*(B5752-C5752)/(Utilities!$B$11*IterData!H5752)))</f>
        <v>1</v>
      </c>
    </row>
    <row r="5753" spans="8:11" x14ac:dyDescent="0.3">
      <c r="H5753">
        <v>0.5</v>
      </c>
      <c r="I5753" s="11">
        <f t="shared" si="89"/>
        <v>0</v>
      </c>
      <c r="J5753" s="11">
        <f>1/(H5753*Utilities!$B$11)</f>
        <v>8</v>
      </c>
      <c r="K5753" s="11">
        <f>IF(B5753&lt;C5753,1,EXP(-1*(B5753-C5753)/(Utilities!$B$11*IterData!H5753)))</f>
        <v>1</v>
      </c>
    </row>
    <row r="5754" spans="8:11" x14ac:dyDescent="0.3">
      <c r="H5754">
        <v>0.5</v>
      </c>
      <c r="I5754" s="11">
        <f t="shared" si="89"/>
        <v>0</v>
      </c>
      <c r="J5754" s="11">
        <f>1/(H5754*Utilities!$B$11)</f>
        <v>8</v>
      </c>
      <c r="K5754" s="11">
        <f>IF(B5754&lt;C5754,1,EXP(-1*(B5754-C5754)/(Utilities!$B$11*IterData!H5754)))</f>
        <v>1</v>
      </c>
    </row>
    <row r="5755" spans="8:11" x14ac:dyDescent="0.3">
      <c r="H5755">
        <v>0.5</v>
      </c>
      <c r="I5755" s="11">
        <f t="shared" si="89"/>
        <v>0</v>
      </c>
      <c r="J5755" s="11">
        <f>1/(H5755*Utilities!$B$11)</f>
        <v>8</v>
      </c>
      <c r="K5755" s="11">
        <f>IF(B5755&lt;C5755,1,EXP(-1*(B5755-C5755)/(Utilities!$B$11*IterData!H5755)))</f>
        <v>1</v>
      </c>
    </row>
    <row r="5756" spans="8:11" x14ac:dyDescent="0.3">
      <c r="H5756">
        <v>0.5</v>
      </c>
      <c r="I5756" s="11">
        <f t="shared" si="89"/>
        <v>0</v>
      </c>
      <c r="J5756" s="11">
        <f>1/(H5756*Utilities!$B$11)</f>
        <v>8</v>
      </c>
      <c r="K5756" s="11">
        <f>IF(B5756&lt;C5756,1,EXP(-1*(B5756-C5756)/(Utilities!$B$11*IterData!H5756)))</f>
        <v>1</v>
      </c>
    </row>
    <row r="5757" spans="8:11" x14ac:dyDescent="0.3">
      <c r="H5757">
        <v>0.5</v>
      </c>
      <c r="I5757" s="11">
        <f t="shared" si="89"/>
        <v>0</v>
      </c>
      <c r="J5757" s="11">
        <f>1/(H5757*Utilities!$B$11)</f>
        <v>8</v>
      </c>
      <c r="K5757" s="11">
        <f>IF(B5757&lt;C5757,1,EXP(-1*(B5757-C5757)/(Utilities!$B$11*IterData!H5757)))</f>
        <v>1</v>
      </c>
    </row>
    <row r="5758" spans="8:11" x14ac:dyDescent="0.3">
      <c r="H5758">
        <v>0.5</v>
      </c>
      <c r="I5758" s="11">
        <f t="shared" si="89"/>
        <v>0</v>
      </c>
      <c r="J5758" s="11">
        <f>1/(H5758*Utilities!$B$11)</f>
        <v>8</v>
      </c>
      <c r="K5758" s="11">
        <f>IF(B5758&lt;C5758,1,EXP(-1*(B5758-C5758)/(Utilities!$B$11*IterData!H5758)))</f>
        <v>1</v>
      </c>
    </row>
    <row r="5759" spans="8:11" x14ac:dyDescent="0.3">
      <c r="H5759">
        <v>0.5</v>
      </c>
      <c r="I5759" s="11">
        <f t="shared" si="89"/>
        <v>0</v>
      </c>
      <c r="J5759" s="11">
        <f>1/(H5759*Utilities!$B$11)</f>
        <v>8</v>
      </c>
      <c r="K5759" s="11">
        <f>IF(B5759&lt;C5759,1,EXP(-1*(B5759-C5759)/(Utilities!$B$11*IterData!H5759)))</f>
        <v>1</v>
      </c>
    </row>
    <row r="5760" spans="8:11" x14ac:dyDescent="0.3">
      <c r="H5760">
        <v>0.5</v>
      </c>
      <c r="I5760" s="11">
        <f t="shared" si="89"/>
        <v>0</v>
      </c>
      <c r="J5760" s="11">
        <f>1/(H5760*Utilities!$B$11)</f>
        <v>8</v>
      </c>
      <c r="K5760" s="11">
        <f>IF(B5760&lt;C5760,1,EXP(-1*(B5760-C5760)/(Utilities!$B$11*IterData!H5760)))</f>
        <v>1</v>
      </c>
    </row>
    <row r="5761" spans="8:11" x14ac:dyDescent="0.3">
      <c r="H5761">
        <v>0.5</v>
      </c>
      <c r="I5761" s="11">
        <f t="shared" si="89"/>
        <v>0</v>
      </c>
      <c r="J5761" s="11">
        <f>1/(H5761*Utilities!$B$11)</f>
        <v>8</v>
      </c>
      <c r="K5761" s="11">
        <f>IF(B5761&lt;C5761,1,EXP(-1*(B5761-C5761)/(Utilities!$B$11*IterData!H5761)))</f>
        <v>1</v>
      </c>
    </row>
    <row r="5762" spans="8:11" x14ac:dyDescent="0.3">
      <c r="H5762">
        <v>0.5</v>
      </c>
      <c r="I5762" s="11">
        <f t="shared" si="89"/>
        <v>0</v>
      </c>
      <c r="J5762" s="11">
        <f>1/(H5762*Utilities!$B$11)</f>
        <v>8</v>
      </c>
      <c r="K5762" s="11">
        <f>IF(B5762&lt;C5762,1,EXP(-1*(B5762-C5762)/(Utilities!$B$11*IterData!H5762)))</f>
        <v>1</v>
      </c>
    </row>
    <row r="5763" spans="8:11" x14ac:dyDescent="0.3">
      <c r="H5763">
        <v>0.5</v>
      </c>
      <c r="I5763" s="11">
        <f t="shared" ref="I5763:I5826" si="90">B5763-C5763</f>
        <v>0</v>
      </c>
      <c r="J5763" s="11">
        <f>1/(H5763*Utilities!$B$11)</f>
        <v>8</v>
      </c>
      <c r="K5763" s="11">
        <f>IF(B5763&lt;C5763,1,EXP(-1*(B5763-C5763)/(Utilities!$B$11*IterData!H5763)))</f>
        <v>1</v>
      </c>
    </row>
    <row r="5764" spans="8:11" x14ac:dyDescent="0.3">
      <c r="H5764">
        <v>0.5</v>
      </c>
      <c r="I5764" s="11">
        <f t="shared" si="90"/>
        <v>0</v>
      </c>
      <c r="J5764" s="11">
        <f>1/(H5764*Utilities!$B$11)</f>
        <v>8</v>
      </c>
      <c r="K5764" s="11">
        <f>IF(B5764&lt;C5764,1,EXP(-1*(B5764-C5764)/(Utilities!$B$11*IterData!H5764)))</f>
        <v>1</v>
      </c>
    </row>
    <row r="5765" spans="8:11" x14ac:dyDescent="0.3">
      <c r="H5765">
        <v>0.5</v>
      </c>
      <c r="I5765" s="11">
        <f t="shared" si="90"/>
        <v>0</v>
      </c>
      <c r="J5765" s="11">
        <f>1/(H5765*Utilities!$B$11)</f>
        <v>8</v>
      </c>
      <c r="K5765" s="11">
        <f>IF(B5765&lt;C5765,1,EXP(-1*(B5765-C5765)/(Utilities!$B$11*IterData!H5765)))</f>
        <v>1</v>
      </c>
    </row>
    <row r="5766" spans="8:11" x14ac:dyDescent="0.3">
      <c r="H5766">
        <v>0.5</v>
      </c>
      <c r="I5766" s="11">
        <f t="shared" si="90"/>
        <v>0</v>
      </c>
      <c r="J5766" s="11">
        <f>1/(H5766*Utilities!$B$11)</f>
        <v>8</v>
      </c>
      <c r="K5766" s="11">
        <f>IF(B5766&lt;C5766,1,EXP(-1*(B5766-C5766)/(Utilities!$B$11*IterData!H5766)))</f>
        <v>1</v>
      </c>
    </row>
    <row r="5767" spans="8:11" x14ac:dyDescent="0.3">
      <c r="H5767">
        <v>0.5</v>
      </c>
      <c r="I5767" s="11">
        <f t="shared" si="90"/>
        <v>0</v>
      </c>
      <c r="J5767" s="11">
        <f>1/(H5767*Utilities!$B$11)</f>
        <v>8</v>
      </c>
      <c r="K5767" s="11">
        <f>IF(B5767&lt;C5767,1,EXP(-1*(B5767-C5767)/(Utilities!$B$11*IterData!H5767)))</f>
        <v>1</v>
      </c>
    </row>
    <row r="5768" spans="8:11" x14ac:dyDescent="0.3">
      <c r="H5768">
        <v>0.5</v>
      </c>
      <c r="I5768" s="11">
        <f t="shared" si="90"/>
        <v>0</v>
      </c>
      <c r="J5768" s="11">
        <f>1/(H5768*Utilities!$B$11)</f>
        <v>8</v>
      </c>
      <c r="K5768" s="11">
        <f>IF(B5768&lt;C5768,1,EXP(-1*(B5768-C5768)/(Utilities!$B$11*IterData!H5768)))</f>
        <v>1</v>
      </c>
    </row>
    <row r="5769" spans="8:11" x14ac:dyDescent="0.3">
      <c r="H5769">
        <v>0.5</v>
      </c>
      <c r="I5769" s="11">
        <f t="shared" si="90"/>
        <v>0</v>
      </c>
      <c r="J5769" s="11">
        <f>1/(H5769*Utilities!$B$11)</f>
        <v>8</v>
      </c>
      <c r="K5769" s="11">
        <f>IF(B5769&lt;C5769,1,EXP(-1*(B5769-C5769)/(Utilities!$B$11*IterData!H5769)))</f>
        <v>1</v>
      </c>
    </row>
    <row r="5770" spans="8:11" x14ac:dyDescent="0.3">
      <c r="H5770">
        <v>0.5</v>
      </c>
      <c r="I5770" s="11">
        <f t="shared" si="90"/>
        <v>0</v>
      </c>
      <c r="J5770" s="11">
        <f>1/(H5770*Utilities!$B$11)</f>
        <v>8</v>
      </c>
      <c r="K5770" s="11">
        <f>IF(B5770&lt;C5770,1,EXP(-1*(B5770-C5770)/(Utilities!$B$11*IterData!H5770)))</f>
        <v>1</v>
      </c>
    </row>
    <row r="5771" spans="8:11" x14ac:dyDescent="0.3">
      <c r="H5771">
        <v>0.5</v>
      </c>
      <c r="I5771" s="11">
        <f t="shared" si="90"/>
        <v>0</v>
      </c>
      <c r="J5771" s="11">
        <f>1/(H5771*Utilities!$B$11)</f>
        <v>8</v>
      </c>
      <c r="K5771" s="11">
        <f>IF(B5771&lt;C5771,1,EXP(-1*(B5771-C5771)/(Utilities!$B$11*IterData!H5771)))</f>
        <v>1</v>
      </c>
    </row>
    <row r="5772" spans="8:11" x14ac:dyDescent="0.3">
      <c r="H5772">
        <v>0.5</v>
      </c>
      <c r="I5772" s="11">
        <f t="shared" si="90"/>
        <v>0</v>
      </c>
      <c r="J5772" s="11">
        <f>1/(H5772*Utilities!$B$11)</f>
        <v>8</v>
      </c>
      <c r="K5772" s="11">
        <f>IF(B5772&lt;C5772,1,EXP(-1*(B5772-C5772)/(Utilities!$B$11*IterData!H5772)))</f>
        <v>1</v>
      </c>
    </row>
    <row r="5773" spans="8:11" x14ac:dyDescent="0.3">
      <c r="H5773">
        <v>0.5</v>
      </c>
      <c r="I5773" s="11">
        <f t="shared" si="90"/>
        <v>0</v>
      </c>
      <c r="J5773" s="11">
        <f>1/(H5773*Utilities!$B$11)</f>
        <v>8</v>
      </c>
      <c r="K5773" s="11">
        <f>IF(B5773&lt;C5773,1,EXP(-1*(B5773-C5773)/(Utilities!$B$11*IterData!H5773)))</f>
        <v>1</v>
      </c>
    </row>
    <row r="5774" spans="8:11" x14ac:dyDescent="0.3">
      <c r="H5774">
        <v>0.5</v>
      </c>
      <c r="I5774" s="11">
        <f t="shared" si="90"/>
        <v>0</v>
      </c>
      <c r="J5774" s="11">
        <f>1/(H5774*Utilities!$B$11)</f>
        <v>8</v>
      </c>
      <c r="K5774" s="11">
        <f>IF(B5774&lt;C5774,1,EXP(-1*(B5774-C5774)/(Utilities!$B$11*IterData!H5774)))</f>
        <v>1</v>
      </c>
    </row>
    <row r="5775" spans="8:11" x14ac:dyDescent="0.3">
      <c r="H5775">
        <v>0.5</v>
      </c>
      <c r="I5775" s="11">
        <f t="shared" si="90"/>
        <v>0</v>
      </c>
      <c r="J5775" s="11">
        <f>1/(H5775*Utilities!$B$11)</f>
        <v>8</v>
      </c>
      <c r="K5775" s="11">
        <f>IF(B5775&lt;C5775,1,EXP(-1*(B5775-C5775)/(Utilities!$B$11*IterData!H5775)))</f>
        <v>1</v>
      </c>
    </row>
    <row r="5776" spans="8:11" x14ac:dyDescent="0.3">
      <c r="H5776">
        <v>0.5</v>
      </c>
      <c r="I5776" s="11">
        <f t="shared" si="90"/>
        <v>0</v>
      </c>
      <c r="J5776" s="11">
        <f>1/(H5776*Utilities!$B$11)</f>
        <v>8</v>
      </c>
      <c r="K5776" s="11">
        <f>IF(B5776&lt;C5776,1,EXP(-1*(B5776-C5776)/(Utilities!$B$11*IterData!H5776)))</f>
        <v>1</v>
      </c>
    </row>
    <row r="5777" spans="8:11" x14ac:dyDescent="0.3">
      <c r="H5777">
        <v>0.5</v>
      </c>
      <c r="I5777" s="11">
        <f t="shared" si="90"/>
        <v>0</v>
      </c>
      <c r="J5777" s="11">
        <f>1/(H5777*Utilities!$B$11)</f>
        <v>8</v>
      </c>
      <c r="K5777" s="11">
        <f>IF(B5777&lt;C5777,1,EXP(-1*(B5777-C5777)/(Utilities!$B$11*IterData!H5777)))</f>
        <v>1</v>
      </c>
    </row>
    <row r="5778" spans="8:11" x14ac:dyDescent="0.3">
      <c r="H5778">
        <v>0.5</v>
      </c>
      <c r="I5778" s="11">
        <f t="shared" si="90"/>
        <v>0</v>
      </c>
      <c r="J5778" s="11">
        <f>1/(H5778*Utilities!$B$11)</f>
        <v>8</v>
      </c>
      <c r="K5778" s="11">
        <f>IF(B5778&lt;C5778,1,EXP(-1*(B5778-C5778)/(Utilities!$B$11*IterData!H5778)))</f>
        <v>1</v>
      </c>
    </row>
    <row r="5779" spans="8:11" x14ac:dyDescent="0.3">
      <c r="H5779">
        <v>0.5</v>
      </c>
      <c r="I5779" s="11">
        <f t="shared" si="90"/>
        <v>0</v>
      </c>
      <c r="J5779" s="11">
        <f>1/(H5779*Utilities!$B$11)</f>
        <v>8</v>
      </c>
      <c r="K5779" s="11">
        <f>IF(B5779&lt;C5779,1,EXP(-1*(B5779-C5779)/(Utilities!$B$11*IterData!H5779)))</f>
        <v>1</v>
      </c>
    </row>
    <row r="5780" spans="8:11" x14ac:dyDescent="0.3">
      <c r="H5780">
        <v>0.5</v>
      </c>
      <c r="I5780" s="11">
        <f t="shared" si="90"/>
        <v>0</v>
      </c>
      <c r="J5780" s="11">
        <f>1/(H5780*Utilities!$B$11)</f>
        <v>8</v>
      </c>
      <c r="K5780" s="11">
        <f>IF(B5780&lt;C5780,1,EXP(-1*(B5780-C5780)/(Utilities!$B$11*IterData!H5780)))</f>
        <v>1</v>
      </c>
    </row>
    <row r="5781" spans="8:11" x14ac:dyDescent="0.3">
      <c r="H5781">
        <v>0.5</v>
      </c>
      <c r="I5781" s="11">
        <f t="shared" si="90"/>
        <v>0</v>
      </c>
      <c r="J5781" s="11">
        <f>1/(H5781*Utilities!$B$11)</f>
        <v>8</v>
      </c>
      <c r="K5781" s="11">
        <f>IF(B5781&lt;C5781,1,EXP(-1*(B5781-C5781)/(Utilities!$B$11*IterData!H5781)))</f>
        <v>1</v>
      </c>
    </row>
    <row r="5782" spans="8:11" x14ac:dyDescent="0.3">
      <c r="H5782">
        <v>0.5</v>
      </c>
      <c r="I5782" s="11">
        <f t="shared" si="90"/>
        <v>0</v>
      </c>
      <c r="J5782" s="11">
        <f>1/(H5782*Utilities!$B$11)</f>
        <v>8</v>
      </c>
      <c r="K5782" s="11">
        <f>IF(B5782&lt;C5782,1,EXP(-1*(B5782-C5782)/(Utilities!$B$11*IterData!H5782)))</f>
        <v>1</v>
      </c>
    </row>
    <row r="5783" spans="8:11" x14ac:dyDescent="0.3">
      <c r="H5783">
        <v>0.5</v>
      </c>
      <c r="I5783" s="11">
        <f t="shared" si="90"/>
        <v>0</v>
      </c>
      <c r="J5783" s="11">
        <f>1/(H5783*Utilities!$B$11)</f>
        <v>8</v>
      </c>
      <c r="K5783" s="11">
        <f>IF(B5783&lt;C5783,1,EXP(-1*(B5783-C5783)/(Utilities!$B$11*IterData!H5783)))</f>
        <v>1</v>
      </c>
    </row>
    <row r="5784" spans="8:11" x14ac:dyDescent="0.3">
      <c r="H5784">
        <v>0.5</v>
      </c>
      <c r="I5784" s="11">
        <f t="shared" si="90"/>
        <v>0</v>
      </c>
      <c r="J5784" s="11">
        <f>1/(H5784*Utilities!$B$11)</f>
        <v>8</v>
      </c>
      <c r="K5784" s="11">
        <f>IF(B5784&lt;C5784,1,EXP(-1*(B5784-C5784)/(Utilities!$B$11*IterData!H5784)))</f>
        <v>1</v>
      </c>
    </row>
    <row r="5785" spans="8:11" x14ac:dyDescent="0.3">
      <c r="H5785">
        <v>0.5</v>
      </c>
      <c r="I5785" s="11">
        <f t="shared" si="90"/>
        <v>0</v>
      </c>
      <c r="J5785" s="11">
        <f>1/(H5785*Utilities!$B$11)</f>
        <v>8</v>
      </c>
      <c r="K5785" s="11">
        <f>IF(B5785&lt;C5785,1,EXP(-1*(B5785-C5785)/(Utilities!$B$11*IterData!H5785)))</f>
        <v>1</v>
      </c>
    </row>
    <row r="5786" spans="8:11" x14ac:dyDescent="0.3">
      <c r="H5786">
        <v>0.5</v>
      </c>
      <c r="I5786" s="11">
        <f t="shared" si="90"/>
        <v>0</v>
      </c>
      <c r="J5786" s="11">
        <f>1/(H5786*Utilities!$B$11)</f>
        <v>8</v>
      </c>
      <c r="K5786" s="11">
        <f>IF(B5786&lt;C5786,1,EXP(-1*(B5786-C5786)/(Utilities!$B$11*IterData!H5786)))</f>
        <v>1</v>
      </c>
    </row>
    <row r="5787" spans="8:11" x14ac:dyDescent="0.3">
      <c r="H5787">
        <v>0.5</v>
      </c>
      <c r="I5787" s="11">
        <f t="shared" si="90"/>
        <v>0</v>
      </c>
      <c r="J5787" s="11">
        <f>1/(H5787*Utilities!$B$11)</f>
        <v>8</v>
      </c>
      <c r="K5787" s="11">
        <f>IF(B5787&lt;C5787,1,EXP(-1*(B5787-C5787)/(Utilities!$B$11*IterData!H5787)))</f>
        <v>1</v>
      </c>
    </row>
    <row r="5788" spans="8:11" x14ac:dyDescent="0.3">
      <c r="H5788">
        <v>0.5</v>
      </c>
      <c r="I5788" s="11">
        <f t="shared" si="90"/>
        <v>0</v>
      </c>
      <c r="J5788" s="11">
        <f>1/(H5788*Utilities!$B$11)</f>
        <v>8</v>
      </c>
      <c r="K5788" s="11">
        <f>IF(B5788&lt;C5788,1,EXP(-1*(B5788-C5788)/(Utilities!$B$11*IterData!H5788)))</f>
        <v>1</v>
      </c>
    </row>
    <row r="5789" spans="8:11" x14ac:dyDescent="0.3">
      <c r="H5789">
        <v>0.5</v>
      </c>
      <c r="I5789" s="11">
        <f t="shared" si="90"/>
        <v>0</v>
      </c>
      <c r="J5789" s="11">
        <f>1/(H5789*Utilities!$B$11)</f>
        <v>8</v>
      </c>
      <c r="K5789" s="11">
        <f>IF(B5789&lt;C5789,1,EXP(-1*(B5789-C5789)/(Utilities!$B$11*IterData!H5789)))</f>
        <v>1</v>
      </c>
    </row>
    <row r="5790" spans="8:11" x14ac:dyDescent="0.3">
      <c r="H5790">
        <v>0.5</v>
      </c>
      <c r="I5790" s="11">
        <f t="shared" si="90"/>
        <v>0</v>
      </c>
      <c r="J5790" s="11">
        <f>1/(H5790*Utilities!$B$11)</f>
        <v>8</v>
      </c>
      <c r="K5790" s="11">
        <f>IF(B5790&lt;C5790,1,EXP(-1*(B5790-C5790)/(Utilities!$B$11*IterData!H5790)))</f>
        <v>1</v>
      </c>
    </row>
    <row r="5791" spans="8:11" x14ac:dyDescent="0.3">
      <c r="H5791">
        <v>0.5</v>
      </c>
      <c r="I5791" s="11">
        <f t="shared" si="90"/>
        <v>0</v>
      </c>
      <c r="J5791" s="11">
        <f>1/(H5791*Utilities!$B$11)</f>
        <v>8</v>
      </c>
      <c r="K5791" s="11">
        <f>IF(B5791&lt;C5791,1,EXP(-1*(B5791-C5791)/(Utilities!$B$11*IterData!H5791)))</f>
        <v>1</v>
      </c>
    </row>
    <row r="5792" spans="8:11" x14ac:dyDescent="0.3">
      <c r="H5792">
        <v>0.5</v>
      </c>
      <c r="I5792" s="11">
        <f t="shared" si="90"/>
        <v>0</v>
      </c>
      <c r="J5792" s="11">
        <f>1/(H5792*Utilities!$B$11)</f>
        <v>8</v>
      </c>
      <c r="K5792" s="11">
        <f>IF(B5792&lt;C5792,1,EXP(-1*(B5792-C5792)/(Utilities!$B$11*IterData!H5792)))</f>
        <v>1</v>
      </c>
    </row>
    <row r="5793" spans="8:11" x14ac:dyDescent="0.3">
      <c r="H5793">
        <v>0.5</v>
      </c>
      <c r="I5793" s="11">
        <f t="shared" si="90"/>
        <v>0</v>
      </c>
      <c r="J5793" s="11">
        <f>1/(H5793*Utilities!$B$11)</f>
        <v>8</v>
      </c>
      <c r="K5793" s="11">
        <f>IF(B5793&lt;C5793,1,EXP(-1*(B5793-C5793)/(Utilities!$B$11*IterData!H5793)))</f>
        <v>1</v>
      </c>
    </row>
    <row r="5794" spans="8:11" x14ac:dyDescent="0.3">
      <c r="H5794">
        <v>0.5</v>
      </c>
      <c r="I5794" s="11">
        <f t="shared" si="90"/>
        <v>0</v>
      </c>
      <c r="J5794" s="11">
        <f>1/(H5794*Utilities!$B$11)</f>
        <v>8</v>
      </c>
      <c r="K5794" s="11">
        <f>IF(B5794&lt;C5794,1,EXP(-1*(B5794-C5794)/(Utilities!$B$11*IterData!H5794)))</f>
        <v>1</v>
      </c>
    </row>
    <row r="5795" spans="8:11" x14ac:dyDescent="0.3">
      <c r="H5795">
        <v>0.5</v>
      </c>
      <c r="I5795" s="11">
        <f t="shared" si="90"/>
        <v>0</v>
      </c>
      <c r="J5795" s="11">
        <f>1/(H5795*Utilities!$B$11)</f>
        <v>8</v>
      </c>
      <c r="K5795" s="11">
        <f>IF(B5795&lt;C5795,1,EXP(-1*(B5795-C5795)/(Utilities!$B$11*IterData!H5795)))</f>
        <v>1</v>
      </c>
    </row>
    <row r="5796" spans="8:11" x14ac:dyDescent="0.3">
      <c r="H5796">
        <v>0.5</v>
      </c>
      <c r="I5796" s="11">
        <f t="shared" si="90"/>
        <v>0</v>
      </c>
      <c r="J5796" s="11">
        <f>1/(H5796*Utilities!$B$11)</f>
        <v>8</v>
      </c>
      <c r="K5796" s="11">
        <f>IF(B5796&lt;C5796,1,EXP(-1*(B5796-C5796)/(Utilities!$B$11*IterData!H5796)))</f>
        <v>1</v>
      </c>
    </row>
    <row r="5797" spans="8:11" x14ac:dyDescent="0.3">
      <c r="H5797">
        <v>0.5</v>
      </c>
      <c r="I5797" s="11">
        <f t="shared" si="90"/>
        <v>0</v>
      </c>
      <c r="J5797" s="11">
        <f>1/(H5797*Utilities!$B$11)</f>
        <v>8</v>
      </c>
      <c r="K5797" s="11">
        <f>IF(B5797&lt;C5797,1,EXP(-1*(B5797-C5797)/(Utilities!$B$11*IterData!H5797)))</f>
        <v>1</v>
      </c>
    </row>
    <row r="5798" spans="8:11" x14ac:dyDescent="0.3">
      <c r="H5798">
        <v>0.5</v>
      </c>
      <c r="I5798" s="11">
        <f t="shared" si="90"/>
        <v>0</v>
      </c>
      <c r="J5798" s="11">
        <f>1/(H5798*Utilities!$B$11)</f>
        <v>8</v>
      </c>
      <c r="K5798" s="11">
        <f>IF(B5798&lt;C5798,1,EXP(-1*(B5798-C5798)/(Utilities!$B$11*IterData!H5798)))</f>
        <v>1</v>
      </c>
    </row>
    <row r="5799" spans="8:11" x14ac:dyDescent="0.3">
      <c r="H5799">
        <v>0.5</v>
      </c>
      <c r="I5799" s="11">
        <f t="shared" si="90"/>
        <v>0</v>
      </c>
      <c r="J5799" s="11">
        <f>1/(H5799*Utilities!$B$11)</f>
        <v>8</v>
      </c>
      <c r="K5799" s="11">
        <f>IF(B5799&lt;C5799,1,EXP(-1*(B5799-C5799)/(Utilities!$B$11*IterData!H5799)))</f>
        <v>1</v>
      </c>
    </row>
    <row r="5800" spans="8:11" x14ac:dyDescent="0.3">
      <c r="H5800">
        <v>0.5</v>
      </c>
      <c r="I5800" s="11">
        <f t="shared" si="90"/>
        <v>0</v>
      </c>
      <c r="J5800" s="11">
        <f>1/(H5800*Utilities!$B$11)</f>
        <v>8</v>
      </c>
      <c r="K5800" s="11">
        <f>IF(B5800&lt;C5800,1,EXP(-1*(B5800-C5800)/(Utilities!$B$11*IterData!H5800)))</f>
        <v>1</v>
      </c>
    </row>
    <row r="5801" spans="8:11" x14ac:dyDescent="0.3">
      <c r="H5801">
        <v>0.5</v>
      </c>
      <c r="I5801" s="11">
        <f t="shared" si="90"/>
        <v>0</v>
      </c>
      <c r="J5801" s="11">
        <f>1/(H5801*Utilities!$B$11)</f>
        <v>8</v>
      </c>
      <c r="K5801" s="11">
        <f>IF(B5801&lt;C5801,1,EXP(-1*(B5801-C5801)/(Utilities!$B$11*IterData!H5801)))</f>
        <v>1</v>
      </c>
    </row>
    <row r="5802" spans="8:11" x14ac:dyDescent="0.3">
      <c r="H5802">
        <v>0.5</v>
      </c>
      <c r="I5802" s="11">
        <f t="shared" si="90"/>
        <v>0</v>
      </c>
      <c r="J5802" s="11">
        <f>1/(H5802*Utilities!$B$11)</f>
        <v>8</v>
      </c>
      <c r="K5802" s="11">
        <f>IF(B5802&lt;C5802,1,EXP(-1*(B5802-C5802)/(Utilities!$B$11*IterData!H5802)))</f>
        <v>1</v>
      </c>
    </row>
    <row r="5803" spans="8:11" x14ac:dyDescent="0.3">
      <c r="H5803">
        <v>0.5</v>
      </c>
      <c r="I5803" s="11">
        <f t="shared" si="90"/>
        <v>0</v>
      </c>
      <c r="J5803" s="11">
        <f>1/(H5803*Utilities!$B$11)</f>
        <v>8</v>
      </c>
      <c r="K5803" s="11">
        <f>IF(B5803&lt;C5803,1,EXP(-1*(B5803-C5803)/(Utilities!$B$11*IterData!H5803)))</f>
        <v>1</v>
      </c>
    </row>
    <row r="5804" spans="8:11" x14ac:dyDescent="0.3">
      <c r="H5804">
        <v>0.5</v>
      </c>
      <c r="I5804" s="11">
        <f t="shared" si="90"/>
        <v>0</v>
      </c>
      <c r="J5804" s="11">
        <f>1/(H5804*Utilities!$B$11)</f>
        <v>8</v>
      </c>
      <c r="K5804" s="11">
        <f>IF(B5804&lt;C5804,1,EXP(-1*(B5804-C5804)/(Utilities!$B$11*IterData!H5804)))</f>
        <v>1</v>
      </c>
    </row>
    <row r="5805" spans="8:11" x14ac:dyDescent="0.3">
      <c r="H5805">
        <v>0.5</v>
      </c>
      <c r="I5805" s="11">
        <f t="shared" si="90"/>
        <v>0</v>
      </c>
      <c r="J5805" s="11">
        <f>1/(H5805*Utilities!$B$11)</f>
        <v>8</v>
      </c>
      <c r="K5805" s="11">
        <f>IF(B5805&lt;C5805,1,EXP(-1*(B5805-C5805)/(Utilities!$B$11*IterData!H5805)))</f>
        <v>1</v>
      </c>
    </row>
    <row r="5806" spans="8:11" x14ac:dyDescent="0.3">
      <c r="H5806">
        <v>0.5</v>
      </c>
      <c r="I5806" s="11">
        <f t="shared" si="90"/>
        <v>0</v>
      </c>
      <c r="J5806" s="11">
        <f>1/(H5806*Utilities!$B$11)</f>
        <v>8</v>
      </c>
      <c r="K5806" s="11">
        <f>IF(B5806&lt;C5806,1,EXP(-1*(B5806-C5806)/(Utilities!$B$11*IterData!H5806)))</f>
        <v>1</v>
      </c>
    </row>
    <row r="5807" spans="8:11" x14ac:dyDescent="0.3">
      <c r="H5807">
        <v>0.5</v>
      </c>
      <c r="I5807" s="11">
        <f t="shared" si="90"/>
        <v>0</v>
      </c>
      <c r="J5807" s="11">
        <f>1/(H5807*Utilities!$B$11)</f>
        <v>8</v>
      </c>
      <c r="K5807" s="11">
        <f>IF(B5807&lt;C5807,1,EXP(-1*(B5807-C5807)/(Utilities!$B$11*IterData!H5807)))</f>
        <v>1</v>
      </c>
    </row>
    <row r="5808" spans="8:11" x14ac:dyDescent="0.3">
      <c r="H5808">
        <v>0.5</v>
      </c>
      <c r="I5808" s="11">
        <f t="shared" si="90"/>
        <v>0</v>
      </c>
      <c r="J5808" s="11">
        <f>1/(H5808*Utilities!$B$11)</f>
        <v>8</v>
      </c>
      <c r="K5808" s="11">
        <f>IF(B5808&lt;C5808,1,EXP(-1*(B5808-C5808)/(Utilities!$B$11*IterData!H5808)))</f>
        <v>1</v>
      </c>
    </row>
    <row r="5809" spans="8:11" x14ac:dyDescent="0.3">
      <c r="H5809">
        <v>0.5</v>
      </c>
      <c r="I5809" s="11">
        <f t="shared" si="90"/>
        <v>0</v>
      </c>
      <c r="J5809" s="11">
        <f>1/(H5809*Utilities!$B$11)</f>
        <v>8</v>
      </c>
      <c r="K5809" s="11">
        <f>IF(B5809&lt;C5809,1,EXP(-1*(B5809-C5809)/(Utilities!$B$11*IterData!H5809)))</f>
        <v>1</v>
      </c>
    </row>
    <row r="5810" spans="8:11" x14ac:dyDescent="0.3">
      <c r="H5810">
        <v>0.5</v>
      </c>
      <c r="I5810" s="11">
        <f t="shared" si="90"/>
        <v>0</v>
      </c>
      <c r="J5810" s="11">
        <f>1/(H5810*Utilities!$B$11)</f>
        <v>8</v>
      </c>
      <c r="K5810" s="11">
        <f>IF(B5810&lt;C5810,1,EXP(-1*(B5810-C5810)/(Utilities!$B$11*IterData!H5810)))</f>
        <v>1</v>
      </c>
    </row>
    <row r="5811" spans="8:11" x14ac:dyDescent="0.3">
      <c r="H5811">
        <v>0.5</v>
      </c>
      <c r="I5811" s="11">
        <f t="shared" si="90"/>
        <v>0</v>
      </c>
      <c r="J5811" s="11">
        <f>1/(H5811*Utilities!$B$11)</f>
        <v>8</v>
      </c>
      <c r="K5811" s="11">
        <f>IF(B5811&lt;C5811,1,EXP(-1*(B5811-C5811)/(Utilities!$B$11*IterData!H5811)))</f>
        <v>1</v>
      </c>
    </row>
    <row r="5812" spans="8:11" x14ac:dyDescent="0.3">
      <c r="H5812">
        <v>0.5</v>
      </c>
      <c r="I5812" s="11">
        <f t="shared" si="90"/>
        <v>0</v>
      </c>
      <c r="J5812" s="11">
        <f>1/(H5812*Utilities!$B$11)</f>
        <v>8</v>
      </c>
      <c r="K5812" s="11">
        <f>IF(B5812&lt;C5812,1,EXP(-1*(B5812-C5812)/(Utilities!$B$11*IterData!H5812)))</f>
        <v>1</v>
      </c>
    </row>
    <row r="5813" spans="8:11" x14ac:dyDescent="0.3">
      <c r="H5813">
        <v>0.5</v>
      </c>
      <c r="I5813" s="11">
        <f t="shared" si="90"/>
        <v>0</v>
      </c>
      <c r="J5813" s="11">
        <f>1/(H5813*Utilities!$B$11)</f>
        <v>8</v>
      </c>
      <c r="K5813" s="11">
        <f>IF(B5813&lt;C5813,1,EXP(-1*(B5813-C5813)/(Utilities!$B$11*IterData!H5813)))</f>
        <v>1</v>
      </c>
    </row>
    <row r="5814" spans="8:11" x14ac:dyDescent="0.3">
      <c r="H5814">
        <v>0.5</v>
      </c>
      <c r="I5814" s="11">
        <f t="shared" si="90"/>
        <v>0</v>
      </c>
      <c r="J5814" s="11">
        <f>1/(H5814*Utilities!$B$11)</f>
        <v>8</v>
      </c>
      <c r="K5814" s="11">
        <f>IF(B5814&lt;C5814,1,EXP(-1*(B5814-C5814)/(Utilities!$B$11*IterData!H5814)))</f>
        <v>1</v>
      </c>
    </row>
    <row r="5815" spans="8:11" x14ac:dyDescent="0.3">
      <c r="H5815">
        <v>0.5</v>
      </c>
      <c r="I5815" s="11">
        <f t="shared" si="90"/>
        <v>0</v>
      </c>
      <c r="J5815" s="11">
        <f>1/(H5815*Utilities!$B$11)</f>
        <v>8</v>
      </c>
      <c r="K5815" s="11">
        <f>IF(B5815&lt;C5815,1,EXP(-1*(B5815-C5815)/(Utilities!$B$11*IterData!H5815)))</f>
        <v>1</v>
      </c>
    </row>
    <row r="5816" spans="8:11" x14ac:dyDescent="0.3">
      <c r="H5816">
        <v>0.5</v>
      </c>
      <c r="I5816" s="11">
        <f t="shared" si="90"/>
        <v>0</v>
      </c>
      <c r="J5816" s="11">
        <f>1/(H5816*Utilities!$B$11)</f>
        <v>8</v>
      </c>
      <c r="K5816" s="11">
        <f>IF(B5816&lt;C5816,1,EXP(-1*(B5816-C5816)/(Utilities!$B$11*IterData!H5816)))</f>
        <v>1</v>
      </c>
    </row>
    <row r="5817" spans="8:11" x14ac:dyDescent="0.3">
      <c r="H5817">
        <v>0.5</v>
      </c>
      <c r="I5817" s="11">
        <f t="shared" si="90"/>
        <v>0</v>
      </c>
      <c r="J5817" s="11">
        <f>1/(H5817*Utilities!$B$11)</f>
        <v>8</v>
      </c>
      <c r="K5817" s="11">
        <f>IF(B5817&lt;C5817,1,EXP(-1*(B5817-C5817)/(Utilities!$B$11*IterData!H5817)))</f>
        <v>1</v>
      </c>
    </row>
    <row r="5818" spans="8:11" x14ac:dyDescent="0.3">
      <c r="H5818">
        <v>0.5</v>
      </c>
      <c r="I5818" s="11">
        <f t="shared" si="90"/>
        <v>0</v>
      </c>
      <c r="J5818" s="11">
        <f>1/(H5818*Utilities!$B$11)</f>
        <v>8</v>
      </c>
      <c r="K5818" s="11">
        <f>IF(B5818&lt;C5818,1,EXP(-1*(B5818-C5818)/(Utilities!$B$11*IterData!H5818)))</f>
        <v>1</v>
      </c>
    </row>
    <row r="5819" spans="8:11" x14ac:dyDescent="0.3">
      <c r="H5819">
        <v>0.5</v>
      </c>
      <c r="I5819" s="11">
        <f t="shared" si="90"/>
        <v>0</v>
      </c>
      <c r="J5819" s="11">
        <f>1/(H5819*Utilities!$B$11)</f>
        <v>8</v>
      </c>
      <c r="K5819" s="11">
        <f>IF(B5819&lt;C5819,1,EXP(-1*(B5819-C5819)/(Utilities!$B$11*IterData!H5819)))</f>
        <v>1</v>
      </c>
    </row>
    <row r="5820" spans="8:11" x14ac:dyDescent="0.3">
      <c r="H5820">
        <v>0.5</v>
      </c>
      <c r="I5820" s="11">
        <f t="shared" si="90"/>
        <v>0</v>
      </c>
      <c r="J5820" s="11">
        <f>1/(H5820*Utilities!$B$11)</f>
        <v>8</v>
      </c>
      <c r="K5820" s="11">
        <f>IF(B5820&lt;C5820,1,EXP(-1*(B5820-C5820)/(Utilities!$B$11*IterData!H5820)))</f>
        <v>1</v>
      </c>
    </row>
    <row r="5821" spans="8:11" x14ac:dyDescent="0.3">
      <c r="H5821">
        <v>0.5</v>
      </c>
      <c r="I5821" s="11">
        <f t="shared" si="90"/>
        <v>0</v>
      </c>
      <c r="J5821" s="11">
        <f>1/(H5821*Utilities!$B$11)</f>
        <v>8</v>
      </c>
      <c r="K5821" s="11">
        <f>IF(B5821&lt;C5821,1,EXP(-1*(B5821-C5821)/(Utilities!$B$11*IterData!H5821)))</f>
        <v>1</v>
      </c>
    </row>
    <row r="5822" spans="8:11" x14ac:dyDescent="0.3">
      <c r="H5822">
        <v>0.5</v>
      </c>
      <c r="I5822" s="11">
        <f t="shared" si="90"/>
        <v>0</v>
      </c>
      <c r="J5822" s="11">
        <f>1/(H5822*Utilities!$B$11)</f>
        <v>8</v>
      </c>
      <c r="K5822" s="11">
        <f>IF(B5822&lt;C5822,1,EXP(-1*(B5822-C5822)/(Utilities!$B$11*IterData!H5822)))</f>
        <v>1</v>
      </c>
    </row>
    <row r="5823" spans="8:11" x14ac:dyDescent="0.3">
      <c r="H5823">
        <v>0.5</v>
      </c>
      <c r="I5823" s="11">
        <f t="shared" si="90"/>
        <v>0</v>
      </c>
      <c r="J5823" s="11">
        <f>1/(H5823*Utilities!$B$11)</f>
        <v>8</v>
      </c>
      <c r="K5823" s="11">
        <f>IF(B5823&lt;C5823,1,EXP(-1*(B5823-C5823)/(Utilities!$B$11*IterData!H5823)))</f>
        <v>1</v>
      </c>
    </row>
    <row r="5824" spans="8:11" x14ac:dyDescent="0.3">
      <c r="H5824">
        <v>0.5</v>
      </c>
      <c r="I5824" s="11">
        <f t="shared" si="90"/>
        <v>0</v>
      </c>
      <c r="J5824" s="11">
        <f>1/(H5824*Utilities!$B$11)</f>
        <v>8</v>
      </c>
      <c r="K5824" s="11">
        <f>IF(B5824&lt;C5824,1,EXP(-1*(B5824-C5824)/(Utilities!$B$11*IterData!H5824)))</f>
        <v>1</v>
      </c>
    </row>
    <row r="5825" spans="8:11" x14ac:dyDescent="0.3">
      <c r="H5825">
        <v>0.5</v>
      </c>
      <c r="I5825" s="11">
        <f t="shared" si="90"/>
        <v>0</v>
      </c>
      <c r="J5825" s="11">
        <f>1/(H5825*Utilities!$B$11)</f>
        <v>8</v>
      </c>
      <c r="K5825" s="11">
        <f>IF(B5825&lt;C5825,1,EXP(-1*(B5825-C5825)/(Utilities!$B$11*IterData!H5825)))</f>
        <v>1</v>
      </c>
    </row>
    <row r="5826" spans="8:11" x14ac:dyDescent="0.3">
      <c r="H5826">
        <v>0.5</v>
      </c>
      <c r="I5826" s="11">
        <f t="shared" si="90"/>
        <v>0</v>
      </c>
      <c r="J5826" s="11">
        <f>1/(H5826*Utilities!$B$11)</f>
        <v>8</v>
      </c>
      <c r="K5826" s="11">
        <f>IF(B5826&lt;C5826,1,EXP(-1*(B5826-C5826)/(Utilities!$B$11*IterData!H5826)))</f>
        <v>1</v>
      </c>
    </row>
    <row r="5827" spans="8:11" x14ac:dyDescent="0.3">
      <c r="H5827">
        <v>0.5</v>
      </c>
      <c r="I5827" s="11">
        <f t="shared" ref="I5827:I5890" si="91">B5827-C5827</f>
        <v>0</v>
      </c>
      <c r="J5827" s="11">
        <f>1/(H5827*Utilities!$B$11)</f>
        <v>8</v>
      </c>
      <c r="K5827" s="11">
        <f>IF(B5827&lt;C5827,1,EXP(-1*(B5827-C5827)/(Utilities!$B$11*IterData!H5827)))</f>
        <v>1</v>
      </c>
    </row>
    <row r="5828" spans="8:11" x14ac:dyDescent="0.3">
      <c r="H5828">
        <v>0.5</v>
      </c>
      <c r="I5828" s="11">
        <f t="shared" si="91"/>
        <v>0</v>
      </c>
      <c r="J5828" s="11">
        <f>1/(H5828*Utilities!$B$11)</f>
        <v>8</v>
      </c>
      <c r="K5828" s="11">
        <f>IF(B5828&lt;C5828,1,EXP(-1*(B5828-C5828)/(Utilities!$B$11*IterData!H5828)))</f>
        <v>1</v>
      </c>
    </row>
    <row r="5829" spans="8:11" x14ac:dyDescent="0.3">
      <c r="H5829">
        <v>0.5</v>
      </c>
      <c r="I5829" s="11">
        <f t="shared" si="91"/>
        <v>0</v>
      </c>
      <c r="J5829" s="11">
        <f>1/(H5829*Utilities!$B$11)</f>
        <v>8</v>
      </c>
      <c r="K5829" s="11">
        <f>IF(B5829&lt;C5829,1,EXP(-1*(B5829-C5829)/(Utilities!$B$11*IterData!H5829)))</f>
        <v>1</v>
      </c>
    </row>
    <row r="5830" spans="8:11" x14ac:dyDescent="0.3">
      <c r="H5830">
        <v>0.5</v>
      </c>
      <c r="I5830" s="11">
        <f t="shared" si="91"/>
        <v>0</v>
      </c>
      <c r="J5830" s="11">
        <f>1/(H5830*Utilities!$B$11)</f>
        <v>8</v>
      </c>
      <c r="K5830" s="11">
        <f>IF(B5830&lt;C5830,1,EXP(-1*(B5830-C5830)/(Utilities!$B$11*IterData!H5830)))</f>
        <v>1</v>
      </c>
    </row>
    <row r="5831" spans="8:11" x14ac:dyDescent="0.3">
      <c r="H5831">
        <v>0.5</v>
      </c>
      <c r="I5831" s="11">
        <f t="shared" si="91"/>
        <v>0</v>
      </c>
      <c r="J5831" s="11">
        <f>1/(H5831*Utilities!$B$11)</f>
        <v>8</v>
      </c>
      <c r="K5831" s="11">
        <f>IF(B5831&lt;C5831,1,EXP(-1*(B5831-C5831)/(Utilities!$B$11*IterData!H5831)))</f>
        <v>1</v>
      </c>
    </row>
    <row r="5832" spans="8:11" x14ac:dyDescent="0.3">
      <c r="H5832">
        <v>0.5</v>
      </c>
      <c r="I5832" s="11">
        <f t="shared" si="91"/>
        <v>0</v>
      </c>
      <c r="J5832" s="11">
        <f>1/(H5832*Utilities!$B$11)</f>
        <v>8</v>
      </c>
      <c r="K5832" s="11">
        <f>IF(B5832&lt;C5832,1,EXP(-1*(B5832-C5832)/(Utilities!$B$11*IterData!H5832)))</f>
        <v>1</v>
      </c>
    </row>
    <row r="5833" spans="8:11" x14ac:dyDescent="0.3">
      <c r="H5833">
        <v>0.5</v>
      </c>
      <c r="I5833" s="11">
        <f t="shared" si="91"/>
        <v>0</v>
      </c>
      <c r="J5833" s="11">
        <f>1/(H5833*Utilities!$B$11)</f>
        <v>8</v>
      </c>
      <c r="K5833" s="11">
        <f>IF(B5833&lt;C5833,1,EXP(-1*(B5833-C5833)/(Utilities!$B$11*IterData!H5833)))</f>
        <v>1</v>
      </c>
    </row>
    <row r="5834" spans="8:11" x14ac:dyDescent="0.3">
      <c r="H5834">
        <v>0.5</v>
      </c>
      <c r="I5834" s="11">
        <f t="shared" si="91"/>
        <v>0</v>
      </c>
      <c r="J5834" s="11">
        <f>1/(H5834*Utilities!$B$11)</f>
        <v>8</v>
      </c>
      <c r="K5834" s="11">
        <f>IF(B5834&lt;C5834,1,EXP(-1*(B5834-C5834)/(Utilities!$B$11*IterData!H5834)))</f>
        <v>1</v>
      </c>
    </row>
    <row r="5835" spans="8:11" x14ac:dyDescent="0.3">
      <c r="H5835">
        <v>0.5</v>
      </c>
      <c r="I5835" s="11">
        <f t="shared" si="91"/>
        <v>0</v>
      </c>
      <c r="J5835" s="11">
        <f>1/(H5835*Utilities!$B$11)</f>
        <v>8</v>
      </c>
      <c r="K5835" s="11">
        <f>IF(B5835&lt;C5835,1,EXP(-1*(B5835-C5835)/(Utilities!$B$11*IterData!H5835)))</f>
        <v>1</v>
      </c>
    </row>
    <row r="5836" spans="8:11" x14ac:dyDescent="0.3">
      <c r="H5836">
        <v>0.5</v>
      </c>
      <c r="I5836" s="11">
        <f t="shared" si="91"/>
        <v>0</v>
      </c>
      <c r="J5836" s="11">
        <f>1/(H5836*Utilities!$B$11)</f>
        <v>8</v>
      </c>
      <c r="K5836" s="11">
        <f>IF(B5836&lt;C5836,1,EXP(-1*(B5836-C5836)/(Utilities!$B$11*IterData!H5836)))</f>
        <v>1</v>
      </c>
    </row>
    <row r="5837" spans="8:11" x14ac:dyDescent="0.3">
      <c r="H5837">
        <v>0.5</v>
      </c>
      <c r="I5837" s="11">
        <f t="shared" si="91"/>
        <v>0</v>
      </c>
      <c r="J5837" s="11">
        <f>1/(H5837*Utilities!$B$11)</f>
        <v>8</v>
      </c>
      <c r="K5837" s="11">
        <f>IF(B5837&lt;C5837,1,EXP(-1*(B5837-C5837)/(Utilities!$B$11*IterData!H5837)))</f>
        <v>1</v>
      </c>
    </row>
    <row r="5838" spans="8:11" x14ac:dyDescent="0.3">
      <c r="H5838">
        <v>0.5</v>
      </c>
      <c r="I5838" s="11">
        <f t="shared" si="91"/>
        <v>0</v>
      </c>
      <c r="J5838" s="11">
        <f>1/(H5838*Utilities!$B$11)</f>
        <v>8</v>
      </c>
      <c r="K5838" s="11">
        <f>IF(B5838&lt;C5838,1,EXP(-1*(B5838-C5838)/(Utilities!$B$11*IterData!H5838)))</f>
        <v>1</v>
      </c>
    </row>
    <row r="5839" spans="8:11" x14ac:dyDescent="0.3">
      <c r="H5839">
        <v>0.5</v>
      </c>
      <c r="I5839" s="11">
        <f t="shared" si="91"/>
        <v>0</v>
      </c>
      <c r="J5839" s="11">
        <f>1/(H5839*Utilities!$B$11)</f>
        <v>8</v>
      </c>
      <c r="K5839" s="11">
        <f>IF(B5839&lt;C5839,1,EXP(-1*(B5839-C5839)/(Utilities!$B$11*IterData!H5839)))</f>
        <v>1</v>
      </c>
    </row>
    <row r="5840" spans="8:11" x14ac:dyDescent="0.3">
      <c r="H5840">
        <v>0.5</v>
      </c>
      <c r="I5840" s="11">
        <f t="shared" si="91"/>
        <v>0</v>
      </c>
      <c r="J5840" s="11">
        <f>1/(H5840*Utilities!$B$11)</f>
        <v>8</v>
      </c>
      <c r="K5840" s="11">
        <f>IF(B5840&lt;C5840,1,EXP(-1*(B5840-C5840)/(Utilities!$B$11*IterData!H5840)))</f>
        <v>1</v>
      </c>
    </row>
    <row r="5841" spans="8:11" x14ac:dyDescent="0.3">
      <c r="H5841">
        <v>0.5</v>
      </c>
      <c r="I5841" s="11">
        <f t="shared" si="91"/>
        <v>0</v>
      </c>
      <c r="J5841" s="11">
        <f>1/(H5841*Utilities!$B$11)</f>
        <v>8</v>
      </c>
      <c r="K5841" s="11">
        <f>IF(B5841&lt;C5841,1,EXP(-1*(B5841-C5841)/(Utilities!$B$11*IterData!H5841)))</f>
        <v>1</v>
      </c>
    </row>
    <row r="5842" spans="8:11" x14ac:dyDescent="0.3">
      <c r="H5842">
        <v>0.5</v>
      </c>
      <c r="I5842" s="11">
        <f t="shared" si="91"/>
        <v>0</v>
      </c>
      <c r="J5842" s="11">
        <f>1/(H5842*Utilities!$B$11)</f>
        <v>8</v>
      </c>
      <c r="K5842" s="11">
        <f>IF(B5842&lt;C5842,1,EXP(-1*(B5842-C5842)/(Utilities!$B$11*IterData!H5842)))</f>
        <v>1</v>
      </c>
    </row>
    <row r="5843" spans="8:11" x14ac:dyDescent="0.3">
      <c r="H5843">
        <v>0.5</v>
      </c>
      <c r="I5843" s="11">
        <f t="shared" si="91"/>
        <v>0</v>
      </c>
      <c r="J5843" s="11">
        <f>1/(H5843*Utilities!$B$11)</f>
        <v>8</v>
      </c>
      <c r="K5843" s="11">
        <f>IF(B5843&lt;C5843,1,EXP(-1*(B5843-C5843)/(Utilities!$B$11*IterData!H5843)))</f>
        <v>1</v>
      </c>
    </row>
    <row r="5844" spans="8:11" x14ac:dyDescent="0.3">
      <c r="H5844">
        <v>0.5</v>
      </c>
      <c r="I5844" s="11">
        <f t="shared" si="91"/>
        <v>0</v>
      </c>
      <c r="J5844" s="11">
        <f>1/(H5844*Utilities!$B$11)</f>
        <v>8</v>
      </c>
      <c r="K5844" s="11">
        <f>IF(B5844&lt;C5844,1,EXP(-1*(B5844-C5844)/(Utilities!$B$11*IterData!H5844)))</f>
        <v>1</v>
      </c>
    </row>
    <row r="5845" spans="8:11" x14ac:dyDescent="0.3">
      <c r="H5845">
        <v>0.5</v>
      </c>
      <c r="I5845" s="11">
        <f t="shared" si="91"/>
        <v>0</v>
      </c>
      <c r="J5845" s="11">
        <f>1/(H5845*Utilities!$B$11)</f>
        <v>8</v>
      </c>
      <c r="K5845" s="11">
        <f>IF(B5845&lt;C5845,1,EXP(-1*(B5845-C5845)/(Utilities!$B$11*IterData!H5845)))</f>
        <v>1</v>
      </c>
    </row>
    <row r="5846" spans="8:11" x14ac:dyDescent="0.3">
      <c r="H5846">
        <v>0.5</v>
      </c>
      <c r="I5846" s="11">
        <f t="shared" si="91"/>
        <v>0</v>
      </c>
      <c r="J5846" s="11">
        <f>1/(H5846*Utilities!$B$11)</f>
        <v>8</v>
      </c>
      <c r="K5846" s="11">
        <f>IF(B5846&lt;C5846,1,EXP(-1*(B5846-C5846)/(Utilities!$B$11*IterData!H5846)))</f>
        <v>1</v>
      </c>
    </row>
    <row r="5847" spans="8:11" x14ac:dyDescent="0.3">
      <c r="H5847">
        <v>0.5</v>
      </c>
      <c r="I5847" s="11">
        <f t="shared" si="91"/>
        <v>0</v>
      </c>
      <c r="J5847" s="11">
        <f>1/(H5847*Utilities!$B$11)</f>
        <v>8</v>
      </c>
      <c r="K5847" s="11">
        <f>IF(B5847&lt;C5847,1,EXP(-1*(B5847-C5847)/(Utilities!$B$11*IterData!H5847)))</f>
        <v>1</v>
      </c>
    </row>
    <row r="5848" spans="8:11" x14ac:dyDescent="0.3">
      <c r="H5848">
        <v>0.5</v>
      </c>
      <c r="I5848" s="11">
        <f t="shared" si="91"/>
        <v>0</v>
      </c>
      <c r="J5848" s="11">
        <f>1/(H5848*Utilities!$B$11)</f>
        <v>8</v>
      </c>
      <c r="K5848" s="11">
        <f>IF(B5848&lt;C5848,1,EXP(-1*(B5848-C5848)/(Utilities!$B$11*IterData!H5848)))</f>
        <v>1</v>
      </c>
    </row>
    <row r="5849" spans="8:11" x14ac:dyDescent="0.3">
      <c r="H5849">
        <v>0.5</v>
      </c>
      <c r="I5849" s="11">
        <f t="shared" si="91"/>
        <v>0</v>
      </c>
      <c r="J5849" s="11">
        <f>1/(H5849*Utilities!$B$11)</f>
        <v>8</v>
      </c>
      <c r="K5849" s="11">
        <f>IF(B5849&lt;C5849,1,EXP(-1*(B5849-C5849)/(Utilities!$B$11*IterData!H5849)))</f>
        <v>1</v>
      </c>
    </row>
    <row r="5850" spans="8:11" x14ac:dyDescent="0.3">
      <c r="H5850">
        <v>0.5</v>
      </c>
      <c r="I5850" s="11">
        <f t="shared" si="91"/>
        <v>0</v>
      </c>
      <c r="J5850" s="11">
        <f>1/(H5850*Utilities!$B$11)</f>
        <v>8</v>
      </c>
      <c r="K5850" s="11">
        <f>IF(B5850&lt;C5850,1,EXP(-1*(B5850-C5850)/(Utilities!$B$11*IterData!H5850)))</f>
        <v>1</v>
      </c>
    </row>
    <row r="5851" spans="8:11" x14ac:dyDescent="0.3">
      <c r="H5851">
        <v>0.5</v>
      </c>
      <c r="I5851" s="11">
        <f t="shared" si="91"/>
        <v>0</v>
      </c>
      <c r="J5851" s="11">
        <f>1/(H5851*Utilities!$B$11)</f>
        <v>8</v>
      </c>
      <c r="K5851" s="11">
        <f>IF(B5851&lt;C5851,1,EXP(-1*(B5851-C5851)/(Utilities!$B$11*IterData!H5851)))</f>
        <v>1</v>
      </c>
    </row>
    <row r="5852" spans="8:11" x14ac:dyDescent="0.3">
      <c r="H5852">
        <v>0.5</v>
      </c>
      <c r="I5852" s="11">
        <f t="shared" si="91"/>
        <v>0</v>
      </c>
      <c r="J5852" s="11">
        <f>1/(H5852*Utilities!$B$11)</f>
        <v>8</v>
      </c>
      <c r="K5852" s="11">
        <f>IF(B5852&lt;C5852,1,EXP(-1*(B5852-C5852)/(Utilities!$B$11*IterData!H5852)))</f>
        <v>1</v>
      </c>
    </row>
    <row r="5853" spans="8:11" x14ac:dyDescent="0.3">
      <c r="H5853">
        <v>0.5</v>
      </c>
      <c r="I5853" s="11">
        <f t="shared" si="91"/>
        <v>0</v>
      </c>
      <c r="J5853" s="11">
        <f>1/(H5853*Utilities!$B$11)</f>
        <v>8</v>
      </c>
      <c r="K5853" s="11">
        <f>IF(B5853&lt;C5853,1,EXP(-1*(B5853-C5853)/(Utilities!$B$11*IterData!H5853)))</f>
        <v>1</v>
      </c>
    </row>
    <row r="5854" spans="8:11" x14ac:dyDescent="0.3">
      <c r="H5854">
        <v>0.5</v>
      </c>
      <c r="I5854" s="11">
        <f t="shared" si="91"/>
        <v>0</v>
      </c>
      <c r="J5854" s="11">
        <f>1/(H5854*Utilities!$B$11)</f>
        <v>8</v>
      </c>
      <c r="K5854" s="11">
        <f>IF(B5854&lt;C5854,1,EXP(-1*(B5854-C5854)/(Utilities!$B$11*IterData!H5854)))</f>
        <v>1</v>
      </c>
    </row>
    <row r="5855" spans="8:11" x14ac:dyDescent="0.3">
      <c r="H5855">
        <v>0.5</v>
      </c>
      <c r="I5855" s="11">
        <f t="shared" si="91"/>
        <v>0</v>
      </c>
      <c r="J5855" s="11">
        <f>1/(H5855*Utilities!$B$11)</f>
        <v>8</v>
      </c>
      <c r="K5855" s="11">
        <f>IF(B5855&lt;C5855,1,EXP(-1*(B5855-C5855)/(Utilities!$B$11*IterData!H5855)))</f>
        <v>1</v>
      </c>
    </row>
    <row r="5856" spans="8:11" x14ac:dyDescent="0.3">
      <c r="H5856">
        <v>0.5</v>
      </c>
      <c r="I5856" s="11">
        <f t="shared" si="91"/>
        <v>0</v>
      </c>
      <c r="J5856" s="11">
        <f>1/(H5856*Utilities!$B$11)</f>
        <v>8</v>
      </c>
      <c r="K5856" s="11">
        <f>IF(B5856&lt;C5856,1,EXP(-1*(B5856-C5856)/(Utilities!$B$11*IterData!H5856)))</f>
        <v>1</v>
      </c>
    </row>
    <row r="5857" spans="8:11" x14ac:dyDescent="0.3">
      <c r="H5857">
        <v>0.5</v>
      </c>
      <c r="I5857" s="11">
        <f t="shared" si="91"/>
        <v>0</v>
      </c>
      <c r="J5857" s="11">
        <f>1/(H5857*Utilities!$B$11)</f>
        <v>8</v>
      </c>
      <c r="K5857" s="11">
        <f>IF(B5857&lt;C5857,1,EXP(-1*(B5857-C5857)/(Utilities!$B$11*IterData!H5857)))</f>
        <v>1</v>
      </c>
    </row>
    <row r="5858" spans="8:11" x14ac:dyDescent="0.3">
      <c r="H5858">
        <v>0.5</v>
      </c>
      <c r="I5858" s="11">
        <f t="shared" si="91"/>
        <v>0</v>
      </c>
      <c r="J5858" s="11">
        <f>1/(H5858*Utilities!$B$11)</f>
        <v>8</v>
      </c>
      <c r="K5858" s="11">
        <f>IF(B5858&lt;C5858,1,EXP(-1*(B5858-C5858)/(Utilities!$B$11*IterData!H5858)))</f>
        <v>1</v>
      </c>
    </row>
    <row r="5859" spans="8:11" x14ac:dyDescent="0.3">
      <c r="H5859">
        <v>0.5</v>
      </c>
      <c r="I5859" s="11">
        <f t="shared" si="91"/>
        <v>0</v>
      </c>
      <c r="J5859" s="11">
        <f>1/(H5859*Utilities!$B$11)</f>
        <v>8</v>
      </c>
      <c r="K5859" s="11">
        <f>IF(B5859&lt;C5859,1,EXP(-1*(B5859-C5859)/(Utilities!$B$11*IterData!H5859)))</f>
        <v>1</v>
      </c>
    </row>
    <row r="5860" spans="8:11" x14ac:dyDescent="0.3">
      <c r="H5860">
        <v>0.5</v>
      </c>
      <c r="I5860" s="11">
        <f t="shared" si="91"/>
        <v>0</v>
      </c>
      <c r="J5860" s="11">
        <f>1/(H5860*Utilities!$B$11)</f>
        <v>8</v>
      </c>
      <c r="K5860" s="11">
        <f>IF(B5860&lt;C5860,1,EXP(-1*(B5860-C5860)/(Utilities!$B$11*IterData!H5860)))</f>
        <v>1</v>
      </c>
    </row>
    <row r="5861" spans="8:11" x14ac:dyDescent="0.3">
      <c r="H5861">
        <v>0.5</v>
      </c>
      <c r="I5861" s="11">
        <f t="shared" si="91"/>
        <v>0</v>
      </c>
      <c r="J5861" s="11">
        <f>1/(H5861*Utilities!$B$11)</f>
        <v>8</v>
      </c>
      <c r="K5861" s="11">
        <f>IF(B5861&lt;C5861,1,EXP(-1*(B5861-C5861)/(Utilities!$B$11*IterData!H5861)))</f>
        <v>1</v>
      </c>
    </row>
    <row r="5862" spans="8:11" x14ac:dyDescent="0.3">
      <c r="H5862">
        <v>0.5</v>
      </c>
      <c r="I5862" s="11">
        <f t="shared" si="91"/>
        <v>0</v>
      </c>
      <c r="J5862" s="11">
        <f>1/(H5862*Utilities!$B$11)</f>
        <v>8</v>
      </c>
      <c r="K5862" s="11">
        <f>IF(B5862&lt;C5862,1,EXP(-1*(B5862-C5862)/(Utilities!$B$11*IterData!H5862)))</f>
        <v>1</v>
      </c>
    </row>
    <row r="5863" spans="8:11" x14ac:dyDescent="0.3">
      <c r="H5863">
        <v>0.5</v>
      </c>
      <c r="I5863" s="11">
        <f t="shared" si="91"/>
        <v>0</v>
      </c>
      <c r="J5863" s="11">
        <f>1/(H5863*Utilities!$B$11)</f>
        <v>8</v>
      </c>
      <c r="K5863" s="11">
        <f>IF(B5863&lt;C5863,1,EXP(-1*(B5863-C5863)/(Utilities!$B$11*IterData!H5863)))</f>
        <v>1</v>
      </c>
    </row>
    <row r="5864" spans="8:11" x14ac:dyDescent="0.3">
      <c r="H5864">
        <v>0.5</v>
      </c>
      <c r="I5864" s="11">
        <f t="shared" si="91"/>
        <v>0</v>
      </c>
      <c r="J5864" s="11">
        <f>1/(H5864*Utilities!$B$11)</f>
        <v>8</v>
      </c>
      <c r="K5864" s="11">
        <f>IF(B5864&lt;C5864,1,EXP(-1*(B5864-C5864)/(Utilities!$B$11*IterData!H5864)))</f>
        <v>1</v>
      </c>
    </row>
    <row r="5865" spans="8:11" x14ac:dyDescent="0.3">
      <c r="H5865">
        <v>0.5</v>
      </c>
      <c r="I5865" s="11">
        <f t="shared" si="91"/>
        <v>0</v>
      </c>
      <c r="J5865" s="11">
        <f>1/(H5865*Utilities!$B$11)</f>
        <v>8</v>
      </c>
      <c r="K5865" s="11">
        <f>IF(B5865&lt;C5865,1,EXP(-1*(B5865-C5865)/(Utilities!$B$11*IterData!H5865)))</f>
        <v>1</v>
      </c>
    </row>
    <row r="5866" spans="8:11" x14ac:dyDescent="0.3">
      <c r="H5866">
        <v>0.5</v>
      </c>
      <c r="I5866" s="11">
        <f t="shared" si="91"/>
        <v>0</v>
      </c>
      <c r="J5866" s="11">
        <f>1/(H5866*Utilities!$B$11)</f>
        <v>8</v>
      </c>
      <c r="K5866" s="11">
        <f>IF(B5866&lt;C5866,1,EXP(-1*(B5866-C5866)/(Utilities!$B$11*IterData!H5866)))</f>
        <v>1</v>
      </c>
    </row>
    <row r="5867" spans="8:11" x14ac:dyDescent="0.3">
      <c r="H5867">
        <v>0.5</v>
      </c>
      <c r="I5867" s="11">
        <f t="shared" si="91"/>
        <v>0</v>
      </c>
      <c r="J5867" s="11">
        <f>1/(H5867*Utilities!$B$11)</f>
        <v>8</v>
      </c>
      <c r="K5867" s="11">
        <f>IF(B5867&lt;C5867,1,EXP(-1*(B5867-C5867)/(Utilities!$B$11*IterData!H5867)))</f>
        <v>1</v>
      </c>
    </row>
    <row r="5868" spans="8:11" x14ac:dyDescent="0.3">
      <c r="H5868">
        <v>0.5</v>
      </c>
      <c r="I5868" s="11">
        <f t="shared" si="91"/>
        <v>0</v>
      </c>
      <c r="J5868" s="11">
        <f>1/(H5868*Utilities!$B$11)</f>
        <v>8</v>
      </c>
      <c r="K5868" s="11">
        <f>IF(B5868&lt;C5868,1,EXP(-1*(B5868-C5868)/(Utilities!$B$11*IterData!H5868)))</f>
        <v>1</v>
      </c>
    </row>
    <row r="5869" spans="8:11" x14ac:dyDescent="0.3">
      <c r="H5869">
        <v>0.5</v>
      </c>
      <c r="I5869" s="11">
        <f t="shared" si="91"/>
        <v>0</v>
      </c>
      <c r="J5869" s="11">
        <f>1/(H5869*Utilities!$B$11)</f>
        <v>8</v>
      </c>
      <c r="K5869" s="11">
        <f>IF(B5869&lt;C5869,1,EXP(-1*(B5869-C5869)/(Utilities!$B$11*IterData!H5869)))</f>
        <v>1</v>
      </c>
    </row>
    <row r="5870" spans="8:11" x14ac:dyDescent="0.3">
      <c r="H5870">
        <v>0.5</v>
      </c>
      <c r="I5870" s="11">
        <f t="shared" si="91"/>
        <v>0</v>
      </c>
      <c r="J5870" s="11">
        <f>1/(H5870*Utilities!$B$11)</f>
        <v>8</v>
      </c>
      <c r="K5870" s="11">
        <f>IF(B5870&lt;C5870,1,EXP(-1*(B5870-C5870)/(Utilities!$B$11*IterData!H5870)))</f>
        <v>1</v>
      </c>
    </row>
    <row r="5871" spans="8:11" x14ac:dyDescent="0.3">
      <c r="H5871">
        <v>0.5</v>
      </c>
      <c r="I5871" s="11">
        <f t="shared" si="91"/>
        <v>0</v>
      </c>
      <c r="J5871" s="11">
        <f>1/(H5871*Utilities!$B$11)</f>
        <v>8</v>
      </c>
      <c r="K5871" s="11">
        <f>IF(B5871&lt;C5871,1,EXP(-1*(B5871-C5871)/(Utilities!$B$11*IterData!H5871)))</f>
        <v>1</v>
      </c>
    </row>
    <row r="5872" spans="8:11" x14ac:dyDescent="0.3">
      <c r="H5872">
        <v>0.5</v>
      </c>
      <c r="I5872" s="11">
        <f t="shared" si="91"/>
        <v>0</v>
      </c>
      <c r="J5872" s="11">
        <f>1/(H5872*Utilities!$B$11)</f>
        <v>8</v>
      </c>
      <c r="K5872" s="11">
        <f>IF(B5872&lt;C5872,1,EXP(-1*(B5872-C5872)/(Utilities!$B$11*IterData!H5872)))</f>
        <v>1</v>
      </c>
    </row>
    <row r="5873" spans="8:11" x14ac:dyDescent="0.3">
      <c r="H5873">
        <v>0.5</v>
      </c>
      <c r="I5873" s="11">
        <f t="shared" si="91"/>
        <v>0</v>
      </c>
      <c r="J5873" s="11">
        <f>1/(H5873*Utilities!$B$11)</f>
        <v>8</v>
      </c>
      <c r="K5873" s="11">
        <f>IF(B5873&lt;C5873,1,EXP(-1*(B5873-C5873)/(Utilities!$B$11*IterData!H5873)))</f>
        <v>1</v>
      </c>
    </row>
    <row r="5874" spans="8:11" x14ac:dyDescent="0.3">
      <c r="H5874">
        <v>0.5</v>
      </c>
      <c r="I5874" s="11">
        <f t="shared" si="91"/>
        <v>0</v>
      </c>
      <c r="J5874" s="11">
        <f>1/(H5874*Utilities!$B$11)</f>
        <v>8</v>
      </c>
      <c r="K5874" s="11">
        <f>IF(B5874&lt;C5874,1,EXP(-1*(B5874-C5874)/(Utilities!$B$11*IterData!H5874)))</f>
        <v>1</v>
      </c>
    </row>
    <row r="5875" spans="8:11" x14ac:dyDescent="0.3">
      <c r="H5875">
        <v>0.5</v>
      </c>
      <c r="I5875" s="11">
        <f t="shared" si="91"/>
        <v>0</v>
      </c>
      <c r="J5875" s="11">
        <f>1/(H5875*Utilities!$B$11)</f>
        <v>8</v>
      </c>
      <c r="K5875" s="11">
        <f>IF(B5875&lt;C5875,1,EXP(-1*(B5875-C5875)/(Utilities!$B$11*IterData!H5875)))</f>
        <v>1</v>
      </c>
    </row>
    <row r="5876" spans="8:11" x14ac:dyDescent="0.3">
      <c r="H5876">
        <v>0.5</v>
      </c>
      <c r="I5876" s="11">
        <f t="shared" si="91"/>
        <v>0</v>
      </c>
      <c r="J5876" s="11">
        <f>1/(H5876*Utilities!$B$11)</f>
        <v>8</v>
      </c>
      <c r="K5876" s="11">
        <f>IF(B5876&lt;C5876,1,EXP(-1*(B5876-C5876)/(Utilities!$B$11*IterData!H5876)))</f>
        <v>1</v>
      </c>
    </row>
    <row r="5877" spans="8:11" x14ac:dyDescent="0.3">
      <c r="H5877">
        <v>0.5</v>
      </c>
      <c r="I5877" s="11">
        <f t="shared" si="91"/>
        <v>0</v>
      </c>
      <c r="J5877" s="11">
        <f>1/(H5877*Utilities!$B$11)</f>
        <v>8</v>
      </c>
      <c r="K5877" s="11">
        <f>IF(B5877&lt;C5877,1,EXP(-1*(B5877-C5877)/(Utilities!$B$11*IterData!H5877)))</f>
        <v>1</v>
      </c>
    </row>
    <row r="5878" spans="8:11" x14ac:dyDescent="0.3">
      <c r="H5878">
        <v>0.5</v>
      </c>
      <c r="I5878" s="11">
        <f t="shared" si="91"/>
        <v>0</v>
      </c>
      <c r="J5878" s="11">
        <f>1/(H5878*Utilities!$B$11)</f>
        <v>8</v>
      </c>
      <c r="K5878" s="11">
        <f>IF(B5878&lt;C5878,1,EXP(-1*(B5878-C5878)/(Utilities!$B$11*IterData!H5878)))</f>
        <v>1</v>
      </c>
    </row>
    <row r="5879" spans="8:11" x14ac:dyDescent="0.3">
      <c r="H5879">
        <v>0.5</v>
      </c>
      <c r="I5879" s="11">
        <f t="shared" si="91"/>
        <v>0</v>
      </c>
      <c r="J5879" s="11">
        <f>1/(H5879*Utilities!$B$11)</f>
        <v>8</v>
      </c>
      <c r="K5879" s="11">
        <f>IF(B5879&lt;C5879,1,EXP(-1*(B5879-C5879)/(Utilities!$B$11*IterData!H5879)))</f>
        <v>1</v>
      </c>
    </row>
    <row r="5880" spans="8:11" x14ac:dyDescent="0.3">
      <c r="H5880">
        <v>0.5</v>
      </c>
      <c r="I5880" s="11">
        <f t="shared" si="91"/>
        <v>0</v>
      </c>
      <c r="J5880" s="11">
        <f>1/(H5880*Utilities!$B$11)</f>
        <v>8</v>
      </c>
      <c r="K5880" s="11">
        <f>IF(B5880&lt;C5880,1,EXP(-1*(B5880-C5880)/(Utilities!$B$11*IterData!H5880)))</f>
        <v>1</v>
      </c>
    </row>
    <row r="5881" spans="8:11" x14ac:dyDescent="0.3">
      <c r="H5881">
        <v>0.5</v>
      </c>
      <c r="I5881" s="11">
        <f t="shared" si="91"/>
        <v>0</v>
      </c>
      <c r="J5881" s="11">
        <f>1/(H5881*Utilities!$B$11)</f>
        <v>8</v>
      </c>
      <c r="K5881" s="11">
        <f>IF(B5881&lt;C5881,1,EXP(-1*(B5881-C5881)/(Utilities!$B$11*IterData!H5881)))</f>
        <v>1</v>
      </c>
    </row>
    <row r="5882" spans="8:11" x14ac:dyDescent="0.3">
      <c r="H5882">
        <v>0.5</v>
      </c>
      <c r="I5882" s="11">
        <f t="shared" si="91"/>
        <v>0</v>
      </c>
      <c r="J5882" s="11">
        <f>1/(H5882*Utilities!$B$11)</f>
        <v>8</v>
      </c>
      <c r="K5882" s="11">
        <f>IF(B5882&lt;C5882,1,EXP(-1*(B5882-C5882)/(Utilities!$B$11*IterData!H5882)))</f>
        <v>1</v>
      </c>
    </row>
    <row r="5883" spans="8:11" x14ac:dyDescent="0.3">
      <c r="H5883">
        <v>0.5</v>
      </c>
      <c r="I5883" s="11">
        <f t="shared" si="91"/>
        <v>0</v>
      </c>
      <c r="J5883" s="11">
        <f>1/(H5883*Utilities!$B$11)</f>
        <v>8</v>
      </c>
      <c r="K5883" s="11">
        <f>IF(B5883&lt;C5883,1,EXP(-1*(B5883-C5883)/(Utilities!$B$11*IterData!H5883)))</f>
        <v>1</v>
      </c>
    </row>
    <row r="5884" spans="8:11" x14ac:dyDescent="0.3">
      <c r="H5884">
        <v>0.5</v>
      </c>
      <c r="I5884" s="11">
        <f t="shared" si="91"/>
        <v>0</v>
      </c>
      <c r="J5884" s="11">
        <f>1/(H5884*Utilities!$B$11)</f>
        <v>8</v>
      </c>
      <c r="K5884" s="11">
        <f>IF(B5884&lt;C5884,1,EXP(-1*(B5884-C5884)/(Utilities!$B$11*IterData!H5884)))</f>
        <v>1</v>
      </c>
    </row>
    <row r="5885" spans="8:11" x14ac:dyDescent="0.3">
      <c r="H5885">
        <v>0.5</v>
      </c>
      <c r="I5885" s="11">
        <f t="shared" si="91"/>
        <v>0</v>
      </c>
      <c r="J5885" s="11">
        <f>1/(H5885*Utilities!$B$11)</f>
        <v>8</v>
      </c>
      <c r="K5885" s="11">
        <f>IF(B5885&lt;C5885,1,EXP(-1*(B5885-C5885)/(Utilities!$B$11*IterData!H5885)))</f>
        <v>1</v>
      </c>
    </row>
    <row r="5886" spans="8:11" x14ac:dyDescent="0.3">
      <c r="H5886">
        <v>0.5</v>
      </c>
      <c r="I5886" s="11">
        <f t="shared" si="91"/>
        <v>0</v>
      </c>
      <c r="J5886" s="11">
        <f>1/(H5886*Utilities!$B$11)</f>
        <v>8</v>
      </c>
      <c r="K5886" s="11">
        <f>IF(B5886&lt;C5886,1,EXP(-1*(B5886-C5886)/(Utilities!$B$11*IterData!H5886)))</f>
        <v>1</v>
      </c>
    </row>
    <row r="5887" spans="8:11" x14ac:dyDescent="0.3">
      <c r="H5887">
        <v>0.5</v>
      </c>
      <c r="I5887" s="11">
        <f t="shared" si="91"/>
        <v>0</v>
      </c>
      <c r="J5887" s="11">
        <f>1/(H5887*Utilities!$B$11)</f>
        <v>8</v>
      </c>
      <c r="K5887" s="11">
        <f>IF(B5887&lt;C5887,1,EXP(-1*(B5887-C5887)/(Utilities!$B$11*IterData!H5887)))</f>
        <v>1</v>
      </c>
    </row>
    <row r="5888" spans="8:11" x14ac:dyDescent="0.3">
      <c r="H5888">
        <v>0.5</v>
      </c>
      <c r="I5888" s="11">
        <f t="shared" si="91"/>
        <v>0</v>
      </c>
      <c r="J5888" s="11">
        <f>1/(H5888*Utilities!$B$11)</f>
        <v>8</v>
      </c>
      <c r="K5888" s="11">
        <f>IF(B5888&lt;C5888,1,EXP(-1*(B5888-C5888)/(Utilities!$B$11*IterData!H5888)))</f>
        <v>1</v>
      </c>
    </row>
    <row r="5889" spans="8:11" x14ac:dyDescent="0.3">
      <c r="H5889">
        <v>0.5</v>
      </c>
      <c r="I5889" s="11">
        <f t="shared" si="91"/>
        <v>0</v>
      </c>
      <c r="J5889" s="11">
        <f>1/(H5889*Utilities!$B$11)</f>
        <v>8</v>
      </c>
      <c r="K5889" s="11">
        <f>IF(B5889&lt;C5889,1,EXP(-1*(B5889-C5889)/(Utilities!$B$11*IterData!H5889)))</f>
        <v>1</v>
      </c>
    </row>
    <row r="5890" spans="8:11" x14ac:dyDescent="0.3">
      <c r="H5890">
        <v>0.5</v>
      </c>
      <c r="I5890" s="11">
        <f t="shared" si="91"/>
        <v>0</v>
      </c>
      <c r="J5890" s="11">
        <f>1/(H5890*Utilities!$B$11)</f>
        <v>8</v>
      </c>
      <c r="K5890" s="11">
        <f>IF(B5890&lt;C5890,1,EXP(-1*(B5890-C5890)/(Utilities!$B$11*IterData!H5890)))</f>
        <v>1</v>
      </c>
    </row>
    <row r="5891" spans="8:11" x14ac:dyDescent="0.3">
      <c r="H5891">
        <v>0.5</v>
      </c>
      <c r="I5891" s="11">
        <f t="shared" ref="I5891:I5954" si="92">B5891-C5891</f>
        <v>0</v>
      </c>
      <c r="J5891" s="11">
        <f>1/(H5891*Utilities!$B$11)</f>
        <v>8</v>
      </c>
      <c r="K5891" s="11">
        <f>IF(B5891&lt;C5891,1,EXP(-1*(B5891-C5891)/(Utilities!$B$11*IterData!H5891)))</f>
        <v>1</v>
      </c>
    </row>
    <row r="5892" spans="8:11" x14ac:dyDescent="0.3">
      <c r="H5892">
        <v>0.5</v>
      </c>
      <c r="I5892" s="11">
        <f t="shared" si="92"/>
        <v>0</v>
      </c>
      <c r="J5892" s="11">
        <f>1/(H5892*Utilities!$B$11)</f>
        <v>8</v>
      </c>
      <c r="K5892" s="11">
        <f>IF(B5892&lt;C5892,1,EXP(-1*(B5892-C5892)/(Utilities!$B$11*IterData!H5892)))</f>
        <v>1</v>
      </c>
    </row>
    <row r="5893" spans="8:11" x14ac:dyDescent="0.3">
      <c r="H5893">
        <v>0.5</v>
      </c>
      <c r="I5893" s="11">
        <f t="shared" si="92"/>
        <v>0</v>
      </c>
      <c r="J5893" s="11">
        <f>1/(H5893*Utilities!$B$11)</f>
        <v>8</v>
      </c>
      <c r="K5893" s="11">
        <f>IF(B5893&lt;C5893,1,EXP(-1*(B5893-C5893)/(Utilities!$B$11*IterData!H5893)))</f>
        <v>1</v>
      </c>
    </row>
    <row r="5894" spans="8:11" x14ac:dyDescent="0.3">
      <c r="H5894">
        <v>0.5</v>
      </c>
      <c r="I5894" s="11">
        <f t="shared" si="92"/>
        <v>0</v>
      </c>
      <c r="J5894" s="11">
        <f>1/(H5894*Utilities!$B$11)</f>
        <v>8</v>
      </c>
      <c r="K5894" s="11">
        <f>IF(B5894&lt;C5894,1,EXP(-1*(B5894-C5894)/(Utilities!$B$11*IterData!H5894)))</f>
        <v>1</v>
      </c>
    </row>
    <row r="5895" spans="8:11" x14ac:dyDescent="0.3">
      <c r="H5895">
        <v>0.5</v>
      </c>
      <c r="I5895" s="11">
        <f t="shared" si="92"/>
        <v>0</v>
      </c>
      <c r="J5895" s="11">
        <f>1/(H5895*Utilities!$B$11)</f>
        <v>8</v>
      </c>
      <c r="K5895" s="11">
        <f>IF(B5895&lt;C5895,1,EXP(-1*(B5895-C5895)/(Utilities!$B$11*IterData!H5895)))</f>
        <v>1</v>
      </c>
    </row>
    <row r="5896" spans="8:11" x14ac:dyDescent="0.3">
      <c r="H5896">
        <v>0.5</v>
      </c>
      <c r="I5896" s="11">
        <f t="shared" si="92"/>
        <v>0</v>
      </c>
      <c r="J5896" s="11">
        <f>1/(H5896*Utilities!$B$11)</f>
        <v>8</v>
      </c>
      <c r="K5896" s="11">
        <f>IF(B5896&lt;C5896,1,EXP(-1*(B5896-C5896)/(Utilities!$B$11*IterData!H5896)))</f>
        <v>1</v>
      </c>
    </row>
    <row r="5897" spans="8:11" x14ac:dyDescent="0.3">
      <c r="H5897">
        <v>0.5</v>
      </c>
      <c r="I5897" s="11">
        <f t="shared" si="92"/>
        <v>0</v>
      </c>
      <c r="J5897" s="11">
        <f>1/(H5897*Utilities!$B$11)</f>
        <v>8</v>
      </c>
      <c r="K5897" s="11">
        <f>IF(B5897&lt;C5897,1,EXP(-1*(B5897-C5897)/(Utilities!$B$11*IterData!H5897)))</f>
        <v>1</v>
      </c>
    </row>
    <row r="5898" spans="8:11" x14ac:dyDescent="0.3">
      <c r="H5898">
        <v>0.5</v>
      </c>
      <c r="I5898" s="11">
        <f t="shared" si="92"/>
        <v>0</v>
      </c>
      <c r="J5898" s="11">
        <f>1/(H5898*Utilities!$B$11)</f>
        <v>8</v>
      </c>
      <c r="K5898" s="11">
        <f>IF(B5898&lt;C5898,1,EXP(-1*(B5898-C5898)/(Utilities!$B$11*IterData!H5898)))</f>
        <v>1</v>
      </c>
    </row>
    <row r="5899" spans="8:11" x14ac:dyDescent="0.3">
      <c r="H5899">
        <v>0.5</v>
      </c>
      <c r="I5899" s="11">
        <f t="shared" si="92"/>
        <v>0</v>
      </c>
      <c r="J5899" s="11">
        <f>1/(H5899*Utilities!$B$11)</f>
        <v>8</v>
      </c>
      <c r="K5899" s="11">
        <f>IF(B5899&lt;C5899,1,EXP(-1*(B5899-C5899)/(Utilities!$B$11*IterData!H5899)))</f>
        <v>1</v>
      </c>
    </row>
    <row r="5900" spans="8:11" x14ac:dyDescent="0.3">
      <c r="H5900">
        <v>0.5</v>
      </c>
      <c r="I5900" s="11">
        <f t="shared" si="92"/>
        <v>0</v>
      </c>
      <c r="J5900" s="11">
        <f>1/(H5900*Utilities!$B$11)</f>
        <v>8</v>
      </c>
      <c r="K5900" s="11">
        <f>IF(B5900&lt;C5900,1,EXP(-1*(B5900-C5900)/(Utilities!$B$11*IterData!H5900)))</f>
        <v>1</v>
      </c>
    </row>
    <row r="5901" spans="8:11" x14ac:dyDescent="0.3">
      <c r="H5901">
        <v>0.5</v>
      </c>
      <c r="I5901" s="11">
        <f t="shared" si="92"/>
        <v>0</v>
      </c>
      <c r="J5901" s="11">
        <f>1/(H5901*Utilities!$B$11)</f>
        <v>8</v>
      </c>
      <c r="K5901" s="11">
        <f>IF(B5901&lt;C5901,1,EXP(-1*(B5901-C5901)/(Utilities!$B$11*IterData!H5901)))</f>
        <v>1</v>
      </c>
    </row>
    <row r="5902" spans="8:11" x14ac:dyDescent="0.3">
      <c r="H5902">
        <v>0.5</v>
      </c>
      <c r="I5902" s="11">
        <f t="shared" si="92"/>
        <v>0</v>
      </c>
      <c r="J5902" s="11">
        <f>1/(H5902*Utilities!$B$11)</f>
        <v>8</v>
      </c>
      <c r="K5902" s="11">
        <f>IF(B5902&lt;C5902,1,EXP(-1*(B5902-C5902)/(Utilities!$B$11*IterData!H5902)))</f>
        <v>1</v>
      </c>
    </row>
    <row r="5903" spans="8:11" x14ac:dyDescent="0.3">
      <c r="H5903">
        <v>0.5</v>
      </c>
      <c r="I5903" s="11">
        <f t="shared" si="92"/>
        <v>0</v>
      </c>
      <c r="J5903" s="11">
        <f>1/(H5903*Utilities!$B$11)</f>
        <v>8</v>
      </c>
      <c r="K5903" s="11">
        <f>IF(B5903&lt;C5903,1,EXP(-1*(B5903-C5903)/(Utilities!$B$11*IterData!H5903)))</f>
        <v>1</v>
      </c>
    </row>
    <row r="5904" spans="8:11" x14ac:dyDescent="0.3">
      <c r="H5904">
        <v>0.5</v>
      </c>
      <c r="I5904" s="11">
        <f t="shared" si="92"/>
        <v>0</v>
      </c>
      <c r="J5904" s="11">
        <f>1/(H5904*Utilities!$B$11)</f>
        <v>8</v>
      </c>
      <c r="K5904" s="11">
        <f>IF(B5904&lt;C5904,1,EXP(-1*(B5904-C5904)/(Utilities!$B$11*IterData!H5904)))</f>
        <v>1</v>
      </c>
    </row>
    <row r="5905" spans="8:11" x14ac:dyDescent="0.3">
      <c r="H5905">
        <v>0.5</v>
      </c>
      <c r="I5905" s="11">
        <f t="shared" si="92"/>
        <v>0</v>
      </c>
      <c r="J5905" s="11">
        <f>1/(H5905*Utilities!$B$11)</f>
        <v>8</v>
      </c>
      <c r="K5905" s="11">
        <f>IF(B5905&lt;C5905,1,EXP(-1*(B5905-C5905)/(Utilities!$B$11*IterData!H5905)))</f>
        <v>1</v>
      </c>
    </row>
    <row r="5906" spans="8:11" x14ac:dyDescent="0.3">
      <c r="H5906">
        <v>0.5</v>
      </c>
      <c r="I5906" s="11">
        <f t="shared" si="92"/>
        <v>0</v>
      </c>
      <c r="J5906" s="11">
        <f>1/(H5906*Utilities!$B$11)</f>
        <v>8</v>
      </c>
      <c r="K5906" s="11">
        <f>IF(B5906&lt;C5906,1,EXP(-1*(B5906-C5906)/(Utilities!$B$11*IterData!H5906)))</f>
        <v>1</v>
      </c>
    </row>
    <row r="5907" spans="8:11" x14ac:dyDescent="0.3">
      <c r="H5907">
        <v>0.5</v>
      </c>
      <c r="I5907" s="11">
        <f t="shared" si="92"/>
        <v>0</v>
      </c>
      <c r="J5907" s="11">
        <f>1/(H5907*Utilities!$B$11)</f>
        <v>8</v>
      </c>
      <c r="K5907" s="11">
        <f>IF(B5907&lt;C5907,1,EXP(-1*(B5907-C5907)/(Utilities!$B$11*IterData!H5907)))</f>
        <v>1</v>
      </c>
    </row>
    <row r="5908" spans="8:11" x14ac:dyDescent="0.3">
      <c r="H5908">
        <v>0.5</v>
      </c>
      <c r="I5908" s="11">
        <f t="shared" si="92"/>
        <v>0</v>
      </c>
      <c r="J5908" s="11">
        <f>1/(H5908*Utilities!$B$11)</f>
        <v>8</v>
      </c>
      <c r="K5908" s="11">
        <f>IF(B5908&lt;C5908,1,EXP(-1*(B5908-C5908)/(Utilities!$B$11*IterData!H5908)))</f>
        <v>1</v>
      </c>
    </row>
    <row r="5909" spans="8:11" x14ac:dyDescent="0.3">
      <c r="H5909">
        <v>0.5</v>
      </c>
      <c r="I5909" s="11">
        <f t="shared" si="92"/>
        <v>0</v>
      </c>
      <c r="J5909" s="11">
        <f>1/(H5909*Utilities!$B$11)</f>
        <v>8</v>
      </c>
      <c r="K5909" s="11">
        <f>IF(B5909&lt;C5909,1,EXP(-1*(B5909-C5909)/(Utilities!$B$11*IterData!H5909)))</f>
        <v>1</v>
      </c>
    </row>
    <row r="5910" spans="8:11" x14ac:dyDescent="0.3">
      <c r="H5910">
        <v>0.5</v>
      </c>
      <c r="I5910" s="11">
        <f t="shared" si="92"/>
        <v>0</v>
      </c>
      <c r="J5910" s="11">
        <f>1/(H5910*Utilities!$B$11)</f>
        <v>8</v>
      </c>
      <c r="K5910" s="11">
        <f>IF(B5910&lt;C5910,1,EXP(-1*(B5910-C5910)/(Utilities!$B$11*IterData!H5910)))</f>
        <v>1</v>
      </c>
    </row>
    <row r="5911" spans="8:11" x14ac:dyDescent="0.3">
      <c r="H5911">
        <v>0.5</v>
      </c>
      <c r="I5911" s="11">
        <f t="shared" si="92"/>
        <v>0</v>
      </c>
      <c r="J5911" s="11">
        <f>1/(H5911*Utilities!$B$11)</f>
        <v>8</v>
      </c>
      <c r="K5911" s="11">
        <f>IF(B5911&lt;C5911,1,EXP(-1*(B5911-C5911)/(Utilities!$B$11*IterData!H5911)))</f>
        <v>1</v>
      </c>
    </row>
    <row r="5912" spans="8:11" x14ac:dyDescent="0.3">
      <c r="H5912">
        <v>0.5</v>
      </c>
      <c r="I5912" s="11">
        <f t="shared" si="92"/>
        <v>0</v>
      </c>
      <c r="J5912" s="11">
        <f>1/(H5912*Utilities!$B$11)</f>
        <v>8</v>
      </c>
      <c r="K5912" s="11">
        <f>IF(B5912&lt;C5912,1,EXP(-1*(B5912-C5912)/(Utilities!$B$11*IterData!H5912)))</f>
        <v>1</v>
      </c>
    </row>
    <row r="5913" spans="8:11" x14ac:dyDescent="0.3">
      <c r="H5913">
        <v>0.5</v>
      </c>
      <c r="I5913" s="11">
        <f t="shared" si="92"/>
        <v>0</v>
      </c>
      <c r="J5913" s="11">
        <f>1/(H5913*Utilities!$B$11)</f>
        <v>8</v>
      </c>
      <c r="K5913" s="11">
        <f>IF(B5913&lt;C5913,1,EXP(-1*(B5913-C5913)/(Utilities!$B$11*IterData!H5913)))</f>
        <v>1</v>
      </c>
    </row>
    <row r="5914" spans="8:11" x14ac:dyDescent="0.3">
      <c r="H5914">
        <v>0.5</v>
      </c>
      <c r="I5914" s="11">
        <f t="shared" si="92"/>
        <v>0</v>
      </c>
      <c r="J5914" s="11">
        <f>1/(H5914*Utilities!$B$11)</f>
        <v>8</v>
      </c>
      <c r="K5914" s="11">
        <f>IF(B5914&lt;C5914,1,EXP(-1*(B5914-C5914)/(Utilities!$B$11*IterData!H5914)))</f>
        <v>1</v>
      </c>
    </row>
    <row r="5915" spans="8:11" x14ac:dyDescent="0.3">
      <c r="H5915">
        <v>0.5</v>
      </c>
      <c r="I5915" s="11">
        <f t="shared" si="92"/>
        <v>0</v>
      </c>
      <c r="J5915" s="11">
        <f>1/(H5915*Utilities!$B$11)</f>
        <v>8</v>
      </c>
      <c r="K5915" s="11">
        <f>IF(B5915&lt;C5915,1,EXP(-1*(B5915-C5915)/(Utilities!$B$11*IterData!H5915)))</f>
        <v>1</v>
      </c>
    </row>
    <row r="5916" spans="8:11" x14ac:dyDescent="0.3">
      <c r="H5916">
        <v>0.5</v>
      </c>
      <c r="I5916" s="11">
        <f t="shared" si="92"/>
        <v>0</v>
      </c>
      <c r="J5916" s="11">
        <f>1/(H5916*Utilities!$B$11)</f>
        <v>8</v>
      </c>
      <c r="K5916" s="11">
        <f>IF(B5916&lt;C5916,1,EXP(-1*(B5916-C5916)/(Utilities!$B$11*IterData!H5916)))</f>
        <v>1</v>
      </c>
    </row>
    <row r="5917" spans="8:11" x14ac:dyDescent="0.3">
      <c r="H5917">
        <v>0.5</v>
      </c>
      <c r="I5917" s="11">
        <f t="shared" si="92"/>
        <v>0</v>
      </c>
      <c r="J5917" s="11">
        <f>1/(H5917*Utilities!$B$11)</f>
        <v>8</v>
      </c>
      <c r="K5917" s="11">
        <f>IF(B5917&lt;C5917,1,EXP(-1*(B5917-C5917)/(Utilities!$B$11*IterData!H5917)))</f>
        <v>1</v>
      </c>
    </row>
    <row r="5918" spans="8:11" x14ac:dyDescent="0.3">
      <c r="H5918">
        <v>0.5</v>
      </c>
      <c r="I5918" s="11">
        <f t="shared" si="92"/>
        <v>0</v>
      </c>
      <c r="J5918" s="11">
        <f>1/(H5918*Utilities!$B$11)</f>
        <v>8</v>
      </c>
      <c r="K5918" s="11">
        <f>IF(B5918&lt;C5918,1,EXP(-1*(B5918-C5918)/(Utilities!$B$11*IterData!H5918)))</f>
        <v>1</v>
      </c>
    </row>
    <row r="5919" spans="8:11" x14ac:dyDescent="0.3">
      <c r="H5919">
        <v>0.5</v>
      </c>
      <c r="I5919" s="11">
        <f t="shared" si="92"/>
        <v>0</v>
      </c>
      <c r="J5919" s="11">
        <f>1/(H5919*Utilities!$B$11)</f>
        <v>8</v>
      </c>
      <c r="K5919" s="11">
        <f>IF(B5919&lt;C5919,1,EXP(-1*(B5919-C5919)/(Utilities!$B$11*IterData!H5919)))</f>
        <v>1</v>
      </c>
    </row>
    <row r="5920" spans="8:11" x14ac:dyDescent="0.3">
      <c r="H5920">
        <v>0.5</v>
      </c>
      <c r="I5920" s="11">
        <f t="shared" si="92"/>
        <v>0</v>
      </c>
      <c r="J5920" s="11">
        <f>1/(H5920*Utilities!$B$11)</f>
        <v>8</v>
      </c>
      <c r="K5920" s="11">
        <f>IF(B5920&lt;C5920,1,EXP(-1*(B5920-C5920)/(Utilities!$B$11*IterData!H5920)))</f>
        <v>1</v>
      </c>
    </row>
    <row r="5921" spans="8:11" x14ac:dyDescent="0.3">
      <c r="H5921">
        <v>0.5</v>
      </c>
      <c r="I5921" s="11">
        <f t="shared" si="92"/>
        <v>0</v>
      </c>
      <c r="J5921" s="11">
        <f>1/(H5921*Utilities!$B$11)</f>
        <v>8</v>
      </c>
      <c r="K5921" s="11">
        <f>IF(B5921&lt;C5921,1,EXP(-1*(B5921-C5921)/(Utilities!$B$11*IterData!H5921)))</f>
        <v>1</v>
      </c>
    </row>
    <row r="5922" spans="8:11" x14ac:dyDescent="0.3">
      <c r="H5922">
        <v>0.5</v>
      </c>
      <c r="I5922" s="11">
        <f t="shared" si="92"/>
        <v>0</v>
      </c>
      <c r="J5922" s="11">
        <f>1/(H5922*Utilities!$B$11)</f>
        <v>8</v>
      </c>
      <c r="K5922" s="11">
        <f>IF(B5922&lt;C5922,1,EXP(-1*(B5922-C5922)/(Utilities!$B$11*IterData!H5922)))</f>
        <v>1</v>
      </c>
    </row>
    <row r="5923" spans="8:11" x14ac:dyDescent="0.3">
      <c r="H5923">
        <v>0.5</v>
      </c>
      <c r="I5923" s="11">
        <f t="shared" si="92"/>
        <v>0</v>
      </c>
      <c r="J5923" s="11">
        <f>1/(H5923*Utilities!$B$11)</f>
        <v>8</v>
      </c>
      <c r="K5923" s="11">
        <f>IF(B5923&lt;C5923,1,EXP(-1*(B5923-C5923)/(Utilities!$B$11*IterData!H5923)))</f>
        <v>1</v>
      </c>
    </row>
    <row r="5924" spans="8:11" x14ac:dyDescent="0.3">
      <c r="H5924">
        <v>0.5</v>
      </c>
      <c r="I5924" s="11">
        <f t="shared" si="92"/>
        <v>0</v>
      </c>
      <c r="J5924" s="11">
        <f>1/(H5924*Utilities!$B$11)</f>
        <v>8</v>
      </c>
      <c r="K5924" s="11">
        <f>IF(B5924&lt;C5924,1,EXP(-1*(B5924-C5924)/(Utilities!$B$11*IterData!H5924)))</f>
        <v>1</v>
      </c>
    </row>
    <row r="5925" spans="8:11" x14ac:dyDescent="0.3">
      <c r="H5925">
        <v>0.5</v>
      </c>
      <c r="I5925" s="11">
        <f t="shared" si="92"/>
        <v>0</v>
      </c>
      <c r="J5925" s="11">
        <f>1/(H5925*Utilities!$B$11)</f>
        <v>8</v>
      </c>
      <c r="K5925" s="11">
        <f>IF(B5925&lt;C5925,1,EXP(-1*(B5925-C5925)/(Utilities!$B$11*IterData!H5925)))</f>
        <v>1</v>
      </c>
    </row>
    <row r="5926" spans="8:11" x14ac:dyDescent="0.3">
      <c r="H5926">
        <v>0.5</v>
      </c>
      <c r="I5926" s="11">
        <f t="shared" si="92"/>
        <v>0</v>
      </c>
      <c r="J5926" s="11">
        <f>1/(H5926*Utilities!$B$11)</f>
        <v>8</v>
      </c>
      <c r="K5926" s="11">
        <f>IF(B5926&lt;C5926,1,EXP(-1*(B5926-C5926)/(Utilities!$B$11*IterData!H5926)))</f>
        <v>1</v>
      </c>
    </row>
    <row r="5927" spans="8:11" x14ac:dyDescent="0.3">
      <c r="H5927">
        <v>0.5</v>
      </c>
      <c r="I5927" s="11">
        <f t="shared" si="92"/>
        <v>0</v>
      </c>
      <c r="J5927" s="11">
        <f>1/(H5927*Utilities!$B$11)</f>
        <v>8</v>
      </c>
      <c r="K5927" s="11">
        <f>IF(B5927&lt;C5927,1,EXP(-1*(B5927-C5927)/(Utilities!$B$11*IterData!H5927)))</f>
        <v>1</v>
      </c>
    </row>
    <row r="5928" spans="8:11" x14ac:dyDescent="0.3">
      <c r="H5928">
        <v>0.5</v>
      </c>
      <c r="I5928" s="11">
        <f t="shared" si="92"/>
        <v>0</v>
      </c>
      <c r="J5928" s="11">
        <f>1/(H5928*Utilities!$B$11)</f>
        <v>8</v>
      </c>
      <c r="K5928" s="11">
        <f>IF(B5928&lt;C5928,1,EXP(-1*(B5928-C5928)/(Utilities!$B$11*IterData!H5928)))</f>
        <v>1</v>
      </c>
    </row>
    <row r="5929" spans="8:11" x14ac:dyDescent="0.3">
      <c r="H5929">
        <v>0.5</v>
      </c>
      <c r="I5929" s="11">
        <f t="shared" si="92"/>
        <v>0</v>
      </c>
      <c r="J5929" s="11">
        <f>1/(H5929*Utilities!$B$11)</f>
        <v>8</v>
      </c>
      <c r="K5929" s="11">
        <f>IF(B5929&lt;C5929,1,EXP(-1*(B5929-C5929)/(Utilities!$B$11*IterData!H5929)))</f>
        <v>1</v>
      </c>
    </row>
    <row r="5930" spans="8:11" x14ac:dyDescent="0.3">
      <c r="H5930">
        <v>0.5</v>
      </c>
      <c r="I5930" s="11">
        <f t="shared" si="92"/>
        <v>0</v>
      </c>
      <c r="J5930" s="11">
        <f>1/(H5930*Utilities!$B$11)</f>
        <v>8</v>
      </c>
      <c r="K5930" s="11">
        <f>IF(B5930&lt;C5930,1,EXP(-1*(B5930-C5930)/(Utilities!$B$11*IterData!H5930)))</f>
        <v>1</v>
      </c>
    </row>
    <row r="5931" spans="8:11" x14ac:dyDescent="0.3">
      <c r="H5931">
        <v>0.5</v>
      </c>
      <c r="I5931" s="11">
        <f t="shared" si="92"/>
        <v>0</v>
      </c>
      <c r="J5931" s="11">
        <f>1/(H5931*Utilities!$B$11)</f>
        <v>8</v>
      </c>
      <c r="K5931" s="11">
        <f>IF(B5931&lt;C5931,1,EXP(-1*(B5931-C5931)/(Utilities!$B$11*IterData!H5931)))</f>
        <v>1</v>
      </c>
    </row>
    <row r="5932" spans="8:11" x14ac:dyDescent="0.3">
      <c r="H5932">
        <v>0.5</v>
      </c>
      <c r="I5932" s="11">
        <f t="shared" si="92"/>
        <v>0</v>
      </c>
      <c r="J5932" s="11">
        <f>1/(H5932*Utilities!$B$11)</f>
        <v>8</v>
      </c>
      <c r="K5932" s="11">
        <f>IF(B5932&lt;C5932,1,EXP(-1*(B5932-C5932)/(Utilities!$B$11*IterData!H5932)))</f>
        <v>1</v>
      </c>
    </row>
    <row r="5933" spans="8:11" x14ac:dyDescent="0.3">
      <c r="H5933">
        <v>0.5</v>
      </c>
      <c r="I5933" s="11">
        <f t="shared" si="92"/>
        <v>0</v>
      </c>
      <c r="J5933" s="11">
        <f>1/(H5933*Utilities!$B$11)</f>
        <v>8</v>
      </c>
      <c r="K5933" s="11">
        <f>IF(B5933&lt;C5933,1,EXP(-1*(B5933-C5933)/(Utilities!$B$11*IterData!H5933)))</f>
        <v>1</v>
      </c>
    </row>
    <row r="5934" spans="8:11" x14ac:dyDescent="0.3">
      <c r="H5934">
        <v>0.5</v>
      </c>
      <c r="I5934" s="11">
        <f t="shared" si="92"/>
        <v>0</v>
      </c>
      <c r="J5934" s="11">
        <f>1/(H5934*Utilities!$B$11)</f>
        <v>8</v>
      </c>
      <c r="K5934" s="11">
        <f>IF(B5934&lt;C5934,1,EXP(-1*(B5934-C5934)/(Utilities!$B$11*IterData!H5934)))</f>
        <v>1</v>
      </c>
    </row>
    <row r="5935" spans="8:11" x14ac:dyDescent="0.3">
      <c r="H5935">
        <v>0.5</v>
      </c>
      <c r="I5935" s="11">
        <f t="shared" si="92"/>
        <v>0</v>
      </c>
      <c r="J5935" s="11">
        <f>1/(H5935*Utilities!$B$11)</f>
        <v>8</v>
      </c>
      <c r="K5935" s="11">
        <f>IF(B5935&lt;C5935,1,EXP(-1*(B5935-C5935)/(Utilities!$B$11*IterData!H5935)))</f>
        <v>1</v>
      </c>
    </row>
    <row r="5936" spans="8:11" x14ac:dyDescent="0.3">
      <c r="H5936">
        <v>0.5</v>
      </c>
      <c r="I5936" s="11">
        <f t="shared" si="92"/>
        <v>0</v>
      </c>
      <c r="J5936" s="11">
        <f>1/(H5936*Utilities!$B$11)</f>
        <v>8</v>
      </c>
      <c r="K5936" s="11">
        <f>IF(B5936&lt;C5936,1,EXP(-1*(B5936-C5936)/(Utilities!$B$11*IterData!H5936)))</f>
        <v>1</v>
      </c>
    </row>
    <row r="5937" spans="8:11" x14ac:dyDescent="0.3">
      <c r="H5937">
        <v>0.5</v>
      </c>
      <c r="I5937" s="11">
        <f t="shared" si="92"/>
        <v>0</v>
      </c>
      <c r="J5937" s="11">
        <f>1/(H5937*Utilities!$B$11)</f>
        <v>8</v>
      </c>
      <c r="K5937" s="11">
        <f>IF(B5937&lt;C5937,1,EXP(-1*(B5937-C5937)/(Utilities!$B$11*IterData!H5937)))</f>
        <v>1</v>
      </c>
    </row>
    <row r="5938" spans="8:11" x14ac:dyDescent="0.3">
      <c r="H5938">
        <v>0.5</v>
      </c>
      <c r="I5938" s="11">
        <f t="shared" si="92"/>
        <v>0</v>
      </c>
      <c r="J5938" s="11">
        <f>1/(H5938*Utilities!$B$11)</f>
        <v>8</v>
      </c>
      <c r="K5938" s="11">
        <f>IF(B5938&lt;C5938,1,EXP(-1*(B5938-C5938)/(Utilities!$B$11*IterData!H5938)))</f>
        <v>1</v>
      </c>
    </row>
    <row r="5939" spans="8:11" x14ac:dyDescent="0.3">
      <c r="H5939">
        <v>0.5</v>
      </c>
      <c r="I5939" s="11">
        <f t="shared" si="92"/>
        <v>0</v>
      </c>
      <c r="J5939" s="11">
        <f>1/(H5939*Utilities!$B$11)</f>
        <v>8</v>
      </c>
      <c r="K5939" s="11">
        <f>IF(B5939&lt;C5939,1,EXP(-1*(B5939-C5939)/(Utilities!$B$11*IterData!H5939)))</f>
        <v>1</v>
      </c>
    </row>
    <row r="5940" spans="8:11" x14ac:dyDescent="0.3">
      <c r="H5940">
        <v>0.5</v>
      </c>
      <c r="I5940" s="11">
        <f t="shared" si="92"/>
        <v>0</v>
      </c>
      <c r="J5940" s="11">
        <f>1/(H5940*Utilities!$B$11)</f>
        <v>8</v>
      </c>
      <c r="K5940" s="11">
        <f>IF(B5940&lt;C5940,1,EXP(-1*(B5940-C5940)/(Utilities!$B$11*IterData!H5940)))</f>
        <v>1</v>
      </c>
    </row>
    <row r="5941" spans="8:11" x14ac:dyDescent="0.3">
      <c r="H5941">
        <v>0.5</v>
      </c>
      <c r="I5941" s="11">
        <f t="shared" si="92"/>
        <v>0</v>
      </c>
      <c r="J5941" s="11">
        <f>1/(H5941*Utilities!$B$11)</f>
        <v>8</v>
      </c>
      <c r="K5941" s="11">
        <f>IF(B5941&lt;C5941,1,EXP(-1*(B5941-C5941)/(Utilities!$B$11*IterData!H5941)))</f>
        <v>1</v>
      </c>
    </row>
    <row r="5942" spans="8:11" x14ac:dyDescent="0.3">
      <c r="H5942">
        <v>0.5</v>
      </c>
      <c r="I5942" s="11">
        <f t="shared" si="92"/>
        <v>0</v>
      </c>
      <c r="J5942" s="11">
        <f>1/(H5942*Utilities!$B$11)</f>
        <v>8</v>
      </c>
      <c r="K5942" s="11">
        <f>IF(B5942&lt;C5942,1,EXP(-1*(B5942-C5942)/(Utilities!$B$11*IterData!H5942)))</f>
        <v>1</v>
      </c>
    </row>
    <row r="5943" spans="8:11" x14ac:dyDescent="0.3">
      <c r="H5943">
        <v>0.5</v>
      </c>
      <c r="I5943" s="11">
        <f t="shared" si="92"/>
        <v>0</v>
      </c>
      <c r="J5943" s="11">
        <f>1/(H5943*Utilities!$B$11)</f>
        <v>8</v>
      </c>
      <c r="K5943" s="11">
        <f>IF(B5943&lt;C5943,1,EXP(-1*(B5943-C5943)/(Utilities!$B$11*IterData!H5943)))</f>
        <v>1</v>
      </c>
    </row>
    <row r="5944" spans="8:11" x14ac:dyDescent="0.3">
      <c r="H5944">
        <v>0.5</v>
      </c>
      <c r="I5944" s="11">
        <f t="shared" si="92"/>
        <v>0</v>
      </c>
      <c r="J5944" s="11">
        <f>1/(H5944*Utilities!$B$11)</f>
        <v>8</v>
      </c>
      <c r="K5944" s="11">
        <f>IF(B5944&lt;C5944,1,EXP(-1*(B5944-C5944)/(Utilities!$B$11*IterData!H5944)))</f>
        <v>1</v>
      </c>
    </row>
    <row r="5945" spans="8:11" x14ac:dyDescent="0.3">
      <c r="H5945">
        <v>0.5</v>
      </c>
      <c r="I5945" s="11">
        <f t="shared" si="92"/>
        <v>0</v>
      </c>
      <c r="J5945" s="11">
        <f>1/(H5945*Utilities!$B$11)</f>
        <v>8</v>
      </c>
      <c r="K5945" s="11">
        <f>IF(B5945&lt;C5945,1,EXP(-1*(B5945-C5945)/(Utilities!$B$11*IterData!H5945)))</f>
        <v>1</v>
      </c>
    </row>
    <row r="5946" spans="8:11" x14ac:dyDescent="0.3">
      <c r="H5946">
        <v>0.5</v>
      </c>
      <c r="I5946" s="11">
        <f t="shared" si="92"/>
        <v>0</v>
      </c>
      <c r="J5946" s="11">
        <f>1/(H5946*Utilities!$B$11)</f>
        <v>8</v>
      </c>
      <c r="K5946" s="11">
        <f>IF(B5946&lt;C5946,1,EXP(-1*(B5946-C5946)/(Utilities!$B$11*IterData!H5946)))</f>
        <v>1</v>
      </c>
    </row>
    <row r="5947" spans="8:11" x14ac:dyDescent="0.3">
      <c r="H5947">
        <v>0.5</v>
      </c>
      <c r="I5947" s="11">
        <f t="shared" si="92"/>
        <v>0</v>
      </c>
      <c r="J5947" s="11">
        <f>1/(H5947*Utilities!$B$11)</f>
        <v>8</v>
      </c>
      <c r="K5947" s="11">
        <f>IF(B5947&lt;C5947,1,EXP(-1*(B5947-C5947)/(Utilities!$B$11*IterData!H5947)))</f>
        <v>1</v>
      </c>
    </row>
    <row r="5948" spans="8:11" x14ac:dyDescent="0.3">
      <c r="H5948">
        <v>0.5</v>
      </c>
      <c r="I5948" s="11">
        <f t="shared" si="92"/>
        <v>0</v>
      </c>
      <c r="J5948" s="11">
        <f>1/(H5948*Utilities!$B$11)</f>
        <v>8</v>
      </c>
      <c r="K5948" s="11">
        <f>IF(B5948&lt;C5948,1,EXP(-1*(B5948-C5948)/(Utilities!$B$11*IterData!H5948)))</f>
        <v>1</v>
      </c>
    </row>
    <row r="5949" spans="8:11" x14ac:dyDescent="0.3">
      <c r="H5949">
        <v>0.5</v>
      </c>
      <c r="I5949" s="11">
        <f t="shared" si="92"/>
        <v>0</v>
      </c>
      <c r="J5949" s="11">
        <f>1/(H5949*Utilities!$B$11)</f>
        <v>8</v>
      </c>
      <c r="K5949" s="11">
        <f>IF(B5949&lt;C5949,1,EXP(-1*(B5949-C5949)/(Utilities!$B$11*IterData!H5949)))</f>
        <v>1</v>
      </c>
    </row>
    <row r="5950" spans="8:11" x14ac:dyDescent="0.3">
      <c r="H5950">
        <v>0.5</v>
      </c>
      <c r="I5950" s="11">
        <f t="shared" si="92"/>
        <v>0</v>
      </c>
      <c r="J5950" s="11">
        <f>1/(H5950*Utilities!$B$11)</f>
        <v>8</v>
      </c>
      <c r="K5950" s="11">
        <f>IF(B5950&lt;C5950,1,EXP(-1*(B5950-C5950)/(Utilities!$B$11*IterData!H5950)))</f>
        <v>1</v>
      </c>
    </row>
    <row r="5951" spans="8:11" x14ac:dyDescent="0.3">
      <c r="H5951">
        <v>0.5</v>
      </c>
      <c r="I5951" s="11">
        <f t="shared" si="92"/>
        <v>0</v>
      </c>
      <c r="J5951" s="11">
        <f>1/(H5951*Utilities!$B$11)</f>
        <v>8</v>
      </c>
      <c r="K5951" s="11">
        <f>IF(B5951&lt;C5951,1,EXP(-1*(B5951-C5951)/(Utilities!$B$11*IterData!H5951)))</f>
        <v>1</v>
      </c>
    </row>
    <row r="5952" spans="8:11" x14ac:dyDescent="0.3">
      <c r="H5952">
        <v>0.5</v>
      </c>
      <c r="I5952" s="11">
        <f t="shared" si="92"/>
        <v>0</v>
      </c>
      <c r="J5952" s="11">
        <f>1/(H5952*Utilities!$B$11)</f>
        <v>8</v>
      </c>
      <c r="K5952" s="11">
        <f>IF(B5952&lt;C5952,1,EXP(-1*(B5952-C5952)/(Utilities!$B$11*IterData!H5952)))</f>
        <v>1</v>
      </c>
    </row>
    <row r="5953" spans="8:11" x14ac:dyDescent="0.3">
      <c r="H5953">
        <v>0.5</v>
      </c>
      <c r="I5953" s="11">
        <f t="shared" si="92"/>
        <v>0</v>
      </c>
      <c r="J5953" s="11">
        <f>1/(H5953*Utilities!$B$11)</f>
        <v>8</v>
      </c>
      <c r="K5953" s="11">
        <f>IF(B5953&lt;C5953,1,EXP(-1*(B5953-C5953)/(Utilities!$B$11*IterData!H5953)))</f>
        <v>1</v>
      </c>
    </row>
    <row r="5954" spans="8:11" x14ac:dyDescent="0.3">
      <c r="H5954">
        <v>0.5</v>
      </c>
      <c r="I5954" s="11">
        <f t="shared" si="92"/>
        <v>0</v>
      </c>
      <c r="J5954" s="11">
        <f>1/(H5954*Utilities!$B$11)</f>
        <v>8</v>
      </c>
      <c r="K5954" s="11">
        <f>IF(B5954&lt;C5954,1,EXP(-1*(B5954-C5954)/(Utilities!$B$11*IterData!H5954)))</f>
        <v>1</v>
      </c>
    </row>
    <row r="5955" spans="8:11" x14ac:dyDescent="0.3">
      <c r="H5955">
        <v>0.5</v>
      </c>
      <c r="I5955" s="11">
        <f t="shared" ref="I5955:I6018" si="93">B5955-C5955</f>
        <v>0</v>
      </c>
      <c r="J5955" s="11">
        <f>1/(H5955*Utilities!$B$11)</f>
        <v>8</v>
      </c>
      <c r="K5955" s="11">
        <f>IF(B5955&lt;C5955,1,EXP(-1*(B5955-C5955)/(Utilities!$B$11*IterData!H5955)))</f>
        <v>1</v>
      </c>
    </row>
    <row r="5956" spans="8:11" x14ac:dyDescent="0.3">
      <c r="H5956">
        <v>0.5</v>
      </c>
      <c r="I5956" s="11">
        <f t="shared" si="93"/>
        <v>0</v>
      </c>
      <c r="J5956" s="11">
        <f>1/(H5956*Utilities!$B$11)</f>
        <v>8</v>
      </c>
      <c r="K5956" s="11">
        <f>IF(B5956&lt;C5956,1,EXP(-1*(B5956-C5956)/(Utilities!$B$11*IterData!H5956)))</f>
        <v>1</v>
      </c>
    </row>
    <row r="5957" spans="8:11" x14ac:dyDescent="0.3">
      <c r="H5957">
        <v>0.5</v>
      </c>
      <c r="I5957" s="11">
        <f t="shared" si="93"/>
        <v>0</v>
      </c>
      <c r="J5957" s="11">
        <f>1/(H5957*Utilities!$B$11)</f>
        <v>8</v>
      </c>
      <c r="K5957" s="11">
        <f>IF(B5957&lt;C5957,1,EXP(-1*(B5957-C5957)/(Utilities!$B$11*IterData!H5957)))</f>
        <v>1</v>
      </c>
    </row>
    <row r="5958" spans="8:11" x14ac:dyDescent="0.3">
      <c r="H5958">
        <v>0.5</v>
      </c>
      <c r="I5958" s="11">
        <f t="shared" si="93"/>
        <v>0</v>
      </c>
      <c r="J5958" s="11">
        <f>1/(H5958*Utilities!$B$11)</f>
        <v>8</v>
      </c>
      <c r="K5958" s="11">
        <f>IF(B5958&lt;C5958,1,EXP(-1*(B5958-C5958)/(Utilities!$B$11*IterData!H5958)))</f>
        <v>1</v>
      </c>
    </row>
    <row r="5959" spans="8:11" x14ac:dyDescent="0.3">
      <c r="H5959">
        <v>0.5</v>
      </c>
      <c r="I5959" s="11">
        <f t="shared" si="93"/>
        <v>0</v>
      </c>
      <c r="J5959" s="11">
        <f>1/(H5959*Utilities!$B$11)</f>
        <v>8</v>
      </c>
      <c r="K5959" s="11">
        <f>IF(B5959&lt;C5959,1,EXP(-1*(B5959-C5959)/(Utilities!$B$11*IterData!H5959)))</f>
        <v>1</v>
      </c>
    </row>
    <row r="5960" spans="8:11" x14ac:dyDescent="0.3">
      <c r="H5960">
        <v>0.5</v>
      </c>
      <c r="I5960" s="11">
        <f t="shared" si="93"/>
        <v>0</v>
      </c>
      <c r="J5960" s="11">
        <f>1/(H5960*Utilities!$B$11)</f>
        <v>8</v>
      </c>
      <c r="K5960" s="11">
        <f>IF(B5960&lt;C5960,1,EXP(-1*(B5960-C5960)/(Utilities!$B$11*IterData!H5960)))</f>
        <v>1</v>
      </c>
    </row>
    <row r="5961" spans="8:11" x14ac:dyDescent="0.3">
      <c r="H5961">
        <v>0.5</v>
      </c>
      <c r="I5961" s="11">
        <f t="shared" si="93"/>
        <v>0</v>
      </c>
      <c r="J5961" s="11">
        <f>1/(H5961*Utilities!$B$11)</f>
        <v>8</v>
      </c>
      <c r="K5961" s="11">
        <f>IF(B5961&lt;C5961,1,EXP(-1*(B5961-C5961)/(Utilities!$B$11*IterData!H5961)))</f>
        <v>1</v>
      </c>
    </row>
    <row r="5962" spans="8:11" x14ac:dyDescent="0.3">
      <c r="H5962">
        <v>0.5</v>
      </c>
      <c r="I5962" s="11">
        <f t="shared" si="93"/>
        <v>0</v>
      </c>
      <c r="J5962" s="11">
        <f>1/(H5962*Utilities!$B$11)</f>
        <v>8</v>
      </c>
      <c r="K5962" s="11">
        <f>IF(B5962&lt;C5962,1,EXP(-1*(B5962-C5962)/(Utilities!$B$11*IterData!H5962)))</f>
        <v>1</v>
      </c>
    </row>
    <row r="5963" spans="8:11" x14ac:dyDescent="0.3">
      <c r="H5963">
        <v>0.5</v>
      </c>
      <c r="I5963" s="11">
        <f t="shared" si="93"/>
        <v>0</v>
      </c>
      <c r="J5963" s="11">
        <f>1/(H5963*Utilities!$B$11)</f>
        <v>8</v>
      </c>
      <c r="K5963" s="11">
        <f>IF(B5963&lt;C5963,1,EXP(-1*(B5963-C5963)/(Utilities!$B$11*IterData!H5963)))</f>
        <v>1</v>
      </c>
    </row>
    <row r="5964" spans="8:11" x14ac:dyDescent="0.3">
      <c r="H5964">
        <v>0.5</v>
      </c>
      <c r="I5964" s="11">
        <f t="shared" si="93"/>
        <v>0</v>
      </c>
      <c r="J5964" s="11">
        <f>1/(H5964*Utilities!$B$11)</f>
        <v>8</v>
      </c>
      <c r="K5964" s="11">
        <f>IF(B5964&lt;C5964,1,EXP(-1*(B5964-C5964)/(Utilities!$B$11*IterData!H5964)))</f>
        <v>1</v>
      </c>
    </row>
    <row r="5965" spans="8:11" x14ac:dyDescent="0.3">
      <c r="H5965">
        <v>0.5</v>
      </c>
      <c r="I5965" s="11">
        <f t="shared" si="93"/>
        <v>0</v>
      </c>
      <c r="J5965" s="11">
        <f>1/(H5965*Utilities!$B$11)</f>
        <v>8</v>
      </c>
      <c r="K5965" s="11">
        <f>IF(B5965&lt;C5965,1,EXP(-1*(B5965-C5965)/(Utilities!$B$11*IterData!H5965)))</f>
        <v>1</v>
      </c>
    </row>
    <row r="5966" spans="8:11" x14ac:dyDescent="0.3">
      <c r="H5966">
        <v>0.5</v>
      </c>
      <c r="I5966" s="11">
        <f t="shared" si="93"/>
        <v>0</v>
      </c>
      <c r="J5966" s="11">
        <f>1/(H5966*Utilities!$B$11)</f>
        <v>8</v>
      </c>
      <c r="K5966" s="11">
        <f>IF(B5966&lt;C5966,1,EXP(-1*(B5966-C5966)/(Utilities!$B$11*IterData!H5966)))</f>
        <v>1</v>
      </c>
    </row>
    <row r="5967" spans="8:11" x14ac:dyDescent="0.3">
      <c r="H5967">
        <v>0.5</v>
      </c>
      <c r="I5967" s="11">
        <f t="shared" si="93"/>
        <v>0</v>
      </c>
      <c r="J5967" s="11">
        <f>1/(H5967*Utilities!$B$11)</f>
        <v>8</v>
      </c>
      <c r="K5967" s="11">
        <f>IF(B5967&lt;C5967,1,EXP(-1*(B5967-C5967)/(Utilities!$B$11*IterData!H5967)))</f>
        <v>1</v>
      </c>
    </row>
    <row r="5968" spans="8:11" x14ac:dyDescent="0.3">
      <c r="H5968">
        <v>0.5</v>
      </c>
      <c r="I5968" s="11">
        <f t="shared" si="93"/>
        <v>0</v>
      </c>
      <c r="J5968" s="11">
        <f>1/(H5968*Utilities!$B$11)</f>
        <v>8</v>
      </c>
      <c r="K5968" s="11">
        <f>IF(B5968&lt;C5968,1,EXP(-1*(B5968-C5968)/(Utilities!$B$11*IterData!H5968)))</f>
        <v>1</v>
      </c>
    </row>
    <row r="5969" spans="8:11" x14ac:dyDescent="0.3">
      <c r="H5969">
        <v>0.5</v>
      </c>
      <c r="I5969" s="11">
        <f t="shared" si="93"/>
        <v>0</v>
      </c>
      <c r="J5969" s="11">
        <f>1/(H5969*Utilities!$B$11)</f>
        <v>8</v>
      </c>
      <c r="K5969" s="11">
        <f>IF(B5969&lt;C5969,1,EXP(-1*(B5969-C5969)/(Utilities!$B$11*IterData!H5969)))</f>
        <v>1</v>
      </c>
    </row>
    <row r="5970" spans="8:11" x14ac:dyDescent="0.3">
      <c r="H5970">
        <v>0.5</v>
      </c>
      <c r="I5970" s="11">
        <f t="shared" si="93"/>
        <v>0</v>
      </c>
      <c r="J5970" s="11">
        <f>1/(H5970*Utilities!$B$11)</f>
        <v>8</v>
      </c>
      <c r="K5970" s="11">
        <f>IF(B5970&lt;C5970,1,EXP(-1*(B5970-C5970)/(Utilities!$B$11*IterData!H5970)))</f>
        <v>1</v>
      </c>
    </row>
    <row r="5971" spans="8:11" x14ac:dyDescent="0.3">
      <c r="H5971">
        <v>0.5</v>
      </c>
      <c r="I5971" s="11">
        <f t="shared" si="93"/>
        <v>0</v>
      </c>
      <c r="J5971" s="11">
        <f>1/(H5971*Utilities!$B$11)</f>
        <v>8</v>
      </c>
      <c r="K5971" s="11">
        <f>IF(B5971&lt;C5971,1,EXP(-1*(B5971-C5971)/(Utilities!$B$11*IterData!H5971)))</f>
        <v>1</v>
      </c>
    </row>
    <row r="5972" spans="8:11" x14ac:dyDescent="0.3">
      <c r="H5972">
        <v>0.5</v>
      </c>
      <c r="I5972" s="11">
        <f t="shared" si="93"/>
        <v>0</v>
      </c>
      <c r="J5972" s="11">
        <f>1/(H5972*Utilities!$B$11)</f>
        <v>8</v>
      </c>
      <c r="K5972" s="11">
        <f>IF(B5972&lt;C5972,1,EXP(-1*(B5972-C5972)/(Utilities!$B$11*IterData!H5972)))</f>
        <v>1</v>
      </c>
    </row>
    <row r="5973" spans="8:11" x14ac:dyDescent="0.3">
      <c r="H5973">
        <v>0.5</v>
      </c>
      <c r="I5973" s="11">
        <f t="shared" si="93"/>
        <v>0</v>
      </c>
      <c r="J5973" s="11">
        <f>1/(H5973*Utilities!$B$11)</f>
        <v>8</v>
      </c>
      <c r="K5973" s="11">
        <f>IF(B5973&lt;C5973,1,EXP(-1*(B5973-C5973)/(Utilities!$B$11*IterData!H5973)))</f>
        <v>1</v>
      </c>
    </row>
    <row r="5974" spans="8:11" x14ac:dyDescent="0.3">
      <c r="H5974">
        <v>0.5</v>
      </c>
      <c r="I5974" s="11">
        <f t="shared" si="93"/>
        <v>0</v>
      </c>
      <c r="J5974" s="11">
        <f>1/(H5974*Utilities!$B$11)</f>
        <v>8</v>
      </c>
      <c r="K5974" s="11">
        <f>IF(B5974&lt;C5974,1,EXP(-1*(B5974-C5974)/(Utilities!$B$11*IterData!H5974)))</f>
        <v>1</v>
      </c>
    </row>
    <row r="5975" spans="8:11" x14ac:dyDescent="0.3">
      <c r="H5975">
        <v>0.5</v>
      </c>
      <c r="I5975" s="11">
        <f t="shared" si="93"/>
        <v>0</v>
      </c>
      <c r="J5975" s="11">
        <f>1/(H5975*Utilities!$B$11)</f>
        <v>8</v>
      </c>
      <c r="K5975" s="11">
        <f>IF(B5975&lt;C5975,1,EXP(-1*(B5975-C5975)/(Utilities!$B$11*IterData!H5975)))</f>
        <v>1</v>
      </c>
    </row>
    <row r="5976" spans="8:11" x14ac:dyDescent="0.3">
      <c r="H5976">
        <v>0.5</v>
      </c>
      <c r="I5976" s="11">
        <f t="shared" si="93"/>
        <v>0</v>
      </c>
      <c r="J5976" s="11">
        <f>1/(H5976*Utilities!$B$11)</f>
        <v>8</v>
      </c>
      <c r="K5976" s="11">
        <f>IF(B5976&lt;C5976,1,EXP(-1*(B5976-C5976)/(Utilities!$B$11*IterData!H5976)))</f>
        <v>1</v>
      </c>
    </row>
    <row r="5977" spans="8:11" x14ac:dyDescent="0.3">
      <c r="H5977">
        <v>0.5</v>
      </c>
      <c r="I5977" s="11">
        <f t="shared" si="93"/>
        <v>0</v>
      </c>
      <c r="J5977" s="11">
        <f>1/(H5977*Utilities!$B$11)</f>
        <v>8</v>
      </c>
      <c r="K5977" s="11">
        <f>IF(B5977&lt;C5977,1,EXP(-1*(B5977-C5977)/(Utilities!$B$11*IterData!H5977)))</f>
        <v>1</v>
      </c>
    </row>
    <row r="5978" spans="8:11" x14ac:dyDescent="0.3">
      <c r="H5978">
        <v>0.5</v>
      </c>
      <c r="I5978" s="11">
        <f t="shared" si="93"/>
        <v>0</v>
      </c>
      <c r="J5978" s="11">
        <f>1/(H5978*Utilities!$B$11)</f>
        <v>8</v>
      </c>
      <c r="K5978" s="11">
        <f>IF(B5978&lt;C5978,1,EXP(-1*(B5978-C5978)/(Utilities!$B$11*IterData!H5978)))</f>
        <v>1</v>
      </c>
    </row>
    <row r="5979" spans="8:11" x14ac:dyDescent="0.3">
      <c r="H5979">
        <v>0.5</v>
      </c>
      <c r="I5979" s="11">
        <f t="shared" si="93"/>
        <v>0</v>
      </c>
      <c r="J5979" s="11">
        <f>1/(H5979*Utilities!$B$11)</f>
        <v>8</v>
      </c>
      <c r="K5979" s="11">
        <f>IF(B5979&lt;C5979,1,EXP(-1*(B5979-C5979)/(Utilities!$B$11*IterData!H5979)))</f>
        <v>1</v>
      </c>
    </row>
    <row r="5980" spans="8:11" x14ac:dyDescent="0.3">
      <c r="H5980">
        <v>0.5</v>
      </c>
      <c r="I5980" s="11">
        <f t="shared" si="93"/>
        <v>0</v>
      </c>
      <c r="J5980" s="11">
        <f>1/(H5980*Utilities!$B$11)</f>
        <v>8</v>
      </c>
      <c r="K5980" s="11">
        <f>IF(B5980&lt;C5980,1,EXP(-1*(B5980-C5980)/(Utilities!$B$11*IterData!H5980)))</f>
        <v>1</v>
      </c>
    </row>
    <row r="5981" spans="8:11" x14ac:dyDescent="0.3">
      <c r="H5981">
        <v>0.5</v>
      </c>
      <c r="I5981" s="11">
        <f t="shared" si="93"/>
        <v>0</v>
      </c>
      <c r="J5981" s="11">
        <f>1/(H5981*Utilities!$B$11)</f>
        <v>8</v>
      </c>
      <c r="K5981" s="11">
        <f>IF(B5981&lt;C5981,1,EXP(-1*(B5981-C5981)/(Utilities!$B$11*IterData!H5981)))</f>
        <v>1</v>
      </c>
    </row>
    <row r="5982" spans="8:11" x14ac:dyDescent="0.3">
      <c r="H5982">
        <v>0.5</v>
      </c>
      <c r="I5982" s="11">
        <f t="shared" si="93"/>
        <v>0</v>
      </c>
      <c r="J5982" s="11">
        <f>1/(H5982*Utilities!$B$11)</f>
        <v>8</v>
      </c>
      <c r="K5982" s="11">
        <f>IF(B5982&lt;C5982,1,EXP(-1*(B5982-C5982)/(Utilities!$B$11*IterData!H5982)))</f>
        <v>1</v>
      </c>
    </row>
    <row r="5983" spans="8:11" x14ac:dyDescent="0.3">
      <c r="H5983">
        <v>0.5</v>
      </c>
      <c r="I5983" s="11">
        <f t="shared" si="93"/>
        <v>0</v>
      </c>
      <c r="J5983" s="11">
        <f>1/(H5983*Utilities!$B$11)</f>
        <v>8</v>
      </c>
      <c r="K5983" s="11">
        <f>IF(B5983&lt;C5983,1,EXP(-1*(B5983-C5983)/(Utilities!$B$11*IterData!H5983)))</f>
        <v>1</v>
      </c>
    </row>
    <row r="5984" spans="8:11" x14ac:dyDescent="0.3">
      <c r="H5984">
        <v>0.5</v>
      </c>
      <c r="I5984" s="11">
        <f t="shared" si="93"/>
        <v>0</v>
      </c>
      <c r="J5984" s="11">
        <f>1/(H5984*Utilities!$B$11)</f>
        <v>8</v>
      </c>
      <c r="K5984" s="11">
        <f>IF(B5984&lt;C5984,1,EXP(-1*(B5984-C5984)/(Utilities!$B$11*IterData!H5984)))</f>
        <v>1</v>
      </c>
    </row>
    <row r="5985" spans="8:11" x14ac:dyDescent="0.3">
      <c r="H5985">
        <v>0.5</v>
      </c>
      <c r="I5985" s="11">
        <f t="shared" si="93"/>
        <v>0</v>
      </c>
      <c r="J5985" s="11">
        <f>1/(H5985*Utilities!$B$11)</f>
        <v>8</v>
      </c>
      <c r="K5985" s="11">
        <f>IF(B5985&lt;C5985,1,EXP(-1*(B5985-C5985)/(Utilities!$B$11*IterData!H5985)))</f>
        <v>1</v>
      </c>
    </row>
    <row r="5986" spans="8:11" x14ac:dyDescent="0.3">
      <c r="H5986">
        <v>0.5</v>
      </c>
      <c r="I5986" s="11">
        <f t="shared" si="93"/>
        <v>0</v>
      </c>
      <c r="J5986" s="11">
        <f>1/(H5986*Utilities!$B$11)</f>
        <v>8</v>
      </c>
      <c r="K5986" s="11">
        <f>IF(B5986&lt;C5986,1,EXP(-1*(B5986-C5986)/(Utilities!$B$11*IterData!H5986)))</f>
        <v>1</v>
      </c>
    </row>
    <row r="5987" spans="8:11" x14ac:dyDescent="0.3">
      <c r="H5987">
        <v>0.5</v>
      </c>
      <c r="I5987" s="11">
        <f t="shared" si="93"/>
        <v>0</v>
      </c>
      <c r="J5987" s="11">
        <f>1/(H5987*Utilities!$B$11)</f>
        <v>8</v>
      </c>
      <c r="K5987" s="11">
        <f>IF(B5987&lt;C5987,1,EXP(-1*(B5987-C5987)/(Utilities!$B$11*IterData!H5987)))</f>
        <v>1</v>
      </c>
    </row>
    <row r="5988" spans="8:11" x14ac:dyDescent="0.3">
      <c r="H5988">
        <v>0.5</v>
      </c>
      <c r="I5988" s="11">
        <f t="shared" si="93"/>
        <v>0</v>
      </c>
      <c r="J5988" s="11">
        <f>1/(H5988*Utilities!$B$11)</f>
        <v>8</v>
      </c>
      <c r="K5988" s="11">
        <f>IF(B5988&lt;C5988,1,EXP(-1*(B5988-C5988)/(Utilities!$B$11*IterData!H5988)))</f>
        <v>1</v>
      </c>
    </row>
    <row r="5989" spans="8:11" x14ac:dyDescent="0.3">
      <c r="H5989">
        <v>0.5</v>
      </c>
      <c r="I5989" s="11">
        <f t="shared" si="93"/>
        <v>0</v>
      </c>
      <c r="J5989" s="11">
        <f>1/(H5989*Utilities!$B$11)</f>
        <v>8</v>
      </c>
      <c r="K5989" s="11">
        <f>IF(B5989&lt;C5989,1,EXP(-1*(B5989-C5989)/(Utilities!$B$11*IterData!H5989)))</f>
        <v>1</v>
      </c>
    </row>
    <row r="5990" spans="8:11" x14ac:dyDescent="0.3">
      <c r="H5990">
        <v>0.5</v>
      </c>
      <c r="I5990" s="11">
        <f t="shared" si="93"/>
        <v>0</v>
      </c>
      <c r="J5990" s="11">
        <f>1/(H5990*Utilities!$B$11)</f>
        <v>8</v>
      </c>
      <c r="K5990" s="11">
        <f>IF(B5990&lt;C5990,1,EXP(-1*(B5990-C5990)/(Utilities!$B$11*IterData!H5990)))</f>
        <v>1</v>
      </c>
    </row>
    <row r="5991" spans="8:11" x14ac:dyDescent="0.3">
      <c r="H5991">
        <v>0.5</v>
      </c>
      <c r="I5991" s="11">
        <f t="shared" si="93"/>
        <v>0</v>
      </c>
      <c r="J5991" s="11">
        <f>1/(H5991*Utilities!$B$11)</f>
        <v>8</v>
      </c>
      <c r="K5991" s="11">
        <f>IF(B5991&lt;C5991,1,EXP(-1*(B5991-C5991)/(Utilities!$B$11*IterData!H5991)))</f>
        <v>1</v>
      </c>
    </row>
    <row r="5992" spans="8:11" x14ac:dyDescent="0.3">
      <c r="H5992">
        <v>0.5</v>
      </c>
      <c r="I5992" s="11">
        <f t="shared" si="93"/>
        <v>0</v>
      </c>
      <c r="J5992" s="11">
        <f>1/(H5992*Utilities!$B$11)</f>
        <v>8</v>
      </c>
      <c r="K5992" s="11">
        <f>IF(B5992&lt;C5992,1,EXP(-1*(B5992-C5992)/(Utilities!$B$11*IterData!H5992)))</f>
        <v>1</v>
      </c>
    </row>
    <row r="5993" spans="8:11" x14ac:dyDescent="0.3">
      <c r="H5993">
        <v>0.5</v>
      </c>
      <c r="I5993" s="11">
        <f t="shared" si="93"/>
        <v>0</v>
      </c>
      <c r="J5993" s="11">
        <f>1/(H5993*Utilities!$B$11)</f>
        <v>8</v>
      </c>
      <c r="K5993" s="11">
        <f>IF(B5993&lt;C5993,1,EXP(-1*(B5993-C5993)/(Utilities!$B$11*IterData!H5993)))</f>
        <v>1</v>
      </c>
    </row>
    <row r="5994" spans="8:11" x14ac:dyDescent="0.3">
      <c r="H5994">
        <v>0.5</v>
      </c>
      <c r="I5994" s="11">
        <f t="shared" si="93"/>
        <v>0</v>
      </c>
      <c r="J5994" s="11">
        <f>1/(H5994*Utilities!$B$11)</f>
        <v>8</v>
      </c>
      <c r="K5994" s="11">
        <f>IF(B5994&lt;C5994,1,EXP(-1*(B5994-C5994)/(Utilities!$B$11*IterData!H5994)))</f>
        <v>1</v>
      </c>
    </row>
    <row r="5995" spans="8:11" x14ac:dyDescent="0.3">
      <c r="H5995">
        <v>0.5</v>
      </c>
      <c r="I5995" s="11">
        <f t="shared" si="93"/>
        <v>0</v>
      </c>
      <c r="J5995" s="11">
        <f>1/(H5995*Utilities!$B$11)</f>
        <v>8</v>
      </c>
      <c r="K5995" s="11">
        <f>IF(B5995&lt;C5995,1,EXP(-1*(B5995-C5995)/(Utilities!$B$11*IterData!H5995)))</f>
        <v>1</v>
      </c>
    </row>
    <row r="5996" spans="8:11" x14ac:dyDescent="0.3">
      <c r="H5996">
        <v>0.5</v>
      </c>
      <c r="I5996" s="11">
        <f t="shared" si="93"/>
        <v>0</v>
      </c>
      <c r="J5996" s="11">
        <f>1/(H5996*Utilities!$B$11)</f>
        <v>8</v>
      </c>
      <c r="K5996" s="11">
        <f>IF(B5996&lt;C5996,1,EXP(-1*(B5996-C5996)/(Utilities!$B$11*IterData!H5996)))</f>
        <v>1</v>
      </c>
    </row>
    <row r="5997" spans="8:11" x14ac:dyDescent="0.3">
      <c r="H5997">
        <v>0.5</v>
      </c>
      <c r="I5997" s="11">
        <f t="shared" si="93"/>
        <v>0</v>
      </c>
      <c r="J5997" s="11">
        <f>1/(H5997*Utilities!$B$11)</f>
        <v>8</v>
      </c>
      <c r="K5997" s="11">
        <f>IF(B5997&lt;C5997,1,EXP(-1*(B5997-C5997)/(Utilities!$B$11*IterData!H5997)))</f>
        <v>1</v>
      </c>
    </row>
    <row r="5998" spans="8:11" x14ac:dyDescent="0.3">
      <c r="H5998">
        <v>0.5</v>
      </c>
      <c r="I5998" s="11">
        <f t="shared" si="93"/>
        <v>0</v>
      </c>
      <c r="J5998" s="11">
        <f>1/(H5998*Utilities!$B$11)</f>
        <v>8</v>
      </c>
      <c r="K5998" s="11">
        <f>IF(B5998&lt;C5998,1,EXP(-1*(B5998-C5998)/(Utilities!$B$11*IterData!H5998)))</f>
        <v>1</v>
      </c>
    </row>
    <row r="5999" spans="8:11" x14ac:dyDescent="0.3">
      <c r="H5999">
        <v>0.5</v>
      </c>
      <c r="I5999" s="11">
        <f t="shared" si="93"/>
        <v>0</v>
      </c>
      <c r="J5999" s="11">
        <f>1/(H5999*Utilities!$B$11)</f>
        <v>8</v>
      </c>
      <c r="K5999" s="11">
        <f>IF(B5999&lt;C5999,1,EXP(-1*(B5999-C5999)/(Utilities!$B$11*IterData!H5999)))</f>
        <v>1</v>
      </c>
    </row>
    <row r="6000" spans="8:11" x14ac:dyDescent="0.3">
      <c r="H6000">
        <v>0.5</v>
      </c>
      <c r="I6000" s="11">
        <f t="shared" si="93"/>
        <v>0</v>
      </c>
      <c r="J6000" s="11">
        <f>1/(H6000*Utilities!$B$11)</f>
        <v>8</v>
      </c>
      <c r="K6000" s="11">
        <f>IF(B6000&lt;C6000,1,EXP(-1*(B6000-C6000)/(Utilities!$B$11*IterData!H6000)))</f>
        <v>1</v>
      </c>
    </row>
    <row r="6001" spans="8:11" x14ac:dyDescent="0.3">
      <c r="H6001">
        <v>0.5</v>
      </c>
      <c r="I6001" s="11">
        <f t="shared" si="93"/>
        <v>0</v>
      </c>
      <c r="J6001" s="11">
        <f>1/(H6001*Utilities!$B$11)</f>
        <v>8</v>
      </c>
      <c r="K6001" s="11">
        <f>IF(B6001&lt;C6001,1,EXP(-1*(B6001-C6001)/(Utilities!$B$11*IterData!H6001)))</f>
        <v>1</v>
      </c>
    </row>
    <row r="6002" spans="8:11" x14ac:dyDescent="0.3">
      <c r="H6002">
        <v>0.5</v>
      </c>
      <c r="I6002" s="11">
        <f t="shared" si="93"/>
        <v>0</v>
      </c>
      <c r="J6002" s="11">
        <f>1/(H6002*Utilities!$B$11)</f>
        <v>8</v>
      </c>
      <c r="K6002" s="11">
        <f>IF(B6002&lt;C6002,1,EXP(-1*(B6002-C6002)/(Utilities!$B$11*IterData!H6002)))</f>
        <v>1</v>
      </c>
    </row>
    <row r="6003" spans="8:11" x14ac:dyDescent="0.3">
      <c r="H6003">
        <v>0.5</v>
      </c>
      <c r="I6003" s="11">
        <f t="shared" si="93"/>
        <v>0</v>
      </c>
      <c r="J6003" s="11">
        <f>1/(H6003*Utilities!$B$11)</f>
        <v>8</v>
      </c>
      <c r="K6003" s="11">
        <f>IF(B6003&lt;C6003,1,EXP(-1*(B6003-C6003)/(Utilities!$B$11*IterData!H6003)))</f>
        <v>1</v>
      </c>
    </row>
    <row r="6004" spans="8:11" x14ac:dyDescent="0.3">
      <c r="H6004">
        <v>0.5</v>
      </c>
      <c r="I6004" s="11">
        <f t="shared" si="93"/>
        <v>0</v>
      </c>
      <c r="J6004" s="11">
        <f>1/(H6004*Utilities!$B$11)</f>
        <v>8</v>
      </c>
      <c r="K6004" s="11">
        <f>IF(B6004&lt;C6004,1,EXP(-1*(B6004-C6004)/(Utilities!$B$11*IterData!H6004)))</f>
        <v>1</v>
      </c>
    </row>
    <row r="6005" spans="8:11" x14ac:dyDescent="0.3">
      <c r="H6005">
        <v>0.5</v>
      </c>
      <c r="I6005" s="11">
        <f t="shared" si="93"/>
        <v>0</v>
      </c>
      <c r="J6005" s="11">
        <f>1/(H6005*Utilities!$B$11)</f>
        <v>8</v>
      </c>
      <c r="K6005" s="11">
        <f>IF(B6005&lt;C6005,1,EXP(-1*(B6005-C6005)/(Utilities!$B$11*IterData!H6005)))</f>
        <v>1</v>
      </c>
    </row>
    <row r="6006" spans="8:11" x14ac:dyDescent="0.3">
      <c r="H6006">
        <v>0.5</v>
      </c>
      <c r="I6006" s="11">
        <f t="shared" si="93"/>
        <v>0</v>
      </c>
      <c r="J6006" s="11">
        <f>1/(H6006*Utilities!$B$11)</f>
        <v>8</v>
      </c>
      <c r="K6006" s="11">
        <f>IF(B6006&lt;C6006,1,EXP(-1*(B6006-C6006)/(Utilities!$B$11*IterData!H6006)))</f>
        <v>1</v>
      </c>
    </row>
    <row r="6007" spans="8:11" x14ac:dyDescent="0.3">
      <c r="H6007">
        <v>0.5</v>
      </c>
      <c r="I6007" s="11">
        <f t="shared" si="93"/>
        <v>0</v>
      </c>
      <c r="J6007" s="11">
        <f>1/(H6007*Utilities!$B$11)</f>
        <v>8</v>
      </c>
      <c r="K6007" s="11">
        <f>IF(B6007&lt;C6007,1,EXP(-1*(B6007-C6007)/(Utilities!$B$11*IterData!H6007)))</f>
        <v>1</v>
      </c>
    </row>
    <row r="6008" spans="8:11" x14ac:dyDescent="0.3">
      <c r="H6008">
        <v>0.5</v>
      </c>
      <c r="I6008" s="11">
        <f t="shared" si="93"/>
        <v>0</v>
      </c>
      <c r="J6008" s="11">
        <f>1/(H6008*Utilities!$B$11)</f>
        <v>8</v>
      </c>
      <c r="K6008" s="11">
        <f>IF(B6008&lt;C6008,1,EXP(-1*(B6008-C6008)/(Utilities!$B$11*IterData!H6008)))</f>
        <v>1</v>
      </c>
    </row>
    <row r="6009" spans="8:11" x14ac:dyDescent="0.3">
      <c r="H6009">
        <v>0.5</v>
      </c>
      <c r="I6009" s="11">
        <f t="shared" si="93"/>
        <v>0</v>
      </c>
      <c r="J6009" s="11">
        <f>1/(H6009*Utilities!$B$11)</f>
        <v>8</v>
      </c>
      <c r="K6009" s="11">
        <f>IF(B6009&lt;C6009,1,EXP(-1*(B6009-C6009)/(Utilities!$B$11*IterData!H6009)))</f>
        <v>1</v>
      </c>
    </row>
    <row r="6010" spans="8:11" x14ac:dyDescent="0.3">
      <c r="H6010">
        <v>0.5</v>
      </c>
      <c r="I6010" s="11">
        <f t="shared" si="93"/>
        <v>0</v>
      </c>
      <c r="J6010" s="11">
        <f>1/(H6010*Utilities!$B$11)</f>
        <v>8</v>
      </c>
      <c r="K6010" s="11">
        <f>IF(B6010&lt;C6010,1,EXP(-1*(B6010-C6010)/(Utilities!$B$11*IterData!H6010)))</f>
        <v>1</v>
      </c>
    </row>
    <row r="6011" spans="8:11" x14ac:dyDescent="0.3">
      <c r="H6011">
        <v>0.5</v>
      </c>
      <c r="I6011" s="11">
        <f t="shared" si="93"/>
        <v>0</v>
      </c>
      <c r="J6011" s="11">
        <f>1/(H6011*Utilities!$B$11)</f>
        <v>8</v>
      </c>
      <c r="K6011" s="11">
        <f>IF(B6011&lt;C6011,1,EXP(-1*(B6011-C6011)/(Utilities!$B$11*IterData!H6011)))</f>
        <v>1</v>
      </c>
    </row>
    <row r="6012" spans="8:11" x14ac:dyDescent="0.3">
      <c r="H6012">
        <v>0.5</v>
      </c>
      <c r="I6012" s="11">
        <f t="shared" si="93"/>
        <v>0</v>
      </c>
      <c r="J6012" s="11">
        <f>1/(H6012*Utilities!$B$11)</f>
        <v>8</v>
      </c>
      <c r="K6012" s="11">
        <f>IF(B6012&lt;C6012,1,EXP(-1*(B6012-C6012)/(Utilities!$B$11*IterData!H6012)))</f>
        <v>1</v>
      </c>
    </row>
    <row r="6013" spans="8:11" x14ac:dyDescent="0.3">
      <c r="H6013">
        <v>0.5</v>
      </c>
      <c r="I6013" s="11">
        <f t="shared" si="93"/>
        <v>0</v>
      </c>
      <c r="J6013" s="11">
        <f>1/(H6013*Utilities!$B$11)</f>
        <v>8</v>
      </c>
      <c r="K6013" s="11">
        <f>IF(B6013&lt;C6013,1,EXP(-1*(B6013-C6013)/(Utilities!$B$11*IterData!H6013)))</f>
        <v>1</v>
      </c>
    </row>
    <row r="6014" spans="8:11" x14ac:dyDescent="0.3">
      <c r="H6014">
        <v>0.5</v>
      </c>
      <c r="I6014" s="11">
        <f t="shared" si="93"/>
        <v>0</v>
      </c>
      <c r="J6014" s="11">
        <f>1/(H6014*Utilities!$B$11)</f>
        <v>8</v>
      </c>
      <c r="K6014" s="11">
        <f>IF(B6014&lt;C6014,1,EXP(-1*(B6014-C6014)/(Utilities!$B$11*IterData!H6014)))</f>
        <v>1</v>
      </c>
    </row>
    <row r="6015" spans="8:11" x14ac:dyDescent="0.3">
      <c r="H6015">
        <v>0.5</v>
      </c>
      <c r="I6015" s="11">
        <f t="shared" si="93"/>
        <v>0</v>
      </c>
      <c r="J6015" s="11">
        <f>1/(H6015*Utilities!$B$11)</f>
        <v>8</v>
      </c>
      <c r="K6015" s="11">
        <f>IF(B6015&lt;C6015,1,EXP(-1*(B6015-C6015)/(Utilities!$B$11*IterData!H6015)))</f>
        <v>1</v>
      </c>
    </row>
    <row r="6016" spans="8:11" x14ac:dyDescent="0.3">
      <c r="H6016">
        <v>0.5</v>
      </c>
      <c r="I6016" s="11">
        <f t="shared" si="93"/>
        <v>0</v>
      </c>
      <c r="J6016" s="11">
        <f>1/(H6016*Utilities!$B$11)</f>
        <v>8</v>
      </c>
      <c r="K6016" s="11">
        <f>IF(B6016&lt;C6016,1,EXP(-1*(B6016-C6016)/(Utilities!$B$11*IterData!H6016)))</f>
        <v>1</v>
      </c>
    </row>
    <row r="6017" spans="8:11" x14ac:dyDescent="0.3">
      <c r="H6017">
        <v>0.5</v>
      </c>
      <c r="I6017" s="11">
        <f t="shared" si="93"/>
        <v>0</v>
      </c>
      <c r="J6017" s="11">
        <f>1/(H6017*Utilities!$B$11)</f>
        <v>8</v>
      </c>
      <c r="K6017" s="11">
        <f>IF(B6017&lt;C6017,1,EXP(-1*(B6017-C6017)/(Utilities!$B$11*IterData!H6017)))</f>
        <v>1</v>
      </c>
    </row>
    <row r="6018" spans="8:11" x14ac:dyDescent="0.3">
      <c r="H6018">
        <v>0.5</v>
      </c>
      <c r="I6018" s="11">
        <f t="shared" si="93"/>
        <v>0</v>
      </c>
      <c r="J6018" s="11">
        <f>1/(H6018*Utilities!$B$11)</f>
        <v>8</v>
      </c>
      <c r="K6018" s="11">
        <f>IF(B6018&lt;C6018,1,EXP(-1*(B6018-C6018)/(Utilities!$B$11*IterData!H6018)))</f>
        <v>1</v>
      </c>
    </row>
    <row r="6019" spans="8:11" x14ac:dyDescent="0.3">
      <c r="H6019">
        <v>0.5</v>
      </c>
      <c r="I6019" s="11">
        <f t="shared" ref="I6019:I6082" si="94">B6019-C6019</f>
        <v>0</v>
      </c>
      <c r="J6019" s="11">
        <f>1/(H6019*Utilities!$B$11)</f>
        <v>8</v>
      </c>
      <c r="K6019" s="11">
        <f>IF(B6019&lt;C6019,1,EXP(-1*(B6019-C6019)/(Utilities!$B$11*IterData!H6019)))</f>
        <v>1</v>
      </c>
    </row>
    <row r="6020" spans="8:11" x14ac:dyDescent="0.3">
      <c r="H6020">
        <v>0.5</v>
      </c>
      <c r="I6020" s="11">
        <f t="shared" si="94"/>
        <v>0</v>
      </c>
      <c r="J6020" s="11">
        <f>1/(H6020*Utilities!$B$11)</f>
        <v>8</v>
      </c>
      <c r="K6020" s="11">
        <f>IF(B6020&lt;C6020,1,EXP(-1*(B6020-C6020)/(Utilities!$B$11*IterData!H6020)))</f>
        <v>1</v>
      </c>
    </row>
    <row r="6021" spans="8:11" x14ac:dyDescent="0.3">
      <c r="H6021">
        <v>0.5</v>
      </c>
      <c r="I6021" s="11">
        <f t="shared" si="94"/>
        <v>0</v>
      </c>
      <c r="J6021" s="11">
        <f>1/(H6021*Utilities!$B$11)</f>
        <v>8</v>
      </c>
      <c r="K6021" s="11">
        <f>IF(B6021&lt;C6021,1,EXP(-1*(B6021-C6021)/(Utilities!$B$11*IterData!H6021)))</f>
        <v>1</v>
      </c>
    </row>
    <row r="6022" spans="8:11" x14ac:dyDescent="0.3">
      <c r="H6022">
        <v>0.5</v>
      </c>
      <c r="I6022" s="11">
        <f t="shared" si="94"/>
        <v>0</v>
      </c>
      <c r="J6022" s="11">
        <f>1/(H6022*Utilities!$B$11)</f>
        <v>8</v>
      </c>
      <c r="K6022" s="11">
        <f>IF(B6022&lt;C6022,1,EXP(-1*(B6022-C6022)/(Utilities!$B$11*IterData!H6022)))</f>
        <v>1</v>
      </c>
    </row>
    <row r="6023" spans="8:11" x14ac:dyDescent="0.3">
      <c r="H6023">
        <v>0.5</v>
      </c>
      <c r="I6023" s="11">
        <f t="shared" si="94"/>
        <v>0</v>
      </c>
      <c r="J6023" s="11">
        <f>1/(H6023*Utilities!$B$11)</f>
        <v>8</v>
      </c>
      <c r="K6023" s="11">
        <f>IF(B6023&lt;C6023,1,EXP(-1*(B6023-C6023)/(Utilities!$B$11*IterData!H6023)))</f>
        <v>1</v>
      </c>
    </row>
    <row r="6024" spans="8:11" x14ac:dyDescent="0.3">
      <c r="H6024">
        <v>0.5</v>
      </c>
      <c r="I6024" s="11">
        <f t="shared" si="94"/>
        <v>0</v>
      </c>
      <c r="J6024" s="11">
        <f>1/(H6024*Utilities!$B$11)</f>
        <v>8</v>
      </c>
      <c r="K6024" s="11">
        <f>IF(B6024&lt;C6024,1,EXP(-1*(B6024-C6024)/(Utilities!$B$11*IterData!H6024)))</f>
        <v>1</v>
      </c>
    </row>
    <row r="6025" spans="8:11" x14ac:dyDescent="0.3">
      <c r="H6025">
        <v>0.5</v>
      </c>
      <c r="I6025" s="11">
        <f t="shared" si="94"/>
        <v>0</v>
      </c>
      <c r="J6025" s="11">
        <f>1/(H6025*Utilities!$B$11)</f>
        <v>8</v>
      </c>
      <c r="K6025" s="11">
        <f>IF(B6025&lt;C6025,1,EXP(-1*(B6025-C6025)/(Utilities!$B$11*IterData!H6025)))</f>
        <v>1</v>
      </c>
    </row>
    <row r="6026" spans="8:11" x14ac:dyDescent="0.3">
      <c r="H6026">
        <v>0.5</v>
      </c>
      <c r="I6026" s="11">
        <f t="shared" si="94"/>
        <v>0</v>
      </c>
      <c r="J6026" s="11">
        <f>1/(H6026*Utilities!$B$11)</f>
        <v>8</v>
      </c>
      <c r="K6026" s="11">
        <f>IF(B6026&lt;C6026,1,EXP(-1*(B6026-C6026)/(Utilities!$B$11*IterData!H6026)))</f>
        <v>1</v>
      </c>
    </row>
    <row r="6027" spans="8:11" x14ac:dyDescent="0.3">
      <c r="H6027">
        <v>0.5</v>
      </c>
      <c r="I6027" s="11">
        <f t="shared" si="94"/>
        <v>0</v>
      </c>
      <c r="J6027" s="11">
        <f>1/(H6027*Utilities!$B$11)</f>
        <v>8</v>
      </c>
      <c r="K6027" s="11">
        <f>IF(B6027&lt;C6027,1,EXP(-1*(B6027-C6027)/(Utilities!$B$11*IterData!H6027)))</f>
        <v>1</v>
      </c>
    </row>
    <row r="6028" spans="8:11" x14ac:dyDescent="0.3">
      <c r="H6028">
        <v>0.5</v>
      </c>
      <c r="I6028" s="11">
        <f t="shared" si="94"/>
        <v>0</v>
      </c>
      <c r="J6028" s="11">
        <f>1/(H6028*Utilities!$B$11)</f>
        <v>8</v>
      </c>
      <c r="K6028" s="11">
        <f>IF(B6028&lt;C6028,1,EXP(-1*(B6028-C6028)/(Utilities!$B$11*IterData!H6028)))</f>
        <v>1</v>
      </c>
    </row>
    <row r="6029" spans="8:11" x14ac:dyDescent="0.3">
      <c r="H6029">
        <v>0.5</v>
      </c>
      <c r="I6029" s="11">
        <f t="shared" si="94"/>
        <v>0</v>
      </c>
      <c r="J6029" s="11">
        <f>1/(H6029*Utilities!$B$11)</f>
        <v>8</v>
      </c>
      <c r="K6029" s="11">
        <f>IF(B6029&lt;C6029,1,EXP(-1*(B6029-C6029)/(Utilities!$B$11*IterData!H6029)))</f>
        <v>1</v>
      </c>
    </row>
    <row r="6030" spans="8:11" x14ac:dyDescent="0.3">
      <c r="H6030">
        <v>0.5</v>
      </c>
      <c r="I6030" s="11">
        <f t="shared" si="94"/>
        <v>0</v>
      </c>
      <c r="J6030" s="11">
        <f>1/(H6030*Utilities!$B$11)</f>
        <v>8</v>
      </c>
      <c r="K6030" s="11">
        <f>IF(B6030&lt;C6030,1,EXP(-1*(B6030-C6030)/(Utilities!$B$11*IterData!H6030)))</f>
        <v>1</v>
      </c>
    </row>
    <row r="6031" spans="8:11" x14ac:dyDescent="0.3">
      <c r="H6031">
        <v>0.5</v>
      </c>
      <c r="I6031" s="11">
        <f t="shared" si="94"/>
        <v>0</v>
      </c>
      <c r="J6031" s="11">
        <f>1/(H6031*Utilities!$B$11)</f>
        <v>8</v>
      </c>
      <c r="K6031" s="11">
        <f>IF(B6031&lt;C6031,1,EXP(-1*(B6031-C6031)/(Utilities!$B$11*IterData!H6031)))</f>
        <v>1</v>
      </c>
    </row>
    <row r="6032" spans="8:11" x14ac:dyDescent="0.3">
      <c r="H6032">
        <v>0.5</v>
      </c>
      <c r="I6032" s="11">
        <f t="shared" si="94"/>
        <v>0</v>
      </c>
      <c r="J6032" s="11">
        <f>1/(H6032*Utilities!$B$11)</f>
        <v>8</v>
      </c>
      <c r="K6032" s="11">
        <f>IF(B6032&lt;C6032,1,EXP(-1*(B6032-C6032)/(Utilities!$B$11*IterData!H6032)))</f>
        <v>1</v>
      </c>
    </row>
    <row r="6033" spans="8:11" x14ac:dyDescent="0.3">
      <c r="H6033">
        <v>0.5</v>
      </c>
      <c r="I6033" s="11">
        <f t="shared" si="94"/>
        <v>0</v>
      </c>
      <c r="J6033" s="11">
        <f>1/(H6033*Utilities!$B$11)</f>
        <v>8</v>
      </c>
      <c r="K6033" s="11">
        <f>IF(B6033&lt;C6033,1,EXP(-1*(B6033-C6033)/(Utilities!$B$11*IterData!H6033)))</f>
        <v>1</v>
      </c>
    </row>
    <row r="6034" spans="8:11" x14ac:dyDescent="0.3">
      <c r="H6034">
        <v>0.5</v>
      </c>
      <c r="I6034" s="11">
        <f t="shared" si="94"/>
        <v>0</v>
      </c>
      <c r="J6034" s="11">
        <f>1/(H6034*Utilities!$B$11)</f>
        <v>8</v>
      </c>
      <c r="K6034" s="11">
        <f>IF(B6034&lt;C6034,1,EXP(-1*(B6034-C6034)/(Utilities!$B$11*IterData!H6034)))</f>
        <v>1</v>
      </c>
    </row>
    <row r="6035" spans="8:11" x14ac:dyDescent="0.3">
      <c r="H6035">
        <v>0.5</v>
      </c>
      <c r="I6035" s="11">
        <f t="shared" si="94"/>
        <v>0</v>
      </c>
      <c r="J6035" s="11">
        <f>1/(H6035*Utilities!$B$11)</f>
        <v>8</v>
      </c>
      <c r="K6035" s="11">
        <f>IF(B6035&lt;C6035,1,EXP(-1*(B6035-C6035)/(Utilities!$B$11*IterData!H6035)))</f>
        <v>1</v>
      </c>
    </row>
    <row r="6036" spans="8:11" x14ac:dyDescent="0.3">
      <c r="H6036">
        <v>0.5</v>
      </c>
      <c r="I6036" s="11">
        <f t="shared" si="94"/>
        <v>0</v>
      </c>
      <c r="J6036" s="11">
        <f>1/(H6036*Utilities!$B$11)</f>
        <v>8</v>
      </c>
      <c r="K6036" s="11">
        <f>IF(B6036&lt;C6036,1,EXP(-1*(B6036-C6036)/(Utilities!$B$11*IterData!H6036)))</f>
        <v>1</v>
      </c>
    </row>
    <row r="6037" spans="8:11" x14ac:dyDescent="0.3">
      <c r="H6037">
        <v>0.5</v>
      </c>
      <c r="I6037" s="11">
        <f t="shared" si="94"/>
        <v>0</v>
      </c>
      <c r="J6037" s="11">
        <f>1/(H6037*Utilities!$B$11)</f>
        <v>8</v>
      </c>
      <c r="K6037" s="11">
        <f>IF(B6037&lt;C6037,1,EXP(-1*(B6037-C6037)/(Utilities!$B$11*IterData!H6037)))</f>
        <v>1</v>
      </c>
    </row>
    <row r="6038" spans="8:11" x14ac:dyDescent="0.3">
      <c r="H6038">
        <v>0.5</v>
      </c>
      <c r="I6038" s="11">
        <f t="shared" si="94"/>
        <v>0</v>
      </c>
      <c r="J6038" s="11">
        <f>1/(H6038*Utilities!$B$11)</f>
        <v>8</v>
      </c>
      <c r="K6038" s="11">
        <f>IF(B6038&lt;C6038,1,EXP(-1*(B6038-C6038)/(Utilities!$B$11*IterData!H6038)))</f>
        <v>1</v>
      </c>
    </row>
    <row r="6039" spans="8:11" x14ac:dyDescent="0.3">
      <c r="H6039">
        <v>0.5</v>
      </c>
      <c r="I6039" s="11">
        <f t="shared" si="94"/>
        <v>0</v>
      </c>
      <c r="J6039" s="11">
        <f>1/(H6039*Utilities!$B$11)</f>
        <v>8</v>
      </c>
      <c r="K6039" s="11">
        <f>IF(B6039&lt;C6039,1,EXP(-1*(B6039-C6039)/(Utilities!$B$11*IterData!H6039)))</f>
        <v>1</v>
      </c>
    </row>
    <row r="6040" spans="8:11" x14ac:dyDescent="0.3">
      <c r="H6040">
        <v>0.5</v>
      </c>
      <c r="I6040" s="11">
        <f t="shared" si="94"/>
        <v>0</v>
      </c>
      <c r="J6040" s="11">
        <f>1/(H6040*Utilities!$B$11)</f>
        <v>8</v>
      </c>
      <c r="K6040" s="11">
        <f>IF(B6040&lt;C6040,1,EXP(-1*(B6040-C6040)/(Utilities!$B$11*IterData!H6040)))</f>
        <v>1</v>
      </c>
    </row>
    <row r="6041" spans="8:11" x14ac:dyDescent="0.3">
      <c r="H6041">
        <v>0.5</v>
      </c>
      <c r="I6041" s="11">
        <f t="shared" si="94"/>
        <v>0</v>
      </c>
      <c r="J6041" s="11">
        <f>1/(H6041*Utilities!$B$11)</f>
        <v>8</v>
      </c>
      <c r="K6041" s="11">
        <f>IF(B6041&lt;C6041,1,EXP(-1*(B6041-C6041)/(Utilities!$B$11*IterData!H6041)))</f>
        <v>1</v>
      </c>
    </row>
    <row r="6042" spans="8:11" x14ac:dyDescent="0.3">
      <c r="H6042">
        <v>0.5</v>
      </c>
      <c r="I6042" s="11">
        <f t="shared" si="94"/>
        <v>0</v>
      </c>
      <c r="J6042" s="11">
        <f>1/(H6042*Utilities!$B$11)</f>
        <v>8</v>
      </c>
      <c r="K6042" s="11">
        <f>IF(B6042&lt;C6042,1,EXP(-1*(B6042-C6042)/(Utilities!$B$11*IterData!H6042)))</f>
        <v>1</v>
      </c>
    </row>
    <row r="6043" spans="8:11" x14ac:dyDescent="0.3">
      <c r="H6043">
        <v>0.5</v>
      </c>
      <c r="I6043" s="11">
        <f t="shared" si="94"/>
        <v>0</v>
      </c>
      <c r="J6043" s="11">
        <f>1/(H6043*Utilities!$B$11)</f>
        <v>8</v>
      </c>
      <c r="K6043" s="11">
        <f>IF(B6043&lt;C6043,1,EXP(-1*(B6043-C6043)/(Utilities!$B$11*IterData!H6043)))</f>
        <v>1</v>
      </c>
    </row>
    <row r="6044" spans="8:11" x14ac:dyDescent="0.3">
      <c r="H6044">
        <v>0.5</v>
      </c>
      <c r="I6044" s="11">
        <f t="shared" si="94"/>
        <v>0</v>
      </c>
      <c r="J6044" s="11">
        <f>1/(H6044*Utilities!$B$11)</f>
        <v>8</v>
      </c>
      <c r="K6044" s="11">
        <f>IF(B6044&lt;C6044,1,EXP(-1*(B6044-C6044)/(Utilities!$B$11*IterData!H6044)))</f>
        <v>1</v>
      </c>
    </row>
    <row r="6045" spans="8:11" x14ac:dyDescent="0.3">
      <c r="H6045">
        <v>0.5</v>
      </c>
      <c r="I6045" s="11">
        <f t="shared" si="94"/>
        <v>0</v>
      </c>
      <c r="J6045" s="11">
        <f>1/(H6045*Utilities!$B$11)</f>
        <v>8</v>
      </c>
      <c r="K6045" s="11">
        <f>IF(B6045&lt;C6045,1,EXP(-1*(B6045-C6045)/(Utilities!$B$11*IterData!H6045)))</f>
        <v>1</v>
      </c>
    </row>
    <row r="6046" spans="8:11" x14ac:dyDescent="0.3">
      <c r="H6046">
        <v>0.5</v>
      </c>
      <c r="I6046" s="11">
        <f t="shared" si="94"/>
        <v>0</v>
      </c>
      <c r="J6046" s="11">
        <f>1/(H6046*Utilities!$B$11)</f>
        <v>8</v>
      </c>
      <c r="K6046" s="11">
        <f>IF(B6046&lt;C6046,1,EXP(-1*(B6046-C6046)/(Utilities!$B$11*IterData!H6046)))</f>
        <v>1</v>
      </c>
    </row>
    <row r="6047" spans="8:11" x14ac:dyDescent="0.3">
      <c r="H6047">
        <v>0.5</v>
      </c>
      <c r="I6047" s="11">
        <f t="shared" si="94"/>
        <v>0</v>
      </c>
      <c r="J6047" s="11">
        <f>1/(H6047*Utilities!$B$11)</f>
        <v>8</v>
      </c>
      <c r="K6047" s="11">
        <f>IF(B6047&lt;C6047,1,EXP(-1*(B6047-C6047)/(Utilities!$B$11*IterData!H6047)))</f>
        <v>1</v>
      </c>
    </row>
    <row r="6048" spans="8:11" x14ac:dyDescent="0.3">
      <c r="H6048">
        <v>0.5</v>
      </c>
      <c r="I6048" s="11">
        <f t="shared" si="94"/>
        <v>0</v>
      </c>
      <c r="J6048" s="11">
        <f>1/(H6048*Utilities!$B$11)</f>
        <v>8</v>
      </c>
      <c r="K6048" s="11">
        <f>IF(B6048&lt;C6048,1,EXP(-1*(B6048-C6048)/(Utilities!$B$11*IterData!H6048)))</f>
        <v>1</v>
      </c>
    </row>
    <row r="6049" spans="8:11" x14ac:dyDescent="0.3">
      <c r="H6049">
        <v>0.5</v>
      </c>
      <c r="I6049" s="11">
        <f t="shared" si="94"/>
        <v>0</v>
      </c>
      <c r="J6049" s="11">
        <f>1/(H6049*Utilities!$B$11)</f>
        <v>8</v>
      </c>
      <c r="K6049" s="11">
        <f>IF(B6049&lt;C6049,1,EXP(-1*(B6049-C6049)/(Utilities!$B$11*IterData!H6049)))</f>
        <v>1</v>
      </c>
    </row>
    <row r="6050" spans="8:11" x14ac:dyDescent="0.3">
      <c r="H6050">
        <v>0.5</v>
      </c>
      <c r="I6050" s="11">
        <f t="shared" si="94"/>
        <v>0</v>
      </c>
      <c r="J6050" s="11">
        <f>1/(H6050*Utilities!$B$11)</f>
        <v>8</v>
      </c>
      <c r="K6050" s="11">
        <f>IF(B6050&lt;C6050,1,EXP(-1*(B6050-C6050)/(Utilities!$B$11*IterData!H6050)))</f>
        <v>1</v>
      </c>
    </row>
    <row r="6051" spans="8:11" x14ac:dyDescent="0.3">
      <c r="H6051">
        <v>0.5</v>
      </c>
      <c r="I6051" s="11">
        <f t="shared" si="94"/>
        <v>0</v>
      </c>
      <c r="J6051" s="11">
        <f>1/(H6051*Utilities!$B$11)</f>
        <v>8</v>
      </c>
      <c r="K6051" s="11">
        <f>IF(B6051&lt;C6051,1,EXP(-1*(B6051-C6051)/(Utilities!$B$11*IterData!H6051)))</f>
        <v>1</v>
      </c>
    </row>
    <row r="6052" spans="8:11" x14ac:dyDescent="0.3">
      <c r="H6052">
        <v>0.5</v>
      </c>
      <c r="I6052" s="11">
        <f t="shared" si="94"/>
        <v>0</v>
      </c>
      <c r="J6052" s="11">
        <f>1/(H6052*Utilities!$B$11)</f>
        <v>8</v>
      </c>
      <c r="K6052" s="11">
        <f>IF(B6052&lt;C6052,1,EXP(-1*(B6052-C6052)/(Utilities!$B$11*IterData!H6052)))</f>
        <v>1</v>
      </c>
    </row>
    <row r="6053" spans="8:11" x14ac:dyDescent="0.3">
      <c r="H6053">
        <v>0.5</v>
      </c>
      <c r="I6053" s="11">
        <f t="shared" si="94"/>
        <v>0</v>
      </c>
      <c r="J6053" s="11">
        <f>1/(H6053*Utilities!$B$11)</f>
        <v>8</v>
      </c>
      <c r="K6053" s="11">
        <f>IF(B6053&lt;C6053,1,EXP(-1*(B6053-C6053)/(Utilities!$B$11*IterData!H6053)))</f>
        <v>1</v>
      </c>
    </row>
    <row r="6054" spans="8:11" x14ac:dyDescent="0.3">
      <c r="H6054">
        <v>0.5</v>
      </c>
      <c r="I6054" s="11">
        <f t="shared" si="94"/>
        <v>0</v>
      </c>
      <c r="J6054" s="11">
        <f>1/(H6054*Utilities!$B$11)</f>
        <v>8</v>
      </c>
      <c r="K6054" s="11">
        <f>IF(B6054&lt;C6054,1,EXP(-1*(B6054-C6054)/(Utilities!$B$11*IterData!H6054)))</f>
        <v>1</v>
      </c>
    </row>
    <row r="6055" spans="8:11" x14ac:dyDescent="0.3">
      <c r="H6055">
        <v>0.5</v>
      </c>
      <c r="I6055" s="11">
        <f t="shared" si="94"/>
        <v>0</v>
      </c>
      <c r="J6055" s="11">
        <f>1/(H6055*Utilities!$B$11)</f>
        <v>8</v>
      </c>
      <c r="K6055" s="11">
        <f>IF(B6055&lt;C6055,1,EXP(-1*(B6055-C6055)/(Utilities!$B$11*IterData!H6055)))</f>
        <v>1</v>
      </c>
    </row>
    <row r="6056" spans="8:11" x14ac:dyDescent="0.3">
      <c r="H6056">
        <v>0.5</v>
      </c>
      <c r="I6056" s="11">
        <f t="shared" si="94"/>
        <v>0</v>
      </c>
      <c r="J6056" s="11">
        <f>1/(H6056*Utilities!$B$11)</f>
        <v>8</v>
      </c>
      <c r="K6056" s="11">
        <f>IF(B6056&lt;C6056,1,EXP(-1*(B6056-C6056)/(Utilities!$B$11*IterData!H6056)))</f>
        <v>1</v>
      </c>
    </row>
    <row r="6057" spans="8:11" x14ac:dyDescent="0.3">
      <c r="H6057">
        <v>0.5</v>
      </c>
      <c r="I6057" s="11">
        <f t="shared" si="94"/>
        <v>0</v>
      </c>
      <c r="J6057" s="11">
        <f>1/(H6057*Utilities!$B$11)</f>
        <v>8</v>
      </c>
      <c r="K6057" s="11">
        <f>IF(B6057&lt;C6057,1,EXP(-1*(B6057-C6057)/(Utilities!$B$11*IterData!H6057)))</f>
        <v>1</v>
      </c>
    </row>
    <row r="6058" spans="8:11" x14ac:dyDescent="0.3">
      <c r="H6058">
        <v>0.5</v>
      </c>
      <c r="I6058" s="11">
        <f t="shared" si="94"/>
        <v>0</v>
      </c>
      <c r="J6058" s="11">
        <f>1/(H6058*Utilities!$B$11)</f>
        <v>8</v>
      </c>
      <c r="K6058" s="11">
        <f>IF(B6058&lt;C6058,1,EXP(-1*(B6058-C6058)/(Utilities!$B$11*IterData!H6058)))</f>
        <v>1</v>
      </c>
    </row>
    <row r="6059" spans="8:11" x14ac:dyDescent="0.3">
      <c r="H6059">
        <v>0.5</v>
      </c>
      <c r="I6059" s="11">
        <f t="shared" si="94"/>
        <v>0</v>
      </c>
      <c r="J6059" s="11">
        <f>1/(H6059*Utilities!$B$11)</f>
        <v>8</v>
      </c>
      <c r="K6059" s="11">
        <f>IF(B6059&lt;C6059,1,EXP(-1*(B6059-C6059)/(Utilities!$B$11*IterData!H6059)))</f>
        <v>1</v>
      </c>
    </row>
    <row r="6060" spans="8:11" x14ac:dyDescent="0.3">
      <c r="H6060">
        <v>0.5</v>
      </c>
      <c r="I6060" s="11">
        <f t="shared" si="94"/>
        <v>0</v>
      </c>
      <c r="J6060" s="11">
        <f>1/(H6060*Utilities!$B$11)</f>
        <v>8</v>
      </c>
      <c r="K6060" s="11">
        <f>IF(B6060&lt;C6060,1,EXP(-1*(B6060-C6060)/(Utilities!$B$11*IterData!H6060)))</f>
        <v>1</v>
      </c>
    </row>
    <row r="6061" spans="8:11" x14ac:dyDescent="0.3">
      <c r="H6061">
        <v>0.5</v>
      </c>
      <c r="I6061" s="11">
        <f t="shared" si="94"/>
        <v>0</v>
      </c>
      <c r="J6061" s="11">
        <f>1/(H6061*Utilities!$B$11)</f>
        <v>8</v>
      </c>
      <c r="K6061" s="11">
        <f>IF(B6061&lt;C6061,1,EXP(-1*(B6061-C6061)/(Utilities!$B$11*IterData!H6061)))</f>
        <v>1</v>
      </c>
    </row>
    <row r="6062" spans="8:11" x14ac:dyDescent="0.3">
      <c r="H6062">
        <v>0.5</v>
      </c>
      <c r="I6062" s="11">
        <f t="shared" si="94"/>
        <v>0</v>
      </c>
      <c r="J6062" s="11">
        <f>1/(H6062*Utilities!$B$11)</f>
        <v>8</v>
      </c>
      <c r="K6062" s="11">
        <f>IF(B6062&lt;C6062,1,EXP(-1*(B6062-C6062)/(Utilities!$B$11*IterData!H6062)))</f>
        <v>1</v>
      </c>
    </row>
    <row r="6063" spans="8:11" x14ac:dyDescent="0.3">
      <c r="H6063">
        <v>0.5</v>
      </c>
      <c r="I6063" s="11">
        <f t="shared" si="94"/>
        <v>0</v>
      </c>
      <c r="J6063" s="11">
        <f>1/(H6063*Utilities!$B$11)</f>
        <v>8</v>
      </c>
      <c r="K6063" s="11">
        <f>IF(B6063&lt;C6063,1,EXP(-1*(B6063-C6063)/(Utilities!$B$11*IterData!H6063)))</f>
        <v>1</v>
      </c>
    </row>
    <row r="6064" spans="8:11" x14ac:dyDescent="0.3">
      <c r="H6064">
        <v>0.5</v>
      </c>
      <c r="I6064" s="11">
        <f t="shared" si="94"/>
        <v>0</v>
      </c>
      <c r="J6064" s="11">
        <f>1/(H6064*Utilities!$B$11)</f>
        <v>8</v>
      </c>
      <c r="K6064" s="11">
        <f>IF(B6064&lt;C6064,1,EXP(-1*(B6064-C6064)/(Utilities!$B$11*IterData!H6064)))</f>
        <v>1</v>
      </c>
    </row>
    <row r="6065" spans="8:11" x14ac:dyDescent="0.3">
      <c r="H6065">
        <v>0.5</v>
      </c>
      <c r="I6065" s="11">
        <f t="shared" si="94"/>
        <v>0</v>
      </c>
      <c r="J6065" s="11">
        <f>1/(H6065*Utilities!$B$11)</f>
        <v>8</v>
      </c>
      <c r="K6065" s="11">
        <f>IF(B6065&lt;C6065,1,EXP(-1*(B6065-C6065)/(Utilities!$B$11*IterData!H6065)))</f>
        <v>1</v>
      </c>
    </row>
    <row r="6066" spans="8:11" x14ac:dyDescent="0.3">
      <c r="H6066">
        <v>0.5</v>
      </c>
      <c r="I6066" s="11">
        <f t="shared" si="94"/>
        <v>0</v>
      </c>
      <c r="J6066" s="11">
        <f>1/(H6066*Utilities!$B$11)</f>
        <v>8</v>
      </c>
      <c r="K6066" s="11">
        <f>IF(B6066&lt;C6066,1,EXP(-1*(B6066-C6066)/(Utilities!$B$11*IterData!H6066)))</f>
        <v>1</v>
      </c>
    </row>
    <row r="6067" spans="8:11" x14ac:dyDescent="0.3">
      <c r="H6067">
        <v>0.5</v>
      </c>
      <c r="I6067" s="11">
        <f t="shared" si="94"/>
        <v>0</v>
      </c>
      <c r="J6067" s="11">
        <f>1/(H6067*Utilities!$B$11)</f>
        <v>8</v>
      </c>
      <c r="K6067" s="11">
        <f>IF(B6067&lt;C6067,1,EXP(-1*(B6067-C6067)/(Utilities!$B$11*IterData!H6067)))</f>
        <v>1</v>
      </c>
    </row>
    <row r="6068" spans="8:11" x14ac:dyDescent="0.3">
      <c r="H6068">
        <v>0.5</v>
      </c>
      <c r="I6068" s="11">
        <f t="shared" si="94"/>
        <v>0</v>
      </c>
      <c r="J6068" s="11">
        <f>1/(H6068*Utilities!$B$11)</f>
        <v>8</v>
      </c>
      <c r="K6068" s="11">
        <f>IF(B6068&lt;C6068,1,EXP(-1*(B6068-C6068)/(Utilities!$B$11*IterData!H6068)))</f>
        <v>1</v>
      </c>
    </row>
    <row r="6069" spans="8:11" x14ac:dyDescent="0.3">
      <c r="H6069">
        <v>0.5</v>
      </c>
      <c r="I6069" s="11">
        <f t="shared" si="94"/>
        <v>0</v>
      </c>
      <c r="J6069" s="11">
        <f>1/(H6069*Utilities!$B$11)</f>
        <v>8</v>
      </c>
      <c r="K6069" s="11">
        <f>IF(B6069&lt;C6069,1,EXP(-1*(B6069-C6069)/(Utilities!$B$11*IterData!H6069)))</f>
        <v>1</v>
      </c>
    </row>
    <row r="6070" spans="8:11" x14ac:dyDescent="0.3">
      <c r="H6070">
        <v>0.5</v>
      </c>
      <c r="I6070" s="11">
        <f t="shared" si="94"/>
        <v>0</v>
      </c>
      <c r="J6070" s="11">
        <f>1/(H6070*Utilities!$B$11)</f>
        <v>8</v>
      </c>
      <c r="K6070" s="11">
        <f>IF(B6070&lt;C6070,1,EXP(-1*(B6070-C6070)/(Utilities!$B$11*IterData!H6070)))</f>
        <v>1</v>
      </c>
    </row>
    <row r="6071" spans="8:11" x14ac:dyDescent="0.3">
      <c r="H6071">
        <v>0.5</v>
      </c>
      <c r="I6071" s="11">
        <f t="shared" si="94"/>
        <v>0</v>
      </c>
      <c r="J6071" s="11">
        <f>1/(H6071*Utilities!$B$11)</f>
        <v>8</v>
      </c>
      <c r="K6071" s="11">
        <f>IF(B6071&lt;C6071,1,EXP(-1*(B6071-C6071)/(Utilities!$B$11*IterData!H6071)))</f>
        <v>1</v>
      </c>
    </row>
    <row r="6072" spans="8:11" x14ac:dyDescent="0.3">
      <c r="H6072">
        <v>0.5</v>
      </c>
      <c r="I6072" s="11">
        <f t="shared" si="94"/>
        <v>0</v>
      </c>
      <c r="J6072" s="11">
        <f>1/(H6072*Utilities!$B$11)</f>
        <v>8</v>
      </c>
      <c r="K6072" s="11">
        <f>IF(B6072&lt;C6072,1,EXP(-1*(B6072-C6072)/(Utilities!$B$11*IterData!H6072)))</f>
        <v>1</v>
      </c>
    </row>
    <row r="6073" spans="8:11" x14ac:dyDescent="0.3">
      <c r="H6073">
        <v>0.5</v>
      </c>
      <c r="I6073" s="11">
        <f t="shared" si="94"/>
        <v>0</v>
      </c>
      <c r="J6073" s="11">
        <f>1/(H6073*Utilities!$B$11)</f>
        <v>8</v>
      </c>
      <c r="K6073" s="11">
        <f>IF(B6073&lt;C6073,1,EXP(-1*(B6073-C6073)/(Utilities!$B$11*IterData!H6073)))</f>
        <v>1</v>
      </c>
    </row>
    <row r="6074" spans="8:11" x14ac:dyDescent="0.3">
      <c r="H6074">
        <v>0.5</v>
      </c>
      <c r="I6074" s="11">
        <f t="shared" si="94"/>
        <v>0</v>
      </c>
      <c r="J6074" s="11">
        <f>1/(H6074*Utilities!$B$11)</f>
        <v>8</v>
      </c>
      <c r="K6074" s="11">
        <f>IF(B6074&lt;C6074,1,EXP(-1*(B6074-C6074)/(Utilities!$B$11*IterData!H6074)))</f>
        <v>1</v>
      </c>
    </row>
    <row r="6075" spans="8:11" x14ac:dyDescent="0.3">
      <c r="H6075">
        <v>0.5</v>
      </c>
      <c r="I6075" s="11">
        <f t="shared" si="94"/>
        <v>0</v>
      </c>
      <c r="J6075" s="11">
        <f>1/(H6075*Utilities!$B$11)</f>
        <v>8</v>
      </c>
      <c r="K6075" s="11">
        <f>IF(B6075&lt;C6075,1,EXP(-1*(B6075-C6075)/(Utilities!$B$11*IterData!H6075)))</f>
        <v>1</v>
      </c>
    </row>
    <row r="6076" spans="8:11" x14ac:dyDescent="0.3">
      <c r="H6076">
        <v>0.5</v>
      </c>
      <c r="I6076" s="11">
        <f t="shared" si="94"/>
        <v>0</v>
      </c>
      <c r="J6076" s="11">
        <f>1/(H6076*Utilities!$B$11)</f>
        <v>8</v>
      </c>
      <c r="K6076" s="11">
        <f>IF(B6076&lt;C6076,1,EXP(-1*(B6076-C6076)/(Utilities!$B$11*IterData!H6076)))</f>
        <v>1</v>
      </c>
    </row>
    <row r="6077" spans="8:11" x14ac:dyDescent="0.3">
      <c r="H6077">
        <v>0.5</v>
      </c>
      <c r="I6077" s="11">
        <f t="shared" si="94"/>
        <v>0</v>
      </c>
      <c r="J6077" s="11">
        <f>1/(H6077*Utilities!$B$11)</f>
        <v>8</v>
      </c>
      <c r="K6077" s="11">
        <f>IF(B6077&lt;C6077,1,EXP(-1*(B6077-C6077)/(Utilities!$B$11*IterData!H6077)))</f>
        <v>1</v>
      </c>
    </row>
    <row r="6078" spans="8:11" x14ac:dyDescent="0.3">
      <c r="H6078">
        <v>0.5</v>
      </c>
      <c r="I6078" s="11">
        <f t="shared" si="94"/>
        <v>0</v>
      </c>
      <c r="J6078" s="11">
        <f>1/(H6078*Utilities!$B$11)</f>
        <v>8</v>
      </c>
      <c r="K6078" s="11">
        <f>IF(B6078&lt;C6078,1,EXP(-1*(B6078-C6078)/(Utilities!$B$11*IterData!H6078)))</f>
        <v>1</v>
      </c>
    </row>
    <row r="6079" spans="8:11" x14ac:dyDescent="0.3">
      <c r="H6079">
        <v>0.5</v>
      </c>
      <c r="I6079" s="11">
        <f t="shared" si="94"/>
        <v>0</v>
      </c>
      <c r="J6079" s="11">
        <f>1/(H6079*Utilities!$B$11)</f>
        <v>8</v>
      </c>
      <c r="K6079" s="11">
        <f>IF(B6079&lt;C6079,1,EXP(-1*(B6079-C6079)/(Utilities!$B$11*IterData!H6079)))</f>
        <v>1</v>
      </c>
    </row>
    <row r="6080" spans="8:11" x14ac:dyDescent="0.3">
      <c r="H6080">
        <v>0.5</v>
      </c>
      <c r="I6080" s="11">
        <f t="shared" si="94"/>
        <v>0</v>
      </c>
      <c r="J6080" s="11">
        <f>1/(H6080*Utilities!$B$11)</f>
        <v>8</v>
      </c>
      <c r="K6080" s="11">
        <f>IF(B6080&lt;C6080,1,EXP(-1*(B6080-C6080)/(Utilities!$B$11*IterData!H6080)))</f>
        <v>1</v>
      </c>
    </row>
    <row r="6081" spans="8:11" x14ac:dyDescent="0.3">
      <c r="H6081">
        <v>0.5</v>
      </c>
      <c r="I6081" s="11">
        <f t="shared" si="94"/>
        <v>0</v>
      </c>
      <c r="J6081" s="11">
        <f>1/(H6081*Utilities!$B$11)</f>
        <v>8</v>
      </c>
      <c r="K6081" s="11">
        <f>IF(B6081&lt;C6081,1,EXP(-1*(B6081-C6081)/(Utilities!$B$11*IterData!H6081)))</f>
        <v>1</v>
      </c>
    </row>
    <row r="6082" spans="8:11" x14ac:dyDescent="0.3">
      <c r="H6082">
        <v>0.5</v>
      </c>
      <c r="I6082" s="11">
        <f t="shared" si="94"/>
        <v>0</v>
      </c>
      <c r="J6082" s="11">
        <f>1/(H6082*Utilities!$B$11)</f>
        <v>8</v>
      </c>
      <c r="K6082" s="11">
        <f>IF(B6082&lt;C6082,1,EXP(-1*(B6082-C6082)/(Utilities!$B$11*IterData!H6082)))</f>
        <v>1</v>
      </c>
    </row>
    <row r="6083" spans="8:11" x14ac:dyDescent="0.3">
      <c r="H6083">
        <v>0.5</v>
      </c>
      <c r="I6083" s="11">
        <f t="shared" ref="I6083:I6146" si="95">B6083-C6083</f>
        <v>0</v>
      </c>
      <c r="J6083" s="11">
        <f>1/(H6083*Utilities!$B$11)</f>
        <v>8</v>
      </c>
      <c r="K6083" s="11">
        <f>IF(B6083&lt;C6083,1,EXP(-1*(B6083-C6083)/(Utilities!$B$11*IterData!H6083)))</f>
        <v>1</v>
      </c>
    </row>
    <row r="6084" spans="8:11" x14ac:dyDescent="0.3">
      <c r="H6084">
        <v>0.5</v>
      </c>
      <c r="I6084" s="11">
        <f t="shared" si="95"/>
        <v>0</v>
      </c>
      <c r="J6084" s="11">
        <f>1/(H6084*Utilities!$B$11)</f>
        <v>8</v>
      </c>
      <c r="K6084" s="11">
        <f>IF(B6084&lt;C6084,1,EXP(-1*(B6084-C6084)/(Utilities!$B$11*IterData!H6084)))</f>
        <v>1</v>
      </c>
    </row>
    <row r="6085" spans="8:11" x14ac:dyDescent="0.3">
      <c r="H6085">
        <v>0.5</v>
      </c>
      <c r="I6085" s="11">
        <f t="shared" si="95"/>
        <v>0</v>
      </c>
      <c r="J6085" s="11">
        <f>1/(H6085*Utilities!$B$11)</f>
        <v>8</v>
      </c>
      <c r="K6085" s="11">
        <f>IF(B6085&lt;C6085,1,EXP(-1*(B6085-C6085)/(Utilities!$B$11*IterData!H6085)))</f>
        <v>1</v>
      </c>
    </row>
    <row r="6086" spans="8:11" x14ac:dyDescent="0.3">
      <c r="H6086">
        <v>0.5</v>
      </c>
      <c r="I6086" s="11">
        <f t="shared" si="95"/>
        <v>0</v>
      </c>
      <c r="J6086" s="11">
        <f>1/(H6086*Utilities!$B$11)</f>
        <v>8</v>
      </c>
      <c r="K6086" s="11">
        <f>IF(B6086&lt;C6086,1,EXP(-1*(B6086-C6086)/(Utilities!$B$11*IterData!H6086)))</f>
        <v>1</v>
      </c>
    </row>
    <row r="6087" spans="8:11" x14ac:dyDescent="0.3">
      <c r="H6087">
        <v>0.5</v>
      </c>
      <c r="I6087" s="11">
        <f t="shared" si="95"/>
        <v>0</v>
      </c>
      <c r="J6087" s="11">
        <f>1/(H6087*Utilities!$B$11)</f>
        <v>8</v>
      </c>
      <c r="K6087" s="11">
        <f>IF(B6087&lt;C6087,1,EXP(-1*(B6087-C6087)/(Utilities!$B$11*IterData!H6087)))</f>
        <v>1</v>
      </c>
    </row>
    <row r="6088" spans="8:11" x14ac:dyDescent="0.3">
      <c r="H6088">
        <v>0.5</v>
      </c>
      <c r="I6088" s="11">
        <f t="shared" si="95"/>
        <v>0</v>
      </c>
      <c r="J6088" s="11">
        <f>1/(H6088*Utilities!$B$11)</f>
        <v>8</v>
      </c>
      <c r="K6088" s="11">
        <f>IF(B6088&lt;C6088,1,EXP(-1*(B6088-C6088)/(Utilities!$B$11*IterData!H6088)))</f>
        <v>1</v>
      </c>
    </row>
    <row r="6089" spans="8:11" x14ac:dyDescent="0.3">
      <c r="H6089">
        <v>0.5</v>
      </c>
      <c r="I6089" s="11">
        <f t="shared" si="95"/>
        <v>0</v>
      </c>
      <c r="J6089" s="11">
        <f>1/(H6089*Utilities!$B$11)</f>
        <v>8</v>
      </c>
      <c r="K6089" s="11">
        <f>IF(B6089&lt;C6089,1,EXP(-1*(B6089-C6089)/(Utilities!$B$11*IterData!H6089)))</f>
        <v>1</v>
      </c>
    </row>
    <row r="6090" spans="8:11" x14ac:dyDescent="0.3">
      <c r="H6090">
        <v>0.5</v>
      </c>
      <c r="I6090" s="11">
        <f t="shared" si="95"/>
        <v>0</v>
      </c>
      <c r="J6090" s="11">
        <f>1/(H6090*Utilities!$B$11)</f>
        <v>8</v>
      </c>
      <c r="K6090" s="11">
        <f>IF(B6090&lt;C6090,1,EXP(-1*(B6090-C6090)/(Utilities!$B$11*IterData!H6090)))</f>
        <v>1</v>
      </c>
    </row>
    <row r="6091" spans="8:11" x14ac:dyDescent="0.3">
      <c r="H6091">
        <v>0.5</v>
      </c>
      <c r="I6091" s="11">
        <f t="shared" si="95"/>
        <v>0</v>
      </c>
      <c r="J6091" s="11">
        <f>1/(H6091*Utilities!$B$11)</f>
        <v>8</v>
      </c>
      <c r="K6091" s="11">
        <f>IF(B6091&lt;C6091,1,EXP(-1*(B6091-C6091)/(Utilities!$B$11*IterData!H6091)))</f>
        <v>1</v>
      </c>
    </row>
    <row r="6092" spans="8:11" x14ac:dyDescent="0.3">
      <c r="H6092">
        <v>0.5</v>
      </c>
      <c r="I6092" s="11">
        <f t="shared" si="95"/>
        <v>0</v>
      </c>
      <c r="J6092" s="11">
        <f>1/(H6092*Utilities!$B$11)</f>
        <v>8</v>
      </c>
      <c r="K6092" s="11">
        <f>IF(B6092&lt;C6092,1,EXP(-1*(B6092-C6092)/(Utilities!$B$11*IterData!H6092)))</f>
        <v>1</v>
      </c>
    </row>
    <row r="6093" spans="8:11" x14ac:dyDescent="0.3">
      <c r="H6093">
        <v>0.5</v>
      </c>
      <c r="I6093" s="11">
        <f t="shared" si="95"/>
        <v>0</v>
      </c>
      <c r="J6093" s="11">
        <f>1/(H6093*Utilities!$B$11)</f>
        <v>8</v>
      </c>
      <c r="K6093" s="11">
        <f>IF(B6093&lt;C6093,1,EXP(-1*(B6093-C6093)/(Utilities!$B$11*IterData!H6093)))</f>
        <v>1</v>
      </c>
    </row>
    <row r="6094" spans="8:11" x14ac:dyDescent="0.3">
      <c r="H6094">
        <v>0.5</v>
      </c>
      <c r="I6094" s="11">
        <f t="shared" si="95"/>
        <v>0</v>
      </c>
      <c r="J6094" s="11">
        <f>1/(H6094*Utilities!$B$11)</f>
        <v>8</v>
      </c>
      <c r="K6094" s="11">
        <f>IF(B6094&lt;C6094,1,EXP(-1*(B6094-C6094)/(Utilities!$B$11*IterData!H6094)))</f>
        <v>1</v>
      </c>
    </row>
    <row r="6095" spans="8:11" x14ac:dyDescent="0.3">
      <c r="H6095">
        <v>0.5</v>
      </c>
      <c r="I6095" s="11">
        <f t="shared" si="95"/>
        <v>0</v>
      </c>
      <c r="J6095" s="11">
        <f>1/(H6095*Utilities!$B$11)</f>
        <v>8</v>
      </c>
      <c r="K6095" s="11">
        <f>IF(B6095&lt;C6095,1,EXP(-1*(B6095-C6095)/(Utilities!$B$11*IterData!H6095)))</f>
        <v>1</v>
      </c>
    </row>
    <row r="6096" spans="8:11" x14ac:dyDescent="0.3">
      <c r="H6096">
        <v>0.5</v>
      </c>
      <c r="I6096" s="11">
        <f t="shared" si="95"/>
        <v>0</v>
      </c>
      <c r="J6096" s="11">
        <f>1/(H6096*Utilities!$B$11)</f>
        <v>8</v>
      </c>
      <c r="K6096" s="11">
        <f>IF(B6096&lt;C6096,1,EXP(-1*(B6096-C6096)/(Utilities!$B$11*IterData!H6096)))</f>
        <v>1</v>
      </c>
    </row>
    <row r="6097" spans="8:11" x14ac:dyDescent="0.3">
      <c r="H6097">
        <v>0.5</v>
      </c>
      <c r="I6097" s="11">
        <f t="shared" si="95"/>
        <v>0</v>
      </c>
      <c r="J6097" s="11">
        <f>1/(H6097*Utilities!$B$11)</f>
        <v>8</v>
      </c>
      <c r="K6097" s="11">
        <f>IF(B6097&lt;C6097,1,EXP(-1*(B6097-C6097)/(Utilities!$B$11*IterData!H6097)))</f>
        <v>1</v>
      </c>
    </row>
    <row r="6098" spans="8:11" x14ac:dyDescent="0.3">
      <c r="H6098">
        <v>0.5</v>
      </c>
      <c r="I6098" s="11">
        <f t="shared" si="95"/>
        <v>0</v>
      </c>
      <c r="J6098" s="11">
        <f>1/(H6098*Utilities!$B$11)</f>
        <v>8</v>
      </c>
      <c r="K6098" s="11">
        <f>IF(B6098&lt;C6098,1,EXP(-1*(B6098-C6098)/(Utilities!$B$11*IterData!H6098)))</f>
        <v>1</v>
      </c>
    </row>
    <row r="6099" spans="8:11" x14ac:dyDescent="0.3">
      <c r="H6099">
        <v>0.5</v>
      </c>
      <c r="I6099" s="11">
        <f t="shared" si="95"/>
        <v>0</v>
      </c>
      <c r="J6099" s="11">
        <f>1/(H6099*Utilities!$B$11)</f>
        <v>8</v>
      </c>
      <c r="K6099" s="11">
        <f>IF(B6099&lt;C6099,1,EXP(-1*(B6099-C6099)/(Utilities!$B$11*IterData!H6099)))</f>
        <v>1</v>
      </c>
    </row>
    <row r="6100" spans="8:11" x14ac:dyDescent="0.3">
      <c r="H6100">
        <v>0.5</v>
      </c>
      <c r="I6100" s="11">
        <f t="shared" si="95"/>
        <v>0</v>
      </c>
      <c r="J6100" s="11">
        <f>1/(H6100*Utilities!$B$11)</f>
        <v>8</v>
      </c>
      <c r="K6100" s="11">
        <f>IF(B6100&lt;C6100,1,EXP(-1*(B6100-C6100)/(Utilities!$B$11*IterData!H6100)))</f>
        <v>1</v>
      </c>
    </row>
    <row r="6101" spans="8:11" x14ac:dyDescent="0.3">
      <c r="H6101">
        <v>0.5</v>
      </c>
      <c r="I6101" s="11">
        <f t="shared" si="95"/>
        <v>0</v>
      </c>
      <c r="J6101" s="11">
        <f>1/(H6101*Utilities!$B$11)</f>
        <v>8</v>
      </c>
      <c r="K6101" s="11">
        <f>IF(B6101&lt;C6101,1,EXP(-1*(B6101-C6101)/(Utilities!$B$11*IterData!H6101)))</f>
        <v>1</v>
      </c>
    </row>
    <row r="6102" spans="8:11" x14ac:dyDescent="0.3">
      <c r="H6102">
        <v>0.5</v>
      </c>
      <c r="I6102" s="11">
        <f t="shared" si="95"/>
        <v>0</v>
      </c>
      <c r="J6102" s="11">
        <f>1/(H6102*Utilities!$B$11)</f>
        <v>8</v>
      </c>
      <c r="K6102" s="11">
        <f>IF(B6102&lt;C6102,1,EXP(-1*(B6102-C6102)/(Utilities!$B$11*IterData!H6102)))</f>
        <v>1</v>
      </c>
    </row>
    <row r="6103" spans="8:11" x14ac:dyDescent="0.3">
      <c r="H6103">
        <v>0.5</v>
      </c>
      <c r="I6103" s="11">
        <f t="shared" si="95"/>
        <v>0</v>
      </c>
      <c r="J6103" s="11">
        <f>1/(H6103*Utilities!$B$11)</f>
        <v>8</v>
      </c>
      <c r="K6103" s="11">
        <f>IF(B6103&lt;C6103,1,EXP(-1*(B6103-C6103)/(Utilities!$B$11*IterData!H6103)))</f>
        <v>1</v>
      </c>
    </row>
    <row r="6104" spans="8:11" x14ac:dyDescent="0.3">
      <c r="H6104">
        <v>0.5</v>
      </c>
      <c r="I6104" s="11">
        <f t="shared" si="95"/>
        <v>0</v>
      </c>
      <c r="J6104" s="11">
        <f>1/(H6104*Utilities!$B$11)</f>
        <v>8</v>
      </c>
      <c r="K6104" s="11">
        <f>IF(B6104&lt;C6104,1,EXP(-1*(B6104-C6104)/(Utilities!$B$11*IterData!H6104)))</f>
        <v>1</v>
      </c>
    </row>
    <row r="6105" spans="8:11" x14ac:dyDescent="0.3">
      <c r="H6105">
        <v>0.5</v>
      </c>
      <c r="I6105" s="11">
        <f t="shared" si="95"/>
        <v>0</v>
      </c>
      <c r="J6105" s="11">
        <f>1/(H6105*Utilities!$B$11)</f>
        <v>8</v>
      </c>
      <c r="K6105" s="11">
        <f>IF(B6105&lt;C6105,1,EXP(-1*(B6105-C6105)/(Utilities!$B$11*IterData!H6105)))</f>
        <v>1</v>
      </c>
    </row>
    <row r="6106" spans="8:11" x14ac:dyDescent="0.3">
      <c r="H6106">
        <v>0.5</v>
      </c>
      <c r="I6106" s="11">
        <f t="shared" si="95"/>
        <v>0</v>
      </c>
      <c r="J6106" s="11">
        <f>1/(H6106*Utilities!$B$11)</f>
        <v>8</v>
      </c>
      <c r="K6106" s="11">
        <f>IF(B6106&lt;C6106,1,EXP(-1*(B6106-C6106)/(Utilities!$B$11*IterData!H6106)))</f>
        <v>1</v>
      </c>
    </row>
    <row r="6107" spans="8:11" x14ac:dyDescent="0.3">
      <c r="H6107">
        <v>0.5</v>
      </c>
      <c r="I6107" s="11">
        <f t="shared" si="95"/>
        <v>0</v>
      </c>
      <c r="J6107" s="11">
        <f>1/(H6107*Utilities!$B$11)</f>
        <v>8</v>
      </c>
      <c r="K6107" s="11">
        <f>IF(B6107&lt;C6107,1,EXP(-1*(B6107-C6107)/(Utilities!$B$11*IterData!H6107)))</f>
        <v>1</v>
      </c>
    </row>
    <row r="6108" spans="8:11" x14ac:dyDescent="0.3">
      <c r="H6108">
        <v>0.5</v>
      </c>
      <c r="I6108" s="11">
        <f t="shared" si="95"/>
        <v>0</v>
      </c>
      <c r="J6108" s="11">
        <f>1/(H6108*Utilities!$B$11)</f>
        <v>8</v>
      </c>
      <c r="K6108" s="11">
        <f>IF(B6108&lt;C6108,1,EXP(-1*(B6108-C6108)/(Utilities!$B$11*IterData!H6108)))</f>
        <v>1</v>
      </c>
    </row>
    <row r="6109" spans="8:11" x14ac:dyDescent="0.3">
      <c r="H6109">
        <v>0.5</v>
      </c>
      <c r="I6109" s="11">
        <f t="shared" si="95"/>
        <v>0</v>
      </c>
      <c r="J6109" s="11">
        <f>1/(H6109*Utilities!$B$11)</f>
        <v>8</v>
      </c>
      <c r="K6109" s="11">
        <f>IF(B6109&lt;C6109,1,EXP(-1*(B6109-C6109)/(Utilities!$B$11*IterData!H6109)))</f>
        <v>1</v>
      </c>
    </row>
    <row r="6110" spans="8:11" x14ac:dyDescent="0.3">
      <c r="H6110">
        <v>0.5</v>
      </c>
      <c r="I6110" s="11">
        <f t="shared" si="95"/>
        <v>0</v>
      </c>
      <c r="J6110" s="11">
        <f>1/(H6110*Utilities!$B$11)</f>
        <v>8</v>
      </c>
      <c r="K6110" s="11">
        <f>IF(B6110&lt;C6110,1,EXP(-1*(B6110-C6110)/(Utilities!$B$11*IterData!H6110)))</f>
        <v>1</v>
      </c>
    </row>
    <row r="6111" spans="8:11" x14ac:dyDescent="0.3">
      <c r="H6111">
        <v>0.5</v>
      </c>
      <c r="I6111" s="11">
        <f t="shared" si="95"/>
        <v>0</v>
      </c>
      <c r="J6111" s="11">
        <f>1/(H6111*Utilities!$B$11)</f>
        <v>8</v>
      </c>
      <c r="K6111" s="11">
        <f>IF(B6111&lt;C6111,1,EXP(-1*(B6111-C6111)/(Utilities!$B$11*IterData!H6111)))</f>
        <v>1</v>
      </c>
    </row>
    <row r="6112" spans="8:11" x14ac:dyDescent="0.3">
      <c r="H6112">
        <v>0.5</v>
      </c>
      <c r="I6112" s="11">
        <f t="shared" si="95"/>
        <v>0</v>
      </c>
      <c r="J6112" s="11">
        <f>1/(H6112*Utilities!$B$11)</f>
        <v>8</v>
      </c>
      <c r="K6112" s="11">
        <f>IF(B6112&lt;C6112,1,EXP(-1*(B6112-C6112)/(Utilities!$B$11*IterData!H6112)))</f>
        <v>1</v>
      </c>
    </row>
    <row r="6113" spans="8:11" x14ac:dyDescent="0.3">
      <c r="H6113">
        <v>0.5</v>
      </c>
      <c r="I6113" s="11">
        <f t="shared" si="95"/>
        <v>0</v>
      </c>
      <c r="J6113" s="11">
        <f>1/(H6113*Utilities!$B$11)</f>
        <v>8</v>
      </c>
      <c r="K6113" s="11">
        <f>IF(B6113&lt;C6113,1,EXP(-1*(B6113-C6113)/(Utilities!$B$11*IterData!H6113)))</f>
        <v>1</v>
      </c>
    </row>
    <row r="6114" spans="8:11" x14ac:dyDescent="0.3">
      <c r="H6114">
        <v>0.5</v>
      </c>
      <c r="I6114" s="11">
        <f t="shared" si="95"/>
        <v>0</v>
      </c>
      <c r="J6114" s="11">
        <f>1/(H6114*Utilities!$B$11)</f>
        <v>8</v>
      </c>
      <c r="K6114" s="11">
        <f>IF(B6114&lt;C6114,1,EXP(-1*(B6114-C6114)/(Utilities!$B$11*IterData!H6114)))</f>
        <v>1</v>
      </c>
    </row>
    <row r="6115" spans="8:11" x14ac:dyDescent="0.3">
      <c r="H6115">
        <v>0.5</v>
      </c>
      <c r="I6115" s="11">
        <f t="shared" si="95"/>
        <v>0</v>
      </c>
      <c r="J6115" s="11">
        <f>1/(H6115*Utilities!$B$11)</f>
        <v>8</v>
      </c>
      <c r="K6115" s="11">
        <f>IF(B6115&lt;C6115,1,EXP(-1*(B6115-C6115)/(Utilities!$B$11*IterData!H6115)))</f>
        <v>1</v>
      </c>
    </row>
    <row r="6116" spans="8:11" x14ac:dyDescent="0.3">
      <c r="H6116">
        <v>0.5</v>
      </c>
      <c r="I6116" s="11">
        <f t="shared" si="95"/>
        <v>0</v>
      </c>
      <c r="J6116" s="11">
        <f>1/(H6116*Utilities!$B$11)</f>
        <v>8</v>
      </c>
      <c r="K6116" s="11">
        <f>IF(B6116&lt;C6116,1,EXP(-1*(B6116-C6116)/(Utilities!$B$11*IterData!H6116)))</f>
        <v>1</v>
      </c>
    </row>
    <row r="6117" spans="8:11" x14ac:dyDescent="0.3">
      <c r="H6117">
        <v>0.5</v>
      </c>
      <c r="I6117" s="11">
        <f t="shared" si="95"/>
        <v>0</v>
      </c>
      <c r="J6117" s="11">
        <f>1/(H6117*Utilities!$B$11)</f>
        <v>8</v>
      </c>
      <c r="K6117" s="11">
        <f>IF(B6117&lt;C6117,1,EXP(-1*(B6117-C6117)/(Utilities!$B$11*IterData!H6117)))</f>
        <v>1</v>
      </c>
    </row>
    <row r="6118" spans="8:11" x14ac:dyDescent="0.3">
      <c r="H6118">
        <v>0.5</v>
      </c>
      <c r="I6118" s="11">
        <f t="shared" si="95"/>
        <v>0</v>
      </c>
      <c r="J6118" s="11">
        <f>1/(H6118*Utilities!$B$11)</f>
        <v>8</v>
      </c>
      <c r="K6118" s="11">
        <f>IF(B6118&lt;C6118,1,EXP(-1*(B6118-C6118)/(Utilities!$B$11*IterData!H6118)))</f>
        <v>1</v>
      </c>
    </row>
    <row r="6119" spans="8:11" x14ac:dyDescent="0.3">
      <c r="H6119">
        <v>0.5</v>
      </c>
      <c r="I6119" s="11">
        <f t="shared" si="95"/>
        <v>0</v>
      </c>
      <c r="J6119" s="11">
        <f>1/(H6119*Utilities!$B$11)</f>
        <v>8</v>
      </c>
      <c r="K6119" s="11">
        <f>IF(B6119&lt;C6119,1,EXP(-1*(B6119-C6119)/(Utilities!$B$11*IterData!H6119)))</f>
        <v>1</v>
      </c>
    </row>
    <row r="6120" spans="8:11" x14ac:dyDescent="0.3">
      <c r="H6120">
        <v>0.5</v>
      </c>
      <c r="I6120" s="11">
        <f t="shared" si="95"/>
        <v>0</v>
      </c>
      <c r="J6120" s="11">
        <f>1/(H6120*Utilities!$B$11)</f>
        <v>8</v>
      </c>
      <c r="K6120" s="11">
        <f>IF(B6120&lt;C6120,1,EXP(-1*(B6120-C6120)/(Utilities!$B$11*IterData!H6120)))</f>
        <v>1</v>
      </c>
    </row>
    <row r="6121" spans="8:11" x14ac:dyDescent="0.3">
      <c r="H6121">
        <v>0.5</v>
      </c>
      <c r="I6121" s="11">
        <f t="shared" si="95"/>
        <v>0</v>
      </c>
      <c r="J6121" s="11">
        <f>1/(H6121*Utilities!$B$11)</f>
        <v>8</v>
      </c>
      <c r="K6121" s="11">
        <f>IF(B6121&lt;C6121,1,EXP(-1*(B6121-C6121)/(Utilities!$B$11*IterData!H6121)))</f>
        <v>1</v>
      </c>
    </row>
    <row r="6122" spans="8:11" x14ac:dyDescent="0.3">
      <c r="H6122">
        <v>0.5</v>
      </c>
      <c r="I6122" s="11">
        <f t="shared" si="95"/>
        <v>0</v>
      </c>
      <c r="J6122" s="11">
        <f>1/(H6122*Utilities!$B$11)</f>
        <v>8</v>
      </c>
      <c r="K6122" s="11">
        <f>IF(B6122&lt;C6122,1,EXP(-1*(B6122-C6122)/(Utilities!$B$11*IterData!H6122)))</f>
        <v>1</v>
      </c>
    </row>
    <row r="6123" spans="8:11" x14ac:dyDescent="0.3">
      <c r="H6123">
        <v>0.5</v>
      </c>
      <c r="I6123" s="11">
        <f t="shared" si="95"/>
        <v>0</v>
      </c>
      <c r="J6123" s="11">
        <f>1/(H6123*Utilities!$B$11)</f>
        <v>8</v>
      </c>
      <c r="K6123" s="11">
        <f>IF(B6123&lt;C6123,1,EXP(-1*(B6123-C6123)/(Utilities!$B$11*IterData!H6123)))</f>
        <v>1</v>
      </c>
    </row>
    <row r="6124" spans="8:11" x14ac:dyDescent="0.3">
      <c r="H6124">
        <v>0.5</v>
      </c>
      <c r="I6124" s="11">
        <f t="shared" si="95"/>
        <v>0</v>
      </c>
      <c r="J6124" s="11">
        <f>1/(H6124*Utilities!$B$11)</f>
        <v>8</v>
      </c>
      <c r="K6124" s="11">
        <f>IF(B6124&lt;C6124,1,EXP(-1*(B6124-C6124)/(Utilities!$B$11*IterData!H6124)))</f>
        <v>1</v>
      </c>
    </row>
    <row r="6125" spans="8:11" x14ac:dyDescent="0.3">
      <c r="H6125">
        <v>0.5</v>
      </c>
      <c r="I6125" s="11">
        <f t="shared" si="95"/>
        <v>0</v>
      </c>
      <c r="J6125" s="11">
        <f>1/(H6125*Utilities!$B$11)</f>
        <v>8</v>
      </c>
      <c r="K6125" s="11">
        <f>IF(B6125&lt;C6125,1,EXP(-1*(B6125-C6125)/(Utilities!$B$11*IterData!H6125)))</f>
        <v>1</v>
      </c>
    </row>
    <row r="6126" spans="8:11" x14ac:dyDescent="0.3">
      <c r="H6126">
        <v>0.5</v>
      </c>
      <c r="I6126" s="11">
        <f t="shared" si="95"/>
        <v>0</v>
      </c>
      <c r="J6126" s="11">
        <f>1/(H6126*Utilities!$B$11)</f>
        <v>8</v>
      </c>
      <c r="K6126" s="11">
        <f>IF(B6126&lt;C6126,1,EXP(-1*(B6126-C6126)/(Utilities!$B$11*IterData!H6126)))</f>
        <v>1</v>
      </c>
    </row>
    <row r="6127" spans="8:11" x14ac:dyDescent="0.3">
      <c r="H6127">
        <v>0.5</v>
      </c>
      <c r="I6127" s="11">
        <f t="shared" si="95"/>
        <v>0</v>
      </c>
      <c r="J6127" s="11">
        <f>1/(H6127*Utilities!$B$11)</f>
        <v>8</v>
      </c>
      <c r="K6127" s="11">
        <f>IF(B6127&lt;C6127,1,EXP(-1*(B6127-C6127)/(Utilities!$B$11*IterData!H6127)))</f>
        <v>1</v>
      </c>
    </row>
    <row r="6128" spans="8:11" x14ac:dyDescent="0.3">
      <c r="H6128">
        <v>0.5</v>
      </c>
      <c r="I6128" s="11">
        <f t="shared" si="95"/>
        <v>0</v>
      </c>
      <c r="J6128" s="11">
        <f>1/(H6128*Utilities!$B$11)</f>
        <v>8</v>
      </c>
      <c r="K6128" s="11">
        <f>IF(B6128&lt;C6128,1,EXP(-1*(B6128-C6128)/(Utilities!$B$11*IterData!H6128)))</f>
        <v>1</v>
      </c>
    </row>
    <row r="6129" spans="8:11" x14ac:dyDescent="0.3">
      <c r="H6129">
        <v>0.5</v>
      </c>
      <c r="I6129" s="11">
        <f t="shared" si="95"/>
        <v>0</v>
      </c>
      <c r="J6129" s="11">
        <f>1/(H6129*Utilities!$B$11)</f>
        <v>8</v>
      </c>
      <c r="K6129" s="11">
        <f>IF(B6129&lt;C6129,1,EXP(-1*(B6129-C6129)/(Utilities!$B$11*IterData!H6129)))</f>
        <v>1</v>
      </c>
    </row>
    <row r="6130" spans="8:11" x14ac:dyDescent="0.3">
      <c r="H6130">
        <v>0.5</v>
      </c>
      <c r="I6130" s="11">
        <f t="shared" si="95"/>
        <v>0</v>
      </c>
      <c r="J6130" s="11">
        <f>1/(H6130*Utilities!$B$11)</f>
        <v>8</v>
      </c>
      <c r="K6130" s="11">
        <f>IF(B6130&lt;C6130,1,EXP(-1*(B6130-C6130)/(Utilities!$B$11*IterData!H6130)))</f>
        <v>1</v>
      </c>
    </row>
    <row r="6131" spans="8:11" x14ac:dyDescent="0.3">
      <c r="H6131">
        <v>0.5</v>
      </c>
      <c r="I6131" s="11">
        <f t="shared" si="95"/>
        <v>0</v>
      </c>
      <c r="J6131" s="11">
        <f>1/(H6131*Utilities!$B$11)</f>
        <v>8</v>
      </c>
      <c r="K6131" s="11">
        <f>IF(B6131&lt;C6131,1,EXP(-1*(B6131-C6131)/(Utilities!$B$11*IterData!H6131)))</f>
        <v>1</v>
      </c>
    </row>
    <row r="6132" spans="8:11" x14ac:dyDescent="0.3">
      <c r="H6132">
        <v>0.5</v>
      </c>
      <c r="I6132" s="11">
        <f t="shared" si="95"/>
        <v>0</v>
      </c>
      <c r="J6132" s="11">
        <f>1/(H6132*Utilities!$B$11)</f>
        <v>8</v>
      </c>
      <c r="K6132" s="11">
        <f>IF(B6132&lt;C6132,1,EXP(-1*(B6132-C6132)/(Utilities!$B$11*IterData!H6132)))</f>
        <v>1</v>
      </c>
    </row>
    <row r="6133" spans="8:11" x14ac:dyDescent="0.3">
      <c r="H6133">
        <v>0.5</v>
      </c>
      <c r="I6133" s="11">
        <f t="shared" si="95"/>
        <v>0</v>
      </c>
      <c r="J6133" s="11">
        <f>1/(H6133*Utilities!$B$11)</f>
        <v>8</v>
      </c>
      <c r="K6133" s="11">
        <f>IF(B6133&lt;C6133,1,EXP(-1*(B6133-C6133)/(Utilities!$B$11*IterData!H6133)))</f>
        <v>1</v>
      </c>
    </row>
    <row r="6134" spans="8:11" x14ac:dyDescent="0.3">
      <c r="H6134">
        <v>0.5</v>
      </c>
      <c r="I6134" s="11">
        <f t="shared" si="95"/>
        <v>0</v>
      </c>
      <c r="J6134" s="11">
        <f>1/(H6134*Utilities!$B$11)</f>
        <v>8</v>
      </c>
      <c r="K6134" s="11">
        <f>IF(B6134&lt;C6134,1,EXP(-1*(B6134-C6134)/(Utilities!$B$11*IterData!H6134)))</f>
        <v>1</v>
      </c>
    </row>
    <row r="6135" spans="8:11" x14ac:dyDescent="0.3">
      <c r="H6135">
        <v>0.5</v>
      </c>
      <c r="I6135" s="11">
        <f t="shared" si="95"/>
        <v>0</v>
      </c>
      <c r="J6135" s="11">
        <f>1/(H6135*Utilities!$B$11)</f>
        <v>8</v>
      </c>
      <c r="K6135" s="11">
        <f>IF(B6135&lt;C6135,1,EXP(-1*(B6135-C6135)/(Utilities!$B$11*IterData!H6135)))</f>
        <v>1</v>
      </c>
    </row>
    <row r="6136" spans="8:11" x14ac:dyDescent="0.3">
      <c r="H6136">
        <v>0.5</v>
      </c>
      <c r="I6136" s="11">
        <f t="shared" si="95"/>
        <v>0</v>
      </c>
      <c r="J6136" s="11">
        <f>1/(H6136*Utilities!$B$11)</f>
        <v>8</v>
      </c>
      <c r="K6136" s="11">
        <f>IF(B6136&lt;C6136,1,EXP(-1*(B6136-C6136)/(Utilities!$B$11*IterData!H6136)))</f>
        <v>1</v>
      </c>
    </row>
    <row r="6137" spans="8:11" x14ac:dyDescent="0.3">
      <c r="H6137">
        <v>0.5</v>
      </c>
      <c r="I6137" s="11">
        <f t="shared" si="95"/>
        <v>0</v>
      </c>
      <c r="J6137" s="11">
        <f>1/(H6137*Utilities!$B$11)</f>
        <v>8</v>
      </c>
      <c r="K6137" s="11">
        <f>IF(B6137&lt;C6137,1,EXP(-1*(B6137-C6137)/(Utilities!$B$11*IterData!H6137)))</f>
        <v>1</v>
      </c>
    </row>
    <row r="6138" spans="8:11" x14ac:dyDescent="0.3">
      <c r="H6138">
        <v>0.5</v>
      </c>
      <c r="I6138" s="11">
        <f t="shared" si="95"/>
        <v>0</v>
      </c>
      <c r="J6138" s="11">
        <f>1/(H6138*Utilities!$B$11)</f>
        <v>8</v>
      </c>
      <c r="K6138" s="11">
        <f>IF(B6138&lt;C6138,1,EXP(-1*(B6138-C6138)/(Utilities!$B$11*IterData!H6138)))</f>
        <v>1</v>
      </c>
    </row>
    <row r="6139" spans="8:11" x14ac:dyDescent="0.3">
      <c r="H6139">
        <v>0.5</v>
      </c>
      <c r="I6139" s="11">
        <f t="shared" si="95"/>
        <v>0</v>
      </c>
      <c r="J6139" s="11">
        <f>1/(H6139*Utilities!$B$11)</f>
        <v>8</v>
      </c>
      <c r="K6139" s="11">
        <f>IF(B6139&lt;C6139,1,EXP(-1*(B6139-C6139)/(Utilities!$B$11*IterData!H6139)))</f>
        <v>1</v>
      </c>
    </row>
    <row r="6140" spans="8:11" x14ac:dyDescent="0.3">
      <c r="H6140">
        <v>0.5</v>
      </c>
      <c r="I6140" s="11">
        <f t="shared" si="95"/>
        <v>0</v>
      </c>
      <c r="J6140" s="11">
        <f>1/(H6140*Utilities!$B$11)</f>
        <v>8</v>
      </c>
      <c r="K6140" s="11">
        <f>IF(B6140&lt;C6140,1,EXP(-1*(B6140-C6140)/(Utilities!$B$11*IterData!H6140)))</f>
        <v>1</v>
      </c>
    </row>
    <row r="6141" spans="8:11" x14ac:dyDescent="0.3">
      <c r="H6141">
        <v>0.5</v>
      </c>
      <c r="I6141" s="11">
        <f t="shared" si="95"/>
        <v>0</v>
      </c>
      <c r="J6141" s="11">
        <f>1/(H6141*Utilities!$B$11)</f>
        <v>8</v>
      </c>
      <c r="K6141" s="11">
        <f>IF(B6141&lt;C6141,1,EXP(-1*(B6141-C6141)/(Utilities!$B$11*IterData!H6141)))</f>
        <v>1</v>
      </c>
    </row>
    <row r="6142" spans="8:11" x14ac:dyDescent="0.3">
      <c r="H6142">
        <v>0.5</v>
      </c>
      <c r="I6142" s="11">
        <f t="shared" si="95"/>
        <v>0</v>
      </c>
      <c r="J6142" s="11">
        <f>1/(H6142*Utilities!$B$11)</f>
        <v>8</v>
      </c>
      <c r="K6142" s="11">
        <f>IF(B6142&lt;C6142,1,EXP(-1*(B6142-C6142)/(Utilities!$B$11*IterData!H6142)))</f>
        <v>1</v>
      </c>
    </row>
    <row r="6143" spans="8:11" x14ac:dyDescent="0.3">
      <c r="H6143">
        <v>0.5</v>
      </c>
      <c r="I6143" s="11">
        <f t="shared" si="95"/>
        <v>0</v>
      </c>
      <c r="J6143" s="11">
        <f>1/(H6143*Utilities!$B$11)</f>
        <v>8</v>
      </c>
      <c r="K6143" s="11">
        <f>IF(B6143&lt;C6143,1,EXP(-1*(B6143-C6143)/(Utilities!$B$11*IterData!H6143)))</f>
        <v>1</v>
      </c>
    </row>
    <row r="6144" spans="8:11" x14ac:dyDescent="0.3">
      <c r="H6144">
        <v>0.5</v>
      </c>
      <c r="I6144" s="11">
        <f t="shared" si="95"/>
        <v>0</v>
      </c>
      <c r="J6144" s="11">
        <f>1/(H6144*Utilities!$B$11)</f>
        <v>8</v>
      </c>
      <c r="K6144" s="11">
        <f>IF(B6144&lt;C6144,1,EXP(-1*(B6144-C6144)/(Utilities!$B$11*IterData!H6144)))</f>
        <v>1</v>
      </c>
    </row>
    <row r="6145" spans="8:11" x14ac:dyDescent="0.3">
      <c r="H6145">
        <v>0.5</v>
      </c>
      <c r="I6145" s="11">
        <f t="shared" si="95"/>
        <v>0</v>
      </c>
      <c r="J6145" s="11">
        <f>1/(H6145*Utilities!$B$11)</f>
        <v>8</v>
      </c>
      <c r="K6145" s="11">
        <f>IF(B6145&lt;C6145,1,EXP(-1*(B6145-C6145)/(Utilities!$B$11*IterData!H6145)))</f>
        <v>1</v>
      </c>
    </row>
    <row r="6146" spans="8:11" x14ac:dyDescent="0.3">
      <c r="H6146">
        <v>0.5</v>
      </c>
      <c r="I6146" s="11">
        <f t="shared" si="95"/>
        <v>0</v>
      </c>
      <c r="J6146" s="11">
        <f>1/(H6146*Utilities!$B$11)</f>
        <v>8</v>
      </c>
      <c r="K6146" s="11">
        <f>IF(B6146&lt;C6146,1,EXP(-1*(B6146-C6146)/(Utilities!$B$11*IterData!H6146)))</f>
        <v>1</v>
      </c>
    </row>
    <row r="6147" spans="8:11" x14ac:dyDescent="0.3">
      <c r="H6147">
        <v>0.5</v>
      </c>
      <c r="I6147" s="11">
        <f t="shared" ref="I6147:I6210" si="96">B6147-C6147</f>
        <v>0</v>
      </c>
      <c r="J6147" s="11">
        <f>1/(H6147*Utilities!$B$11)</f>
        <v>8</v>
      </c>
      <c r="K6147" s="11">
        <f>IF(B6147&lt;C6147,1,EXP(-1*(B6147-C6147)/(Utilities!$B$11*IterData!H6147)))</f>
        <v>1</v>
      </c>
    </row>
    <row r="6148" spans="8:11" x14ac:dyDescent="0.3">
      <c r="H6148">
        <v>0.5</v>
      </c>
      <c r="I6148" s="11">
        <f t="shared" si="96"/>
        <v>0</v>
      </c>
      <c r="J6148" s="11">
        <f>1/(H6148*Utilities!$B$11)</f>
        <v>8</v>
      </c>
      <c r="K6148" s="11">
        <f>IF(B6148&lt;C6148,1,EXP(-1*(B6148-C6148)/(Utilities!$B$11*IterData!H6148)))</f>
        <v>1</v>
      </c>
    </row>
    <row r="6149" spans="8:11" x14ac:dyDescent="0.3">
      <c r="H6149">
        <v>0.5</v>
      </c>
      <c r="I6149" s="11">
        <f t="shared" si="96"/>
        <v>0</v>
      </c>
      <c r="J6149" s="11">
        <f>1/(H6149*Utilities!$B$11)</f>
        <v>8</v>
      </c>
      <c r="K6149" s="11">
        <f>IF(B6149&lt;C6149,1,EXP(-1*(B6149-C6149)/(Utilities!$B$11*IterData!H6149)))</f>
        <v>1</v>
      </c>
    </row>
    <row r="6150" spans="8:11" x14ac:dyDescent="0.3">
      <c r="H6150">
        <v>0.5</v>
      </c>
      <c r="I6150" s="11">
        <f t="shared" si="96"/>
        <v>0</v>
      </c>
      <c r="J6150" s="11">
        <f>1/(H6150*Utilities!$B$11)</f>
        <v>8</v>
      </c>
      <c r="K6150" s="11">
        <f>IF(B6150&lt;C6150,1,EXP(-1*(B6150-C6150)/(Utilities!$B$11*IterData!H6150)))</f>
        <v>1</v>
      </c>
    </row>
    <row r="6151" spans="8:11" x14ac:dyDescent="0.3">
      <c r="H6151">
        <v>0.5</v>
      </c>
      <c r="I6151" s="11">
        <f t="shared" si="96"/>
        <v>0</v>
      </c>
      <c r="J6151" s="11">
        <f>1/(H6151*Utilities!$B$11)</f>
        <v>8</v>
      </c>
      <c r="K6151" s="11">
        <f>IF(B6151&lt;C6151,1,EXP(-1*(B6151-C6151)/(Utilities!$B$11*IterData!H6151)))</f>
        <v>1</v>
      </c>
    </row>
    <row r="6152" spans="8:11" x14ac:dyDescent="0.3">
      <c r="H6152">
        <v>0.5</v>
      </c>
      <c r="I6152" s="11">
        <f t="shared" si="96"/>
        <v>0</v>
      </c>
      <c r="J6152" s="11">
        <f>1/(H6152*Utilities!$B$11)</f>
        <v>8</v>
      </c>
      <c r="K6152" s="11">
        <f>IF(B6152&lt;C6152,1,EXP(-1*(B6152-C6152)/(Utilities!$B$11*IterData!H6152)))</f>
        <v>1</v>
      </c>
    </row>
    <row r="6153" spans="8:11" x14ac:dyDescent="0.3">
      <c r="H6153">
        <v>0.5</v>
      </c>
      <c r="I6153" s="11">
        <f t="shared" si="96"/>
        <v>0</v>
      </c>
      <c r="J6153" s="11">
        <f>1/(H6153*Utilities!$B$11)</f>
        <v>8</v>
      </c>
      <c r="K6153" s="11">
        <f>IF(B6153&lt;C6153,1,EXP(-1*(B6153-C6153)/(Utilities!$B$11*IterData!H6153)))</f>
        <v>1</v>
      </c>
    </row>
    <row r="6154" spans="8:11" x14ac:dyDescent="0.3">
      <c r="H6154">
        <v>0.5</v>
      </c>
      <c r="I6154" s="11">
        <f t="shared" si="96"/>
        <v>0</v>
      </c>
      <c r="J6154" s="11">
        <f>1/(H6154*Utilities!$B$11)</f>
        <v>8</v>
      </c>
      <c r="K6154" s="11">
        <f>IF(B6154&lt;C6154,1,EXP(-1*(B6154-C6154)/(Utilities!$B$11*IterData!H6154)))</f>
        <v>1</v>
      </c>
    </row>
    <row r="6155" spans="8:11" x14ac:dyDescent="0.3">
      <c r="H6155">
        <v>0.5</v>
      </c>
      <c r="I6155" s="11">
        <f t="shared" si="96"/>
        <v>0</v>
      </c>
      <c r="J6155" s="11">
        <f>1/(H6155*Utilities!$B$11)</f>
        <v>8</v>
      </c>
      <c r="K6155" s="11">
        <f>IF(B6155&lt;C6155,1,EXP(-1*(B6155-C6155)/(Utilities!$B$11*IterData!H6155)))</f>
        <v>1</v>
      </c>
    </row>
    <row r="6156" spans="8:11" x14ac:dyDescent="0.3">
      <c r="H6156">
        <v>0.5</v>
      </c>
      <c r="I6156" s="11">
        <f t="shared" si="96"/>
        <v>0</v>
      </c>
      <c r="J6156" s="11">
        <f>1/(H6156*Utilities!$B$11)</f>
        <v>8</v>
      </c>
      <c r="K6156" s="11">
        <f>IF(B6156&lt;C6156,1,EXP(-1*(B6156-C6156)/(Utilities!$B$11*IterData!H6156)))</f>
        <v>1</v>
      </c>
    </row>
    <row r="6157" spans="8:11" x14ac:dyDescent="0.3">
      <c r="H6157">
        <v>0.5</v>
      </c>
      <c r="I6157" s="11">
        <f t="shared" si="96"/>
        <v>0</v>
      </c>
      <c r="J6157" s="11">
        <f>1/(H6157*Utilities!$B$11)</f>
        <v>8</v>
      </c>
      <c r="K6157" s="11">
        <f>IF(B6157&lt;C6157,1,EXP(-1*(B6157-C6157)/(Utilities!$B$11*IterData!H6157)))</f>
        <v>1</v>
      </c>
    </row>
    <row r="6158" spans="8:11" x14ac:dyDescent="0.3">
      <c r="H6158">
        <v>0.5</v>
      </c>
      <c r="I6158" s="11">
        <f t="shared" si="96"/>
        <v>0</v>
      </c>
      <c r="J6158" s="11">
        <f>1/(H6158*Utilities!$B$11)</f>
        <v>8</v>
      </c>
      <c r="K6158" s="11">
        <f>IF(B6158&lt;C6158,1,EXP(-1*(B6158-C6158)/(Utilities!$B$11*IterData!H6158)))</f>
        <v>1</v>
      </c>
    </row>
    <row r="6159" spans="8:11" x14ac:dyDescent="0.3">
      <c r="H6159">
        <v>0.5</v>
      </c>
      <c r="I6159" s="11">
        <f t="shared" si="96"/>
        <v>0</v>
      </c>
      <c r="J6159" s="11">
        <f>1/(H6159*Utilities!$B$11)</f>
        <v>8</v>
      </c>
      <c r="K6159" s="11">
        <f>IF(B6159&lt;C6159,1,EXP(-1*(B6159-C6159)/(Utilities!$B$11*IterData!H6159)))</f>
        <v>1</v>
      </c>
    </row>
    <row r="6160" spans="8:11" x14ac:dyDescent="0.3">
      <c r="H6160">
        <v>0.5</v>
      </c>
      <c r="I6160" s="11">
        <f t="shared" si="96"/>
        <v>0</v>
      </c>
      <c r="J6160" s="11">
        <f>1/(H6160*Utilities!$B$11)</f>
        <v>8</v>
      </c>
      <c r="K6160" s="11">
        <f>IF(B6160&lt;C6160,1,EXP(-1*(B6160-C6160)/(Utilities!$B$11*IterData!H6160)))</f>
        <v>1</v>
      </c>
    </row>
    <row r="6161" spans="8:11" x14ac:dyDescent="0.3">
      <c r="H6161">
        <v>0.5</v>
      </c>
      <c r="I6161" s="11">
        <f t="shared" si="96"/>
        <v>0</v>
      </c>
      <c r="J6161" s="11">
        <f>1/(H6161*Utilities!$B$11)</f>
        <v>8</v>
      </c>
      <c r="K6161" s="11">
        <f>IF(B6161&lt;C6161,1,EXP(-1*(B6161-C6161)/(Utilities!$B$11*IterData!H6161)))</f>
        <v>1</v>
      </c>
    </row>
    <row r="6162" spans="8:11" x14ac:dyDescent="0.3">
      <c r="H6162">
        <v>0.5</v>
      </c>
      <c r="I6162" s="11">
        <f t="shared" si="96"/>
        <v>0</v>
      </c>
      <c r="J6162" s="11">
        <f>1/(H6162*Utilities!$B$11)</f>
        <v>8</v>
      </c>
      <c r="K6162" s="11">
        <f>IF(B6162&lt;C6162,1,EXP(-1*(B6162-C6162)/(Utilities!$B$11*IterData!H6162)))</f>
        <v>1</v>
      </c>
    </row>
    <row r="6163" spans="8:11" x14ac:dyDescent="0.3">
      <c r="H6163">
        <v>0.5</v>
      </c>
      <c r="I6163" s="11">
        <f t="shared" si="96"/>
        <v>0</v>
      </c>
      <c r="J6163" s="11">
        <f>1/(H6163*Utilities!$B$11)</f>
        <v>8</v>
      </c>
      <c r="K6163" s="11">
        <f>IF(B6163&lt;C6163,1,EXP(-1*(B6163-C6163)/(Utilities!$B$11*IterData!H6163)))</f>
        <v>1</v>
      </c>
    </row>
    <row r="6164" spans="8:11" x14ac:dyDescent="0.3">
      <c r="H6164">
        <v>0.5</v>
      </c>
      <c r="I6164" s="11">
        <f t="shared" si="96"/>
        <v>0</v>
      </c>
      <c r="J6164" s="11">
        <f>1/(H6164*Utilities!$B$11)</f>
        <v>8</v>
      </c>
      <c r="K6164" s="11">
        <f>IF(B6164&lt;C6164,1,EXP(-1*(B6164-C6164)/(Utilities!$B$11*IterData!H6164)))</f>
        <v>1</v>
      </c>
    </row>
    <row r="6165" spans="8:11" x14ac:dyDescent="0.3">
      <c r="H6165">
        <v>0.5</v>
      </c>
      <c r="I6165" s="11">
        <f t="shared" si="96"/>
        <v>0</v>
      </c>
      <c r="J6165" s="11">
        <f>1/(H6165*Utilities!$B$11)</f>
        <v>8</v>
      </c>
      <c r="K6165" s="11">
        <f>IF(B6165&lt;C6165,1,EXP(-1*(B6165-C6165)/(Utilities!$B$11*IterData!H6165)))</f>
        <v>1</v>
      </c>
    </row>
    <row r="6166" spans="8:11" x14ac:dyDescent="0.3">
      <c r="H6166">
        <v>0.5</v>
      </c>
      <c r="I6166" s="11">
        <f t="shared" si="96"/>
        <v>0</v>
      </c>
      <c r="J6166" s="11">
        <f>1/(H6166*Utilities!$B$11)</f>
        <v>8</v>
      </c>
      <c r="K6166" s="11">
        <f>IF(B6166&lt;C6166,1,EXP(-1*(B6166-C6166)/(Utilities!$B$11*IterData!H6166)))</f>
        <v>1</v>
      </c>
    </row>
    <row r="6167" spans="8:11" x14ac:dyDescent="0.3">
      <c r="H6167">
        <v>0.5</v>
      </c>
      <c r="I6167" s="11">
        <f t="shared" si="96"/>
        <v>0</v>
      </c>
      <c r="J6167" s="11">
        <f>1/(H6167*Utilities!$B$11)</f>
        <v>8</v>
      </c>
      <c r="K6167" s="11">
        <f>IF(B6167&lt;C6167,1,EXP(-1*(B6167-C6167)/(Utilities!$B$11*IterData!H6167)))</f>
        <v>1</v>
      </c>
    </row>
    <row r="6168" spans="8:11" x14ac:dyDescent="0.3">
      <c r="H6168">
        <v>0.5</v>
      </c>
      <c r="I6168" s="11">
        <f t="shared" si="96"/>
        <v>0</v>
      </c>
      <c r="J6168" s="11">
        <f>1/(H6168*Utilities!$B$11)</f>
        <v>8</v>
      </c>
      <c r="K6168" s="11">
        <f>IF(B6168&lt;C6168,1,EXP(-1*(B6168-C6168)/(Utilities!$B$11*IterData!H6168)))</f>
        <v>1</v>
      </c>
    </row>
    <row r="6169" spans="8:11" x14ac:dyDescent="0.3">
      <c r="H6169">
        <v>0.5</v>
      </c>
      <c r="I6169" s="11">
        <f t="shared" si="96"/>
        <v>0</v>
      </c>
      <c r="J6169" s="11">
        <f>1/(H6169*Utilities!$B$11)</f>
        <v>8</v>
      </c>
      <c r="K6169" s="11">
        <f>IF(B6169&lt;C6169,1,EXP(-1*(B6169-C6169)/(Utilities!$B$11*IterData!H6169)))</f>
        <v>1</v>
      </c>
    </row>
    <row r="6170" spans="8:11" x14ac:dyDescent="0.3">
      <c r="H6170">
        <v>0.5</v>
      </c>
      <c r="I6170" s="11">
        <f t="shared" si="96"/>
        <v>0</v>
      </c>
      <c r="J6170" s="11">
        <f>1/(H6170*Utilities!$B$11)</f>
        <v>8</v>
      </c>
      <c r="K6170" s="11">
        <f>IF(B6170&lt;C6170,1,EXP(-1*(B6170-C6170)/(Utilities!$B$11*IterData!H6170)))</f>
        <v>1</v>
      </c>
    </row>
    <row r="6171" spans="8:11" x14ac:dyDescent="0.3">
      <c r="H6171">
        <v>0.5</v>
      </c>
      <c r="I6171" s="11">
        <f t="shared" si="96"/>
        <v>0</v>
      </c>
      <c r="J6171" s="11">
        <f>1/(H6171*Utilities!$B$11)</f>
        <v>8</v>
      </c>
      <c r="K6171" s="11">
        <f>IF(B6171&lt;C6171,1,EXP(-1*(B6171-C6171)/(Utilities!$B$11*IterData!H6171)))</f>
        <v>1</v>
      </c>
    </row>
    <row r="6172" spans="8:11" x14ac:dyDescent="0.3">
      <c r="H6172">
        <v>0.5</v>
      </c>
      <c r="I6172" s="11">
        <f t="shared" si="96"/>
        <v>0</v>
      </c>
      <c r="J6172" s="11">
        <f>1/(H6172*Utilities!$B$11)</f>
        <v>8</v>
      </c>
      <c r="K6172" s="11">
        <f>IF(B6172&lt;C6172,1,EXP(-1*(B6172-C6172)/(Utilities!$B$11*IterData!H6172)))</f>
        <v>1</v>
      </c>
    </row>
    <row r="6173" spans="8:11" x14ac:dyDescent="0.3">
      <c r="H6173">
        <v>0.5</v>
      </c>
      <c r="I6173" s="11">
        <f t="shared" si="96"/>
        <v>0</v>
      </c>
      <c r="J6173" s="11">
        <f>1/(H6173*Utilities!$B$11)</f>
        <v>8</v>
      </c>
      <c r="K6173" s="11">
        <f>IF(B6173&lt;C6173,1,EXP(-1*(B6173-C6173)/(Utilities!$B$11*IterData!H6173)))</f>
        <v>1</v>
      </c>
    </row>
    <row r="6174" spans="8:11" x14ac:dyDescent="0.3">
      <c r="H6174">
        <v>0.5</v>
      </c>
      <c r="I6174" s="11">
        <f t="shared" si="96"/>
        <v>0</v>
      </c>
      <c r="J6174" s="11">
        <f>1/(H6174*Utilities!$B$11)</f>
        <v>8</v>
      </c>
      <c r="K6174" s="11">
        <f>IF(B6174&lt;C6174,1,EXP(-1*(B6174-C6174)/(Utilities!$B$11*IterData!H6174)))</f>
        <v>1</v>
      </c>
    </row>
    <row r="6175" spans="8:11" x14ac:dyDescent="0.3">
      <c r="H6175">
        <v>0.5</v>
      </c>
      <c r="I6175" s="11">
        <f t="shared" si="96"/>
        <v>0</v>
      </c>
      <c r="J6175" s="11">
        <f>1/(H6175*Utilities!$B$11)</f>
        <v>8</v>
      </c>
      <c r="K6175" s="11">
        <f>IF(B6175&lt;C6175,1,EXP(-1*(B6175-C6175)/(Utilities!$B$11*IterData!H6175)))</f>
        <v>1</v>
      </c>
    </row>
    <row r="6176" spans="8:11" x14ac:dyDescent="0.3">
      <c r="H6176">
        <v>0.5</v>
      </c>
      <c r="I6176" s="11">
        <f t="shared" si="96"/>
        <v>0</v>
      </c>
      <c r="J6176" s="11">
        <f>1/(H6176*Utilities!$B$11)</f>
        <v>8</v>
      </c>
      <c r="K6176" s="11">
        <f>IF(B6176&lt;C6176,1,EXP(-1*(B6176-C6176)/(Utilities!$B$11*IterData!H6176)))</f>
        <v>1</v>
      </c>
    </row>
    <row r="6177" spans="8:11" x14ac:dyDescent="0.3">
      <c r="H6177">
        <v>0.5</v>
      </c>
      <c r="I6177" s="11">
        <f t="shared" si="96"/>
        <v>0</v>
      </c>
      <c r="J6177" s="11">
        <f>1/(H6177*Utilities!$B$11)</f>
        <v>8</v>
      </c>
      <c r="K6177" s="11">
        <f>IF(B6177&lt;C6177,1,EXP(-1*(B6177-C6177)/(Utilities!$B$11*IterData!H6177)))</f>
        <v>1</v>
      </c>
    </row>
    <row r="6178" spans="8:11" x14ac:dyDescent="0.3">
      <c r="H6178">
        <v>0.5</v>
      </c>
      <c r="I6178" s="11">
        <f t="shared" si="96"/>
        <v>0</v>
      </c>
      <c r="J6178" s="11">
        <f>1/(H6178*Utilities!$B$11)</f>
        <v>8</v>
      </c>
      <c r="K6178" s="11">
        <f>IF(B6178&lt;C6178,1,EXP(-1*(B6178-C6178)/(Utilities!$B$11*IterData!H6178)))</f>
        <v>1</v>
      </c>
    </row>
    <row r="6179" spans="8:11" x14ac:dyDescent="0.3">
      <c r="H6179">
        <v>0.5</v>
      </c>
      <c r="I6179" s="11">
        <f t="shared" si="96"/>
        <v>0</v>
      </c>
      <c r="J6179" s="11">
        <f>1/(H6179*Utilities!$B$11)</f>
        <v>8</v>
      </c>
      <c r="K6179" s="11">
        <f>IF(B6179&lt;C6179,1,EXP(-1*(B6179-C6179)/(Utilities!$B$11*IterData!H6179)))</f>
        <v>1</v>
      </c>
    </row>
    <row r="6180" spans="8:11" x14ac:dyDescent="0.3">
      <c r="H6180">
        <v>0.5</v>
      </c>
      <c r="I6180" s="11">
        <f t="shared" si="96"/>
        <v>0</v>
      </c>
      <c r="J6180" s="11">
        <f>1/(H6180*Utilities!$B$11)</f>
        <v>8</v>
      </c>
      <c r="K6180" s="11">
        <f>IF(B6180&lt;C6180,1,EXP(-1*(B6180-C6180)/(Utilities!$B$11*IterData!H6180)))</f>
        <v>1</v>
      </c>
    </row>
    <row r="6181" spans="8:11" x14ac:dyDescent="0.3">
      <c r="H6181">
        <v>0.5</v>
      </c>
      <c r="I6181" s="11">
        <f t="shared" si="96"/>
        <v>0</v>
      </c>
      <c r="J6181" s="11">
        <f>1/(H6181*Utilities!$B$11)</f>
        <v>8</v>
      </c>
      <c r="K6181" s="11">
        <f>IF(B6181&lt;C6181,1,EXP(-1*(B6181-C6181)/(Utilities!$B$11*IterData!H6181)))</f>
        <v>1</v>
      </c>
    </row>
    <row r="6182" spans="8:11" x14ac:dyDescent="0.3">
      <c r="H6182">
        <v>0.5</v>
      </c>
      <c r="I6182" s="11">
        <f t="shared" si="96"/>
        <v>0</v>
      </c>
      <c r="J6182" s="11">
        <f>1/(H6182*Utilities!$B$11)</f>
        <v>8</v>
      </c>
      <c r="K6182" s="11">
        <f>IF(B6182&lt;C6182,1,EXP(-1*(B6182-C6182)/(Utilities!$B$11*IterData!H6182)))</f>
        <v>1</v>
      </c>
    </row>
    <row r="6183" spans="8:11" x14ac:dyDescent="0.3">
      <c r="H6183">
        <v>0.5</v>
      </c>
      <c r="I6183" s="11">
        <f t="shared" si="96"/>
        <v>0</v>
      </c>
      <c r="J6183" s="11">
        <f>1/(H6183*Utilities!$B$11)</f>
        <v>8</v>
      </c>
      <c r="K6183" s="11">
        <f>IF(B6183&lt;C6183,1,EXP(-1*(B6183-C6183)/(Utilities!$B$11*IterData!H6183)))</f>
        <v>1</v>
      </c>
    </row>
    <row r="6184" spans="8:11" x14ac:dyDescent="0.3">
      <c r="H6184">
        <v>0.5</v>
      </c>
      <c r="I6184" s="11">
        <f t="shared" si="96"/>
        <v>0</v>
      </c>
      <c r="J6184" s="11">
        <f>1/(H6184*Utilities!$B$11)</f>
        <v>8</v>
      </c>
      <c r="K6184" s="11">
        <f>IF(B6184&lt;C6184,1,EXP(-1*(B6184-C6184)/(Utilities!$B$11*IterData!H6184)))</f>
        <v>1</v>
      </c>
    </row>
    <row r="6185" spans="8:11" x14ac:dyDescent="0.3">
      <c r="H6185">
        <v>0.5</v>
      </c>
      <c r="I6185" s="11">
        <f t="shared" si="96"/>
        <v>0</v>
      </c>
      <c r="J6185" s="11">
        <f>1/(H6185*Utilities!$B$11)</f>
        <v>8</v>
      </c>
      <c r="K6185" s="11">
        <f>IF(B6185&lt;C6185,1,EXP(-1*(B6185-C6185)/(Utilities!$B$11*IterData!H6185)))</f>
        <v>1</v>
      </c>
    </row>
    <row r="6186" spans="8:11" x14ac:dyDescent="0.3">
      <c r="H6186">
        <v>0.5</v>
      </c>
      <c r="I6186" s="11">
        <f t="shared" si="96"/>
        <v>0</v>
      </c>
      <c r="J6186" s="11">
        <f>1/(H6186*Utilities!$B$11)</f>
        <v>8</v>
      </c>
      <c r="K6186" s="11">
        <f>IF(B6186&lt;C6186,1,EXP(-1*(B6186-C6186)/(Utilities!$B$11*IterData!H6186)))</f>
        <v>1</v>
      </c>
    </row>
    <row r="6187" spans="8:11" x14ac:dyDescent="0.3">
      <c r="H6187">
        <v>0.5</v>
      </c>
      <c r="I6187" s="11">
        <f t="shared" si="96"/>
        <v>0</v>
      </c>
      <c r="J6187" s="11">
        <f>1/(H6187*Utilities!$B$11)</f>
        <v>8</v>
      </c>
      <c r="K6187" s="11">
        <f>IF(B6187&lt;C6187,1,EXP(-1*(B6187-C6187)/(Utilities!$B$11*IterData!H6187)))</f>
        <v>1</v>
      </c>
    </row>
    <row r="6188" spans="8:11" x14ac:dyDescent="0.3">
      <c r="H6188">
        <v>0.5</v>
      </c>
      <c r="I6188" s="11">
        <f t="shared" si="96"/>
        <v>0</v>
      </c>
      <c r="J6188" s="11">
        <f>1/(H6188*Utilities!$B$11)</f>
        <v>8</v>
      </c>
      <c r="K6188" s="11">
        <f>IF(B6188&lt;C6188,1,EXP(-1*(B6188-C6188)/(Utilities!$B$11*IterData!H6188)))</f>
        <v>1</v>
      </c>
    </row>
    <row r="6189" spans="8:11" x14ac:dyDescent="0.3">
      <c r="H6189">
        <v>0.5</v>
      </c>
      <c r="I6189" s="11">
        <f t="shared" si="96"/>
        <v>0</v>
      </c>
      <c r="J6189" s="11">
        <f>1/(H6189*Utilities!$B$11)</f>
        <v>8</v>
      </c>
      <c r="K6189" s="11">
        <f>IF(B6189&lt;C6189,1,EXP(-1*(B6189-C6189)/(Utilities!$B$11*IterData!H6189)))</f>
        <v>1</v>
      </c>
    </row>
    <row r="6190" spans="8:11" x14ac:dyDescent="0.3">
      <c r="H6190">
        <v>0.5</v>
      </c>
      <c r="I6190" s="11">
        <f t="shared" si="96"/>
        <v>0</v>
      </c>
      <c r="J6190" s="11">
        <f>1/(H6190*Utilities!$B$11)</f>
        <v>8</v>
      </c>
      <c r="K6190" s="11">
        <f>IF(B6190&lt;C6190,1,EXP(-1*(B6190-C6190)/(Utilities!$B$11*IterData!H6190)))</f>
        <v>1</v>
      </c>
    </row>
    <row r="6191" spans="8:11" x14ac:dyDescent="0.3">
      <c r="H6191">
        <v>0.5</v>
      </c>
      <c r="I6191" s="11">
        <f t="shared" si="96"/>
        <v>0</v>
      </c>
      <c r="J6191" s="11">
        <f>1/(H6191*Utilities!$B$11)</f>
        <v>8</v>
      </c>
      <c r="K6191" s="11">
        <f>IF(B6191&lt;C6191,1,EXP(-1*(B6191-C6191)/(Utilities!$B$11*IterData!H6191)))</f>
        <v>1</v>
      </c>
    </row>
    <row r="6192" spans="8:11" x14ac:dyDescent="0.3">
      <c r="H6192">
        <v>0.5</v>
      </c>
      <c r="I6192" s="11">
        <f t="shared" si="96"/>
        <v>0</v>
      </c>
      <c r="J6192" s="11">
        <f>1/(H6192*Utilities!$B$11)</f>
        <v>8</v>
      </c>
      <c r="K6192" s="11">
        <f>IF(B6192&lt;C6192,1,EXP(-1*(B6192-C6192)/(Utilities!$B$11*IterData!H6192)))</f>
        <v>1</v>
      </c>
    </row>
    <row r="6193" spans="8:11" x14ac:dyDescent="0.3">
      <c r="H6193">
        <v>0.5</v>
      </c>
      <c r="I6193" s="11">
        <f t="shared" si="96"/>
        <v>0</v>
      </c>
      <c r="J6193" s="11">
        <f>1/(H6193*Utilities!$B$11)</f>
        <v>8</v>
      </c>
      <c r="K6193" s="11">
        <f>IF(B6193&lt;C6193,1,EXP(-1*(B6193-C6193)/(Utilities!$B$11*IterData!H6193)))</f>
        <v>1</v>
      </c>
    </row>
    <row r="6194" spans="8:11" x14ac:dyDescent="0.3">
      <c r="H6194">
        <v>0.5</v>
      </c>
      <c r="I6194" s="11">
        <f t="shared" si="96"/>
        <v>0</v>
      </c>
      <c r="J6194" s="11">
        <f>1/(H6194*Utilities!$B$11)</f>
        <v>8</v>
      </c>
      <c r="K6194" s="11">
        <f>IF(B6194&lt;C6194,1,EXP(-1*(B6194-C6194)/(Utilities!$B$11*IterData!H6194)))</f>
        <v>1</v>
      </c>
    </row>
    <row r="6195" spans="8:11" x14ac:dyDescent="0.3">
      <c r="H6195">
        <v>0.5</v>
      </c>
      <c r="I6195" s="11">
        <f t="shared" si="96"/>
        <v>0</v>
      </c>
      <c r="J6195" s="11">
        <f>1/(H6195*Utilities!$B$11)</f>
        <v>8</v>
      </c>
      <c r="K6195" s="11">
        <f>IF(B6195&lt;C6195,1,EXP(-1*(B6195-C6195)/(Utilities!$B$11*IterData!H6195)))</f>
        <v>1</v>
      </c>
    </row>
    <row r="6196" spans="8:11" x14ac:dyDescent="0.3">
      <c r="H6196">
        <v>0.5</v>
      </c>
      <c r="I6196" s="11">
        <f t="shared" si="96"/>
        <v>0</v>
      </c>
      <c r="J6196" s="11">
        <f>1/(H6196*Utilities!$B$11)</f>
        <v>8</v>
      </c>
      <c r="K6196" s="11">
        <f>IF(B6196&lt;C6196,1,EXP(-1*(B6196-C6196)/(Utilities!$B$11*IterData!H6196)))</f>
        <v>1</v>
      </c>
    </row>
    <row r="6197" spans="8:11" x14ac:dyDescent="0.3">
      <c r="H6197">
        <v>0.5</v>
      </c>
      <c r="I6197" s="11">
        <f t="shared" si="96"/>
        <v>0</v>
      </c>
      <c r="J6197" s="11">
        <f>1/(H6197*Utilities!$B$11)</f>
        <v>8</v>
      </c>
      <c r="K6197" s="11">
        <f>IF(B6197&lt;C6197,1,EXP(-1*(B6197-C6197)/(Utilities!$B$11*IterData!H6197)))</f>
        <v>1</v>
      </c>
    </row>
    <row r="6198" spans="8:11" x14ac:dyDescent="0.3">
      <c r="H6198">
        <v>0.5</v>
      </c>
      <c r="I6198" s="11">
        <f t="shared" si="96"/>
        <v>0</v>
      </c>
      <c r="J6198" s="11">
        <f>1/(H6198*Utilities!$B$11)</f>
        <v>8</v>
      </c>
      <c r="K6198" s="11">
        <f>IF(B6198&lt;C6198,1,EXP(-1*(B6198-C6198)/(Utilities!$B$11*IterData!H6198)))</f>
        <v>1</v>
      </c>
    </row>
    <row r="6199" spans="8:11" x14ac:dyDescent="0.3">
      <c r="H6199">
        <v>0.5</v>
      </c>
      <c r="I6199" s="11">
        <f t="shared" si="96"/>
        <v>0</v>
      </c>
      <c r="J6199" s="11">
        <f>1/(H6199*Utilities!$B$11)</f>
        <v>8</v>
      </c>
      <c r="K6199" s="11">
        <f>IF(B6199&lt;C6199,1,EXP(-1*(B6199-C6199)/(Utilities!$B$11*IterData!H6199)))</f>
        <v>1</v>
      </c>
    </row>
    <row r="6200" spans="8:11" x14ac:dyDescent="0.3">
      <c r="H6200">
        <v>0.5</v>
      </c>
      <c r="I6200" s="11">
        <f t="shared" si="96"/>
        <v>0</v>
      </c>
      <c r="J6200" s="11">
        <f>1/(H6200*Utilities!$B$11)</f>
        <v>8</v>
      </c>
      <c r="K6200" s="11">
        <f>IF(B6200&lt;C6200,1,EXP(-1*(B6200-C6200)/(Utilities!$B$11*IterData!H6200)))</f>
        <v>1</v>
      </c>
    </row>
    <row r="6201" spans="8:11" x14ac:dyDescent="0.3">
      <c r="H6201">
        <v>0.5</v>
      </c>
      <c r="I6201" s="11">
        <f t="shared" si="96"/>
        <v>0</v>
      </c>
      <c r="J6201" s="11">
        <f>1/(H6201*Utilities!$B$11)</f>
        <v>8</v>
      </c>
      <c r="K6201" s="11">
        <f>IF(B6201&lt;C6201,1,EXP(-1*(B6201-C6201)/(Utilities!$B$11*IterData!H6201)))</f>
        <v>1</v>
      </c>
    </row>
    <row r="6202" spans="8:11" x14ac:dyDescent="0.3">
      <c r="H6202">
        <v>0.5</v>
      </c>
      <c r="I6202" s="11">
        <f t="shared" si="96"/>
        <v>0</v>
      </c>
      <c r="J6202" s="11">
        <f>1/(H6202*Utilities!$B$11)</f>
        <v>8</v>
      </c>
      <c r="K6202" s="11">
        <f>IF(B6202&lt;C6202,1,EXP(-1*(B6202-C6202)/(Utilities!$B$11*IterData!H6202)))</f>
        <v>1</v>
      </c>
    </row>
    <row r="6203" spans="8:11" x14ac:dyDescent="0.3">
      <c r="H6203">
        <v>0.5</v>
      </c>
      <c r="I6203" s="11">
        <f t="shared" si="96"/>
        <v>0</v>
      </c>
      <c r="J6203" s="11">
        <f>1/(H6203*Utilities!$B$11)</f>
        <v>8</v>
      </c>
      <c r="K6203" s="11">
        <f>IF(B6203&lt;C6203,1,EXP(-1*(B6203-C6203)/(Utilities!$B$11*IterData!H6203)))</f>
        <v>1</v>
      </c>
    </row>
    <row r="6204" spans="8:11" x14ac:dyDescent="0.3">
      <c r="H6204">
        <v>0.5</v>
      </c>
      <c r="I6204" s="11">
        <f t="shared" si="96"/>
        <v>0</v>
      </c>
      <c r="J6204" s="11">
        <f>1/(H6204*Utilities!$B$11)</f>
        <v>8</v>
      </c>
      <c r="K6204" s="11">
        <f>IF(B6204&lt;C6204,1,EXP(-1*(B6204-C6204)/(Utilities!$B$11*IterData!H6204)))</f>
        <v>1</v>
      </c>
    </row>
    <row r="6205" spans="8:11" x14ac:dyDescent="0.3">
      <c r="H6205">
        <v>0.5</v>
      </c>
      <c r="I6205" s="11">
        <f t="shared" si="96"/>
        <v>0</v>
      </c>
      <c r="J6205" s="11">
        <f>1/(H6205*Utilities!$B$11)</f>
        <v>8</v>
      </c>
      <c r="K6205" s="11">
        <f>IF(B6205&lt;C6205,1,EXP(-1*(B6205-C6205)/(Utilities!$B$11*IterData!H6205)))</f>
        <v>1</v>
      </c>
    </row>
    <row r="6206" spans="8:11" x14ac:dyDescent="0.3">
      <c r="H6206">
        <v>0.5</v>
      </c>
      <c r="I6206" s="11">
        <f t="shared" si="96"/>
        <v>0</v>
      </c>
      <c r="J6206" s="11">
        <f>1/(H6206*Utilities!$B$11)</f>
        <v>8</v>
      </c>
      <c r="K6206" s="11">
        <f>IF(B6206&lt;C6206,1,EXP(-1*(B6206-C6206)/(Utilities!$B$11*IterData!H6206)))</f>
        <v>1</v>
      </c>
    </row>
    <row r="6207" spans="8:11" x14ac:dyDescent="0.3">
      <c r="H6207">
        <v>0.5</v>
      </c>
      <c r="I6207" s="11">
        <f t="shared" si="96"/>
        <v>0</v>
      </c>
      <c r="J6207" s="11">
        <f>1/(H6207*Utilities!$B$11)</f>
        <v>8</v>
      </c>
      <c r="K6207" s="11">
        <f>IF(B6207&lt;C6207,1,EXP(-1*(B6207-C6207)/(Utilities!$B$11*IterData!H6207)))</f>
        <v>1</v>
      </c>
    </row>
    <row r="6208" spans="8:11" x14ac:dyDescent="0.3">
      <c r="H6208">
        <v>0.5</v>
      </c>
      <c r="I6208" s="11">
        <f t="shared" si="96"/>
        <v>0</v>
      </c>
      <c r="J6208" s="11">
        <f>1/(H6208*Utilities!$B$11)</f>
        <v>8</v>
      </c>
      <c r="K6208" s="11">
        <f>IF(B6208&lt;C6208,1,EXP(-1*(B6208-C6208)/(Utilities!$B$11*IterData!H6208)))</f>
        <v>1</v>
      </c>
    </row>
    <row r="6209" spans="8:11" x14ac:dyDescent="0.3">
      <c r="H6209">
        <v>0.5</v>
      </c>
      <c r="I6209" s="11">
        <f t="shared" si="96"/>
        <v>0</v>
      </c>
      <c r="J6209" s="11">
        <f>1/(H6209*Utilities!$B$11)</f>
        <v>8</v>
      </c>
      <c r="K6209" s="11">
        <f>IF(B6209&lt;C6209,1,EXP(-1*(B6209-C6209)/(Utilities!$B$11*IterData!H6209)))</f>
        <v>1</v>
      </c>
    </row>
    <row r="6210" spans="8:11" x14ac:dyDescent="0.3">
      <c r="H6210">
        <v>0.5</v>
      </c>
      <c r="I6210" s="11">
        <f t="shared" si="96"/>
        <v>0</v>
      </c>
      <c r="J6210" s="11">
        <f>1/(H6210*Utilities!$B$11)</f>
        <v>8</v>
      </c>
      <c r="K6210" s="11">
        <f>IF(B6210&lt;C6210,1,EXP(-1*(B6210-C6210)/(Utilities!$B$11*IterData!H6210)))</f>
        <v>1</v>
      </c>
    </row>
    <row r="6211" spans="8:11" x14ac:dyDescent="0.3">
      <c r="H6211">
        <v>0.5</v>
      </c>
      <c r="I6211" s="11">
        <f t="shared" ref="I6211:I6274" si="97">B6211-C6211</f>
        <v>0</v>
      </c>
      <c r="J6211" s="11">
        <f>1/(H6211*Utilities!$B$11)</f>
        <v>8</v>
      </c>
      <c r="K6211" s="11">
        <f>IF(B6211&lt;C6211,1,EXP(-1*(B6211-C6211)/(Utilities!$B$11*IterData!H6211)))</f>
        <v>1</v>
      </c>
    </row>
    <row r="6212" spans="8:11" x14ac:dyDescent="0.3">
      <c r="H6212">
        <v>0.5</v>
      </c>
      <c r="I6212" s="11">
        <f t="shared" si="97"/>
        <v>0</v>
      </c>
      <c r="J6212" s="11">
        <f>1/(H6212*Utilities!$B$11)</f>
        <v>8</v>
      </c>
      <c r="K6212" s="11">
        <f>IF(B6212&lt;C6212,1,EXP(-1*(B6212-C6212)/(Utilities!$B$11*IterData!H6212)))</f>
        <v>1</v>
      </c>
    </row>
    <row r="6213" spans="8:11" x14ac:dyDescent="0.3">
      <c r="H6213">
        <v>0.5</v>
      </c>
      <c r="I6213" s="11">
        <f t="shared" si="97"/>
        <v>0</v>
      </c>
      <c r="J6213" s="11">
        <f>1/(H6213*Utilities!$B$11)</f>
        <v>8</v>
      </c>
      <c r="K6213" s="11">
        <f>IF(B6213&lt;C6213,1,EXP(-1*(B6213-C6213)/(Utilities!$B$11*IterData!H6213)))</f>
        <v>1</v>
      </c>
    </row>
    <row r="6214" spans="8:11" x14ac:dyDescent="0.3">
      <c r="H6214">
        <v>0.5</v>
      </c>
      <c r="I6214" s="11">
        <f t="shared" si="97"/>
        <v>0</v>
      </c>
      <c r="J6214" s="11">
        <f>1/(H6214*Utilities!$B$11)</f>
        <v>8</v>
      </c>
      <c r="K6214" s="11">
        <f>IF(B6214&lt;C6214,1,EXP(-1*(B6214-C6214)/(Utilities!$B$11*IterData!H6214)))</f>
        <v>1</v>
      </c>
    </row>
    <row r="6215" spans="8:11" x14ac:dyDescent="0.3">
      <c r="H6215">
        <v>0.5</v>
      </c>
      <c r="I6215" s="11">
        <f t="shared" si="97"/>
        <v>0</v>
      </c>
      <c r="J6215" s="11">
        <f>1/(H6215*Utilities!$B$11)</f>
        <v>8</v>
      </c>
      <c r="K6215" s="11">
        <f>IF(B6215&lt;C6215,1,EXP(-1*(B6215-C6215)/(Utilities!$B$11*IterData!H6215)))</f>
        <v>1</v>
      </c>
    </row>
    <row r="6216" spans="8:11" x14ac:dyDescent="0.3">
      <c r="H6216">
        <v>0.5</v>
      </c>
      <c r="I6216" s="11">
        <f t="shared" si="97"/>
        <v>0</v>
      </c>
      <c r="J6216" s="11">
        <f>1/(H6216*Utilities!$B$11)</f>
        <v>8</v>
      </c>
      <c r="K6216" s="11">
        <f>IF(B6216&lt;C6216,1,EXP(-1*(B6216-C6216)/(Utilities!$B$11*IterData!H6216)))</f>
        <v>1</v>
      </c>
    </row>
    <row r="6217" spans="8:11" x14ac:dyDescent="0.3">
      <c r="H6217">
        <v>0.5</v>
      </c>
      <c r="I6217" s="11">
        <f t="shared" si="97"/>
        <v>0</v>
      </c>
      <c r="J6217" s="11">
        <f>1/(H6217*Utilities!$B$11)</f>
        <v>8</v>
      </c>
      <c r="K6217" s="11">
        <f>IF(B6217&lt;C6217,1,EXP(-1*(B6217-C6217)/(Utilities!$B$11*IterData!H6217)))</f>
        <v>1</v>
      </c>
    </row>
    <row r="6218" spans="8:11" x14ac:dyDescent="0.3">
      <c r="H6218">
        <v>0.5</v>
      </c>
      <c r="I6218" s="11">
        <f t="shared" si="97"/>
        <v>0</v>
      </c>
      <c r="J6218" s="11">
        <f>1/(H6218*Utilities!$B$11)</f>
        <v>8</v>
      </c>
      <c r="K6218" s="11">
        <f>IF(B6218&lt;C6218,1,EXP(-1*(B6218-C6218)/(Utilities!$B$11*IterData!H6218)))</f>
        <v>1</v>
      </c>
    </row>
    <row r="6219" spans="8:11" x14ac:dyDescent="0.3">
      <c r="H6219">
        <v>0.5</v>
      </c>
      <c r="I6219" s="11">
        <f t="shared" si="97"/>
        <v>0</v>
      </c>
      <c r="J6219" s="11">
        <f>1/(H6219*Utilities!$B$11)</f>
        <v>8</v>
      </c>
      <c r="K6219" s="11">
        <f>IF(B6219&lt;C6219,1,EXP(-1*(B6219-C6219)/(Utilities!$B$11*IterData!H6219)))</f>
        <v>1</v>
      </c>
    </row>
    <row r="6220" spans="8:11" x14ac:dyDescent="0.3">
      <c r="H6220">
        <v>0.5</v>
      </c>
      <c r="I6220" s="11">
        <f t="shared" si="97"/>
        <v>0</v>
      </c>
      <c r="J6220" s="11">
        <f>1/(H6220*Utilities!$B$11)</f>
        <v>8</v>
      </c>
      <c r="K6220" s="11">
        <f>IF(B6220&lt;C6220,1,EXP(-1*(B6220-C6220)/(Utilities!$B$11*IterData!H6220)))</f>
        <v>1</v>
      </c>
    </row>
    <row r="6221" spans="8:11" x14ac:dyDescent="0.3">
      <c r="H6221">
        <v>0.5</v>
      </c>
      <c r="I6221" s="11">
        <f t="shared" si="97"/>
        <v>0</v>
      </c>
      <c r="J6221" s="11">
        <f>1/(H6221*Utilities!$B$11)</f>
        <v>8</v>
      </c>
      <c r="K6221" s="11">
        <f>IF(B6221&lt;C6221,1,EXP(-1*(B6221-C6221)/(Utilities!$B$11*IterData!H6221)))</f>
        <v>1</v>
      </c>
    </row>
    <row r="6222" spans="8:11" x14ac:dyDescent="0.3">
      <c r="H6222">
        <v>0.5</v>
      </c>
      <c r="I6222" s="11">
        <f t="shared" si="97"/>
        <v>0</v>
      </c>
      <c r="J6222" s="11">
        <f>1/(H6222*Utilities!$B$11)</f>
        <v>8</v>
      </c>
      <c r="K6222" s="11">
        <f>IF(B6222&lt;C6222,1,EXP(-1*(B6222-C6222)/(Utilities!$B$11*IterData!H6222)))</f>
        <v>1</v>
      </c>
    </row>
    <row r="6223" spans="8:11" x14ac:dyDescent="0.3">
      <c r="H6223">
        <v>0.5</v>
      </c>
      <c r="I6223" s="11">
        <f t="shared" si="97"/>
        <v>0</v>
      </c>
      <c r="J6223" s="11">
        <f>1/(H6223*Utilities!$B$11)</f>
        <v>8</v>
      </c>
      <c r="K6223" s="11">
        <f>IF(B6223&lt;C6223,1,EXP(-1*(B6223-C6223)/(Utilities!$B$11*IterData!H6223)))</f>
        <v>1</v>
      </c>
    </row>
    <row r="6224" spans="8:11" x14ac:dyDescent="0.3">
      <c r="H6224">
        <v>0.5</v>
      </c>
      <c r="I6224" s="11">
        <f t="shared" si="97"/>
        <v>0</v>
      </c>
      <c r="J6224" s="11">
        <f>1/(H6224*Utilities!$B$11)</f>
        <v>8</v>
      </c>
      <c r="K6224" s="11">
        <f>IF(B6224&lt;C6224,1,EXP(-1*(B6224-C6224)/(Utilities!$B$11*IterData!H6224)))</f>
        <v>1</v>
      </c>
    </row>
    <row r="6225" spans="8:11" x14ac:dyDescent="0.3">
      <c r="H6225">
        <v>0.5</v>
      </c>
      <c r="I6225" s="11">
        <f t="shared" si="97"/>
        <v>0</v>
      </c>
      <c r="J6225" s="11">
        <f>1/(H6225*Utilities!$B$11)</f>
        <v>8</v>
      </c>
      <c r="K6225" s="11">
        <f>IF(B6225&lt;C6225,1,EXP(-1*(B6225-C6225)/(Utilities!$B$11*IterData!H6225)))</f>
        <v>1</v>
      </c>
    </row>
    <row r="6226" spans="8:11" x14ac:dyDescent="0.3">
      <c r="H6226">
        <v>0.5</v>
      </c>
      <c r="I6226" s="11">
        <f t="shared" si="97"/>
        <v>0</v>
      </c>
      <c r="J6226" s="11">
        <f>1/(H6226*Utilities!$B$11)</f>
        <v>8</v>
      </c>
      <c r="K6226" s="11">
        <f>IF(B6226&lt;C6226,1,EXP(-1*(B6226-C6226)/(Utilities!$B$11*IterData!H6226)))</f>
        <v>1</v>
      </c>
    </row>
    <row r="6227" spans="8:11" x14ac:dyDescent="0.3">
      <c r="H6227">
        <v>0.5</v>
      </c>
      <c r="I6227" s="11">
        <f t="shared" si="97"/>
        <v>0</v>
      </c>
      <c r="J6227" s="11">
        <f>1/(H6227*Utilities!$B$11)</f>
        <v>8</v>
      </c>
      <c r="K6227" s="11">
        <f>IF(B6227&lt;C6227,1,EXP(-1*(B6227-C6227)/(Utilities!$B$11*IterData!H6227)))</f>
        <v>1</v>
      </c>
    </row>
    <row r="6228" spans="8:11" x14ac:dyDescent="0.3">
      <c r="H6228">
        <v>0.5</v>
      </c>
      <c r="I6228" s="11">
        <f t="shared" si="97"/>
        <v>0</v>
      </c>
      <c r="J6228" s="11">
        <f>1/(H6228*Utilities!$B$11)</f>
        <v>8</v>
      </c>
      <c r="K6228" s="11">
        <f>IF(B6228&lt;C6228,1,EXP(-1*(B6228-C6228)/(Utilities!$B$11*IterData!H6228)))</f>
        <v>1</v>
      </c>
    </row>
    <row r="6229" spans="8:11" x14ac:dyDescent="0.3">
      <c r="H6229">
        <v>0.5</v>
      </c>
      <c r="I6229" s="11">
        <f t="shared" si="97"/>
        <v>0</v>
      </c>
      <c r="J6229" s="11">
        <f>1/(H6229*Utilities!$B$11)</f>
        <v>8</v>
      </c>
      <c r="K6229" s="11">
        <f>IF(B6229&lt;C6229,1,EXP(-1*(B6229-C6229)/(Utilities!$B$11*IterData!H6229)))</f>
        <v>1</v>
      </c>
    </row>
    <row r="6230" spans="8:11" x14ac:dyDescent="0.3">
      <c r="H6230">
        <v>0.5</v>
      </c>
      <c r="I6230" s="11">
        <f t="shared" si="97"/>
        <v>0</v>
      </c>
      <c r="J6230" s="11">
        <f>1/(H6230*Utilities!$B$11)</f>
        <v>8</v>
      </c>
      <c r="K6230" s="11">
        <f>IF(B6230&lt;C6230,1,EXP(-1*(B6230-C6230)/(Utilities!$B$11*IterData!H6230)))</f>
        <v>1</v>
      </c>
    </row>
    <row r="6231" spans="8:11" x14ac:dyDescent="0.3">
      <c r="H6231">
        <v>0.5</v>
      </c>
      <c r="I6231" s="11">
        <f t="shared" si="97"/>
        <v>0</v>
      </c>
      <c r="J6231" s="11">
        <f>1/(H6231*Utilities!$B$11)</f>
        <v>8</v>
      </c>
      <c r="K6231" s="11">
        <f>IF(B6231&lt;C6231,1,EXP(-1*(B6231-C6231)/(Utilities!$B$11*IterData!H6231)))</f>
        <v>1</v>
      </c>
    </row>
    <row r="6232" spans="8:11" x14ac:dyDescent="0.3">
      <c r="H6232">
        <v>0.5</v>
      </c>
      <c r="I6232" s="11">
        <f t="shared" si="97"/>
        <v>0</v>
      </c>
      <c r="J6232" s="11">
        <f>1/(H6232*Utilities!$B$11)</f>
        <v>8</v>
      </c>
      <c r="K6232" s="11">
        <f>IF(B6232&lt;C6232,1,EXP(-1*(B6232-C6232)/(Utilities!$B$11*IterData!H6232)))</f>
        <v>1</v>
      </c>
    </row>
    <row r="6233" spans="8:11" x14ac:dyDescent="0.3">
      <c r="H6233">
        <v>0.5</v>
      </c>
      <c r="I6233" s="11">
        <f t="shared" si="97"/>
        <v>0</v>
      </c>
      <c r="J6233" s="11">
        <f>1/(H6233*Utilities!$B$11)</f>
        <v>8</v>
      </c>
      <c r="K6233" s="11">
        <f>IF(B6233&lt;C6233,1,EXP(-1*(B6233-C6233)/(Utilities!$B$11*IterData!H6233)))</f>
        <v>1</v>
      </c>
    </row>
    <row r="6234" spans="8:11" x14ac:dyDescent="0.3">
      <c r="H6234">
        <v>0.5</v>
      </c>
      <c r="I6234" s="11">
        <f t="shared" si="97"/>
        <v>0</v>
      </c>
      <c r="J6234" s="11">
        <f>1/(H6234*Utilities!$B$11)</f>
        <v>8</v>
      </c>
      <c r="K6234" s="11">
        <f>IF(B6234&lt;C6234,1,EXP(-1*(B6234-C6234)/(Utilities!$B$11*IterData!H6234)))</f>
        <v>1</v>
      </c>
    </row>
    <row r="6235" spans="8:11" x14ac:dyDescent="0.3">
      <c r="H6235">
        <v>0.5</v>
      </c>
      <c r="I6235" s="11">
        <f t="shared" si="97"/>
        <v>0</v>
      </c>
      <c r="J6235" s="11">
        <f>1/(H6235*Utilities!$B$11)</f>
        <v>8</v>
      </c>
      <c r="K6235" s="11">
        <f>IF(B6235&lt;C6235,1,EXP(-1*(B6235-C6235)/(Utilities!$B$11*IterData!H6235)))</f>
        <v>1</v>
      </c>
    </row>
    <row r="6236" spans="8:11" x14ac:dyDescent="0.3">
      <c r="H6236">
        <v>0.5</v>
      </c>
      <c r="I6236" s="11">
        <f t="shared" si="97"/>
        <v>0</v>
      </c>
      <c r="J6236" s="11">
        <f>1/(H6236*Utilities!$B$11)</f>
        <v>8</v>
      </c>
      <c r="K6236" s="11">
        <f>IF(B6236&lt;C6236,1,EXP(-1*(B6236-C6236)/(Utilities!$B$11*IterData!H6236)))</f>
        <v>1</v>
      </c>
    </row>
    <row r="6237" spans="8:11" x14ac:dyDescent="0.3">
      <c r="H6237">
        <v>0.5</v>
      </c>
      <c r="I6237" s="11">
        <f t="shared" si="97"/>
        <v>0</v>
      </c>
      <c r="J6237" s="11">
        <f>1/(H6237*Utilities!$B$11)</f>
        <v>8</v>
      </c>
      <c r="K6237" s="11">
        <f>IF(B6237&lt;C6237,1,EXP(-1*(B6237-C6237)/(Utilities!$B$11*IterData!H6237)))</f>
        <v>1</v>
      </c>
    </row>
    <row r="6238" spans="8:11" x14ac:dyDescent="0.3">
      <c r="H6238">
        <v>0.5</v>
      </c>
      <c r="I6238" s="11">
        <f t="shared" si="97"/>
        <v>0</v>
      </c>
      <c r="J6238" s="11">
        <f>1/(H6238*Utilities!$B$11)</f>
        <v>8</v>
      </c>
      <c r="K6238" s="11">
        <f>IF(B6238&lt;C6238,1,EXP(-1*(B6238-C6238)/(Utilities!$B$11*IterData!H6238)))</f>
        <v>1</v>
      </c>
    </row>
    <row r="6239" spans="8:11" x14ac:dyDescent="0.3">
      <c r="H6239">
        <v>0.5</v>
      </c>
      <c r="I6239" s="11">
        <f t="shared" si="97"/>
        <v>0</v>
      </c>
      <c r="J6239" s="11">
        <f>1/(H6239*Utilities!$B$11)</f>
        <v>8</v>
      </c>
      <c r="K6239" s="11">
        <f>IF(B6239&lt;C6239,1,EXP(-1*(B6239-C6239)/(Utilities!$B$11*IterData!H6239)))</f>
        <v>1</v>
      </c>
    </row>
    <row r="6240" spans="8:11" x14ac:dyDescent="0.3">
      <c r="H6240">
        <v>0.5</v>
      </c>
      <c r="I6240" s="11">
        <f t="shared" si="97"/>
        <v>0</v>
      </c>
      <c r="J6240" s="11">
        <f>1/(H6240*Utilities!$B$11)</f>
        <v>8</v>
      </c>
      <c r="K6240" s="11">
        <f>IF(B6240&lt;C6240,1,EXP(-1*(B6240-C6240)/(Utilities!$B$11*IterData!H6240)))</f>
        <v>1</v>
      </c>
    </row>
    <row r="6241" spans="8:11" x14ac:dyDescent="0.3">
      <c r="H6241">
        <v>0.5</v>
      </c>
      <c r="I6241" s="11">
        <f t="shared" si="97"/>
        <v>0</v>
      </c>
      <c r="J6241" s="11">
        <f>1/(H6241*Utilities!$B$11)</f>
        <v>8</v>
      </c>
      <c r="K6241" s="11">
        <f>IF(B6241&lt;C6241,1,EXP(-1*(B6241-C6241)/(Utilities!$B$11*IterData!H6241)))</f>
        <v>1</v>
      </c>
    </row>
    <row r="6242" spans="8:11" x14ac:dyDescent="0.3">
      <c r="H6242">
        <v>0.5</v>
      </c>
      <c r="I6242" s="11">
        <f t="shared" si="97"/>
        <v>0</v>
      </c>
      <c r="J6242" s="11">
        <f>1/(H6242*Utilities!$B$11)</f>
        <v>8</v>
      </c>
      <c r="K6242" s="11">
        <f>IF(B6242&lt;C6242,1,EXP(-1*(B6242-C6242)/(Utilities!$B$11*IterData!H6242)))</f>
        <v>1</v>
      </c>
    </row>
    <row r="6243" spans="8:11" x14ac:dyDescent="0.3">
      <c r="H6243">
        <v>0.5</v>
      </c>
      <c r="I6243" s="11">
        <f t="shared" si="97"/>
        <v>0</v>
      </c>
      <c r="J6243" s="11">
        <f>1/(H6243*Utilities!$B$11)</f>
        <v>8</v>
      </c>
      <c r="K6243" s="11">
        <f>IF(B6243&lt;C6243,1,EXP(-1*(B6243-C6243)/(Utilities!$B$11*IterData!H6243)))</f>
        <v>1</v>
      </c>
    </row>
    <row r="6244" spans="8:11" x14ac:dyDescent="0.3">
      <c r="H6244">
        <v>0.5</v>
      </c>
      <c r="I6244" s="11">
        <f t="shared" si="97"/>
        <v>0</v>
      </c>
      <c r="J6244" s="11">
        <f>1/(H6244*Utilities!$B$11)</f>
        <v>8</v>
      </c>
      <c r="K6244" s="11">
        <f>IF(B6244&lt;C6244,1,EXP(-1*(B6244-C6244)/(Utilities!$B$11*IterData!H6244)))</f>
        <v>1</v>
      </c>
    </row>
    <row r="6245" spans="8:11" x14ac:dyDescent="0.3">
      <c r="H6245">
        <v>0.5</v>
      </c>
      <c r="I6245" s="11">
        <f t="shared" si="97"/>
        <v>0</v>
      </c>
      <c r="J6245" s="11">
        <f>1/(H6245*Utilities!$B$11)</f>
        <v>8</v>
      </c>
      <c r="K6245" s="11">
        <f>IF(B6245&lt;C6245,1,EXP(-1*(B6245-C6245)/(Utilities!$B$11*IterData!H6245)))</f>
        <v>1</v>
      </c>
    </row>
    <row r="6246" spans="8:11" x14ac:dyDescent="0.3">
      <c r="H6246">
        <v>0.5</v>
      </c>
      <c r="I6246" s="11">
        <f t="shared" si="97"/>
        <v>0</v>
      </c>
      <c r="J6246" s="11">
        <f>1/(H6246*Utilities!$B$11)</f>
        <v>8</v>
      </c>
      <c r="K6246" s="11">
        <f>IF(B6246&lt;C6246,1,EXP(-1*(B6246-C6246)/(Utilities!$B$11*IterData!H6246)))</f>
        <v>1</v>
      </c>
    </row>
    <row r="6247" spans="8:11" x14ac:dyDescent="0.3">
      <c r="H6247">
        <v>0.5</v>
      </c>
      <c r="I6247" s="11">
        <f t="shared" si="97"/>
        <v>0</v>
      </c>
      <c r="J6247" s="11">
        <f>1/(H6247*Utilities!$B$11)</f>
        <v>8</v>
      </c>
      <c r="K6247" s="11">
        <f>IF(B6247&lt;C6247,1,EXP(-1*(B6247-C6247)/(Utilities!$B$11*IterData!H6247)))</f>
        <v>1</v>
      </c>
    </row>
    <row r="6248" spans="8:11" x14ac:dyDescent="0.3">
      <c r="H6248">
        <v>0.5</v>
      </c>
      <c r="I6248" s="11">
        <f t="shared" si="97"/>
        <v>0</v>
      </c>
      <c r="J6248" s="11">
        <f>1/(H6248*Utilities!$B$11)</f>
        <v>8</v>
      </c>
      <c r="K6248" s="11">
        <f>IF(B6248&lt;C6248,1,EXP(-1*(B6248-C6248)/(Utilities!$B$11*IterData!H6248)))</f>
        <v>1</v>
      </c>
    </row>
    <row r="6249" spans="8:11" x14ac:dyDescent="0.3">
      <c r="H6249">
        <v>0.5</v>
      </c>
      <c r="I6249" s="11">
        <f t="shared" si="97"/>
        <v>0</v>
      </c>
      <c r="J6249" s="11">
        <f>1/(H6249*Utilities!$B$11)</f>
        <v>8</v>
      </c>
      <c r="K6249" s="11">
        <f>IF(B6249&lt;C6249,1,EXP(-1*(B6249-C6249)/(Utilities!$B$11*IterData!H6249)))</f>
        <v>1</v>
      </c>
    </row>
    <row r="6250" spans="8:11" x14ac:dyDescent="0.3">
      <c r="H6250">
        <v>0.5</v>
      </c>
      <c r="I6250" s="11">
        <f t="shared" si="97"/>
        <v>0</v>
      </c>
      <c r="J6250" s="11">
        <f>1/(H6250*Utilities!$B$11)</f>
        <v>8</v>
      </c>
      <c r="K6250" s="11">
        <f>IF(B6250&lt;C6250,1,EXP(-1*(B6250-C6250)/(Utilities!$B$11*IterData!H6250)))</f>
        <v>1</v>
      </c>
    </row>
    <row r="6251" spans="8:11" x14ac:dyDescent="0.3">
      <c r="H6251">
        <v>0.5</v>
      </c>
      <c r="I6251" s="11">
        <f t="shared" si="97"/>
        <v>0</v>
      </c>
      <c r="J6251" s="11">
        <f>1/(H6251*Utilities!$B$11)</f>
        <v>8</v>
      </c>
      <c r="K6251" s="11">
        <f>IF(B6251&lt;C6251,1,EXP(-1*(B6251-C6251)/(Utilities!$B$11*IterData!H6251)))</f>
        <v>1</v>
      </c>
    </row>
    <row r="6252" spans="8:11" x14ac:dyDescent="0.3">
      <c r="H6252">
        <v>0.5</v>
      </c>
      <c r="I6252" s="11">
        <f t="shared" si="97"/>
        <v>0</v>
      </c>
      <c r="J6252" s="11">
        <f>1/(H6252*Utilities!$B$11)</f>
        <v>8</v>
      </c>
      <c r="K6252" s="11">
        <f>IF(B6252&lt;C6252,1,EXP(-1*(B6252-C6252)/(Utilities!$B$11*IterData!H6252)))</f>
        <v>1</v>
      </c>
    </row>
    <row r="6253" spans="8:11" x14ac:dyDescent="0.3">
      <c r="H6253">
        <v>0.5</v>
      </c>
      <c r="I6253" s="11">
        <f t="shared" si="97"/>
        <v>0</v>
      </c>
      <c r="J6253" s="11">
        <f>1/(H6253*Utilities!$B$11)</f>
        <v>8</v>
      </c>
      <c r="K6253" s="11">
        <f>IF(B6253&lt;C6253,1,EXP(-1*(B6253-C6253)/(Utilities!$B$11*IterData!H6253)))</f>
        <v>1</v>
      </c>
    </row>
    <row r="6254" spans="8:11" x14ac:dyDescent="0.3">
      <c r="H6254">
        <v>0.5</v>
      </c>
      <c r="I6254" s="11">
        <f t="shared" si="97"/>
        <v>0</v>
      </c>
      <c r="J6254" s="11">
        <f>1/(H6254*Utilities!$B$11)</f>
        <v>8</v>
      </c>
      <c r="K6254" s="11">
        <f>IF(B6254&lt;C6254,1,EXP(-1*(B6254-C6254)/(Utilities!$B$11*IterData!H6254)))</f>
        <v>1</v>
      </c>
    </row>
    <row r="6255" spans="8:11" x14ac:dyDescent="0.3">
      <c r="H6255">
        <v>0.5</v>
      </c>
      <c r="I6255" s="11">
        <f t="shared" si="97"/>
        <v>0</v>
      </c>
      <c r="J6255" s="11">
        <f>1/(H6255*Utilities!$B$11)</f>
        <v>8</v>
      </c>
      <c r="K6255" s="11">
        <f>IF(B6255&lt;C6255,1,EXP(-1*(B6255-C6255)/(Utilities!$B$11*IterData!H6255)))</f>
        <v>1</v>
      </c>
    </row>
    <row r="6256" spans="8:11" x14ac:dyDescent="0.3">
      <c r="H6256">
        <v>0.5</v>
      </c>
      <c r="I6256" s="11">
        <f t="shared" si="97"/>
        <v>0</v>
      </c>
      <c r="J6256" s="11">
        <f>1/(H6256*Utilities!$B$11)</f>
        <v>8</v>
      </c>
      <c r="K6256" s="11">
        <f>IF(B6256&lt;C6256,1,EXP(-1*(B6256-C6256)/(Utilities!$B$11*IterData!H6256)))</f>
        <v>1</v>
      </c>
    </row>
    <row r="6257" spans="8:11" x14ac:dyDescent="0.3">
      <c r="H6257">
        <v>0.5</v>
      </c>
      <c r="I6257" s="11">
        <f t="shared" si="97"/>
        <v>0</v>
      </c>
      <c r="J6257" s="11">
        <f>1/(H6257*Utilities!$B$11)</f>
        <v>8</v>
      </c>
      <c r="K6257" s="11">
        <f>IF(B6257&lt;C6257,1,EXP(-1*(B6257-C6257)/(Utilities!$B$11*IterData!H6257)))</f>
        <v>1</v>
      </c>
    </row>
    <row r="6258" spans="8:11" x14ac:dyDescent="0.3">
      <c r="H6258">
        <v>0.5</v>
      </c>
      <c r="I6258" s="11">
        <f t="shared" si="97"/>
        <v>0</v>
      </c>
      <c r="J6258" s="11">
        <f>1/(H6258*Utilities!$B$11)</f>
        <v>8</v>
      </c>
      <c r="K6258" s="11">
        <f>IF(B6258&lt;C6258,1,EXP(-1*(B6258-C6258)/(Utilities!$B$11*IterData!H6258)))</f>
        <v>1</v>
      </c>
    </row>
    <row r="6259" spans="8:11" x14ac:dyDescent="0.3">
      <c r="H6259">
        <v>0.5</v>
      </c>
      <c r="I6259" s="11">
        <f t="shared" si="97"/>
        <v>0</v>
      </c>
      <c r="J6259" s="11">
        <f>1/(H6259*Utilities!$B$11)</f>
        <v>8</v>
      </c>
      <c r="K6259" s="11">
        <f>IF(B6259&lt;C6259,1,EXP(-1*(B6259-C6259)/(Utilities!$B$11*IterData!H6259)))</f>
        <v>1</v>
      </c>
    </row>
    <row r="6260" spans="8:11" x14ac:dyDescent="0.3">
      <c r="H6260">
        <v>0.5</v>
      </c>
      <c r="I6260" s="11">
        <f t="shared" si="97"/>
        <v>0</v>
      </c>
      <c r="J6260" s="11">
        <f>1/(H6260*Utilities!$B$11)</f>
        <v>8</v>
      </c>
      <c r="K6260" s="11">
        <f>IF(B6260&lt;C6260,1,EXP(-1*(B6260-C6260)/(Utilities!$B$11*IterData!H6260)))</f>
        <v>1</v>
      </c>
    </row>
    <row r="6261" spans="8:11" x14ac:dyDescent="0.3">
      <c r="H6261">
        <v>0.5</v>
      </c>
      <c r="I6261" s="11">
        <f t="shared" si="97"/>
        <v>0</v>
      </c>
      <c r="J6261" s="11">
        <f>1/(H6261*Utilities!$B$11)</f>
        <v>8</v>
      </c>
      <c r="K6261" s="11">
        <f>IF(B6261&lt;C6261,1,EXP(-1*(B6261-C6261)/(Utilities!$B$11*IterData!H6261)))</f>
        <v>1</v>
      </c>
    </row>
    <row r="6262" spans="8:11" x14ac:dyDescent="0.3">
      <c r="H6262">
        <v>0.5</v>
      </c>
      <c r="I6262" s="11">
        <f t="shared" si="97"/>
        <v>0</v>
      </c>
      <c r="J6262" s="11">
        <f>1/(H6262*Utilities!$B$11)</f>
        <v>8</v>
      </c>
      <c r="K6262" s="11">
        <f>IF(B6262&lt;C6262,1,EXP(-1*(B6262-C6262)/(Utilities!$B$11*IterData!H6262)))</f>
        <v>1</v>
      </c>
    </row>
    <row r="6263" spans="8:11" x14ac:dyDescent="0.3">
      <c r="H6263">
        <v>0.5</v>
      </c>
      <c r="I6263" s="11">
        <f t="shared" si="97"/>
        <v>0</v>
      </c>
      <c r="J6263" s="11">
        <f>1/(H6263*Utilities!$B$11)</f>
        <v>8</v>
      </c>
      <c r="K6263" s="11">
        <f>IF(B6263&lt;C6263,1,EXP(-1*(B6263-C6263)/(Utilities!$B$11*IterData!H6263)))</f>
        <v>1</v>
      </c>
    </row>
    <row r="6264" spans="8:11" x14ac:dyDescent="0.3">
      <c r="H6264">
        <v>0.5</v>
      </c>
      <c r="I6264" s="11">
        <f t="shared" si="97"/>
        <v>0</v>
      </c>
      <c r="J6264" s="11">
        <f>1/(H6264*Utilities!$B$11)</f>
        <v>8</v>
      </c>
      <c r="K6264" s="11">
        <f>IF(B6264&lt;C6264,1,EXP(-1*(B6264-C6264)/(Utilities!$B$11*IterData!H6264)))</f>
        <v>1</v>
      </c>
    </row>
    <row r="6265" spans="8:11" x14ac:dyDescent="0.3">
      <c r="H6265">
        <v>0.5</v>
      </c>
      <c r="I6265" s="11">
        <f t="shared" si="97"/>
        <v>0</v>
      </c>
      <c r="J6265" s="11">
        <f>1/(H6265*Utilities!$B$11)</f>
        <v>8</v>
      </c>
      <c r="K6265" s="11">
        <f>IF(B6265&lt;C6265,1,EXP(-1*(B6265-C6265)/(Utilities!$B$11*IterData!H6265)))</f>
        <v>1</v>
      </c>
    </row>
    <row r="6266" spans="8:11" x14ac:dyDescent="0.3">
      <c r="H6266">
        <v>0.5</v>
      </c>
      <c r="I6266" s="11">
        <f t="shared" si="97"/>
        <v>0</v>
      </c>
      <c r="J6266" s="11">
        <f>1/(H6266*Utilities!$B$11)</f>
        <v>8</v>
      </c>
      <c r="K6266" s="11">
        <f>IF(B6266&lt;C6266,1,EXP(-1*(B6266-C6266)/(Utilities!$B$11*IterData!H6266)))</f>
        <v>1</v>
      </c>
    </row>
    <row r="6267" spans="8:11" x14ac:dyDescent="0.3">
      <c r="H6267">
        <v>0.5</v>
      </c>
      <c r="I6267" s="11">
        <f t="shared" si="97"/>
        <v>0</v>
      </c>
      <c r="J6267" s="11">
        <f>1/(H6267*Utilities!$B$11)</f>
        <v>8</v>
      </c>
      <c r="K6267" s="11">
        <f>IF(B6267&lt;C6267,1,EXP(-1*(B6267-C6267)/(Utilities!$B$11*IterData!H6267)))</f>
        <v>1</v>
      </c>
    </row>
    <row r="6268" spans="8:11" x14ac:dyDescent="0.3">
      <c r="H6268">
        <v>0.5</v>
      </c>
      <c r="I6268" s="11">
        <f t="shared" si="97"/>
        <v>0</v>
      </c>
      <c r="J6268" s="11">
        <f>1/(H6268*Utilities!$B$11)</f>
        <v>8</v>
      </c>
      <c r="K6268" s="11">
        <f>IF(B6268&lt;C6268,1,EXP(-1*(B6268-C6268)/(Utilities!$B$11*IterData!H6268)))</f>
        <v>1</v>
      </c>
    </row>
    <row r="6269" spans="8:11" x14ac:dyDescent="0.3">
      <c r="H6269">
        <v>0.5</v>
      </c>
      <c r="I6269" s="11">
        <f t="shared" si="97"/>
        <v>0</v>
      </c>
      <c r="J6269" s="11">
        <f>1/(H6269*Utilities!$B$11)</f>
        <v>8</v>
      </c>
      <c r="K6269" s="11">
        <f>IF(B6269&lt;C6269,1,EXP(-1*(B6269-C6269)/(Utilities!$B$11*IterData!H6269)))</f>
        <v>1</v>
      </c>
    </row>
    <row r="6270" spans="8:11" x14ac:dyDescent="0.3">
      <c r="H6270">
        <v>0.5</v>
      </c>
      <c r="I6270" s="11">
        <f t="shared" si="97"/>
        <v>0</v>
      </c>
      <c r="J6270" s="11">
        <f>1/(H6270*Utilities!$B$11)</f>
        <v>8</v>
      </c>
      <c r="K6270" s="11">
        <f>IF(B6270&lt;C6270,1,EXP(-1*(B6270-C6270)/(Utilities!$B$11*IterData!H6270)))</f>
        <v>1</v>
      </c>
    </row>
    <row r="6271" spans="8:11" x14ac:dyDescent="0.3">
      <c r="H6271">
        <v>0.5</v>
      </c>
      <c r="I6271" s="11">
        <f t="shared" si="97"/>
        <v>0</v>
      </c>
      <c r="J6271" s="11">
        <f>1/(H6271*Utilities!$B$11)</f>
        <v>8</v>
      </c>
      <c r="K6271" s="11">
        <f>IF(B6271&lt;C6271,1,EXP(-1*(B6271-C6271)/(Utilities!$B$11*IterData!H6271)))</f>
        <v>1</v>
      </c>
    </row>
    <row r="6272" spans="8:11" x14ac:dyDescent="0.3">
      <c r="H6272">
        <v>0.5</v>
      </c>
      <c r="I6272" s="11">
        <f t="shared" si="97"/>
        <v>0</v>
      </c>
      <c r="J6272" s="11">
        <f>1/(H6272*Utilities!$B$11)</f>
        <v>8</v>
      </c>
      <c r="K6272" s="11">
        <f>IF(B6272&lt;C6272,1,EXP(-1*(B6272-C6272)/(Utilities!$B$11*IterData!H6272)))</f>
        <v>1</v>
      </c>
    </row>
    <row r="6273" spans="8:11" x14ac:dyDescent="0.3">
      <c r="H6273">
        <v>0.5</v>
      </c>
      <c r="I6273" s="11">
        <f t="shared" si="97"/>
        <v>0</v>
      </c>
      <c r="J6273" s="11">
        <f>1/(H6273*Utilities!$B$11)</f>
        <v>8</v>
      </c>
      <c r="K6273" s="11">
        <f>IF(B6273&lt;C6273,1,EXP(-1*(B6273-C6273)/(Utilities!$B$11*IterData!H6273)))</f>
        <v>1</v>
      </c>
    </row>
    <row r="6274" spans="8:11" x14ac:dyDescent="0.3">
      <c r="H6274">
        <v>0.5</v>
      </c>
      <c r="I6274" s="11">
        <f t="shared" si="97"/>
        <v>0</v>
      </c>
      <c r="J6274" s="11">
        <f>1/(H6274*Utilities!$B$11)</f>
        <v>8</v>
      </c>
      <c r="K6274" s="11">
        <f>IF(B6274&lt;C6274,1,EXP(-1*(B6274-C6274)/(Utilities!$B$11*IterData!H6274)))</f>
        <v>1</v>
      </c>
    </row>
    <row r="6275" spans="8:11" x14ac:dyDescent="0.3">
      <c r="H6275">
        <v>0.5</v>
      </c>
      <c r="I6275" s="11">
        <f t="shared" ref="I6275:I6338" si="98">B6275-C6275</f>
        <v>0</v>
      </c>
      <c r="J6275" s="11">
        <f>1/(H6275*Utilities!$B$11)</f>
        <v>8</v>
      </c>
      <c r="K6275" s="11">
        <f>IF(B6275&lt;C6275,1,EXP(-1*(B6275-C6275)/(Utilities!$B$11*IterData!H6275)))</f>
        <v>1</v>
      </c>
    </row>
    <row r="6276" spans="8:11" x14ac:dyDescent="0.3">
      <c r="H6276">
        <v>0.5</v>
      </c>
      <c r="I6276" s="11">
        <f t="shared" si="98"/>
        <v>0</v>
      </c>
      <c r="J6276" s="11">
        <f>1/(H6276*Utilities!$B$11)</f>
        <v>8</v>
      </c>
      <c r="K6276" s="11">
        <f>IF(B6276&lt;C6276,1,EXP(-1*(B6276-C6276)/(Utilities!$B$11*IterData!H6276)))</f>
        <v>1</v>
      </c>
    </row>
    <row r="6277" spans="8:11" x14ac:dyDescent="0.3">
      <c r="H6277">
        <v>0.5</v>
      </c>
      <c r="I6277" s="11">
        <f t="shared" si="98"/>
        <v>0</v>
      </c>
      <c r="J6277" s="11">
        <f>1/(H6277*Utilities!$B$11)</f>
        <v>8</v>
      </c>
      <c r="K6277" s="11">
        <f>IF(B6277&lt;C6277,1,EXP(-1*(B6277-C6277)/(Utilities!$B$11*IterData!H6277)))</f>
        <v>1</v>
      </c>
    </row>
    <row r="6278" spans="8:11" x14ac:dyDescent="0.3">
      <c r="H6278">
        <v>0.5</v>
      </c>
      <c r="I6278" s="11">
        <f t="shared" si="98"/>
        <v>0</v>
      </c>
      <c r="J6278" s="11">
        <f>1/(H6278*Utilities!$B$11)</f>
        <v>8</v>
      </c>
      <c r="K6278" s="11">
        <f>IF(B6278&lt;C6278,1,EXP(-1*(B6278-C6278)/(Utilities!$B$11*IterData!H6278)))</f>
        <v>1</v>
      </c>
    </row>
    <row r="6279" spans="8:11" x14ac:dyDescent="0.3">
      <c r="H6279">
        <v>0.5</v>
      </c>
      <c r="I6279" s="11">
        <f t="shared" si="98"/>
        <v>0</v>
      </c>
      <c r="J6279" s="11">
        <f>1/(H6279*Utilities!$B$11)</f>
        <v>8</v>
      </c>
      <c r="K6279" s="11">
        <f>IF(B6279&lt;C6279,1,EXP(-1*(B6279-C6279)/(Utilities!$B$11*IterData!H6279)))</f>
        <v>1</v>
      </c>
    </row>
    <row r="6280" spans="8:11" x14ac:dyDescent="0.3">
      <c r="H6280">
        <v>0.5</v>
      </c>
      <c r="I6280" s="11">
        <f t="shared" si="98"/>
        <v>0</v>
      </c>
      <c r="J6280" s="11">
        <f>1/(H6280*Utilities!$B$11)</f>
        <v>8</v>
      </c>
      <c r="K6280" s="11">
        <f>IF(B6280&lt;C6280,1,EXP(-1*(B6280-C6280)/(Utilities!$B$11*IterData!H6280)))</f>
        <v>1</v>
      </c>
    </row>
    <row r="6281" spans="8:11" x14ac:dyDescent="0.3">
      <c r="H6281">
        <v>0.5</v>
      </c>
      <c r="I6281" s="11">
        <f t="shared" si="98"/>
        <v>0</v>
      </c>
      <c r="J6281" s="11">
        <f>1/(H6281*Utilities!$B$11)</f>
        <v>8</v>
      </c>
      <c r="K6281" s="11">
        <f>IF(B6281&lt;C6281,1,EXP(-1*(B6281-C6281)/(Utilities!$B$11*IterData!H6281)))</f>
        <v>1</v>
      </c>
    </row>
    <row r="6282" spans="8:11" x14ac:dyDescent="0.3">
      <c r="H6282">
        <v>0.5</v>
      </c>
      <c r="I6282" s="11">
        <f t="shared" si="98"/>
        <v>0</v>
      </c>
      <c r="J6282" s="11">
        <f>1/(H6282*Utilities!$B$11)</f>
        <v>8</v>
      </c>
      <c r="K6282" s="11">
        <f>IF(B6282&lt;C6282,1,EXP(-1*(B6282-C6282)/(Utilities!$B$11*IterData!H6282)))</f>
        <v>1</v>
      </c>
    </row>
    <row r="6283" spans="8:11" x14ac:dyDescent="0.3">
      <c r="H6283">
        <v>0.5</v>
      </c>
      <c r="I6283" s="11">
        <f t="shared" si="98"/>
        <v>0</v>
      </c>
      <c r="J6283" s="11">
        <f>1/(H6283*Utilities!$B$11)</f>
        <v>8</v>
      </c>
      <c r="K6283" s="11">
        <f>IF(B6283&lt;C6283,1,EXP(-1*(B6283-C6283)/(Utilities!$B$11*IterData!H6283)))</f>
        <v>1</v>
      </c>
    </row>
    <row r="6284" spans="8:11" x14ac:dyDescent="0.3">
      <c r="H6284">
        <v>0.5</v>
      </c>
      <c r="I6284" s="11">
        <f t="shared" si="98"/>
        <v>0</v>
      </c>
      <c r="J6284" s="11">
        <f>1/(H6284*Utilities!$B$11)</f>
        <v>8</v>
      </c>
      <c r="K6284" s="11">
        <f>IF(B6284&lt;C6284,1,EXP(-1*(B6284-C6284)/(Utilities!$B$11*IterData!H6284)))</f>
        <v>1</v>
      </c>
    </row>
    <row r="6285" spans="8:11" x14ac:dyDescent="0.3">
      <c r="H6285">
        <v>0.5</v>
      </c>
      <c r="I6285" s="11">
        <f t="shared" si="98"/>
        <v>0</v>
      </c>
      <c r="J6285" s="11">
        <f>1/(H6285*Utilities!$B$11)</f>
        <v>8</v>
      </c>
      <c r="K6285" s="11">
        <f>IF(B6285&lt;C6285,1,EXP(-1*(B6285-C6285)/(Utilities!$B$11*IterData!H6285)))</f>
        <v>1</v>
      </c>
    </row>
    <row r="6286" spans="8:11" x14ac:dyDescent="0.3">
      <c r="H6286">
        <v>0.5</v>
      </c>
      <c r="I6286" s="11">
        <f t="shared" si="98"/>
        <v>0</v>
      </c>
      <c r="J6286" s="11">
        <f>1/(H6286*Utilities!$B$11)</f>
        <v>8</v>
      </c>
      <c r="K6286" s="11">
        <f>IF(B6286&lt;C6286,1,EXP(-1*(B6286-C6286)/(Utilities!$B$11*IterData!H6286)))</f>
        <v>1</v>
      </c>
    </row>
    <row r="6287" spans="8:11" x14ac:dyDescent="0.3">
      <c r="H6287">
        <v>0.5</v>
      </c>
      <c r="I6287" s="11">
        <f t="shared" si="98"/>
        <v>0</v>
      </c>
      <c r="J6287" s="11">
        <f>1/(H6287*Utilities!$B$11)</f>
        <v>8</v>
      </c>
      <c r="K6287" s="11">
        <f>IF(B6287&lt;C6287,1,EXP(-1*(B6287-C6287)/(Utilities!$B$11*IterData!H6287)))</f>
        <v>1</v>
      </c>
    </row>
    <row r="6288" spans="8:11" x14ac:dyDescent="0.3">
      <c r="H6288">
        <v>0.5</v>
      </c>
      <c r="I6288" s="11">
        <f t="shared" si="98"/>
        <v>0</v>
      </c>
      <c r="J6288" s="11">
        <f>1/(H6288*Utilities!$B$11)</f>
        <v>8</v>
      </c>
      <c r="K6288" s="11">
        <f>IF(B6288&lt;C6288,1,EXP(-1*(B6288-C6288)/(Utilities!$B$11*IterData!H6288)))</f>
        <v>1</v>
      </c>
    </row>
    <row r="6289" spans="8:11" x14ac:dyDescent="0.3">
      <c r="H6289">
        <v>0.5</v>
      </c>
      <c r="I6289" s="11">
        <f t="shared" si="98"/>
        <v>0</v>
      </c>
      <c r="J6289" s="11">
        <f>1/(H6289*Utilities!$B$11)</f>
        <v>8</v>
      </c>
      <c r="K6289" s="11">
        <f>IF(B6289&lt;C6289,1,EXP(-1*(B6289-C6289)/(Utilities!$B$11*IterData!H6289)))</f>
        <v>1</v>
      </c>
    </row>
    <row r="6290" spans="8:11" x14ac:dyDescent="0.3">
      <c r="H6290">
        <v>0.5</v>
      </c>
      <c r="I6290" s="11">
        <f t="shared" si="98"/>
        <v>0</v>
      </c>
      <c r="J6290" s="11">
        <f>1/(H6290*Utilities!$B$11)</f>
        <v>8</v>
      </c>
      <c r="K6290" s="11">
        <f>IF(B6290&lt;C6290,1,EXP(-1*(B6290-C6290)/(Utilities!$B$11*IterData!H6290)))</f>
        <v>1</v>
      </c>
    </row>
    <row r="6291" spans="8:11" x14ac:dyDescent="0.3">
      <c r="H6291">
        <v>0.5</v>
      </c>
      <c r="I6291" s="11">
        <f t="shared" si="98"/>
        <v>0</v>
      </c>
      <c r="J6291" s="11">
        <f>1/(H6291*Utilities!$B$11)</f>
        <v>8</v>
      </c>
      <c r="K6291" s="11">
        <f>IF(B6291&lt;C6291,1,EXP(-1*(B6291-C6291)/(Utilities!$B$11*IterData!H6291)))</f>
        <v>1</v>
      </c>
    </row>
    <row r="6292" spans="8:11" x14ac:dyDescent="0.3">
      <c r="H6292">
        <v>0.5</v>
      </c>
      <c r="I6292" s="11">
        <f t="shared" si="98"/>
        <v>0</v>
      </c>
      <c r="J6292" s="11">
        <f>1/(H6292*Utilities!$B$11)</f>
        <v>8</v>
      </c>
      <c r="K6292" s="11">
        <f>IF(B6292&lt;C6292,1,EXP(-1*(B6292-C6292)/(Utilities!$B$11*IterData!H6292)))</f>
        <v>1</v>
      </c>
    </row>
    <row r="6293" spans="8:11" x14ac:dyDescent="0.3">
      <c r="H6293">
        <v>0.5</v>
      </c>
      <c r="I6293" s="11">
        <f t="shared" si="98"/>
        <v>0</v>
      </c>
      <c r="J6293" s="11">
        <f>1/(H6293*Utilities!$B$11)</f>
        <v>8</v>
      </c>
      <c r="K6293" s="11">
        <f>IF(B6293&lt;C6293,1,EXP(-1*(B6293-C6293)/(Utilities!$B$11*IterData!H6293)))</f>
        <v>1</v>
      </c>
    </row>
    <row r="6294" spans="8:11" x14ac:dyDescent="0.3">
      <c r="H6294">
        <v>0.5</v>
      </c>
      <c r="I6294" s="11">
        <f t="shared" si="98"/>
        <v>0</v>
      </c>
      <c r="J6294" s="11">
        <f>1/(H6294*Utilities!$B$11)</f>
        <v>8</v>
      </c>
      <c r="K6294" s="11">
        <f>IF(B6294&lt;C6294,1,EXP(-1*(B6294-C6294)/(Utilities!$B$11*IterData!H6294)))</f>
        <v>1</v>
      </c>
    </row>
    <row r="6295" spans="8:11" x14ac:dyDescent="0.3">
      <c r="H6295">
        <v>0.5</v>
      </c>
      <c r="I6295" s="11">
        <f t="shared" si="98"/>
        <v>0</v>
      </c>
      <c r="J6295" s="11">
        <f>1/(H6295*Utilities!$B$11)</f>
        <v>8</v>
      </c>
      <c r="K6295" s="11">
        <f>IF(B6295&lt;C6295,1,EXP(-1*(B6295-C6295)/(Utilities!$B$11*IterData!H6295)))</f>
        <v>1</v>
      </c>
    </row>
    <row r="6296" spans="8:11" x14ac:dyDescent="0.3">
      <c r="H6296">
        <v>0.5</v>
      </c>
      <c r="I6296" s="11">
        <f t="shared" si="98"/>
        <v>0</v>
      </c>
      <c r="J6296" s="11">
        <f>1/(H6296*Utilities!$B$11)</f>
        <v>8</v>
      </c>
      <c r="K6296" s="11">
        <f>IF(B6296&lt;C6296,1,EXP(-1*(B6296-C6296)/(Utilities!$B$11*IterData!H6296)))</f>
        <v>1</v>
      </c>
    </row>
    <row r="6297" spans="8:11" x14ac:dyDescent="0.3">
      <c r="H6297">
        <v>0.5</v>
      </c>
      <c r="I6297" s="11">
        <f t="shared" si="98"/>
        <v>0</v>
      </c>
      <c r="J6297" s="11">
        <f>1/(H6297*Utilities!$B$11)</f>
        <v>8</v>
      </c>
      <c r="K6297" s="11">
        <f>IF(B6297&lt;C6297,1,EXP(-1*(B6297-C6297)/(Utilities!$B$11*IterData!H6297)))</f>
        <v>1</v>
      </c>
    </row>
    <row r="6298" spans="8:11" x14ac:dyDescent="0.3">
      <c r="H6298">
        <v>0.5</v>
      </c>
      <c r="I6298" s="11">
        <f t="shared" si="98"/>
        <v>0</v>
      </c>
      <c r="J6298" s="11">
        <f>1/(H6298*Utilities!$B$11)</f>
        <v>8</v>
      </c>
      <c r="K6298" s="11">
        <f>IF(B6298&lt;C6298,1,EXP(-1*(B6298-C6298)/(Utilities!$B$11*IterData!H6298)))</f>
        <v>1</v>
      </c>
    </row>
    <row r="6299" spans="8:11" x14ac:dyDescent="0.3">
      <c r="H6299">
        <v>0.5</v>
      </c>
      <c r="I6299" s="11">
        <f t="shared" si="98"/>
        <v>0</v>
      </c>
      <c r="J6299" s="11">
        <f>1/(H6299*Utilities!$B$11)</f>
        <v>8</v>
      </c>
      <c r="K6299" s="11">
        <f>IF(B6299&lt;C6299,1,EXP(-1*(B6299-C6299)/(Utilities!$B$11*IterData!H6299)))</f>
        <v>1</v>
      </c>
    </row>
    <row r="6300" spans="8:11" x14ac:dyDescent="0.3">
      <c r="H6300">
        <v>0.5</v>
      </c>
      <c r="I6300" s="11">
        <f t="shared" si="98"/>
        <v>0</v>
      </c>
      <c r="J6300" s="11">
        <f>1/(H6300*Utilities!$B$11)</f>
        <v>8</v>
      </c>
      <c r="K6300" s="11">
        <f>IF(B6300&lt;C6300,1,EXP(-1*(B6300-C6300)/(Utilities!$B$11*IterData!H6300)))</f>
        <v>1</v>
      </c>
    </row>
    <row r="6301" spans="8:11" x14ac:dyDescent="0.3">
      <c r="H6301">
        <v>0.5</v>
      </c>
      <c r="I6301" s="11">
        <f t="shared" si="98"/>
        <v>0</v>
      </c>
      <c r="J6301" s="11">
        <f>1/(H6301*Utilities!$B$11)</f>
        <v>8</v>
      </c>
      <c r="K6301" s="11">
        <f>IF(B6301&lt;C6301,1,EXP(-1*(B6301-C6301)/(Utilities!$B$11*IterData!H6301)))</f>
        <v>1</v>
      </c>
    </row>
    <row r="6302" spans="8:11" x14ac:dyDescent="0.3">
      <c r="H6302">
        <v>0.5</v>
      </c>
      <c r="I6302" s="11">
        <f t="shared" si="98"/>
        <v>0</v>
      </c>
      <c r="J6302" s="11">
        <f>1/(H6302*Utilities!$B$11)</f>
        <v>8</v>
      </c>
      <c r="K6302" s="11">
        <f>IF(B6302&lt;C6302,1,EXP(-1*(B6302-C6302)/(Utilities!$B$11*IterData!H6302)))</f>
        <v>1</v>
      </c>
    </row>
    <row r="6303" spans="8:11" x14ac:dyDescent="0.3">
      <c r="H6303">
        <v>0.5</v>
      </c>
      <c r="I6303" s="11">
        <f t="shared" si="98"/>
        <v>0</v>
      </c>
      <c r="J6303" s="11">
        <f>1/(H6303*Utilities!$B$11)</f>
        <v>8</v>
      </c>
      <c r="K6303" s="11">
        <f>IF(B6303&lt;C6303,1,EXP(-1*(B6303-C6303)/(Utilities!$B$11*IterData!H6303)))</f>
        <v>1</v>
      </c>
    </row>
    <row r="6304" spans="8:11" x14ac:dyDescent="0.3">
      <c r="H6304">
        <v>0.5</v>
      </c>
      <c r="I6304" s="11">
        <f t="shared" si="98"/>
        <v>0</v>
      </c>
      <c r="J6304" s="11">
        <f>1/(H6304*Utilities!$B$11)</f>
        <v>8</v>
      </c>
      <c r="K6304" s="11">
        <f>IF(B6304&lt;C6304,1,EXP(-1*(B6304-C6304)/(Utilities!$B$11*IterData!H6304)))</f>
        <v>1</v>
      </c>
    </row>
    <row r="6305" spans="8:11" x14ac:dyDescent="0.3">
      <c r="H6305">
        <v>0.5</v>
      </c>
      <c r="I6305" s="11">
        <f t="shared" si="98"/>
        <v>0</v>
      </c>
      <c r="J6305" s="11">
        <f>1/(H6305*Utilities!$B$11)</f>
        <v>8</v>
      </c>
      <c r="K6305" s="11">
        <f>IF(B6305&lt;C6305,1,EXP(-1*(B6305-C6305)/(Utilities!$B$11*IterData!H6305)))</f>
        <v>1</v>
      </c>
    </row>
    <row r="6306" spans="8:11" x14ac:dyDescent="0.3">
      <c r="H6306">
        <v>0.5</v>
      </c>
      <c r="I6306" s="11">
        <f t="shared" si="98"/>
        <v>0</v>
      </c>
      <c r="J6306" s="11">
        <f>1/(H6306*Utilities!$B$11)</f>
        <v>8</v>
      </c>
      <c r="K6306" s="11">
        <f>IF(B6306&lt;C6306,1,EXP(-1*(B6306-C6306)/(Utilities!$B$11*IterData!H6306)))</f>
        <v>1</v>
      </c>
    </row>
    <row r="6307" spans="8:11" x14ac:dyDescent="0.3">
      <c r="H6307">
        <v>0.5</v>
      </c>
      <c r="I6307" s="11">
        <f t="shared" si="98"/>
        <v>0</v>
      </c>
      <c r="J6307" s="11">
        <f>1/(H6307*Utilities!$B$11)</f>
        <v>8</v>
      </c>
      <c r="K6307" s="11">
        <f>IF(B6307&lt;C6307,1,EXP(-1*(B6307-C6307)/(Utilities!$B$11*IterData!H6307)))</f>
        <v>1</v>
      </c>
    </row>
    <row r="6308" spans="8:11" x14ac:dyDescent="0.3">
      <c r="H6308">
        <v>0.5</v>
      </c>
      <c r="I6308" s="11">
        <f t="shared" si="98"/>
        <v>0</v>
      </c>
      <c r="J6308" s="11">
        <f>1/(H6308*Utilities!$B$11)</f>
        <v>8</v>
      </c>
      <c r="K6308" s="11">
        <f>IF(B6308&lt;C6308,1,EXP(-1*(B6308-C6308)/(Utilities!$B$11*IterData!H6308)))</f>
        <v>1</v>
      </c>
    </row>
    <row r="6309" spans="8:11" x14ac:dyDescent="0.3">
      <c r="H6309">
        <v>0.5</v>
      </c>
      <c r="I6309" s="11">
        <f t="shared" si="98"/>
        <v>0</v>
      </c>
      <c r="J6309" s="11">
        <f>1/(H6309*Utilities!$B$11)</f>
        <v>8</v>
      </c>
      <c r="K6309" s="11">
        <f>IF(B6309&lt;C6309,1,EXP(-1*(B6309-C6309)/(Utilities!$B$11*IterData!H6309)))</f>
        <v>1</v>
      </c>
    </row>
    <row r="6310" spans="8:11" x14ac:dyDescent="0.3">
      <c r="H6310">
        <v>0.5</v>
      </c>
      <c r="I6310" s="11">
        <f t="shared" si="98"/>
        <v>0</v>
      </c>
      <c r="J6310" s="11">
        <f>1/(H6310*Utilities!$B$11)</f>
        <v>8</v>
      </c>
      <c r="K6310" s="11">
        <f>IF(B6310&lt;C6310,1,EXP(-1*(B6310-C6310)/(Utilities!$B$11*IterData!H6310)))</f>
        <v>1</v>
      </c>
    </row>
    <row r="6311" spans="8:11" x14ac:dyDescent="0.3">
      <c r="H6311">
        <v>0.5</v>
      </c>
      <c r="I6311" s="11">
        <f t="shared" si="98"/>
        <v>0</v>
      </c>
      <c r="J6311" s="11">
        <f>1/(H6311*Utilities!$B$11)</f>
        <v>8</v>
      </c>
      <c r="K6311" s="11">
        <f>IF(B6311&lt;C6311,1,EXP(-1*(B6311-C6311)/(Utilities!$B$11*IterData!H6311)))</f>
        <v>1</v>
      </c>
    </row>
    <row r="6312" spans="8:11" x14ac:dyDescent="0.3">
      <c r="H6312">
        <v>0.5</v>
      </c>
      <c r="I6312" s="11">
        <f t="shared" si="98"/>
        <v>0</v>
      </c>
      <c r="J6312" s="11">
        <f>1/(H6312*Utilities!$B$11)</f>
        <v>8</v>
      </c>
      <c r="K6312" s="11">
        <f>IF(B6312&lt;C6312,1,EXP(-1*(B6312-C6312)/(Utilities!$B$11*IterData!H6312)))</f>
        <v>1</v>
      </c>
    </row>
    <row r="6313" spans="8:11" x14ac:dyDescent="0.3">
      <c r="H6313">
        <v>0.5</v>
      </c>
      <c r="I6313" s="11">
        <f t="shared" si="98"/>
        <v>0</v>
      </c>
      <c r="J6313" s="11">
        <f>1/(H6313*Utilities!$B$11)</f>
        <v>8</v>
      </c>
      <c r="K6313" s="11">
        <f>IF(B6313&lt;C6313,1,EXP(-1*(B6313-C6313)/(Utilities!$B$11*IterData!H6313)))</f>
        <v>1</v>
      </c>
    </row>
    <row r="6314" spans="8:11" x14ac:dyDescent="0.3">
      <c r="H6314">
        <v>0.5</v>
      </c>
      <c r="I6314" s="11">
        <f t="shared" si="98"/>
        <v>0</v>
      </c>
      <c r="J6314" s="11">
        <f>1/(H6314*Utilities!$B$11)</f>
        <v>8</v>
      </c>
      <c r="K6314" s="11">
        <f>IF(B6314&lt;C6314,1,EXP(-1*(B6314-C6314)/(Utilities!$B$11*IterData!H6314)))</f>
        <v>1</v>
      </c>
    </row>
    <row r="6315" spans="8:11" x14ac:dyDescent="0.3">
      <c r="H6315">
        <v>0.5</v>
      </c>
      <c r="I6315" s="11">
        <f t="shared" si="98"/>
        <v>0</v>
      </c>
      <c r="J6315" s="11">
        <f>1/(H6315*Utilities!$B$11)</f>
        <v>8</v>
      </c>
      <c r="K6315" s="11">
        <f>IF(B6315&lt;C6315,1,EXP(-1*(B6315-C6315)/(Utilities!$B$11*IterData!H6315)))</f>
        <v>1</v>
      </c>
    </row>
    <row r="6316" spans="8:11" x14ac:dyDescent="0.3">
      <c r="H6316">
        <v>0.5</v>
      </c>
      <c r="I6316" s="11">
        <f t="shared" si="98"/>
        <v>0</v>
      </c>
      <c r="J6316" s="11">
        <f>1/(H6316*Utilities!$B$11)</f>
        <v>8</v>
      </c>
      <c r="K6316" s="11">
        <f>IF(B6316&lt;C6316,1,EXP(-1*(B6316-C6316)/(Utilities!$B$11*IterData!H6316)))</f>
        <v>1</v>
      </c>
    </row>
    <row r="6317" spans="8:11" x14ac:dyDescent="0.3">
      <c r="H6317">
        <v>0.5</v>
      </c>
      <c r="I6317" s="11">
        <f t="shared" si="98"/>
        <v>0</v>
      </c>
      <c r="J6317" s="11">
        <f>1/(H6317*Utilities!$B$11)</f>
        <v>8</v>
      </c>
      <c r="K6317" s="11">
        <f>IF(B6317&lt;C6317,1,EXP(-1*(B6317-C6317)/(Utilities!$B$11*IterData!H6317)))</f>
        <v>1</v>
      </c>
    </row>
    <row r="6318" spans="8:11" x14ac:dyDescent="0.3">
      <c r="H6318">
        <v>0.5</v>
      </c>
      <c r="I6318" s="11">
        <f t="shared" si="98"/>
        <v>0</v>
      </c>
      <c r="J6318" s="11">
        <f>1/(H6318*Utilities!$B$11)</f>
        <v>8</v>
      </c>
      <c r="K6318" s="11">
        <f>IF(B6318&lt;C6318,1,EXP(-1*(B6318-C6318)/(Utilities!$B$11*IterData!H6318)))</f>
        <v>1</v>
      </c>
    </row>
    <row r="6319" spans="8:11" x14ac:dyDescent="0.3">
      <c r="H6319">
        <v>0.5</v>
      </c>
      <c r="I6319" s="11">
        <f t="shared" si="98"/>
        <v>0</v>
      </c>
      <c r="J6319" s="11">
        <f>1/(H6319*Utilities!$B$11)</f>
        <v>8</v>
      </c>
      <c r="K6319" s="11">
        <f>IF(B6319&lt;C6319,1,EXP(-1*(B6319-C6319)/(Utilities!$B$11*IterData!H6319)))</f>
        <v>1</v>
      </c>
    </row>
    <row r="6320" spans="8:11" x14ac:dyDescent="0.3">
      <c r="H6320">
        <v>0.5</v>
      </c>
      <c r="I6320" s="11">
        <f t="shared" si="98"/>
        <v>0</v>
      </c>
      <c r="J6320" s="11">
        <f>1/(H6320*Utilities!$B$11)</f>
        <v>8</v>
      </c>
      <c r="K6320" s="11">
        <f>IF(B6320&lt;C6320,1,EXP(-1*(B6320-C6320)/(Utilities!$B$11*IterData!H6320)))</f>
        <v>1</v>
      </c>
    </row>
    <row r="6321" spans="8:11" x14ac:dyDescent="0.3">
      <c r="H6321">
        <v>0.5</v>
      </c>
      <c r="I6321" s="11">
        <f t="shared" si="98"/>
        <v>0</v>
      </c>
      <c r="J6321" s="11">
        <f>1/(H6321*Utilities!$B$11)</f>
        <v>8</v>
      </c>
      <c r="K6321" s="11">
        <f>IF(B6321&lt;C6321,1,EXP(-1*(B6321-C6321)/(Utilities!$B$11*IterData!H6321)))</f>
        <v>1</v>
      </c>
    </row>
    <row r="6322" spans="8:11" x14ac:dyDescent="0.3">
      <c r="H6322">
        <v>0.5</v>
      </c>
      <c r="I6322" s="11">
        <f t="shared" si="98"/>
        <v>0</v>
      </c>
      <c r="J6322" s="11">
        <f>1/(H6322*Utilities!$B$11)</f>
        <v>8</v>
      </c>
      <c r="K6322" s="11">
        <f>IF(B6322&lt;C6322,1,EXP(-1*(B6322-C6322)/(Utilities!$B$11*IterData!H6322)))</f>
        <v>1</v>
      </c>
    </row>
    <row r="6323" spans="8:11" x14ac:dyDescent="0.3">
      <c r="H6323">
        <v>0.5</v>
      </c>
      <c r="I6323" s="11">
        <f t="shared" si="98"/>
        <v>0</v>
      </c>
      <c r="J6323" s="11">
        <f>1/(H6323*Utilities!$B$11)</f>
        <v>8</v>
      </c>
      <c r="K6323" s="11">
        <f>IF(B6323&lt;C6323,1,EXP(-1*(B6323-C6323)/(Utilities!$B$11*IterData!H6323)))</f>
        <v>1</v>
      </c>
    </row>
    <row r="6324" spans="8:11" x14ac:dyDescent="0.3">
      <c r="H6324">
        <v>0.5</v>
      </c>
      <c r="I6324" s="11">
        <f t="shared" si="98"/>
        <v>0</v>
      </c>
      <c r="J6324" s="11">
        <f>1/(H6324*Utilities!$B$11)</f>
        <v>8</v>
      </c>
      <c r="K6324" s="11">
        <f>IF(B6324&lt;C6324,1,EXP(-1*(B6324-C6324)/(Utilities!$B$11*IterData!H6324)))</f>
        <v>1</v>
      </c>
    </row>
    <row r="6325" spans="8:11" x14ac:dyDescent="0.3">
      <c r="H6325">
        <v>0.5</v>
      </c>
      <c r="I6325" s="11">
        <f t="shared" si="98"/>
        <v>0</v>
      </c>
      <c r="J6325" s="11">
        <f>1/(H6325*Utilities!$B$11)</f>
        <v>8</v>
      </c>
      <c r="K6325" s="11">
        <f>IF(B6325&lt;C6325,1,EXP(-1*(B6325-C6325)/(Utilities!$B$11*IterData!H6325)))</f>
        <v>1</v>
      </c>
    </row>
    <row r="6326" spans="8:11" x14ac:dyDescent="0.3">
      <c r="H6326">
        <v>0.5</v>
      </c>
      <c r="I6326" s="11">
        <f t="shared" si="98"/>
        <v>0</v>
      </c>
      <c r="J6326" s="11">
        <f>1/(H6326*Utilities!$B$11)</f>
        <v>8</v>
      </c>
      <c r="K6326" s="11">
        <f>IF(B6326&lt;C6326,1,EXP(-1*(B6326-C6326)/(Utilities!$B$11*IterData!H6326)))</f>
        <v>1</v>
      </c>
    </row>
    <row r="6327" spans="8:11" x14ac:dyDescent="0.3">
      <c r="H6327">
        <v>0.5</v>
      </c>
      <c r="I6327" s="11">
        <f t="shared" si="98"/>
        <v>0</v>
      </c>
      <c r="J6327" s="11">
        <f>1/(H6327*Utilities!$B$11)</f>
        <v>8</v>
      </c>
      <c r="K6327" s="11">
        <f>IF(B6327&lt;C6327,1,EXP(-1*(B6327-C6327)/(Utilities!$B$11*IterData!H6327)))</f>
        <v>1</v>
      </c>
    </row>
    <row r="6328" spans="8:11" x14ac:dyDescent="0.3">
      <c r="H6328">
        <v>0.5</v>
      </c>
      <c r="I6328" s="11">
        <f t="shared" si="98"/>
        <v>0</v>
      </c>
      <c r="J6328" s="11">
        <f>1/(H6328*Utilities!$B$11)</f>
        <v>8</v>
      </c>
      <c r="K6328" s="11">
        <f>IF(B6328&lt;C6328,1,EXP(-1*(B6328-C6328)/(Utilities!$B$11*IterData!H6328)))</f>
        <v>1</v>
      </c>
    </row>
    <row r="6329" spans="8:11" x14ac:dyDescent="0.3">
      <c r="H6329">
        <v>0.5</v>
      </c>
      <c r="I6329" s="11">
        <f t="shared" si="98"/>
        <v>0</v>
      </c>
      <c r="J6329" s="11">
        <f>1/(H6329*Utilities!$B$11)</f>
        <v>8</v>
      </c>
      <c r="K6329" s="11">
        <f>IF(B6329&lt;C6329,1,EXP(-1*(B6329-C6329)/(Utilities!$B$11*IterData!H6329)))</f>
        <v>1</v>
      </c>
    </row>
    <row r="6330" spans="8:11" x14ac:dyDescent="0.3">
      <c r="H6330">
        <v>0.5</v>
      </c>
      <c r="I6330" s="11">
        <f t="shared" si="98"/>
        <v>0</v>
      </c>
      <c r="J6330" s="11">
        <f>1/(H6330*Utilities!$B$11)</f>
        <v>8</v>
      </c>
      <c r="K6330" s="11">
        <f>IF(B6330&lt;C6330,1,EXP(-1*(B6330-C6330)/(Utilities!$B$11*IterData!H6330)))</f>
        <v>1</v>
      </c>
    </row>
    <row r="6331" spans="8:11" x14ac:dyDescent="0.3">
      <c r="H6331">
        <v>0.5</v>
      </c>
      <c r="I6331" s="11">
        <f t="shared" si="98"/>
        <v>0</v>
      </c>
      <c r="J6331" s="11">
        <f>1/(H6331*Utilities!$B$11)</f>
        <v>8</v>
      </c>
      <c r="K6331" s="11">
        <f>IF(B6331&lt;C6331,1,EXP(-1*(B6331-C6331)/(Utilities!$B$11*IterData!H6331)))</f>
        <v>1</v>
      </c>
    </row>
    <row r="6332" spans="8:11" x14ac:dyDescent="0.3">
      <c r="H6332">
        <v>0.5</v>
      </c>
      <c r="I6332" s="11">
        <f t="shared" si="98"/>
        <v>0</v>
      </c>
      <c r="J6332" s="11">
        <f>1/(H6332*Utilities!$B$11)</f>
        <v>8</v>
      </c>
      <c r="K6332" s="11">
        <f>IF(B6332&lt;C6332,1,EXP(-1*(B6332-C6332)/(Utilities!$B$11*IterData!H6332)))</f>
        <v>1</v>
      </c>
    </row>
    <row r="6333" spans="8:11" x14ac:dyDescent="0.3">
      <c r="H6333">
        <v>0.5</v>
      </c>
      <c r="I6333" s="11">
        <f t="shared" si="98"/>
        <v>0</v>
      </c>
      <c r="J6333" s="11">
        <f>1/(H6333*Utilities!$B$11)</f>
        <v>8</v>
      </c>
      <c r="K6333" s="11">
        <f>IF(B6333&lt;C6333,1,EXP(-1*(B6333-C6333)/(Utilities!$B$11*IterData!H6333)))</f>
        <v>1</v>
      </c>
    </row>
    <row r="6334" spans="8:11" x14ac:dyDescent="0.3">
      <c r="H6334">
        <v>0.5</v>
      </c>
      <c r="I6334" s="11">
        <f t="shared" si="98"/>
        <v>0</v>
      </c>
      <c r="J6334" s="11">
        <f>1/(H6334*Utilities!$B$11)</f>
        <v>8</v>
      </c>
      <c r="K6334" s="11">
        <f>IF(B6334&lt;C6334,1,EXP(-1*(B6334-C6334)/(Utilities!$B$11*IterData!H6334)))</f>
        <v>1</v>
      </c>
    </row>
    <row r="6335" spans="8:11" x14ac:dyDescent="0.3">
      <c r="H6335">
        <v>0.5</v>
      </c>
      <c r="I6335" s="11">
        <f t="shared" si="98"/>
        <v>0</v>
      </c>
      <c r="J6335" s="11">
        <f>1/(H6335*Utilities!$B$11)</f>
        <v>8</v>
      </c>
      <c r="K6335" s="11">
        <f>IF(B6335&lt;C6335,1,EXP(-1*(B6335-C6335)/(Utilities!$B$11*IterData!H6335)))</f>
        <v>1</v>
      </c>
    </row>
    <row r="6336" spans="8:11" x14ac:dyDescent="0.3">
      <c r="H6336">
        <v>0.5</v>
      </c>
      <c r="I6336" s="11">
        <f t="shared" si="98"/>
        <v>0</v>
      </c>
      <c r="J6336" s="11">
        <f>1/(H6336*Utilities!$B$11)</f>
        <v>8</v>
      </c>
      <c r="K6336" s="11">
        <f>IF(B6336&lt;C6336,1,EXP(-1*(B6336-C6336)/(Utilities!$B$11*IterData!H6336)))</f>
        <v>1</v>
      </c>
    </row>
    <row r="6337" spans="8:11" x14ac:dyDescent="0.3">
      <c r="H6337">
        <v>0.5</v>
      </c>
      <c r="I6337" s="11">
        <f t="shared" si="98"/>
        <v>0</v>
      </c>
      <c r="J6337" s="11">
        <f>1/(H6337*Utilities!$B$11)</f>
        <v>8</v>
      </c>
      <c r="K6337" s="11">
        <f>IF(B6337&lt;C6337,1,EXP(-1*(B6337-C6337)/(Utilities!$B$11*IterData!H6337)))</f>
        <v>1</v>
      </c>
    </row>
    <row r="6338" spans="8:11" x14ac:dyDescent="0.3">
      <c r="H6338">
        <v>0.5</v>
      </c>
      <c r="I6338" s="11">
        <f t="shared" si="98"/>
        <v>0</v>
      </c>
      <c r="J6338" s="11">
        <f>1/(H6338*Utilities!$B$11)</f>
        <v>8</v>
      </c>
      <c r="K6338" s="11">
        <f>IF(B6338&lt;C6338,1,EXP(-1*(B6338-C6338)/(Utilities!$B$11*IterData!H6338)))</f>
        <v>1</v>
      </c>
    </row>
    <row r="6339" spans="8:11" x14ac:dyDescent="0.3">
      <c r="H6339">
        <v>0.5</v>
      </c>
      <c r="I6339" s="11">
        <f t="shared" ref="I6339:I6402" si="99">B6339-C6339</f>
        <v>0</v>
      </c>
      <c r="J6339" s="11">
        <f>1/(H6339*Utilities!$B$11)</f>
        <v>8</v>
      </c>
      <c r="K6339" s="11">
        <f>IF(B6339&lt;C6339,1,EXP(-1*(B6339-C6339)/(Utilities!$B$11*IterData!H6339)))</f>
        <v>1</v>
      </c>
    </row>
    <row r="6340" spans="8:11" x14ac:dyDescent="0.3">
      <c r="H6340">
        <v>0.5</v>
      </c>
      <c r="I6340" s="11">
        <f t="shared" si="99"/>
        <v>0</v>
      </c>
      <c r="J6340" s="11">
        <f>1/(H6340*Utilities!$B$11)</f>
        <v>8</v>
      </c>
      <c r="K6340" s="11">
        <f>IF(B6340&lt;C6340,1,EXP(-1*(B6340-C6340)/(Utilities!$B$11*IterData!H6340)))</f>
        <v>1</v>
      </c>
    </row>
    <row r="6341" spans="8:11" x14ac:dyDescent="0.3">
      <c r="H6341">
        <v>0.5</v>
      </c>
      <c r="I6341" s="11">
        <f t="shared" si="99"/>
        <v>0</v>
      </c>
      <c r="J6341" s="11">
        <f>1/(H6341*Utilities!$B$11)</f>
        <v>8</v>
      </c>
      <c r="K6341" s="11">
        <f>IF(B6341&lt;C6341,1,EXP(-1*(B6341-C6341)/(Utilities!$B$11*IterData!H6341)))</f>
        <v>1</v>
      </c>
    </row>
    <row r="6342" spans="8:11" x14ac:dyDescent="0.3">
      <c r="H6342">
        <v>0.5</v>
      </c>
      <c r="I6342" s="11">
        <f t="shared" si="99"/>
        <v>0</v>
      </c>
      <c r="J6342" s="11">
        <f>1/(H6342*Utilities!$B$11)</f>
        <v>8</v>
      </c>
      <c r="K6342" s="11">
        <f>IF(B6342&lt;C6342,1,EXP(-1*(B6342-C6342)/(Utilities!$B$11*IterData!H6342)))</f>
        <v>1</v>
      </c>
    </row>
    <row r="6343" spans="8:11" x14ac:dyDescent="0.3">
      <c r="H6343">
        <v>0.5</v>
      </c>
      <c r="I6343" s="11">
        <f t="shared" si="99"/>
        <v>0</v>
      </c>
      <c r="J6343" s="11">
        <f>1/(H6343*Utilities!$B$11)</f>
        <v>8</v>
      </c>
      <c r="K6343" s="11">
        <f>IF(B6343&lt;C6343,1,EXP(-1*(B6343-C6343)/(Utilities!$B$11*IterData!H6343)))</f>
        <v>1</v>
      </c>
    </row>
    <row r="6344" spans="8:11" x14ac:dyDescent="0.3">
      <c r="H6344">
        <v>0.5</v>
      </c>
      <c r="I6344" s="11">
        <f t="shared" si="99"/>
        <v>0</v>
      </c>
      <c r="J6344" s="11">
        <f>1/(H6344*Utilities!$B$11)</f>
        <v>8</v>
      </c>
      <c r="K6344" s="11">
        <f>IF(B6344&lt;C6344,1,EXP(-1*(B6344-C6344)/(Utilities!$B$11*IterData!H6344)))</f>
        <v>1</v>
      </c>
    </row>
    <row r="6345" spans="8:11" x14ac:dyDescent="0.3">
      <c r="H6345">
        <v>0.5</v>
      </c>
      <c r="I6345" s="11">
        <f t="shared" si="99"/>
        <v>0</v>
      </c>
      <c r="J6345" s="11">
        <f>1/(H6345*Utilities!$B$11)</f>
        <v>8</v>
      </c>
      <c r="K6345" s="11">
        <f>IF(B6345&lt;C6345,1,EXP(-1*(B6345-C6345)/(Utilities!$B$11*IterData!H6345)))</f>
        <v>1</v>
      </c>
    </row>
    <row r="6346" spans="8:11" x14ac:dyDescent="0.3">
      <c r="H6346">
        <v>0.5</v>
      </c>
      <c r="I6346" s="11">
        <f t="shared" si="99"/>
        <v>0</v>
      </c>
      <c r="J6346" s="11">
        <f>1/(H6346*Utilities!$B$11)</f>
        <v>8</v>
      </c>
      <c r="K6346" s="11">
        <f>IF(B6346&lt;C6346,1,EXP(-1*(B6346-C6346)/(Utilities!$B$11*IterData!H6346)))</f>
        <v>1</v>
      </c>
    </row>
    <row r="6347" spans="8:11" x14ac:dyDescent="0.3">
      <c r="H6347">
        <v>0.5</v>
      </c>
      <c r="I6347" s="11">
        <f t="shared" si="99"/>
        <v>0</v>
      </c>
      <c r="J6347" s="11">
        <f>1/(H6347*Utilities!$B$11)</f>
        <v>8</v>
      </c>
      <c r="K6347" s="11">
        <f>IF(B6347&lt;C6347,1,EXP(-1*(B6347-C6347)/(Utilities!$B$11*IterData!H6347)))</f>
        <v>1</v>
      </c>
    </row>
    <row r="6348" spans="8:11" x14ac:dyDescent="0.3">
      <c r="H6348">
        <v>0.5</v>
      </c>
      <c r="I6348" s="11">
        <f t="shared" si="99"/>
        <v>0</v>
      </c>
      <c r="J6348" s="11">
        <f>1/(H6348*Utilities!$B$11)</f>
        <v>8</v>
      </c>
      <c r="K6348" s="11">
        <f>IF(B6348&lt;C6348,1,EXP(-1*(B6348-C6348)/(Utilities!$B$11*IterData!H6348)))</f>
        <v>1</v>
      </c>
    </row>
    <row r="6349" spans="8:11" x14ac:dyDescent="0.3">
      <c r="H6349">
        <v>0.5</v>
      </c>
      <c r="I6349" s="11">
        <f t="shared" si="99"/>
        <v>0</v>
      </c>
      <c r="J6349" s="11">
        <f>1/(H6349*Utilities!$B$11)</f>
        <v>8</v>
      </c>
      <c r="K6349" s="11">
        <f>IF(B6349&lt;C6349,1,EXP(-1*(B6349-C6349)/(Utilities!$B$11*IterData!H6349)))</f>
        <v>1</v>
      </c>
    </row>
    <row r="6350" spans="8:11" x14ac:dyDescent="0.3">
      <c r="H6350">
        <v>0.5</v>
      </c>
      <c r="I6350" s="11">
        <f t="shared" si="99"/>
        <v>0</v>
      </c>
      <c r="J6350" s="11">
        <f>1/(H6350*Utilities!$B$11)</f>
        <v>8</v>
      </c>
      <c r="K6350" s="11">
        <f>IF(B6350&lt;C6350,1,EXP(-1*(B6350-C6350)/(Utilities!$B$11*IterData!H6350)))</f>
        <v>1</v>
      </c>
    </row>
    <row r="6351" spans="8:11" x14ac:dyDescent="0.3">
      <c r="H6351">
        <v>0.5</v>
      </c>
      <c r="I6351" s="11">
        <f t="shared" si="99"/>
        <v>0</v>
      </c>
      <c r="J6351" s="11">
        <f>1/(H6351*Utilities!$B$11)</f>
        <v>8</v>
      </c>
      <c r="K6351" s="11">
        <f>IF(B6351&lt;C6351,1,EXP(-1*(B6351-C6351)/(Utilities!$B$11*IterData!H6351)))</f>
        <v>1</v>
      </c>
    </row>
    <row r="6352" spans="8:11" x14ac:dyDescent="0.3">
      <c r="H6352">
        <v>0.5</v>
      </c>
      <c r="I6352" s="11">
        <f t="shared" si="99"/>
        <v>0</v>
      </c>
      <c r="J6352" s="11">
        <f>1/(H6352*Utilities!$B$11)</f>
        <v>8</v>
      </c>
      <c r="K6352" s="11">
        <f>IF(B6352&lt;C6352,1,EXP(-1*(B6352-C6352)/(Utilities!$B$11*IterData!H6352)))</f>
        <v>1</v>
      </c>
    </row>
    <row r="6353" spans="8:11" x14ac:dyDescent="0.3">
      <c r="H6353">
        <v>0.5</v>
      </c>
      <c r="I6353" s="11">
        <f t="shared" si="99"/>
        <v>0</v>
      </c>
      <c r="J6353" s="11">
        <f>1/(H6353*Utilities!$B$11)</f>
        <v>8</v>
      </c>
      <c r="K6353" s="11">
        <f>IF(B6353&lt;C6353,1,EXP(-1*(B6353-C6353)/(Utilities!$B$11*IterData!H6353)))</f>
        <v>1</v>
      </c>
    </row>
    <row r="6354" spans="8:11" x14ac:dyDescent="0.3">
      <c r="H6354">
        <v>0.5</v>
      </c>
      <c r="I6354" s="11">
        <f t="shared" si="99"/>
        <v>0</v>
      </c>
      <c r="J6354" s="11">
        <f>1/(H6354*Utilities!$B$11)</f>
        <v>8</v>
      </c>
      <c r="K6354" s="11">
        <f>IF(B6354&lt;C6354,1,EXP(-1*(B6354-C6354)/(Utilities!$B$11*IterData!H6354)))</f>
        <v>1</v>
      </c>
    </row>
    <row r="6355" spans="8:11" x14ac:dyDescent="0.3">
      <c r="H6355">
        <v>0.5</v>
      </c>
      <c r="I6355" s="11">
        <f t="shared" si="99"/>
        <v>0</v>
      </c>
      <c r="J6355" s="11">
        <f>1/(H6355*Utilities!$B$11)</f>
        <v>8</v>
      </c>
      <c r="K6355" s="11">
        <f>IF(B6355&lt;C6355,1,EXP(-1*(B6355-C6355)/(Utilities!$B$11*IterData!H6355)))</f>
        <v>1</v>
      </c>
    </row>
    <row r="6356" spans="8:11" x14ac:dyDescent="0.3">
      <c r="H6356">
        <v>0.5</v>
      </c>
      <c r="I6356" s="11">
        <f t="shared" si="99"/>
        <v>0</v>
      </c>
      <c r="J6356" s="11">
        <f>1/(H6356*Utilities!$B$11)</f>
        <v>8</v>
      </c>
      <c r="K6356" s="11">
        <f>IF(B6356&lt;C6356,1,EXP(-1*(B6356-C6356)/(Utilities!$B$11*IterData!H6356)))</f>
        <v>1</v>
      </c>
    </row>
    <row r="6357" spans="8:11" x14ac:dyDescent="0.3">
      <c r="H6357">
        <v>0.5</v>
      </c>
      <c r="I6357" s="11">
        <f t="shared" si="99"/>
        <v>0</v>
      </c>
      <c r="J6357" s="11">
        <f>1/(H6357*Utilities!$B$11)</f>
        <v>8</v>
      </c>
      <c r="K6357" s="11">
        <f>IF(B6357&lt;C6357,1,EXP(-1*(B6357-C6357)/(Utilities!$B$11*IterData!H6357)))</f>
        <v>1</v>
      </c>
    </row>
    <row r="6358" spans="8:11" x14ac:dyDescent="0.3">
      <c r="H6358">
        <v>0.5</v>
      </c>
      <c r="I6358" s="11">
        <f t="shared" si="99"/>
        <v>0</v>
      </c>
      <c r="J6358" s="11">
        <f>1/(H6358*Utilities!$B$11)</f>
        <v>8</v>
      </c>
      <c r="K6358" s="11">
        <f>IF(B6358&lt;C6358,1,EXP(-1*(B6358-C6358)/(Utilities!$B$11*IterData!H6358)))</f>
        <v>1</v>
      </c>
    </row>
    <row r="6359" spans="8:11" x14ac:dyDescent="0.3">
      <c r="H6359">
        <v>0.5</v>
      </c>
      <c r="I6359" s="11">
        <f t="shared" si="99"/>
        <v>0</v>
      </c>
      <c r="J6359" s="11">
        <f>1/(H6359*Utilities!$B$11)</f>
        <v>8</v>
      </c>
      <c r="K6359" s="11">
        <f>IF(B6359&lt;C6359,1,EXP(-1*(B6359-C6359)/(Utilities!$B$11*IterData!H6359)))</f>
        <v>1</v>
      </c>
    </row>
    <row r="6360" spans="8:11" x14ac:dyDescent="0.3">
      <c r="H6360">
        <v>0.5</v>
      </c>
      <c r="I6360" s="11">
        <f t="shared" si="99"/>
        <v>0</v>
      </c>
      <c r="J6360" s="11">
        <f>1/(H6360*Utilities!$B$11)</f>
        <v>8</v>
      </c>
      <c r="K6360" s="11">
        <f>IF(B6360&lt;C6360,1,EXP(-1*(B6360-C6360)/(Utilities!$B$11*IterData!H6360)))</f>
        <v>1</v>
      </c>
    </row>
    <row r="6361" spans="8:11" x14ac:dyDescent="0.3">
      <c r="H6361">
        <v>0.5</v>
      </c>
      <c r="I6361" s="11">
        <f t="shared" si="99"/>
        <v>0</v>
      </c>
      <c r="J6361" s="11">
        <f>1/(H6361*Utilities!$B$11)</f>
        <v>8</v>
      </c>
      <c r="K6361" s="11">
        <f>IF(B6361&lt;C6361,1,EXP(-1*(B6361-C6361)/(Utilities!$B$11*IterData!H6361)))</f>
        <v>1</v>
      </c>
    </row>
    <row r="6362" spans="8:11" x14ac:dyDescent="0.3">
      <c r="H6362">
        <v>0.5</v>
      </c>
      <c r="I6362" s="11">
        <f t="shared" si="99"/>
        <v>0</v>
      </c>
      <c r="J6362" s="11">
        <f>1/(H6362*Utilities!$B$11)</f>
        <v>8</v>
      </c>
      <c r="K6362" s="11">
        <f>IF(B6362&lt;C6362,1,EXP(-1*(B6362-C6362)/(Utilities!$B$11*IterData!H6362)))</f>
        <v>1</v>
      </c>
    </row>
    <row r="6363" spans="8:11" x14ac:dyDescent="0.3">
      <c r="H6363">
        <v>0.5</v>
      </c>
      <c r="I6363" s="11">
        <f t="shared" si="99"/>
        <v>0</v>
      </c>
      <c r="J6363" s="11">
        <f>1/(H6363*Utilities!$B$11)</f>
        <v>8</v>
      </c>
      <c r="K6363" s="11">
        <f>IF(B6363&lt;C6363,1,EXP(-1*(B6363-C6363)/(Utilities!$B$11*IterData!H6363)))</f>
        <v>1</v>
      </c>
    </row>
    <row r="6364" spans="8:11" x14ac:dyDescent="0.3">
      <c r="H6364">
        <v>0.5</v>
      </c>
      <c r="I6364" s="11">
        <f t="shared" si="99"/>
        <v>0</v>
      </c>
      <c r="J6364" s="11">
        <f>1/(H6364*Utilities!$B$11)</f>
        <v>8</v>
      </c>
      <c r="K6364" s="11">
        <f>IF(B6364&lt;C6364,1,EXP(-1*(B6364-C6364)/(Utilities!$B$11*IterData!H6364)))</f>
        <v>1</v>
      </c>
    </row>
    <row r="6365" spans="8:11" x14ac:dyDescent="0.3">
      <c r="H6365">
        <v>0.5</v>
      </c>
      <c r="I6365" s="11">
        <f t="shared" si="99"/>
        <v>0</v>
      </c>
      <c r="J6365" s="11">
        <f>1/(H6365*Utilities!$B$11)</f>
        <v>8</v>
      </c>
      <c r="K6365" s="11">
        <f>IF(B6365&lt;C6365,1,EXP(-1*(B6365-C6365)/(Utilities!$B$11*IterData!H6365)))</f>
        <v>1</v>
      </c>
    </row>
    <row r="6366" spans="8:11" x14ac:dyDescent="0.3">
      <c r="H6366">
        <v>0.5</v>
      </c>
      <c r="I6366" s="11">
        <f t="shared" si="99"/>
        <v>0</v>
      </c>
      <c r="J6366" s="11">
        <f>1/(H6366*Utilities!$B$11)</f>
        <v>8</v>
      </c>
      <c r="K6366" s="11">
        <f>IF(B6366&lt;C6366,1,EXP(-1*(B6366-C6366)/(Utilities!$B$11*IterData!H6366)))</f>
        <v>1</v>
      </c>
    </row>
    <row r="6367" spans="8:11" x14ac:dyDescent="0.3">
      <c r="H6367">
        <v>0.5</v>
      </c>
      <c r="I6367" s="11">
        <f t="shared" si="99"/>
        <v>0</v>
      </c>
      <c r="J6367" s="11">
        <f>1/(H6367*Utilities!$B$11)</f>
        <v>8</v>
      </c>
      <c r="K6367" s="11">
        <f>IF(B6367&lt;C6367,1,EXP(-1*(B6367-C6367)/(Utilities!$B$11*IterData!H6367)))</f>
        <v>1</v>
      </c>
    </row>
    <row r="6368" spans="8:11" x14ac:dyDescent="0.3">
      <c r="H6368">
        <v>0.5</v>
      </c>
      <c r="I6368" s="11">
        <f t="shared" si="99"/>
        <v>0</v>
      </c>
      <c r="J6368" s="11">
        <f>1/(H6368*Utilities!$B$11)</f>
        <v>8</v>
      </c>
      <c r="K6368" s="11">
        <f>IF(B6368&lt;C6368,1,EXP(-1*(B6368-C6368)/(Utilities!$B$11*IterData!H6368)))</f>
        <v>1</v>
      </c>
    </row>
    <row r="6369" spans="8:11" x14ac:dyDescent="0.3">
      <c r="H6369">
        <v>0.5</v>
      </c>
      <c r="I6369" s="11">
        <f t="shared" si="99"/>
        <v>0</v>
      </c>
      <c r="J6369" s="11">
        <f>1/(H6369*Utilities!$B$11)</f>
        <v>8</v>
      </c>
      <c r="K6369" s="11">
        <f>IF(B6369&lt;C6369,1,EXP(-1*(B6369-C6369)/(Utilities!$B$11*IterData!H6369)))</f>
        <v>1</v>
      </c>
    </row>
    <row r="6370" spans="8:11" x14ac:dyDescent="0.3">
      <c r="H6370">
        <v>0.5</v>
      </c>
      <c r="I6370" s="11">
        <f t="shared" si="99"/>
        <v>0</v>
      </c>
      <c r="J6370" s="11">
        <f>1/(H6370*Utilities!$B$11)</f>
        <v>8</v>
      </c>
      <c r="K6370" s="11">
        <f>IF(B6370&lt;C6370,1,EXP(-1*(B6370-C6370)/(Utilities!$B$11*IterData!H6370)))</f>
        <v>1</v>
      </c>
    </row>
    <row r="6371" spans="8:11" x14ac:dyDescent="0.3">
      <c r="H6371">
        <v>0.5</v>
      </c>
      <c r="I6371" s="11">
        <f t="shared" si="99"/>
        <v>0</v>
      </c>
      <c r="J6371" s="11">
        <f>1/(H6371*Utilities!$B$11)</f>
        <v>8</v>
      </c>
      <c r="K6371" s="11">
        <f>IF(B6371&lt;C6371,1,EXP(-1*(B6371-C6371)/(Utilities!$B$11*IterData!H6371)))</f>
        <v>1</v>
      </c>
    </row>
    <row r="6372" spans="8:11" x14ac:dyDescent="0.3">
      <c r="H6372">
        <v>0.5</v>
      </c>
      <c r="I6372" s="11">
        <f t="shared" si="99"/>
        <v>0</v>
      </c>
      <c r="J6372" s="11">
        <f>1/(H6372*Utilities!$B$11)</f>
        <v>8</v>
      </c>
      <c r="K6372" s="11">
        <f>IF(B6372&lt;C6372,1,EXP(-1*(B6372-C6372)/(Utilities!$B$11*IterData!H6372)))</f>
        <v>1</v>
      </c>
    </row>
    <row r="6373" spans="8:11" x14ac:dyDescent="0.3">
      <c r="H6373">
        <v>0.5</v>
      </c>
      <c r="I6373" s="11">
        <f t="shared" si="99"/>
        <v>0</v>
      </c>
      <c r="J6373" s="11">
        <f>1/(H6373*Utilities!$B$11)</f>
        <v>8</v>
      </c>
      <c r="K6373" s="11">
        <f>IF(B6373&lt;C6373,1,EXP(-1*(B6373-C6373)/(Utilities!$B$11*IterData!H6373)))</f>
        <v>1</v>
      </c>
    </row>
    <row r="6374" spans="8:11" x14ac:dyDescent="0.3">
      <c r="H6374">
        <v>0.5</v>
      </c>
      <c r="I6374" s="11">
        <f t="shared" si="99"/>
        <v>0</v>
      </c>
      <c r="J6374" s="11">
        <f>1/(H6374*Utilities!$B$11)</f>
        <v>8</v>
      </c>
      <c r="K6374" s="11">
        <f>IF(B6374&lt;C6374,1,EXP(-1*(B6374-C6374)/(Utilities!$B$11*IterData!H6374)))</f>
        <v>1</v>
      </c>
    </row>
    <row r="6375" spans="8:11" x14ac:dyDescent="0.3">
      <c r="H6375">
        <v>0.5</v>
      </c>
      <c r="I6375" s="11">
        <f t="shared" si="99"/>
        <v>0</v>
      </c>
      <c r="J6375" s="11">
        <f>1/(H6375*Utilities!$B$11)</f>
        <v>8</v>
      </c>
      <c r="K6375" s="11">
        <f>IF(B6375&lt;C6375,1,EXP(-1*(B6375-C6375)/(Utilities!$B$11*IterData!H6375)))</f>
        <v>1</v>
      </c>
    </row>
    <row r="6376" spans="8:11" x14ac:dyDescent="0.3">
      <c r="H6376">
        <v>0.5</v>
      </c>
      <c r="I6376" s="11">
        <f t="shared" si="99"/>
        <v>0</v>
      </c>
      <c r="J6376" s="11">
        <f>1/(H6376*Utilities!$B$11)</f>
        <v>8</v>
      </c>
      <c r="K6376" s="11">
        <f>IF(B6376&lt;C6376,1,EXP(-1*(B6376-C6376)/(Utilities!$B$11*IterData!H6376)))</f>
        <v>1</v>
      </c>
    </row>
    <row r="6377" spans="8:11" x14ac:dyDescent="0.3">
      <c r="H6377">
        <v>0.5</v>
      </c>
      <c r="I6377" s="11">
        <f t="shared" si="99"/>
        <v>0</v>
      </c>
      <c r="J6377" s="11">
        <f>1/(H6377*Utilities!$B$11)</f>
        <v>8</v>
      </c>
      <c r="K6377" s="11">
        <f>IF(B6377&lt;C6377,1,EXP(-1*(B6377-C6377)/(Utilities!$B$11*IterData!H6377)))</f>
        <v>1</v>
      </c>
    </row>
    <row r="6378" spans="8:11" x14ac:dyDescent="0.3">
      <c r="H6378">
        <v>0.5</v>
      </c>
      <c r="I6378" s="11">
        <f t="shared" si="99"/>
        <v>0</v>
      </c>
      <c r="J6378" s="11">
        <f>1/(H6378*Utilities!$B$11)</f>
        <v>8</v>
      </c>
      <c r="K6378" s="11">
        <f>IF(B6378&lt;C6378,1,EXP(-1*(B6378-C6378)/(Utilities!$B$11*IterData!H6378)))</f>
        <v>1</v>
      </c>
    </row>
    <row r="6379" spans="8:11" x14ac:dyDescent="0.3">
      <c r="H6379">
        <v>0.5</v>
      </c>
      <c r="I6379" s="11">
        <f t="shared" si="99"/>
        <v>0</v>
      </c>
      <c r="J6379" s="11">
        <f>1/(H6379*Utilities!$B$11)</f>
        <v>8</v>
      </c>
      <c r="K6379" s="11">
        <f>IF(B6379&lt;C6379,1,EXP(-1*(B6379-C6379)/(Utilities!$B$11*IterData!H6379)))</f>
        <v>1</v>
      </c>
    </row>
    <row r="6380" spans="8:11" x14ac:dyDescent="0.3">
      <c r="H6380">
        <v>0.5</v>
      </c>
      <c r="I6380" s="11">
        <f t="shared" si="99"/>
        <v>0</v>
      </c>
      <c r="J6380" s="11">
        <f>1/(H6380*Utilities!$B$11)</f>
        <v>8</v>
      </c>
      <c r="K6380" s="11">
        <f>IF(B6380&lt;C6380,1,EXP(-1*(B6380-C6380)/(Utilities!$B$11*IterData!H6380)))</f>
        <v>1</v>
      </c>
    </row>
    <row r="6381" spans="8:11" x14ac:dyDescent="0.3">
      <c r="H6381">
        <v>0.5</v>
      </c>
      <c r="I6381" s="11">
        <f t="shared" si="99"/>
        <v>0</v>
      </c>
      <c r="J6381" s="11">
        <f>1/(H6381*Utilities!$B$11)</f>
        <v>8</v>
      </c>
      <c r="K6381" s="11">
        <f>IF(B6381&lt;C6381,1,EXP(-1*(B6381-C6381)/(Utilities!$B$11*IterData!H6381)))</f>
        <v>1</v>
      </c>
    </row>
    <row r="6382" spans="8:11" x14ac:dyDescent="0.3">
      <c r="H6382">
        <v>0.5</v>
      </c>
      <c r="I6382" s="11">
        <f t="shared" si="99"/>
        <v>0</v>
      </c>
      <c r="J6382" s="11">
        <f>1/(H6382*Utilities!$B$11)</f>
        <v>8</v>
      </c>
      <c r="K6382" s="11">
        <f>IF(B6382&lt;C6382,1,EXP(-1*(B6382-C6382)/(Utilities!$B$11*IterData!H6382)))</f>
        <v>1</v>
      </c>
    </row>
    <row r="6383" spans="8:11" x14ac:dyDescent="0.3">
      <c r="H6383">
        <v>0.5</v>
      </c>
      <c r="I6383" s="11">
        <f t="shared" si="99"/>
        <v>0</v>
      </c>
      <c r="J6383" s="11">
        <f>1/(H6383*Utilities!$B$11)</f>
        <v>8</v>
      </c>
      <c r="K6383" s="11">
        <f>IF(B6383&lt;C6383,1,EXP(-1*(B6383-C6383)/(Utilities!$B$11*IterData!H6383)))</f>
        <v>1</v>
      </c>
    </row>
    <row r="6384" spans="8:11" x14ac:dyDescent="0.3">
      <c r="H6384">
        <v>0.5</v>
      </c>
      <c r="I6384" s="11">
        <f t="shared" si="99"/>
        <v>0</v>
      </c>
      <c r="J6384" s="11">
        <f>1/(H6384*Utilities!$B$11)</f>
        <v>8</v>
      </c>
      <c r="K6384" s="11">
        <f>IF(B6384&lt;C6384,1,EXP(-1*(B6384-C6384)/(Utilities!$B$11*IterData!H6384)))</f>
        <v>1</v>
      </c>
    </row>
    <row r="6385" spans="8:11" x14ac:dyDescent="0.3">
      <c r="H6385">
        <v>0.5</v>
      </c>
      <c r="I6385" s="11">
        <f t="shared" si="99"/>
        <v>0</v>
      </c>
      <c r="J6385" s="11">
        <f>1/(H6385*Utilities!$B$11)</f>
        <v>8</v>
      </c>
      <c r="K6385" s="11">
        <f>IF(B6385&lt;C6385,1,EXP(-1*(B6385-C6385)/(Utilities!$B$11*IterData!H6385)))</f>
        <v>1</v>
      </c>
    </row>
    <row r="6386" spans="8:11" x14ac:dyDescent="0.3">
      <c r="H6386">
        <v>0.5</v>
      </c>
      <c r="I6386" s="11">
        <f t="shared" si="99"/>
        <v>0</v>
      </c>
      <c r="J6386" s="11">
        <f>1/(H6386*Utilities!$B$11)</f>
        <v>8</v>
      </c>
      <c r="K6386" s="11">
        <f>IF(B6386&lt;C6386,1,EXP(-1*(B6386-C6386)/(Utilities!$B$11*IterData!H6386)))</f>
        <v>1</v>
      </c>
    </row>
    <row r="6387" spans="8:11" x14ac:dyDescent="0.3">
      <c r="H6387">
        <v>0.5</v>
      </c>
      <c r="I6387" s="11">
        <f t="shared" si="99"/>
        <v>0</v>
      </c>
      <c r="J6387" s="11">
        <f>1/(H6387*Utilities!$B$11)</f>
        <v>8</v>
      </c>
      <c r="K6387" s="11">
        <f>IF(B6387&lt;C6387,1,EXP(-1*(B6387-C6387)/(Utilities!$B$11*IterData!H6387)))</f>
        <v>1</v>
      </c>
    </row>
    <row r="6388" spans="8:11" x14ac:dyDescent="0.3">
      <c r="H6388">
        <v>0.5</v>
      </c>
      <c r="I6388" s="11">
        <f t="shared" si="99"/>
        <v>0</v>
      </c>
      <c r="J6388" s="11">
        <f>1/(H6388*Utilities!$B$11)</f>
        <v>8</v>
      </c>
      <c r="K6388" s="11">
        <f>IF(B6388&lt;C6388,1,EXP(-1*(B6388-C6388)/(Utilities!$B$11*IterData!H6388)))</f>
        <v>1</v>
      </c>
    </row>
    <row r="6389" spans="8:11" x14ac:dyDescent="0.3">
      <c r="H6389">
        <v>0.5</v>
      </c>
      <c r="I6389" s="11">
        <f t="shared" si="99"/>
        <v>0</v>
      </c>
      <c r="J6389" s="11">
        <f>1/(H6389*Utilities!$B$11)</f>
        <v>8</v>
      </c>
      <c r="K6389" s="11">
        <f>IF(B6389&lt;C6389,1,EXP(-1*(B6389-C6389)/(Utilities!$B$11*IterData!H6389)))</f>
        <v>1</v>
      </c>
    </row>
    <row r="6390" spans="8:11" x14ac:dyDescent="0.3">
      <c r="H6390">
        <v>0.5</v>
      </c>
      <c r="I6390" s="11">
        <f t="shared" si="99"/>
        <v>0</v>
      </c>
      <c r="J6390" s="11">
        <f>1/(H6390*Utilities!$B$11)</f>
        <v>8</v>
      </c>
      <c r="K6390" s="11">
        <f>IF(B6390&lt;C6390,1,EXP(-1*(B6390-C6390)/(Utilities!$B$11*IterData!H6390)))</f>
        <v>1</v>
      </c>
    </row>
    <row r="6391" spans="8:11" x14ac:dyDescent="0.3">
      <c r="H6391">
        <v>0.5</v>
      </c>
      <c r="I6391" s="11">
        <f t="shared" si="99"/>
        <v>0</v>
      </c>
      <c r="J6391" s="11">
        <f>1/(H6391*Utilities!$B$11)</f>
        <v>8</v>
      </c>
      <c r="K6391" s="11">
        <f>IF(B6391&lt;C6391,1,EXP(-1*(B6391-C6391)/(Utilities!$B$11*IterData!H6391)))</f>
        <v>1</v>
      </c>
    </row>
    <row r="6392" spans="8:11" x14ac:dyDescent="0.3">
      <c r="H6392">
        <v>0.5</v>
      </c>
      <c r="I6392" s="11">
        <f t="shared" si="99"/>
        <v>0</v>
      </c>
      <c r="J6392" s="11">
        <f>1/(H6392*Utilities!$B$11)</f>
        <v>8</v>
      </c>
      <c r="K6392" s="11">
        <f>IF(B6392&lt;C6392,1,EXP(-1*(B6392-C6392)/(Utilities!$B$11*IterData!H6392)))</f>
        <v>1</v>
      </c>
    </row>
    <row r="6393" spans="8:11" x14ac:dyDescent="0.3">
      <c r="H6393">
        <v>0.5</v>
      </c>
      <c r="I6393" s="11">
        <f t="shared" si="99"/>
        <v>0</v>
      </c>
      <c r="J6393" s="11">
        <f>1/(H6393*Utilities!$B$11)</f>
        <v>8</v>
      </c>
      <c r="K6393" s="11">
        <f>IF(B6393&lt;C6393,1,EXP(-1*(B6393-C6393)/(Utilities!$B$11*IterData!H6393)))</f>
        <v>1</v>
      </c>
    </row>
    <row r="6394" spans="8:11" x14ac:dyDescent="0.3">
      <c r="H6394">
        <v>0.5</v>
      </c>
      <c r="I6394" s="11">
        <f t="shared" si="99"/>
        <v>0</v>
      </c>
      <c r="J6394" s="11">
        <f>1/(H6394*Utilities!$B$11)</f>
        <v>8</v>
      </c>
      <c r="K6394" s="11">
        <f>IF(B6394&lt;C6394,1,EXP(-1*(B6394-C6394)/(Utilities!$B$11*IterData!H6394)))</f>
        <v>1</v>
      </c>
    </row>
    <row r="6395" spans="8:11" x14ac:dyDescent="0.3">
      <c r="H6395">
        <v>0.5</v>
      </c>
      <c r="I6395" s="11">
        <f t="shared" si="99"/>
        <v>0</v>
      </c>
      <c r="J6395" s="11">
        <f>1/(H6395*Utilities!$B$11)</f>
        <v>8</v>
      </c>
      <c r="K6395" s="11">
        <f>IF(B6395&lt;C6395,1,EXP(-1*(B6395-C6395)/(Utilities!$B$11*IterData!H6395)))</f>
        <v>1</v>
      </c>
    </row>
    <row r="6396" spans="8:11" x14ac:dyDescent="0.3">
      <c r="H6396">
        <v>0.5</v>
      </c>
      <c r="I6396" s="11">
        <f t="shared" si="99"/>
        <v>0</v>
      </c>
      <c r="J6396" s="11">
        <f>1/(H6396*Utilities!$B$11)</f>
        <v>8</v>
      </c>
      <c r="K6396" s="11">
        <f>IF(B6396&lt;C6396,1,EXP(-1*(B6396-C6396)/(Utilities!$B$11*IterData!H6396)))</f>
        <v>1</v>
      </c>
    </row>
    <row r="6397" spans="8:11" x14ac:dyDescent="0.3">
      <c r="H6397">
        <v>0.5</v>
      </c>
      <c r="I6397" s="11">
        <f t="shared" si="99"/>
        <v>0</v>
      </c>
      <c r="J6397" s="11">
        <f>1/(H6397*Utilities!$B$11)</f>
        <v>8</v>
      </c>
      <c r="K6397" s="11">
        <f>IF(B6397&lt;C6397,1,EXP(-1*(B6397-C6397)/(Utilities!$B$11*IterData!H6397)))</f>
        <v>1</v>
      </c>
    </row>
    <row r="6398" spans="8:11" x14ac:dyDescent="0.3">
      <c r="H6398">
        <v>0.5</v>
      </c>
      <c r="I6398" s="11">
        <f t="shared" si="99"/>
        <v>0</v>
      </c>
      <c r="J6398" s="11">
        <f>1/(H6398*Utilities!$B$11)</f>
        <v>8</v>
      </c>
      <c r="K6398" s="11">
        <f>IF(B6398&lt;C6398,1,EXP(-1*(B6398-C6398)/(Utilities!$B$11*IterData!H6398)))</f>
        <v>1</v>
      </c>
    </row>
    <row r="6399" spans="8:11" x14ac:dyDescent="0.3">
      <c r="H6399">
        <v>0.5</v>
      </c>
      <c r="I6399" s="11">
        <f t="shared" si="99"/>
        <v>0</v>
      </c>
      <c r="J6399" s="11">
        <f>1/(H6399*Utilities!$B$11)</f>
        <v>8</v>
      </c>
      <c r="K6399" s="11">
        <f>IF(B6399&lt;C6399,1,EXP(-1*(B6399-C6399)/(Utilities!$B$11*IterData!H6399)))</f>
        <v>1</v>
      </c>
    </row>
    <row r="6400" spans="8:11" x14ac:dyDescent="0.3">
      <c r="H6400">
        <v>0.5</v>
      </c>
      <c r="I6400" s="11">
        <f t="shared" si="99"/>
        <v>0</v>
      </c>
      <c r="J6400" s="11">
        <f>1/(H6400*Utilities!$B$11)</f>
        <v>8</v>
      </c>
      <c r="K6400" s="11">
        <f>IF(B6400&lt;C6400,1,EXP(-1*(B6400-C6400)/(Utilities!$B$11*IterData!H6400)))</f>
        <v>1</v>
      </c>
    </row>
    <row r="6401" spans="8:11" x14ac:dyDescent="0.3">
      <c r="H6401">
        <v>0.5</v>
      </c>
      <c r="I6401" s="11">
        <f t="shared" si="99"/>
        <v>0</v>
      </c>
      <c r="J6401" s="11">
        <f>1/(H6401*Utilities!$B$11)</f>
        <v>8</v>
      </c>
      <c r="K6401" s="11">
        <f>IF(B6401&lt;C6401,1,EXP(-1*(B6401-C6401)/(Utilities!$B$11*IterData!H6401)))</f>
        <v>1</v>
      </c>
    </row>
    <row r="6402" spans="8:11" x14ac:dyDescent="0.3">
      <c r="H6402">
        <v>0.5</v>
      </c>
      <c r="I6402" s="11">
        <f t="shared" si="99"/>
        <v>0</v>
      </c>
      <c r="J6402" s="11">
        <f>1/(H6402*Utilities!$B$11)</f>
        <v>8</v>
      </c>
      <c r="K6402" s="11">
        <f>IF(B6402&lt;C6402,1,EXP(-1*(B6402-C6402)/(Utilities!$B$11*IterData!H6402)))</f>
        <v>1</v>
      </c>
    </row>
    <row r="6403" spans="8:11" x14ac:dyDescent="0.3">
      <c r="H6403">
        <v>0.5</v>
      </c>
      <c r="I6403" s="11">
        <f t="shared" ref="I6403:I6466" si="100">B6403-C6403</f>
        <v>0</v>
      </c>
      <c r="J6403" s="11">
        <f>1/(H6403*Utilities!$B$11)</f>
        <v>8</v>
      </c>
      <c r="K6403" s="11">
        <f>IF(B6403&lt;C6403,1,EXP(-1*(B6403-C6403)/(Utilities!$B$11*IterData!H6403)))</f>
        <v>1</v>
      </c>
    </row>
    <row r="6404" spans="8:11" x14ac:dyDescent="0.3">
      <c r="H6404">
        <v>0.5</v>
      </c>
      <c r="I6404" s="11">
        <f t="shared" si="100"/>
        <v>0</v>
      </c>
      <c r="J6404" s="11">
        <f>1/(H6404*Utilities!$B$11)</f>
        <v>8</v>
      </c>
      <c r="K6404" s="11">
        <f>IF(B6404&lt;C6404,1,EXP(-1*(B6404-C6404)/(Utilities!$B$11*IterData!H6404)))</f>
        <v>1</v>
      </c>
    </row>
    <row r="6405" spans="8:11" x14ac:dyDescent="0.3">
      <c r="H6405">
        <v>0.5</v>
      </c>
      <c r="I6405" s="11">
        <f t="shared" si="100"/>
        <v>0</v>
      </c>
      <c r="J6405" s="11">
        <f>1/(H6405*Utilities!$B$11)</f>
        <v>8</v>
      </c>
      <c r="K6405" s="11">
        <f>IF(B6405&lt;C6405,1,EXP(-1*(B6405-C6405)/(Utilities!$B$11*IterData!H6405)))</f>
        <v>1</v>
      </c>
    </row>
    <row r="6406" spans="8:11" x14ac:dyDescent="0.3">
      <c r="H6406">
        <v>0.5</v>
      </c>
      <c r="I6406" s="11">
        <f t="shared" si="100"/>
        <v>0</v>
      </c>
      <c r="J6406" s="11">
        <f>1/(H6406*Utilities!$B$11)</f>
        <v>8</v>
      </c>
      <c r="K6406" s="11">
        <f>IF(B6406&lt;C6406,1,EXP(-1*(B6406-C6406)/(Utilities!$B$11*IterData!H6406)))</f>
        <v>1</v>
      </c>
    </row>
    <row r="6407" spans="8:11" x14ac:dyDescent="0.3">
      <c r="H6407">
        <v>0.5</v>
      </c>
      <c r="I6407" s="11">
        <f t="shared" si="100"/>
        <v>0</v>
      </c>
      <c r="J6407" s="11">
        <f>1/(H6407*Utilities!$B$11)</f>
        <v>8</v>
      </c>
      <c r="K6407" s="11">
        <f>IF(B6407&lt;C6407,1,EXP(-1*(B6407-C6407)/(Utilities!$B$11*IterData!H6407)))</f>
        <v>1</v>
      </c>
    </row>
    <row r="6408" spans="8:11" x14ac:dyDescent="0.3">
      <c r="H6408">
        <v>0.5</v>
      </c>
      <c r="I6408" s="11">
        <f t="shared" si="100"/>
        <v>0</v>
      </c>
      <c r="J6408" s="11">
        <f>1/(H6408*Utilities!$B$11)</f>
        <v>8</v>
      </c>
      <c r="K6408" s="11">
        <f>IF(B6408&lt;C6408,1,EXP(-1*(B6408-C6408)/(Utilities!$B$11*IterData!H6408)))</f>
        <v>1</v>
      </c>
    </row>
    <row r="6409" spans="8:11" x14ac:dyDescent="0.3">
      <c r="H6409">
        <v>0.5</v>
      </c>
      <c r="I6409" s="11">
        <f t="shared" si="100"/>
        <v>0</v>
      </c>
      <c r="J6409" s="11">
        <f>1/(H6409*Utilities!$B$11)</f>
        <v>8</v>
      </c>
      <c r="K6409" s="11">
        <f>IF(B6409&lt;C6409,1,EXP(-1*(B6409-C6409)/(Utilities!$B$11*IterData!H6409)))</f>
        <v>1</v>
      </c>
    </row>
    <row r="6410" spans="8:11" x14ac:dyDescent="0.3">
      <c r="H6410">
        <v>0.5</v>
      </c>
      <c r="I6410" s="11">
        <f t="shared" si="100"/>
        <v>0</v>
      </c>
      <c r="J6410" s="11">
        <f>1/(H6410*Utilities!$B$11)</f>
        <v>8</v>
      </c>
      <c r="K6410" s="11">
        <f>IF(B6410&lt;C6410,1,EXP(-1*(B6410-C6410)/(Utilities!$B$11*IterData!H6410)))</f>
        <v>1</v>
      </c>
    </row>
    <row r="6411" spans="8:11" x14ac:dyDescent="0.3">
      <c r="H6411">
        <v>0.5</v>
      </c>
      <c r="I6411" s="11">
        <f t="shared" si="100"/>
        <v>0</v>
      </c>
      <c r="J6411" s="11">
        <f>1/(H6411*Utilities!$B$11)</f>
        <v>8</v>
      </c>
      <c r="K6411" s="11">
        <f>IF(B6411&lt;C6411,1,EXP(-1*(B6411-C6411)/(Utilities!$B$11*IterData!H6411)))</f>
        <v>1</v>
      </c>
    </row>
    <row r="6412" spans="8:11" x14ac:dyDescent="0.3">
      <c r="H6412">
        <v>0.5</v>
      </c>
      <c r="I6412" s="11">
        <f t="shared" si="100"/>
        <v>0</v>
      </c>
      <c r="J6412" s="11">
        <f>1/(H6412*Utilities!$B$11)</f>
        <v>8</v>
      </c>
      <c r="K6412" s="11">
        <f>IF(B6412&lt;C6412,1,EXP(-1*(B6412-C6412)/(Utilities!$B$11*IterData!H6412)))</f>
        <v>1</v>
      </c>
    </row>
    <row r="6413" spans="8:11" x14ac:dyDescent="0.3">
      <c r="H6413">
        <v>0.5</v>
      </c>
      <c r="I6413" s="11">
        <f t="shared" si="100"/>
        <v>0</v>
      </c>
      <c r="J6413" s="11">
        <f>1/(H6413*Utilities!$B$11)</f>
        <v>8</v>
      </c>
      <c r="K6413" s="11">
        <f>IF(B6413&lt;C6413,1,EXP(-1*(B6413-C6413)/(Utilities!$B$11*IterData!H6413)))</f>
        <v>1</v>
      </c>
    </row>
    <row r="6414" spans="8:11" x14ac:dyDescent="0.3">
      <c r="H6414">
        <v>0.5</v>
      </c>
      <c r="I6414" s="11">
        <f t="shared" si="100"/>
        <v>0</v>
      </c>
      <c r="J6414" s="11">
        <f>1/(H6414*Utilities!$B$11)</f>
        <v>8</v>
      </c>
      <c r="K6414" s="11">
        <f>IF(B6414&lt;C6414,1,EXP(-1*(B6414-C6414)/(Utilities!$B$11*IterData!H6414)))</f>
        <v>1</v>
      </c>
    </row>
    <row r="6415" spans="8:11" x14ac:dyDescent="0.3">
      <c r="H6415">
        <v>0.5</v>
      </c>
      <c r="I6415" s="11">
        <f t="shared" si="100"/>
        <v>0</v>
      </c>
      <c r="J6415" s="11">
        <f>1/(H6415*Utilities!$B$11)</f>
        <v>8</v>
      </c>
      <c r="K6415" s="11">
        <f>IF(B6415&lt;C6415,1,EXP(-1*(B6415-C6415)/(Utilities!$B$11*IterData!H6415)))</f>
        <v>1</v>
      </c>
    </row>
    <row r="6416" spans="8:11" x14ac:dyDescent="0.3">
      <c r="H6416">
        <v>0.5</v>
      </c>
      <c r="I6416" s="11">
        <f t="shared" si="100"/>
        <v>0</v>
      </c>
      <c r="J6416" s="11">
        <f>1/(H6416*Utilities!$B$11)</f>
        <v>8</v>
      </c>
      <c r="K6416" s="11">
        <f>IF(B6416&lt;C6416,1,EXP(-1*(B6416-C6416)/(Utilities!$B$11*IterData!H6416)))</f>
        <v>1</v>
      </c>
    </row>
    <row r="6417" spans="8:11" x14ac:dyDescent="0.3">
      <c r="H6417">
        <v>0.5</v>
      </c>
      <c r="I6417" s="11">
        <f t="shared" si="100"/>
        <v>0</v>
      </c>
      <c r="J6417" s="11">
        <f>1/(H6417*Utilities!$B$11)</f>
        <v>8</v>
      </c>
      <c r="K6417" s="11">
        <f>IF(B6417&lt;C6417,1,EXP(-1*(B6417-C6417)/(Utilities!$B$11*IterData!H6417)))</f>
        <v>1</v>
      </c>
    </row>
    <row r="6418" spans="8:11" x14ac:dyDescent="0.3">
      <c r="H6418">
        <v>0.5</v>
      </c>
      <c r="I6418" s="11">
        <f t="shared" si="100"/>
        <v>0</v>
      </c>
      <c r="J6418" s="11">
        <f>1/(H6418*Utilities!$B$11)</f>
        <v>8</v>
      </c>
      <c r="K6418" s="11">
        <f>IF(B6418&lt;C6418,1,EXP(-1*(B6418-C6418)/(Utilities!$B$11*IterData!H6418)))</f>
        <v>1</v>
      </c>
    </row>
    <row r="6419" spans="8:11" x14ac:dyDescent="0.3">
      <c r="H6419">
        <v>0.5</v>
      </c>
      <c r="I6419" s="11">
        <f t="shared" si="100"/>
        <v>0</v>
      </c>
      <c r="J6419" s="11">
        <f>1/(H6419*Utilities!$B$11)</f>
        <v>8</v>
      </c>
      <c r="K6419" s="11">
        <f>IF(B6419&lt;C6419,1,EXP(-1*(B6419-C6419)/(Utilities!$B$11*IterData!H6419)))</f>
        <v>1</v>
      </c>
    </row>
    <row r="6420" spans="8:11" x14ac:dyDescent="0.3">
      <c r="H6420">
        <v>0.5</v>
      </c>
      <c r="I6420" s="11">
        <f t="shared" si="100"/>
        <v>0</v>
      </c>
      <c r="J6420" s="11">
        <f>1/(H6420*Utilities!$B$11)</f>
        <v>8</v>
      </c>
      <c r="K6420" s="11">
        <f>IF(B6420&lt;C6420,1,EXP(-1*(B6420-C6420)/(Utilities!$B$11*IterData!H6420)))</f>
        <v>1</v>
      </c>
    </row>
    <row r="6421" spans="8:11" x14ac:dyDescent="0.3">
      <c r="H6421">
        <v>0.5</v>
      </c>
      <c r="I6421" s="11">
        <f t="shared" si="100"/>
        <v>0</v>
      </c>
      <c r="J6421" s="11">
        <f>1/(H6421*Utilities!$B$11)</f>
        <v>8</v>
      </c>
      <c r="K6421" s="11">
        <f>IF(B6421&lt;C6421,1,EXP(-1*(B6421-C6421)/(Utilities!$B$11*IterData!H6421)))</f>
        <v>1</v>
      </c>
    </row>
    <row r="6422" spans="8:11" x14ac:dyDescent="0.3">
      <c r="H6422">
        <v>0.5</v>
      </c>
      <c r="I6422" s="11">
        <f t="shared" si="100"/>
        <v>0</v>
      </c>
      <c r="J6422" s="11">
        <f>1/(H6422*Utilities!$B$11)</f>
        <v>8</v>
      </c>
      <c r="K6422" s="11">
        <f>IF(B6422&lt;C6422,1,EXP(-1*(B6422-C6422)/(Utilities!$B$11*IterData!H6422)))</f>
        <v>1</v>
      </c>
    </row>
    <row r="6423" spans="8:11" x14ac:dyDescent="0.3">
      <c r="H6423">
        <v>0.5</v>
      </c>
      <c r="I6423" s="11">
        <f t="shared" si="100"/>
        <v>0</v>
      </c>
      <c r="J6423" s="11">
        <f>1/(H6423*Utilities!$B$11)</f>
        <v>8</v>
      </c>
      <c r="K6423" s="11">
        <f>IF(B6423&lt;C6423,1,EXP(-1*(B6423-C6423)/(Utilities!$B$11*IterData!H6423)))</f>
        <v>1</v>
      </c>
    </row>
    <row r="6424" spans="8:11" x14ac:dyDescent="0.3">
      <c r="H6424">
        <v>0.5</v>
      </c>
      <c r="I6424" s="11">
        <f t="shared" si="100"/>
        <v>0</v>
      </c>
      <c r="J6424" s="11">
        <f>1/(H6424*Utilities!$B$11)</f>
        <v>8</v>
      </c>
      <c r="K6424" s="11">
        <f>IF(B6424&lt;C6424,1,EXP(-1*(B6424-C6424)/(Utilities!$B$11*IterData!H6424)))</f>
        <v>1</v>
      </c>
    </row>
    <row r="6425" spans="8:11" x14ac:dyDescent="0.3">
      <c r="H6425">
        <v>0.5</v>
      </c>
      <c r="I6425" s="11">
        <f t="shared" si="100"/>
        <v>0</v>
      </c>
      <c r="J6425" s="11">
        <f>1/(H6425*Utilities!$B$11)</f>
        <v>8</v>
      </c>
      <c r="K6425" s="11">
        <f>IF(B6425&lt;C6425,1,EXP(-1*(B6425-C6425)/(Utilities!$B$11*IterData!H6425)))</f>
        <v>1</v>
      </c>
    </row>
    <row r="6426" spans="8:11" x14ac:dyDescent="0.3">
      <c r="H6426">
        <v>0.5</v>
      </c>
      <c r="I6426" s="11">
        <f t="shared" si="100"/>
        <v>0</v>
      </c>
      <c r="J6426" s="11">
        <f>1/(H6426*Utilities!$B$11)</f>
        <v>8</v>
      </c>
      <c r="K6426" s="11">
        <f>IF(B6426&lt;C6426,1,EXP(-1*(B6426-C6426)/(Utilities!$B$11*IterData!H6426)))</f>
        <v>1</v>
      </c>
    </row>
    <row r="6427" spans="8:11" x14ac:dyDescent="0.3">
      <c r="H6427">
        <v>0.5</v>
      </c>
      <c r="I6427" s="11">
        <f t="shared" si="100"/>
        <v>0</v>
      </c>
      <c r="J6427" s="11">
        <f>1/(H6427*Utilities!$B$11)</f>
        <v>8</v>
      </c>
      <c r="K6427" s="11">
        <f>IF(B6427&lt;C6427,1,EXP(-1*(B6427-C6427)/(Utilities!$B$11*IterData!H6427)))</f>
        <v>1</v>
      </c>
    </row>
    <row r="6428" spans="8:11" x14ac:dyDescent="0.3">
      <c r="H6428">
        <v>0.5</v>
      </c>
      <c r="I6428" s="11">
        <f t="shared" si="100"/>
        <v>0</v>
      </c>
      <c r="J6428" s="11">
        <f>1/(H6428*Utilities!$B$11)</f>
        <v>8</v>
      </c>
      <c r="K6428" s="11">
        <f>IF(B6428&lt;C6428,1,EXP(-1*(B6428-C6428)/(Utilities!$B$11*IterData!H6428)))</f>
        <v>1</v>
      </c>
    </row>
    <row r="6429" spans="8:11" x14ac:dyDescent="0.3">
      <c r="H6429">
        <v>0.5</v>
      </c>
      <c r="I6429" s="11">
        <f t="shared" si="100"/>
        <v>0</v>
      </c>
      <c r="J6429" s="11">
        <f>1/(H6429*Utilities!$B$11)</f>
        <v>8</v>
      </c>
      <c r="K6429" s="11">
        <f>IF(B6429&lt;C6429,1,EXP(-1*(B6429-C6429)/(Utilities!$B$11*IterData!H6429)))</f>
        <v>1</v>
      </c>
    </row>
    <row r="6430" spans="8:11" x14ac:dyDescent="0.3">
      <c r="H6430">
        <v>0.5</v>
      </c>
      <c r="I6430" s="11">
        <f t="shared" si="100"/>
        <v>0</v>
      </c>
      <c r="J6430" s="11">
        <f>1/(H6430*Utilities!$B$11)</f>
        <v>8</v>
      </c>
      <c r="K6430" s="11">
        <f>IF(B6430&lt;C6430,1,EXP(-1*(B6430-C6430)/(Utilities!$B$11*IterData!H6430)))</f>
        <v>1</v>
      </c>
    </row>
    <row r="6431" spans="8:11" x14ac:dyDescent="0.3">
      <c r="H6431">
        <v>0.5</v>
      </c>
      <c r="I6431" s="11">
        <f t="shared" si="100"/>
        <v>0</v>
      </c>
      <c r="J6431" s="11">
        <f>1/(H6431*Utilities!$B$11)</f>
        <v>8</v>
      </c>
      <c r="K6431" s="11">
        <f>IF(B6431&lt;C6431,1,EXP(-1*(B6431-C6431)/(Utilities!$B$11*IterData!H6431)))</f>
        <v>1</v>
      </c>
    </row>
    <row r="6432" spans="8:11" x14ac:dyDescent="0.3">
      <c r="H6432">
        <v>0.5</v>
      </c>
      <c r="I6432" s="11">
        <f t="shared" si="100"/>
        <v>0</v>
      </c>
      <c r="J6432" s="11">
        <f>1/(H6432*Utilities!$B$11)</f>
        <v>8</v>
      </c>
      <c r="K6432" s="11">
        <f>IF(B6432&lt;C6432,1,EXP(-1*(B6432-C6432)/(Utilities!$B$11*IterData!H6432)))</f>
        <v>1</v>
      </c>
    </row>
    <row r="6433" spans="8:11" x14ac:dyDescent="0.3">
      <c r="H6433">
        <v>0.5</v>
      </c>
      <c r="I6433" s="11">
        <f t="shared" si="100"/>
        <v>0</v>
      </c>
      <c r="J6433" s="11">
        <f>1/(H6433*Utilities!$B$11)</f>
        <v>8</v>
      </c>
      <c r="K6433" s="11">
        <f>IF(B6433&lt;C6433,1,EXP(-1*(B6433-C6433)/(Utilities!$B$11*IterData!H6433)))</f>
        <v>1</v>
      </c>
    </row>
    <row r="6434" spans="8:11" x14ac:dyDescent="0.3">
      <c r="H6434">
        <v>0.5</v>
      </c>
      <c r="I6434" s="11">
        <f t="shared" si="100"/>
        <v>0</v>
      </c>
      <c r="J6434" s="11">
        <f>1/(H6434*Utilities!$B$11)</f>
        <v>8</v>
      </c>
      <c r="K6434" s="11">
        <f>IF(B6434&lt;C6434,1,EXP(-1*(B6434-C6434)/(Utilities!$B$11*IterData!H6434)))</f>
        <v>1</v>
      </c>
    </row>
    <row r="6435" spans="8:11" x14ac:dyDescent="0.3">
      <c r="H6435">
        <v>0.5</v>
      </c>
      <c r="I6435" s="11">
        <f t="shared" si="100"/>
        <v>0</v>
      </c>
      <c r="J6435" s="11">
        <f>1/(H6435*Utilities!$B$11)</f>
        <v>8</v>
      </c>
      <c r="K6435" s="11">
        <f>IF(B6435&lt;C6435,1,EXP(-1*(B6435-C6435)/(Utilities!$B$11*IterData!H6435)))</f>
        <v>1</v>
      </c>
    </row>
    <row r="6436" spans="8:11" x14ac:dyDescent="0.3">
      <c r="H6436">
        <v>0.5</v>
      </c>
      <c r="I6436" s="11">
        <f t="shared" si="100"/>
        <v>0</v>
      </c>
      <c r="J6436" s="11">
        <f>1/(H6436*Utilities!$B$11)</f>
        <v>8</v>
      </c>
      <c r="K6436" s="11">
        <f>IF(B6436&lt;C6436,1,EXP(-1*(B6436-C6436)/(Utilities!$B$11*IterData!H6436)))</f>
        <v>1</v>
      </c>
    </row>
    <row r="6437" spans="8:11" x14ac:dyDescent="0.3">
      <c r="H6437">
        <v>0.5</v>
      </c>
      <c r="I6437" s="11">
        <f t="shared" si="100"/>
        <v>0</v>
      </c>
      <c r="J6437" s="11">
        <f>1/(H6437*Utilities!$B$11)</f>
        <v>8</v>
      </c>
      <c r="K6437" s="11">
        <f>IF(B6437&lt;C6437,1,EXP(-1*(B6437-C6437)/(Utilities!$B$11*IterData!H6437)))</f>
        <v>1</v>
      </c>
    </row>
    <row r="6438" spans="8:11" x14ac:dyDescent="0.3">
      <c r="H6438">
        <v>0.5</v>
      </c>
      <c r="I6438" s="11">
        <f t="shared" si="100"/>
        <v>0</v>
      </c>
      <c r="J6438" s="11">
        <f>1/(H6438*Utilities!$B$11)</f>
        <v>8</v>
      </c>
      <c r="K6438" s="11">
        <f>IF(B6438&lt;C6438,1,EXP(-1*(B6438-C6438)/(Utilities!$B$11*IterData!H6438)))</f>
        <v>1</v>
      </c>
    </row>
    <row r="6439" spans="8:11" x14ac:dyDescent="0.3">
      <c r="H6439">
        <v>0.5</v>
      </c>
      <c r="I6439" s="11">
        <f t="shared" si="100"/>
        <v>0</v>
      </c>
      <c r="J6439" s="11">
        <f>1/(H6439*Utilities!$B$11)</f>
        <v>8</v>
      </c>
      <c r="K6439" s="11">
        <f>IF(B6439&lt;C6439,1,EXP(-1*(B6439-C6439)/(Utilities!$B$11*IterData!H6439)))</f>
        <v>1</v>
      </c>
    </row>
    <row r="6440" spans="8:11" x14ac:dyDescent="0.3">
      <c r="H6440">
        <v>0.5</v>
      </c>
      <c r="I6440" s="11">
        <f t="shared" si="100"/>
        <v>0</v>
      </c>
      <c r="J6440" s="11">
        <f>1/(H6440*Utilities!$B$11)</f>
        <v>8</v>
      </c>
      <c r="K6440" s="11">
        <f>IF(B6440&lt;C6440,1,EXP(-1*(B6440-C6440)/(Utilities!$B$11*IterData!H6440)))</f>
        <v>1</v>
      </c>
    </row>
    <row r="6441" spans="8:11" x14ac:dyDescent="0.3">
      <c r="H6441">
        <v>0.5</v>
      </c>
      <c r="I6441" s="11">
        <f t="shared" si="100"/>
        <v>0</v>
      </c>
      <c r="J6441" s="11">
        <f>1/(H6441*Utilities!$B$11)</f>
        <v>8</v>
      </c>
      <c r="K6441" s="11">
        <f>IF(B6441&lt;C6441,1,EXP(-1*(B6441-C6441)/(Utilities!$B$11*IterData!H6441)))</f>
        <v>1</v>
      </c>
    </row>
    <row r="6442" spans="8:11" x14ac:dyDescent="0.3">
      <c r="H6442">
        <v>0.5</v>
      </c>
      <c r="I6442" s="11">
        <f t="shared" si="100"/>
        <v>0</v>
      </c>
      <c r="J6442" s="11">
        <f>1/(H6442*Utilities!$B$11)</f>
        <v>8</v>
      </c>
      <c r="K6442" s="11">
        <f>IF(B6442&lt;C6442,1,EXP(-1*(B6442-C6442)/(Utilities!$B$11*IterData!H6442)))</f>
        <v>1</v>
      </c>
    </row>
    <row r="6443" spans="8:11" x14ac:dyDescent="0.3">
      <c r="H6443">
        <v>0.5</v>
      </c>
      <c r="I6443" s="11">
        <f t="shared" si="100"/>
        <v>0</v>
      </c>
      <c r="J6443" s="11">
        <f>1/(H6443*Utilities!$B$11)</f>
        <v>8</v>
      </c>
      <c r="K6443" s="11">
        <f>IF(B6443&lt;C6443,1,EXP(-1*(B6443-C6443)/(Utilities!$B$11*IterData!H6443)))</f>
        <v>1</v>
      </c>
    </row>
    <row r="6444" spans="8:11" x14ac:dyDescent="0.3">
      <c r="H6444">
        <v>0.5</v>
      </c>
      <c r="I6444" s="11">
        <f t="shared" si="100"/>
        <v>0</v>
      </c>
      <c r="J6444" s="11">
        <f>1/(H6444*Utilities!$B$11)</f>
        <v>8</v>
      </c>
      <c r="K6444" s="11">
        <f>IF(B6444&lt;C6444,1,EXP(-1*(B6444-C6444)/(Utilities!$B$11*IterData!H6444)))</f>
        <v>1</v>
      </c>
    </row>
    <row r="6445" spans="8:11" x14ac:dyDescent="0.3">
      <c r="H6445">
        <v>0.5</v>
      </c>
      <c r="I6445" s="11">
        <f t="shared" si="100"/>
        <v>0</v>
      </c>
      <c r="J6445" s="11">
        <f>1/(H6445*Utilities!$B$11)</f>
        <v>8</v>
      </c>
      <c r="K6445" s="11">
        <f>IF(B6445&lt;C6445,1,EXP(-1*(B6445-C6445)/(Utilities!$B$11*IterData!H6445)))</f>
        <v>1</v>
      </c>
    </row>
    <row r="6446" spans="8:11" x14ac:dyDescent="0.3">
      <c r="H6446">
        <v>0.5</v>
      </c>
      <c r="I6446" s="11">
        <f t="shared" si="100"/>
        <v>0</v>
      </c>
      <c r="J6446" s="11">
        <f>1/(H6446*Utilities!$B$11)</f>
        <v>8</v>
      </c>
      <c r="K6446" s="11">
        <f>IF(B6446&lt;C6446,1,EXP(-1*(B6446-C6446)/(Utilities!$B$11*IterData!H6446)))</f>
        <v>1</v>
      </c>
    </row>
    <row r="6447" spans="8:11" x14ac:dyDescent="0.3">
      <c r="H6447">
        <v>0.5</v>
      </c>
      <c r="I6447" s="11">
        <f t="shared" si="100"/>
        <v>0</v>
      </c>
      <c r="J6447" s="11">
        <f>1/(H6447*Utilities!$B$11)</f>
        <v>8</v>
      </c>
      <c r="K6447" s="11">
        <f>IF(B6447&lt;C6447,1,EXP(-1*(B6447-C6447)/(Utilities!$B$11*IterData!H6447)))</f>
        <v>1</v>
      </c>
    </row>
    <row r="6448" spans="8:11" x14ac:dyDescent="0.3">
      <c r="H6448">
        <v>0.5</v>
      </c>
      <c r="I6448" s="11">
        <f t="shared" si="100"/>
        <v>0</v>
      </c>
      <c r="J6448" s="11">
        <f>1/(H6448*Utilities!$B$11)</f>
        <v>8</v>
      </c>
      <c r="K6448" s="11">
        <f>IF(B6448&lt;C6448,1,EXP(-1*(B6448-C6448)/(Utilities!$B$11*IterData!H6448)))</f>
        <v>1</v>
      </c>
    </row>
    <row r="6449" spans="8:11" x14ac:dyDescent="0.3">
      <c r="H6449">
        <v>0.5</v>
      </c>
      <c r="I6449" s="11">
        <f t="shared" si="100"/>
        <v>0</v>
      </c>
      <c r="J6449" s="11">
        <f>1/(H6449*Utilities!$B$11)</f>
        <v>8</v>
      </c>
      <c r="K6449" s="11">
        <f>IF(B6449&lt;C6449,1,EXP(-1*(B6449-C6449)/(Utilities!$B$11*IterData!H6449)))</f>
        <v>1</v>
      </c>
    </row>
    <row r="6450" spans="8:11" x14ac:dyDescent="0.3">
      <c r="H6450">
        <v>0.5</v>
      </c>
      <c r="I6450" s="11">
        <f t="shared" si="100"/>
        <v>0</v>
      </c>
      <c r="J6450" s="11">
        <f>1/(H6450*Utilities!$B$11)</f>
        <v>8</v>
      </c>
      <c r="K6450" s="11">
        <f>IF(B6450&lt;C6450,1,EXP(-1*(B6450-C6450)/(Utilities!$B$11*IterData!H6450)))</f>
        <v>1</v>
      </c>
    </row>
    <row r="6451" spans="8:11" x14ac:dyDescent="0.3">
      <c r="H6451">
        <v>0.5</v>
      </c>
      <c r="I6451" s="11">
        <f t="shared" si="100"/>
        <v>0</v>
      </c>
      <c r="J6451" s="11">
        <f>1/(H6451*Utilities!$B$11)</f>
        <v>8</v>
      </c>
      <c r="K6451" s="11">
        <f>IF(B6451&lt;C6451,1,EXP(-1*(B6451-C6451)/(Utilities!$B$11*IterData!H6451)))</f>
        <v>1</v>
      </c>
    </row>
    <row r="6452" spans="8:11" x14ac:dyDescent="0.3">
      <c r="H6452">
        <v>0.5</v>
      </c>
      <c r="I6452" s="11">
        <f t="shared" si="100"/>
        <v>0</v>
      </c>
      <c r="J6452" s="11">
        <f>1/(H6452*Utilities!$B$11)</f>
        <v>8</v>
      </c>
      <c r="K6452" s="11">
        <f>IF(B6452&lt;C6452,1,EXP(-1*(B6452-C6452)/(Utilities!$B$11*IterData!H6452)))</f>
        <v>1</v>
      </c>
    </row>
    <row r="6453" spans="8:11" x14ac:dyDescent="0.3">
      <c r="H6453">
        <v>0.5</v>
      </c>
      <c r="I6453" s="11">
        <f t="shared" si="100"/>
        <v>0</v>
      </c>
      <c r="J6453" s="11">
        <f>1/(H6453*Utilities!$B$11)</f>
        <v>8</v>
      </c>
      <c r="K6453" s="11">
        <f>IF(B6453&lt;C6453,1,EXP(-1*(B6453-C6453)/(Utilities!$B$11*IterData!H6453)))</f>
        <v>1</v>
      </c>
    </row>
    <row r="6454" spans="8:11" x14ac:dyDescent="0.3">
      <c r="H6454">
        <v>0.5</v>
      </c>
      <c r="I6454" s="11">
        <f t="shared" si="100"/>
        <v>0</v>
      </c>
      <c r="J6454" s="11">
        <f>1/(H6454*Utilities!$B$11)</f>
        <v>8</v>
      </c>
      <c r="K6454" s="11">
        <f>IF(B6454&lt;C6454,1,EXP(-1*(B6454-C6454)/(Utilities!$B$11*IterData!H6454)))</f>
        <v>1</v>
      </c>
    </row>
    <row r="6455" spans="8:11" x14ac:dyDescent="0.3">
      <c r="H6455">
        <v>0.5</v>
      </c>
      <c r="I6455" s="11">
        <f t="shared" si="100"/>
        <v>0</v>
      </c>
      <c r="J6455" s="11">
        <f>1/(H6455*Utilities!$B$11)</f>
        <v>8</v>
      </c>
      <c r="K6455" s="11">
        <f>IF(B6455&lt;C6455,1,EXP(-1*(B6455-C6455)/(Utilities!$B$11*IterData!H6455)))</f>
        <v>1</v>
      </c>
    </row>
    <row r="6456" spans="8:11" x14ac:dyDescent="0.3">
      <c r="H6456">
        <v>0.5</v>
      </c>
      <c r="I6456" s="11">
        <f t="shared" si="100"/>
        <v>0</v>
      </c>
      <c r="J6456" s="11">
        <f>1/(H6456*Utilities!$B$11)</f>
        <v>8</v>
      </c>
      <c r="K6456" s="11">
        <f>IF(B6456&lt;C6456,1,EXP(-1*(B6456-C6456)/(Utilities!$B$11*IterData!H6456)))</f>
        <v>1</v>
      </c>
    </row>
    <row r="6457" spans="8:11" x14ac:dyDescent="0.3">
      <c r="H6457">
        <v>0.5</v>
      </c>
      <c r="I6457" s="11">
        <f t="shared" si="100"/>
        <v>0</v>
      </c>
      <c r="J6457" s="11">
        <f>1/(H6457*Utilities!$B$11)</f>
        <v>8</v>
      </c>
      <c r="K6457" s="11">
        <f>IF(B6457&lt;C6457,1,EXP(-1*(B6457-C6457)/(Utilities!$B$11*IterData!H6457)))</f>
        <v>1</v>
      </c>
    </row>
    <row r="6458" spans="8:11" x14ac:dyDescent="0.3">
      <c r="H6458">
        <v>0.5</v>
      </c>
      <c r="I6458" s="11">
        <f t="shared" si="100"/>
        <v>0</v>
      </c>
      <c r="J6458" s="11">
        <f>1/(H6458*Utilities!$B$11)</f>
        <v>8</v>
      </c>
      <c r="K6458" s="11">
        <f>IF(B6458&lt;C6458,1,EXP(-1*(B6458-C6458)/(Utilities!$B$11*IterData!H6458)))</f>
        <v>1</v>
      </c>
    </row>
    <row r="6459" spans="8:11" x14ac:dyDescent="0.3">
      <c r="H6459">
        <v>0.5</v>
      </c>
      <c r="I6459" s="11">
        <f t="shared" si="100"/>
        <v>0</v>
      </c>
      <c r="J6459" s="11">
        <f>1/(H6459*Utilities!$B$11)</f>
        <v>8</v>
      </c>
      <c r="K6459" s="11">
        <f>IF(B6459&lt;C6459,1,EXP(-1*(B6459-C6459)/(Utilities!$B$11*IterData!H6459)))</f>
        <v>1</v>
      </c>
    </row>
    <row r="6460" spans="8:11" x14ac:dyDescent="0.3">
      <c r="H6460">
        <v>0.5</v>
      </c>
      <c r="I6460" s="11">
        <f t="shared" si="100"/>
        <v>0</v>
      </c>
      <c r="J6460" s="11">
        <f>1/(H6460*Utilities!$B$11)</f>
        <v>8</v>
      </c>
      <c r="K6460" s="11">
        <f>IF(B6460&lt;C6460,1,EXP(-1*(B6460-C6460)/(Utilities!$B$11*IterData!H6460)))</f>
        <v>1</v>
      </c>
    </row>
    <row r="6461" spans="8:11" x14ac:dyDescent="0.3">
      <c r="H6461">
        <v>0.5</v>
      </c>
      <c r="I6461" s="11">
        <f t="shared" si="100"/>
        <v>0</v>
      </c>
      <c r="J6461" s="11">
        <f>1/(H6461*Utilities!$B$11)</f>
        <v>8</v>
      </c>
      <c r="K6461" s="11">
        <f>IF(B6461&lt;C6461,1,EXP(-1*(B6461-C6461)/(Utilities!$B$11*IterData!H6461)))</f>
        <v>1</v>
      </c>
    </row>
    <row r="6462" spans="8:11" x14ac:dyDescent="0.3">
      <c r="H6462">
        <v>0.5</v>
      </c>
      <c r="I6462" s="11">
        <f t="shared" si="100"/>
        <v>0</v>
      </c>
      <c r="J6462" s="11">
        <f>1/(H6462*Utilities!$B$11)</f>
        <v>8</v>
      </c>
      <c r="K6462" s="11">
        <f>IF(B6462&lt;C6462,1,EXP(-1*(B6462-C6462)/(Utilities!$B$11*IterData!H6462)))</f>
        <v>1</v>
      </c>
    </row>
    <row r="6463" spans="8:11" x14ac:dyDescent="0.3">
      <c r="H6463">
        <v>0.5</v>
      </c>
      <c r="I6463" s="11">
        <f t="shared" si="100"/>
        <v>0</v>
      </c>
      <c r="J6463" s="11">
        <f>1/(H6463*Utilities!$B$11)</f>
        <v>8</v>
      </c>
      <c r="K6463" s="11">
        <f>IF(B6463&lt;C6463,1,EXP(-1*(B6463-C6463)/(Utilities!$B$11*IterData!H6463)))</f>
        <v>1</v>
      </c>
    </row>
    <row r="6464" spans="8:11" x14ac:dyDescent="0.3">
      <c r="H6464">
        <v>0.5</v>
      </c>
      <c r="I6464" s="11">
        <f t="shared" si="100"/>
        <v>0</v>
      </c>
      <c r="J6464" s="11">
        <f>1/(H6464*Utilities!$B$11)</f>
        <v>8</v>
      </c>
      <c r="K6464" s="11">
        <f>IF(B6464&lt;C6464,1,EXP(-1*(B6464-C6464)/(Utilities!$B$11*IterData!H6464)))</f>
        <v>1</v>
      </c>
    </row>
    <row r="6465" spans="8:11" x14ac:dyDescent="0.3">
      <c r="H6465">
        <v>0.5</v>
      </c>
      <c r="I6465" s="11">
        <f t="shared" si="100"/>
        <v>0</v>
      </c>
      <c r="J6465" s="11">
        <f>1/(H6465*Utilities!$B$11)</f>
        <v>8</v>
      </c>
      <c r="K6465" s="11">
        <f>IF(B6465&lt;C6465,1,EXP(-1*(B6465-C6465)/(Utilities!$B$11*IterData!H6465)))</f>
        <v>1</v>
      </c>
    </row>
    <row r="6466" spans="8:11" x14ac:dyDescent="0.3">
      <c r="H6466">
        <v>0.5</v>
      </c>
      <c r="I6466" s="11">
        <f t="shared" si="100"/>
        <v>0</v>
      </c>
      <c r="J6466" s="11">
        <f>1/(H6466*Utilities!$B$11)</f>
        <v>8</v>
      </c>
      <c r="K6466" s="11">
        <f>IF(B6466&lt;C6466,1,EXP(-1*(B6466-C6466)/(Utilities!$B$11*IterData!H6466)))</f>
        <v>1</v>
      </c>
    </row>
    <row r="6467" spans="8:11" x14ac:dyDescent="0.3">
      <c r="H6467">
        <v>0.5</v>
      </c>
      <c r="I6467" s="11">
        <f t="shared" ref="I6467:I6530" si="101">B6467-C6467</f>
        <v>0</v>
      </c>
      <c r="J6467" s="11">
        <f>1/(H6467*Utilities!$B$11)</f>
        <v>8</v>
      </c>
      <c r="K6467" s="11">
        <f>IF(B6467&lt;C6467,1,EXP(-1*(B6467-C6467)/(Utilities!$B$11*IterData!H6467)))</f>
        <v>1</v>
      </c>
    </row>
    <row r="6468" spans="8:11" x14ac:dyDescent="0.3">
      <c r="H6468">
        <v>0.5</v>
      </c>
      <c r="I6468" s="11">
        <f t="shared" si="101"/>
        <v>0</v>
      </c>
      <c r="J6468" s="11">
        <f>1/(H6468*Utilities!$B$11)</f>
        <v>8</v>
      </c>
      <c r="K6468" s="11">
        <f>IF(B6468&lt;C6468,1,EXP(-1*(B6468-C6468)/(Utilities!$B$11*IterData!H6468)))</f>
        <v>1</v>
      </c>
    </row>
    <row r="6469" spans="8:11" x14ac:dyDescent="0.3">
      <c r="H6469">
        <v>0.5</v>
      </c>
      <c r="I6469" s="11">
        <f t="shared" si="101"/>
        <v>0</v>
      </c>
      <c r="J6469" s="11">
        <f>1/(H6469*Utilities!$B$11)</f>
        <v>8</v>
      </c>
      <c r="K6469" s="11">
        <f>IF(B6469&lt;C6469,1,EXP(-1*(B6469-C6469)/(Utilities!$B$11*IterData!H6469)))</f>
        <v>1</v>
      </c>
    </row>
    <row r="6470" spans="8:11" x14ac:dyDescent="0.3">
      <c r="H6470">
        <v>0.5</v>
      </c>
      <c r="I6470" s="11">
        <f t="shared" si="101"/>
        <v>0</v>
      </c>
      <c r="J6470" s="11">
        <f>1/(H6470*Utilities!$B$11)</f>
        <v>8</v>
      </c>
      <c r="K6470" s="11">
        <f>IF(B6470&lt;C6470,1,EXP(-1*(B6470-C6470)/(Utilities!$B$11*IterData!H6470)))</f>
        <v>1</v>
      </c>
    </row>
    <row r="6471" spans="8:11" x14ac:dyDescent="0.3">
      <c r="H6471">
        <v>0.5</v>
      </c>
      <c r="I6471" s="11">
        <f t="shared" si="101"/>
        <v>0</v>
      </c>
      <c r="J6471" s="11">
        <f>1/(H6471*Utilities!$B$11)</f>
        <v>8</v>
      </c>
      <c r="K6471" s="11">
        <f>IF(B6471&lt;C6471,1,EXP(-1*(B6471-C6471)/(Utilities!$B$11*IterData!H6471)))</f>
        <v>1</v>
      </c>
    </row>
    <row r="6472" spans="8:11" x14ac:dyDescent="0.3">
      <c r="H6472">
        <v>0.5</v>
      </c>
      <c r="I6472" s="11">
        <f t="shared" si="101"/>
        <v>0</v>
      </c>
      <c r="J6472" s="11">
        <f>1/(H6472*Utilities!$B$11)</f>
        <v>8</v>
      </c>
      <c r="K6472" s="11">
        <f>IF(B6472&lt;C6472,1,EXP(-1*(B6472-C6472)/(Utilities!$B$11*IterData!H6472)))</f>
        <v>1</v>
      </c>
    </row>
    <row r="6473" spans="8:11" x14ac:dyDescent="0.3">
      <c r="H6473">
        <v>0.5</v>
      </c>
      <c r="I6473" s="11">
        <f t="shared" si="101"/>
        <v>0</v>
      </c>
      <c r="J6473" s="11">
        <f>1/(H6473*Utilities!$B$11)</f>
        <v>8</v>
      </c>
      <c r="K6473" s="11">
        <f>IF(B6473&lt;C6473,1,EXP(-1*(B6473-C6473)/(Utilities!$B$11*IterData!H6473)))</f>
        <v>1</v>
      </c>
    </row>
    <row r="6474" spans="8:11" x14ac:dyDescent="0.3">
      <c r="H6474">
        <v>0.5</v>
      </c>
      <c r="I6474" s="11">
        <f t="shared" si="101"/>
        <v>0</v>
      </c>
      <c r="J6474" s="11">
        <f>1/(H6474*Utilities!$B$11)</f>
        <v>8</v>
      </c>
      <c r="K6474" s="11">
        <f>IF(B6474&lt;C6474,1,EXP(-1*(B6474-C6474)/(Utilities!$B$11*IterData!H6474)))</f>
        <v>1</v>
      </c>
    </row>
    <row r="6475" spans="8:11" x14ac:dyDescent="0.3">
      <c r="H6475">
        <v>0.5</v>
      </c>
      <c r="I6475" s="11">
        <f t="shared" si="101"/>
        <v>0</v>
      </c>
      <c r="J6475" s="11">
        <f>1/(H6475*Utilities!$B$11)</f>
        <v>8</v>
      </c>
      <c r="K6475" s="11">
        <f>IF(B6475&lt;C6475,1,EXP(-1*(B6475-C6475)/(Utilities!$B$11*IterData!H6475)))</f>
        <v>1</v>
      </c>
    </row>
    <row r="6476" spans="8:11" x14ac:dyDescent="0.3">
      <c r="H6476">
        <v>0.5</v>
      </c>
      <c r="I6476" s="11">
        <f t="shared" si="101"/>
        <v>0</v>
      </c>
      <c r="J6476" s="11">
        <f>1/(H6476*Utilities!$B$11)</f>
        <v>8</v>
      </c>
      <c r="K6476" s="11">
        <f>IF(B6476&lt;C6476,1,EXP(-1*(B6476-C6476)/(Utilities!$B$11*IterData!H6476)))</f>
        <v>1</v>
      </c>
    </row>
    <row r="6477" spans="8:11" x14ac:dyDescent="0.3">
      <c r="H6477">
        <v>0.5</v>
      </c>
      <c r="I6477" s="11">
        <f t="shared" si="101"/>
        <v>0</v>
      </c>
      <c r="J6477" s="11">
        <f>1/(H6477*Utilities!$B$11)</f>
        <v>8</v>
      </c>
      <c r="K6477" s="11">
        <f>IF(B6477&lt;C6477,1,EXP(-1*(B6477-C6477)/(Utilities!$B$11*IterData!H6477)))</f>
        <v>1</v>
      </c>
    </row>
    <row r="6478" spans="8:11" x14ac:dyDescent="0.3">
      <c r="H6478">
        <v>0.5</v>
      </c>
      <c r="I6478" s="11">
        <f t="shared" si="101"/>
        <v>0</v>
      </c>
      <c r="J6478" s="11">
        <f>1/(H6478*Utilities!$B$11)</f>
        <v>8</v>
      </c>
      <c r="K6478" s="11">
        <f>IF(B6478&lt;C6478,1,EXP(-1*(B6478-C6478)/(Utilities!$B$11*IterData!H6478)))</f>
        <v>1</v>
      </c>
    </row>
    <row r="6479" spans="8:11" x14ac:dyDescent="0.3">
      <c r="H6479">
        <v>0.5</v>
      </c>
      <c r="I6479" s="11">
        <f t="shared" si="101"/>
        <v>0</v>
      </c>
      <c r="J6479" s="11">
        <f>1/(H6479*Utilities!$B$11)</f>
        <v>8</v>
      </c>
      <c r="K6479" s="11">
        <f>IF(B6479&lt;C6479,1,EXP(-1*(B6479-C6479)/(Utilities!$B$11*IterData!H6479)))</f>
        <v>1</v>
      </c>
    </row>
    <row r="6480" spans="8:11" x14ac:dyDescent="0.3">
      <c r="H6480">
        <v>0.5</v>
      </c>
      <c r="I6480" s="11">
        <f t="shared" si="101"/>
        <v>0</v>
      </c>
      <c r="J6480" s="11">
        <f>1/(H6480*Utilities!$B$11)</f>
        <v>8</v>
      </c>
      <c r="K6480" s="11">
        <f>IF(B6480&lt;C6480,1,EXP(-1*(B6480-C6480)/(Utilities!$B$11*IterData!H6480)))</f>
        <v>1</v>
      </c>
    </row>
    <row r="6481" spans="8:11" x14ac:dyDescent="0.3">
      <c r="H6481">
        <v>0.5</v>
      </c>
      <c r="I6481" s="11">
        <f t="shared" si="101"/>
        <v>0</v>
      </c>
      <c r="J6481" s="11">
        <f>1/(H6481*Utilities!$B$11)</f>
        <v>8</v>
      </c>
      <c r="K6481" s="11">
        <f>IF(B6481&lt;C6481,1,EXP(-1*(B6481-C6481)/(Utilities!$B$11*IterData!H6481)))</f>
        <v>1</v>
      </c>
    </row>
    <row r="6482" spans="8:11" x14ac:dyDescent="0.3">
      <c r="H6482">
        <v>0.5</v>
      </c>
      <c r="I6482" s="11">
        <f t="shared" si="101"/>
        <v>0</v>
      </c>
      <c r="J6482" s="11">
        <f>1/(H6482*Utilities!$B$11)</f>
        <v>8</v>
      </c>
      <c r="K6482" s="11">
        <f>IF(B6482&lt;C6482,1,EXP(-1*(B6482-C6482)/(Utilities!$B$11*IterData!H6482)))</f>
        <v>1</v>
      </c>
    </row>
    <row r="6483" spans="8:11" x14ac:dyDescent="0.3">
      <c r="H6483">
        <v>0.5</v>
      </c>
      <c r="I6483" s="11">
        <f t="shared" si="101"/>
        <v>0</v>
      </c>
      <c r="J6483" s="11">
        <f>1/(H6483*Utilities!$B$11)</f>
        <v>8</v>
      </c>
      <c r="K6483" s="11">
        <f>IF(B6483&lt;C6483,1,EXP(-1*(B6483-C6483)/(Utilities!$B$11*IterData!H6483)))</f>
        <v>1</v>
      </c>
    </row>
    <row r="6484" spans="8:11" x14ac:dyDescent="0.3">
      <c r="H6484">
        <v>0.5</v>
      </c>
      <c r="I6484" s="11">
        <f t="shared" si="101"/>
        <v>0</v>
      </c>
      <c r="J6484" s="11">
        <f>1/(H6484*Utilities!$B$11)</f>
        <v>8</v>
      </c>
      <c r="K6484" s="11">
        <f>IF(B6484&lt;C6484,1,EXP(-1*(B6484-C6484)/(Utilities!$B$11*IterData!H6484)))</f>
        <v>1</v>
      </c>
    </row>
    <row r="6485" spans="8:11" x14ac:dyDescent="0.3">
      <c r="H6485">
        <v>0.5</v>
      </c>
      <c r="I6485" s="11">
        <f t="shared" si="101"/>
        <v>0</v>
      </c>
      <c r="J6485" s="11">
        <f>1/(H6485*Utilities!$B$11)</f>
        <v>8</v>
      </c>
      <c r="K6485" s="11">
        <f>IF(B6485&lt;C6485,1,EXP(-1*(B6485-C6485)/(Utilities!$B$11*IterData!H6485)))</f>
        <v>1</v>
      </c>
    </row>
    <row r="6486" spans="8:11" x14ac:dyDescent="0.3">
      <c r="H6486">
        <v>0.5</v>
      </c>
      <c r="I6486" s="11">
        <f t="shared" si="101"/>
        <v>0</v>
      </c>
      <c r="J6486" s="11">
        <f>1/(H6486*Utilities!$B$11)</f>
        <v>8</v>
      </c>
      <c r="K6486" s="11">
        <f>IF(B6486&lt;C6486,1,EXP(-1*(B6486-C6486)/(Utilities!$B$11*IterData!H6486)))</f>
        <v>1</v>
      </c>
    </row>
    <row r="6487" spans="8:11" x14ac:dyDescent="0.3">
      <c r="H6487">
        <v>0.5</v>
      </c>
      <c r="I6487" s="11">
        <f t="shared" si="101"/>
        <v>0</v>
      </c>
      <c r="J6487" s="11">
        <f>1/(H6487*Utilities!$B$11)</f>
        <v>8</v>
      </c>
      <c r="K6487" s="11">
        <f>IF(B6487&lt;C6487,1,EXP(-1*(B6487-C6487)/(Utilities!$B$11*IterData!H6487)))</f>
        <v>1</v>
      </c>
    </row>
    <row r="6488" spans="8:11" x14ac:dyDescent="0.3">
      <c r="H6488">
        <v>0.5</v>
      </c>
      <c r="I6488" s="11">
        <f t="shared" si="101"/>
        <v>0</v>
      </c>
      <c r="J6488" s="11">
        <f>1/(H6488*Utilities!$B$11)</f>
        <v>8</v>
      </c>
      <c r="K6488" s="11">
        <f>IF(B6488&lt;C6488,1,EXP(-1*(B6488-C6488)/(Utilities!$B$11*IterData!H6488)))</f>
        <v>1</v>
      </c>
    </row>
    <row r="6489" spans="8:11" x14ac:dyDescent="0.3">
      <c r="H6489">
        <v>0.5</v>
      </c>
      <c r="I6489" s="11">
        <f t="shared" si="101"/>
        <v>0</v>
      </c>
      <c r="J6489" s="11">
        <f>1/(H6489*Utilities!$B$11)</f>
        <v>8</v>
      </c>
      <c r="K6489" s="11">
        <f>IF(B6489&lt;C6489,1,EXP(-1*(B6489-C6489)/(Utilities!$B$11*IterData!H6489)))</f>
        <v>1</v>
      </c>
    </row>
    <row r="6490" spans="8:11" x14ac:dyDescent="0.3">
      <c r="H6490">
        <v>0.5</v>
      </c>
      <c r="I6490" s="11">
        <f t="shared" si="101"/>
        <v>0</v>
      </c>
      <c r="J6490" s="11">
        <f>1/(H6490*Utilities!$B$11)</f>
        <v>8</v>
      </c>
      <c r="K6490" s="11">
        <f>IF(B6490&lt;C6490,1,EXP(-1*(B6490-C6490)/(Utilities!$B$11*IterData!H6490)))</f>
        <v>1</v>
      </c>
    </row>
    <row r="6491" spans="8:11" x14ac:dyDescent="0.3">
      <c r="H6491">
        <v>0.5</v>
      </c>
      <c r="I6491" s="11">
        <f t="shared" si="101"/>
        <v>0</v>
      </c>
      <c r="J6491" s="11">
        <f>1/(H6491*Utilities!$B$11)</f>
        <v>8</v>
      </c>
      <c r="K6491" s="11">
        <f>IF(B6491&lt;C6491,1,EXP(-1*(B6491-C6491)/(Utilities!$B$11*IterData!H6491)))</f>
        <v>1</v>
      </c>
    </row>
    <row r="6492" spans="8:11" x14ac:dyDescent="0.3">
      <c r="H6492">
        <v>0.5</v>
      </c>
      <c r="I6492" s="11">
        <f t="shared" si="101"/>
        <v>0</v>
      </c>
      <c r="J6492" s="11">
        <f>1/(H6492*Utilities!$B$11)</f>
        <v>8</v>
      </c>
      <c r="K6492" s="11">
        <f>IF(B6492&lt;C6492,1,EXP(-1*(B6492-C6492)/(Utilities!$B$11*IterData!H6492)))</f>
        <v>1</v>
      </c>
    </row>
    <row r="6493" spans="8:11" x14ac:dyDescent="0.3">
      <c r="H6493">
        <v>0.5</v>
      </c>
      <c r="I6493" s="11">
        <f t="shared" si="101"/>
        <v>0</v>
      </c>
      <c r="J6493" s="11">
        <f>1/(H6493*Utilities!$B$11)</f>
        <v>8</v>
      </c>
      <c r="K6493" s="11">
        <f>IF(B6493&lt;C6493,1,EXP(-1*(B6493-C6493)/(Utilities!$B$11*IterData!H6493)))</f>
        <v>1</v>
      </c>
    </row>
    <row r="6494" spans="8:11" x14ac:dyDescent="0.3">
      <c r="H6494">
        <v>0.5</v>
      </c>
      <c r="I6494" s="11">
        <f t="shared" si="101"/>
        <v>0</v>
      </c>
      <c r="J6494" s="11">
        <f>1/(H6494*Utilities!$B$11)</f>
        <v>8</v>
      </c>
      <c r="K6494" s="11">
        <f>IF(B6494&lt;C6494,1,EXP(-1*(B6494-C6494)/(Utilities!$B$11*IterData!H6494)))</f>
        <v>1</v>
      </c>
    </row>
    <row r="6495" spans="8:11" x14ac:dyDescent="0.3">
      <c r="H6495">
        <v>0.5</v>
      </c>
      <c r="I6495" s="11">
        <f t="shared" si="101"/>
        <v>0</v>
      </c>
      <c r="J6495" s="11">
        <f>1/(H6495*Utilities!$B$11)</f>
        <v>8</v>
      </c>
      <c r="K6495" s="11">
        <f>IF(B6495&lt;C6495,1,EXP(-1*(B6495-C6495)/(Utilities!$B$11*IterData!H6495)))</f>
        <v>1</v>
      </c>
    </row>
    <row r="6496" spans="8:11" x14ac:dyDescent="0.3">
      <c r="H6496">
        <v>0.5</v>
      </c>
      <c r="I6496" s="11">
        <f t="shared" si="101"/>
        <v>0</v>
      </c>
      <c r="J6496" s="11">
        <f>1/(H6496*Utilities!$B$11)</f>
        <v>8</v>
      </c>
      <c r="K6496" s="11">
        <f>IF(B6496&lt;C6496,1,EXP(-1*(B6496-C6496)/(Utilities!$B$11*IterData!H6496)))</f>
        <v>1</v>
      </c>
    </row>
    <row r="6497" spans="8:11" x14ac:dyDescent="0.3">
      <c r="H6497">
        <v>0.5</v>
      </c>
      <c r="I6497" s="11">
        <f t="shared" si="101"/>
        <v>0</v>
      </c>
      <c r="J6497" s="11">
        <f>1/(H6497*Utilities!$B$11)</f>
        <v>8</v>
      </c>
      <c r="K6497" s="11">
        <f>IF(B6497&lt;C6497,1,EXP(-1*(B6497-C6497)/(Utilities!$B$11*IterData!H6497)))</f>
        <v>1</v>
      </c>
    </row>
    <row r="6498" spans="8:11" x14ac:dyDescent="0.3">
      <c r="H6498">
        <v>0.5</v>
      </c>
      <c r="I6498" s="11">
        <f t="shared" si="101"/>
        <v>0</v>
      </c>
      <c r="J6498" s="11">
        <f>1/(H6498*Utilities!$B$11)</f>
        <v>8</v>
      </c>
      <c r="K6498" s="11">
        <f>IF(B6498&lt;C6498,1,EXP(-1*(B6498-C6498)/(Utilities!$B$11*IterData!H6498)))</f>
        <v>1</v>
      </c>
    </row>
    <row r="6499" spans="8:11" x14ac:dyDescent="0.3">
      <c r="H6499">
        <v>0.5</v>
      </c>
      <c r="I6499" s="11">
        <f t="shared" si="101"/>
        <v>0</v>
      </c>
      <c r="J6499" s="11">
        <f>1/(H6499*Utilities!$B$11)</f>
        <v>8</v>
      </c>
      <c r="K6499" s="11">
        <f>IF(B6499&lt;C6499,1,EXP(-1*(B6499-C6499)/(Utilities!$B$11*IterData!H6499)))</f>
        <v>1</v>
      </c>
    </row>
    <row r="6500" spans="8:11" x14ac:dyDescent="0.3">
      <c r="H6500">
        <v>0.5</v>
      </c>
      <c r="I6500" s="11">
        <f t="shared" si="101"/>
        <v>0</v>
      </c>
      <c r="J6500" s="11">
        <f>1/(H6500*Utilities!$B$11)</f>
        <v>8</v>
      </c>
      <c r="K6500" s="11">
        <f>IF(B6500&lt;C6500,1,EXP(-1*(B6500-C6500)/(Utilities!$B$11*IterData!H6500)))</f>
        <v>1</v>
      </c>
    </row>
    <row r="6501" spans="8:11" x14ac:dyDescent="0.3">
      <c r="H6501">
        <v>0.5</v>
      </c>
      <c r="I6501" s="11">
        <f t="shared" si="101"/>
        <v>0</v>
      </c>
      <c r="J6501" s="11">
        <f>1/(H6501*Utilities!$B$11)</f>
        <v>8</v>
      </c>
      <c r="K6501" s="11">
        <f>IF(B6501&lt;C6501,1,EXP(-1*(B6501-C6501)/(Utilities!$B$11*IterData!H6501)))</f>
        <v>1</v>
      </c>
    </row>
    <row r="6502" spans="8:11" x14ac:dyDescent="0.3">
      <c r="H6502">
        <v>0.5</v>
      </c>
      <c r="I6502" s="11">
        <f t="shared" si="101"/>
        <v>0</v>
      </c>
      <c r="J6502" s="11">
        <f>1/(H6502*Utilities!$B$11)</f>
        <v>8</v>
      </c>
      <c r="K6502" s="11">
        <f>IF(B6502&lt;C6502,1,EXP(-1*(B6502-C6502)/(Utilities!$B$11*IterData!H6502)))</f>
        <v>1</v>
      </c>
    </row>
    <row r="6503" spans="8:11" x14ac:dyDescent="0.3">
      <c r="H6503">
        <v>0.5</v>
      </c>
      <c r="I6503" s="11">
        <f t="shared" si="101"/>
        <v>0</v>
      </c>
      <c r="J6503" s="11">
        <f>1/(H6503*Utilities!$B$11)</f>
        <v>8</v>
      </c>
      <c r="K6503" s="11">
        <f>IF(B6503&lt;C6503,1,EXP(-1*(B6503-C6503)/(Utilities!$B$11*IterData!H6503)))</f>
        <v>1</v>
      </c>
    </row>
    <row r="6504" spans="8:11" x14ac:dyDescent="0.3">
      <c r="H6504">
        <v>0.5</v>
      </c>
      <c r="I6504" s="11">
        <f t="shared" si="101"/>
        <v>0</v>
      </c>
      <c r="J6504" s="11">
        <f>1/(H6504*Utilities!$B$11)</f>
        <v>8</v>
      </c>
      <c r="K6504" s="11">
        <f>IF(B6504&lt;C6504,1,EXP(-1*(B6504-C6504)/(Utilities!$B$11*IterData!H6504)))</f>
        <v>1</v>
      </c>
    </row>
    <row r="6505" spans="8:11" x14ac:dyDescent="0.3">
      <c r="H6505">
        <v>0.5</v>
      </c>
      <c r="I6505" s="11">
        <f t="shared" si="101"/>
        <v>0</v>
      </c>
      <c r="J6505" s="11">
        <f>1/(H6505*Utilities!$B$11)</f>
        <v>8</v>
      </c>
      <c r="K6505" s="11">
        <f>IF(B6505&lt;C6505,1,EXP(-1*(B6505-C6505)/(Utilities!$B$11*IterData!H6505)))</f>
        <v>1</v>
      </c>
    </row>
    <row r="6506" spans="8:11" x14ac:dyDescent="0.3">
      <c r="H6506">
        <v>0.5</v>
      </c>
      <c r="I6506" s="11">
        <f t="shared" si="101"/>
        <v>0</v>
      </c>
      <c r="J6506" s="11">
        <f>1/(H6506*Utilities!$B$11)</f>
        <v>8</v>
      </c>
      <c r="K6506" s="11">
        <f>IF(B6506&lt;C6506,1,EXP(-1*(B6506-C6506)/(Utilities!$B$11*IterData!H6506)))</f>
        <v>1</v>
      </c>
    </row>
    <row r="6507" spans="8:11" x14ac:dyDescent="0.3">
      <c r="H6507">
        <v>0.5</v>
      </c>
      <c r="I6507" s="11">
        <f t="shared" si="101"/>
        <v>0</v>
      </c>
      <c r="J6507" s="11">
        <f>1/(H6507*Utilities!$B$11)</f>
        <v>8</v>
      </c>
      <c r="K6507" s="11">
        <f>IF(B6507&lt;C6507,1,EXP(-1*(B6507-C6507)/(Utilities!$B$11*IterData!H6507)))</f>
        <v>1</v>
      </c>
    </row>
    <row r="6508" spans="8:11" x14ac:dyDescent="0.3">
      <c r="H6508">
        <v>0.5</v>
      </c>
      <c r="I6508" s="11">
        <f t="shared" si="101"/>
        <v>0</v>
      </c>
      <c r="J6508" s="11">
        <f>1/(H6508*Utilities!$B$11)</f>
        <v>8</v>
      </c>
      <c r="K6508" s="11">
        <f>IF(B6508&lt;C6508,1,EXP(-1*(B6508-C6508)/(Utilities!$B$11*IterData!H6508)))</f>
        <v>1</v>
      </c>
    </row>
    <row r="6509" spans="8:11" x14ac:dyDescent="0.3">
      <c r="H6509">
        <v>0.5</v>
      </c>
      <c r="I6509" s="11">
        <f t="shared" si="101"/>
        <v>0</v>
      </c>
      <c r="J6509" s="11">
        <f>1/(H6509*Utilities!$B$11)</f>
        <v>8</v>
      </c>
      <c r="K6509" s="11">
        <f>IF(B6509&lt;C6509,1,EXP(-1*(B6509-C6509)/(Utilities!$B$11*IterData!H6509)))</f>
        <v>1</v>
      </c>
    </row>
    <row r="6510" spans="8:11" x14ac:dyDescent="0.3">
      <c r="H6510">
        <v>0.5</v>
      </c>
      <c r="I6510" s="11">
        <f t="shared" si="101"/>
        <v>0</v>
      </c>
      <c r="J6510" s="11">
        <f>1/(H6510*Utilities!$B$11)</f>
        <v>8</v>
      </c>
      <c r="K6510" s="11">
        <f>IF(B6510&lt;C6510,1,EXP(-1*(B6510-C6510)/(Utilities!$B$11*IterData!H6510)))</f>
        <v>1</v>
      </c>
    </row>
    <row r="6511" spans="8:11" x14ac:dyDescent="0.3">
      <c r="H6511">
        <v>0.5</v>
      </c>
      <c r="I6511" s="11">
        <f t="shared" si="101"/>
        <v>0</v>
      </c>
      <c r="J6511" s="11">
        <f>1/(H6511*Utilities!$B$11)</f>
        <v>8</v>
      </c>
      <c r="K6511" s="11">
        <f>IF(B6511&lt;C6511,1,EXP(-1*(B6511-C6511)/(Utilities!$B$11*IterData!H6511)))</f>
        <v>1</v>
      </c>
    </row>
    <row r="6512" spans="8:11" x14ac:dyDescent="0.3">
      <c r="H6512">
        <v>0.5</v>
      </c>
      <c r="I6512" s="11">
        <f t="shared" si="101"/>
        <v>0</v>
      </c>
      <c r="J6512" s="11">
        <f>1/(H6512*Utilities!$B$11)</f>
        <v>8</v>
      </c>
      <c r="K6512" s="11">
        <f>IF(B6512&lt;C6512,1,EXP(-1*(B6512-C6512)/(Utilities!$B$11*IterData!H6512)))</f>
        <v>1</v>
      </c>
    </row>
    <row r="6513" spans="8:11" x14ac:dyDescent="0.3">
      <c r="H6513">
        <v>0.5</v>
      </c>
      <c r="I6513" s="11">
        <f t="shared" si="101"/>
        <v>0</v>
      </c>
      <c r="J6513" s="11">
        <f>1/(H6513*Utilities!$B$11)</f>
        <v>8</v>
      </c>
      <c r="K6513" s="11">
        <f>IF(B6513&lt;C6513,1,EXP(-1*(B6513-C6513)/(Utilities!$B$11*IterData!H6513)))</f>
        <v>1</v>
      </c>
    </row>
    <row r="6514" spans="8:11" x14ac:dyDescent="0.3">
      <c r="H6514">
        <v>0.5</v>
      </c>
      <c r="I6514" s="11">
        <f t="shared" si="101"/>
        <v>0</v>
      </c>
      <c r="J6514" s="11">
        <f>1/(H6514*Utilities!$B$11)</f>
        <v>8</v>
      </c>
      <c r="K6514" s="11">
        <f>IF(B6514&lt;C6514,1,EXP(-1*(B6514-C6514)/(Utilities!$B$11*IterData!H6514)))</f>
        <v>1</v>
      </c>
    </row>
    <row r="6515" spans="8:11" x14ac:dyDescent="0.3">
      <c r="H6515">
        <v>0.5</v>
      </c>
      <c r="I6515" s="11">
        <f t="shared" si="101"/>
        <v>0</v>
      </c>
      <c r="J6515" s="11">
        <f>1/(H6515*Utilities!$B$11)</f>
        <v>8</v>
      </c>
      <c r="K6515" s="11">
        <f>IF(B6515&lt;C6515,1,EXP(-1*(B6515-C6515)/(Utilities!$B$11*IterData!H6515)))</f>
        <v>1</v>
      </c>
    </row>
    <row r="6516" spans="8:11" x14ac:dyDescent="0.3">
      <c r="H6516">
        <v>0.5</v>
      </c>
      <c r="I6516" s="11">
        <f t="shared" si="101"/>
        <v>0</v>
      </c>
      <c r="J6516" s="11">
        <f>1/(H6516*Utilities!$B$11)</f>
        <v>8</v>
      </c>
      <c r="K6516" s="11">
        <f>IF(B6516&lt;C6516,1,EXP(-1*(B6516-C6516)/(Utilities!$B$11*IterData!H6516)))</f>
        <v>1</v>
      </c>
    </row>
    <row r="6517" spans="8:11" x14ac:dyDescent="0.3">
      <c r="H6517">
        <v>0.5</v>
      </c>
      <c r="I6517" s="11">
        <f t="shared" si="101"/>
        <v>0</v>
      </c>
      <c r="J6517" s="11">
        <f>1/(H6517*Utilities!$B$11)</f>
        <v>8</v>
      </c>
      <c r="K6517" s="11">
        <f>IF(B6517&lt;C6517,1,EXP(-1*(B6517-C6517)/(Utilities!$B$11*IterData!H6517)))</f>
        <v>1</v>
      </c>
    </row>
    <row r="6518" spans="8:11" x14ac:dyDescent="0.3">
      <c r="H6518">
        <v>0.5</v>
      </c>
      <c r="I6518" s="11">
        <f t="shared" si="101"/>
        <v>0</v>
      </c>
      <c r="J6518" s="11">
        <f>1/(H6518*Utilities!$B$11)</f>
        <v>8</v>
      </c>
      <c r="K6518" s="11">
        <f>IF(B6518&lt;C6518,1,EXP(-1*(B6518-C6518)/(Utilities!$B$11*IterData!H6518)))</f>
        <v>1</v>
      </c>
    </row>
    <row r="6519" spans="8:11" x14ac:dyDescent="0.3">
      <c r="H6519">
        <v>0.5</v>
      </c>
      <c r="I6519" s="11">
        <f t="shared" si="101"/>
        <v>0</v>
      </c>
      <c r="J6519" s="11">
        <f>1/(H6519*Utilities!$B$11)</f>
        <v>8</v>
      </c>
      <c r="K6519" s="11">
        <f>IF(B6519&lt;C6519,1,EXP(-1*(B6519-C6519)/(Utilities!$B$11*IterData!H6519)))</f>
        <v>1</v>
      </c>
    </row>
    <row r="6520" spans="8:11" x14ac:dyDescent="0.3">
      <c r="H6520">
        <v>0.5</v>
      </c>
      <c r="I6520" s="11">
        <f t="shared" si="101"/>
        <v>0</v>
      </c>
      <c r="J6520" s="11">
        <f>1/(H6520*Utilities!$B$11)</f>
        <v>8</v>
      </c>
      <c r="K6520" s="11">
        <f>IF(B6520&lt;C6520,1,EXP(-1*(B6520-C6520)/(Utilities!$B$11*IterData!H6520)))</f>
        <v>1</v>
      </c>
    </row>
    <row r="6521" spans="8:11" x14ac:dyDescent="0.3">
      <c r="H6521">
        <v>0.5</v>
      </c>
      <c r="I6521" s="11">
        <f t="shared" si="101"/>
        <v>0</v>
      </c>
      <c r="J6521" s="11">
        <f>1/(H6521*Utilities!$B$11)</f>
        <v>8</v>
      </c>
      <c r="K6521" s="11">
        <f>IF(B6521&lt;C6521,1,EXP(-1*(B6521-C6521)/(Utilities!$B$11*IterData!H6521)))</f>
        <v>1</v>
      </c>
    </row>
    <row r="6522" spans="8:11" x14ac:dyDescent="0.3">
      <c r="H6522">
        <v>0.5</v>
      </c>
      <c r="I6522" s="11">
        <f t="shared" si="101"/>
        <v>0</v>
      </c>
      <c r="J6522" s="11">
        <f>1/(H6522*Utilities!$B$11)</f>
        <v>8</v>
      </c>
      <c r="K6522" s="11">
        <f>IF(B6522&lt;C6522,1,EXP(-1*(B6522-C6522)/(Utilities!$B$11*IterData!H6522)))</f>
        <v>1</v>
      </c>
    </row>
    <row r="6523" spans="8:11" x14ac:dyDescent="0.3">
      <c r="H6523">
        <v>0.5</v>
      </c>
      <c r="I6523" s="11">
        <f t="shared" si="101"/>
        <v>0</v>
      </c>
      <c r="J6523" s="11">
        <f>1/(H6523*Utilities!$B$11)</f>
        <v>8</v>
      </c>
      <c r="K6523" s="11">
        <f>IF(B6523&lt;C6523,1,EXP(-1*(B6523-C6523)/(Utilities!$B$11*IterData!H6523)))</f>
        <v>1</v>
      </c>
    </row>
    <row r="6524" spans="8:11" x14ac:dyDescent="0.3">
      <c r="H6524">
        <v>0.5</v>
      </c>
      <c r="I6524" s="11">
        <f t="shared" si="101"/>
        <v>0</v>
      </c>
      <c r="J6524" s="11">
        <f>1/(H6524*Utilities!$B$11)</f>
        <v>8</v>
      </c>
      <c r="K6524" s="11">
        <f>IF(B6524&lt;C6524,1,EXP(-1*(B6524-C6524)/(Utilities!$B$11*IterData!H6524)))</f>
        <v>1</v>
      </c>
    </row>
    <row r="6525" spans="8:11" x14ac:dyDescent="0.3">
      <c r="H6525">
        <v>0.5</v>
      </c>
      <c r="I6525" s="11">
        <f t="shared" si="101"/>
        <v>0</v>
      </c>
      <c r="J6525" s="11">
        <f>1/(H6525*Utilities!$B$11)</f>
        <v>8</v>
      </c>
      <c r="K6525" s="11">
        <f>IF(B6525&lt;C6525,1,EXP(-1*(B6525-C6525)/(Utilities!$B$11*IterData!H6525)))</f>
        <v>1</v>
      </c>
    </row>
    <row r="6526" spans="8:11" x14ac:dyDescent="0.3">
      <c r="H6526">
        <v>0.5</v>
      </c>
      <c r="I6526" s="11">
        <f t="shared" si="101"/>
        <v>0</v>
      </c>
      <c r="J6526" s="11">
        <f>1/(H6526*Utilities!$B$11)</f>
        <v>8</v>
      </c>
      <c r="K6526" s="11">
        <f>IF(B6526&lt;C6526,1,EXP(-1*(B6526-C6526)/(Utilities!$B$11*IterData!H6526)))</f>
        <v>1</v>
      </c>
    </row>
    <row r="6527" spans="8:11" x14ac:dyDescent="0.3">
      <c r="H6527">
        <v>0.5</v>
      </c>
      <c r="I6527" s="11">
        <f t="shared" si="101"/>
        <v>0</v>
      </c>
      <c r="J6527" s="11">
        <f>1/(H6527*Utilities!$B$11)</f>
        <v>8</v>
      </c>
      <c r="K6527" s="11">
        <f>IF(B6527&lt;C6527,1,EXP(-1*(B6527-C6527)/(Utilities!$B$11*IterData!H6527)))</f>
        <v>1</v>
      </c>
    </row>
    <row r="6528" spans="8:11" x14ac:dyDescent="0.3">
      <c r="H6528">
        <v>0.5</v>
      </c>
      <c r="I6528" s="11">
        <f t="shared" si="101"/>
        <v>0</v>
      </c>
      <c r="J6528" s="11">
        <f>1/(H6528*Utilities!$B$11)</f>
        <v>8</v>
      </c>
      <c r="K6528" s="11">
        <f>IF(B6528&lt;C6528,1,EXP(-1*(B6528-C6528)/(Utilities!$B$11*IterData!H6528)))</f>
        <v>1</v>
      </c>
    </row>
    <row r="6529" spans="8:11" x14ac:dyDescent="0.3">
      <c r="H6529">
        <v>0.5</v>
      </c>
      <c r="I6529" s="11">
        <f t="shared" si="101"/>
        <v>0</v>
      </c>
      <c r="J6529" s="11">
        <f>1/(H6529*Utilities!$B$11)</f>
        <v>8</v>
      </c>
      <c r="K6529" s="11">
        <f>IF(B6529&lt;C6529,1,EXP(-1*(B6529-C6529)/(Utilities!$B$11*IterData!H6529)))</f>
        <v>1</v>
      </c>
    </row>
    <row r="6530" spans="8:11" x14ac:dyDescent="0.3">
      <c r="H6530">
        <v>0.5</v>
      </c>
      <c r="I6530" s="11">
        <f t="shared" si="101"/>
        <v>0</v>
      </c>
      <c r="J6530" s="11">
        <f>1/(H6530*Utilities!$B$11)</f>
        <v>8</v>
      </c>
      <c r="K6530" s="11">
        <f>IF(B6530&lt;C6530,1,EXP(-1*(B6530-C6530)/(Utilities!$B$11*IterData!H6530)))</f>
        <v>1</v>
      </c>
    </row>
    <row r="6531" spans="8:11" x14ac:dyDescent="0.3">
      <c r="H6531">
        <v>0.5</v>
      </c>
      <c r="I6531" s="11">
        <f t="shared" ref="I6531:I6594" si="102">B6531-C6531</f>
        <v>0</v>
      </c>
      <c r="J6531" s="11">
        <f>1/(H6531*Utilities!$B$11)</f>
        <v>8</v>
      </c>
      <c r="K6531" s="11">
        <f>IF(B6531&lt;C6531,1,EXP(-1*(B6531-C6531)/(Utilities!$B$11*IterData!H6531)))</f>
        <v>1</v>
      </c>
    </row>
    <row r="6532" spans="8:11" x14ac:dyDescent="0.3">
      <c r="H6532">
        <v>0.5</v>
      </c>
      <c r="I6532" s="11">
        <f t="shared" si="102"/>
        <v>0</v>
      </c>
      <c r="J6532" s="11">
        <f>1/(H6532*Utilities!$B$11)</f>
        <v>8</v>
      </c>
      <c r="K6532" s="11">
        <f>IF(B6532&lt;C6532,1,EXP(-1*(B6532-C6532)/(Utilities!$B$11*IterData!H6532)))</f>
        <v>1</v>
      </c>
    </row>
    <row r="6533" spans="8:11" x14ac:dyDescent="0.3">
      <c r="H6533">
        <v>0.5</v>
      </c>
      <c r="I6533" s="11">
        <f t="shared" si="102"/>
        <v>0</v>
      </c>
      <c r="J6533" s="11">
        <f>1/(H6533*Utilities!$B$11)</f>
        <v>8</v>
      </c>
      <c r="K6533" s="11">
        <f>IF(B6533&lt;C6533,1,EXP(-1*(B6533-C6533)/(Utilities!$B$11*IterData!H6533)))</f>
        <v>1</v>
      </c>
    </row>
    <row r="6534" spans="8:11" x14ac:dyDescent="0.3">
      <c r="H6534">
        <v>0.5</v>
      </c>
      <c r="I6534" s="11">
        <f t="shared" si="102"/>
        <v>0</v>
      </c>
      <c r="J6534" s="11">
        <f>1/(H6534*Utilities!$B$11)</f>
        <v>8</v>
      </c>
      <c r="K6534" s="11">
        <f>IF(B6534&lt;C6534,1,EXP(-1*(B6534-C6534)/(Utilities!$B$11*IterData!H6534)))</f>
        <v>1</v>
      </c>
    </row>
    <row r="6535" spans="8:11" x14ac:dyDescent="0.3">
      <c r="H6535">
        <v>0.5</v>
      </c>
      <c r="I6535" s="11">
        <f t="shared" si="102"/>
        <v>0</v>
      </c>
      <c r="J6535" s="11">
        <f>1/(H6535*Utilities!$B$11)</f>
        <v>8</v>
      </c>
      <c r="K6535" s="11">
        <f>IF(B6535&lt;C6535,1,EXP(-1*(B6535-C6535)/(Utilities!$B$11*IterData!H6535)))</f>
        <v>1</v>
      </c>
    </row>
    <row r="6536" spans="8:11" x14ac:dyDescent="0.3">
      <c r="H6536">
        <v>0.5</v>
      </c>
      <c r="I6536" s="11">
        <f t="shared" si="102"/>
        <v>0</v>
      </c>
      <c r="J6536" s="11">
        <f>1/(H6536*Utilities!$B$11)</f>
        <v>8</v>
      </c>
      <c r="K6536" s="11">
        <f>IF(B6536&lt;C6536,1,EXP(-1*(B6536-C6536)/(Utilities!$B$11*IterData!H6536)))</f>
        <v>1</v>
      </c>
    </row>
    <row r="6537" spans="8:11" x14ac:dyDescent="0.3">
      <c r="H6537">
        <v>0.5</v>
      </c>
      <c r="I6537" s="11">
        <f t="shared" si="102"/>
        <v>0</v>
      </c>
      <c r="J6537" s="11">
        <f>1/(H6537*Utilities!$B$11)</f>
        <v>8</v>
      </c>
      <c r="K6537" s="11">
        <f>IF(B6537&lt;C6537,1,EXP(-1*(B6537-C6537)/(Utilities!$B$11*IterData!H6537)))</f>
        <v>1</v>
      </c>
    </row>
    <row r="6538" spans="8:11" x14ac:dyDescent="0.3">
      <c r="H6538">
        <v>0.5</v>
      </c>
      <c r="I6538" s="11">
        <f t="shared" si="102"/>
        <v>0</v>
      </c>
      <c r="J6538" s="11">
        <f>1/(H6538*Utilities!$B$11)</f>
        <v>8</v>
      </c>
      <c r="K6538" s="11">
        <f>IF(B6538&lt;C6538,1,EXP(-1*(B6538-C6538)/(Utilities!$B$11*IterData!H6538)))</f>
        <v>1</v>
      </c>
    </row>
    <row r="6539" spans="8:11" x14ac:dyDescent="0.3">
      <c r="H6539">
        <v>0.5</v>
      </c>
      <c r="I6539" s="11">
        <f t="shared" si="102"/>
        <v>0</v>
      </c>
      <c r="J6539" s="11">
        <f>1/(H6539*Utilities!$B$11)</f>
        <v>8</v>
      </c>
      <c r="K6539" s="11">
        <f>IF(B6539&lt;C6539,1,EXP(-1*(B6539-C6539)/(Utilities!$B$11*IterData!H6539)))</f>
        <v>1</v>
      </c>
    </row>
    <row r="6540" spans="8:11" x14ac:dyDescent="0.3">
      <c r="H6540">
        <v>0.5</v>
      </c>
      <c r="I6540" s="11">
        <f t="shared" si="102"/>
        <v>0</v>
      </c>
      <c r="J6540" s="11">
        <f>1/(H6540*Utilities!$B$11)</f>
        <v>8</v>
      </c>
      <c r="K6540" s="11">
        <f>IF(B6540&lt;C6540,1,EXP(-1*(B6540-C6540)/(Utilities!$B$11*IterData!H6540)))</f>
        <v>1</v>
      </c>
    </row>
    <row r="6541" spans="8:11" x14ac:dyDescent="0.3">
      <c r="H6541">
        <v>0.5</v>
      </c>
      <c r="I6541" s="11">
        <f t="shared" si="102"/>
        <v>0</v>
      </c>
      <c r="J6541" s="11">
        <f>1/(H6541*Utilities!$B$11)</f>
        <v>8</v>
      </c>
      <c r="K6541" s="11">
        <f>IF(B6541&lt;C6541,1,EXP(-1*(B6541-C6541)/(Utilities!$B$11*IterData!H6541)))</f>
        <v>1</v>
      </c>
    </row>
    <row r="6542" spans="8:11" x14ac:dyDescent="0.3">
      <c r="H6542">
        <v>0.5</v>
      </c>
      <c r="I6542" s="11">
        <f t="shared" si="102"/>
        <v>0</v>
      </c>
      <c r="J6542" s="11">
        <f>1/(H6542*Utilities!$B$11)</f>
        <v>8</v>
      </c>
      <c r="K6542" s="11">
        <f>IF(B6542&lt;C6542,1,EXP(-1*(B6542-C6542)/(Utilities!$B$11*IterData!H6542)))</f>
        <v>1</v>
      </c>
    </row>
    <row r="6543" spans="8:11" x14ac:dyDescent="0.3">
      <c r="H6543">
        <v>0.5</v>
      </c>
      <c r="I6543" s="11">
        <f t="shared" si="102"/>
        <v>0</v>
      </c>
      <c r="J6543" s="11">
        <f>1/(H6543*Utilities!$B$11)</f>
        <v>8</v>
      </c>
      <c r="K6543" s="11">
        <f>IF(B6543&lt;C6543,1,EXP(-1*(B6543-C6543)/(Utilities!$B$11*IterData!H6543)))</f>
        <v>1</v>
      </c>
    </row>
    <row r="6544" spans="8:11" x14ac:dyDescent="0.3">
      <c r="H6544">
        <v>0.5</v>
      </c>
      <c r="I6544" s="11">
        <f t="shared" si="102"/>
        <v>0</v>
      </c>
      <c r="J6544" s="11">
        <f>1/(H6544*Utilities!$B$11)</f>
        <v>8</v>
      </c>
      <c r="K6544" s="11">
        <f>IF(B6544&lt;C6544,1,EXP(-1*(B6544-C6544)/(Utilities!$B$11*IterData!H6544)))</f>
        <v>1</v>
      </c>
    </row>
    <row r="6545" spans="8:11" x14ac:dyDescent="0.3">
      <c r="H6545">
        <v>0.5</v>
      </c>
      <c r="I6545" s="11">
        <f t="shared" si="102"/>
        <v>0</v>
      </c>
      <c r="J6545" s="11">
        <f>1/(H6545*Utilities!$B$11)</f>
        <v>8</v>
      </c>
      <c r="K6545" s="11">
        <f>IF(B6545&lt;C6545,1,EXP(-1*(B6545-C6545)/(Utilities!$B$11*IterData!H6545)))</f>
        <v>1</v>
      </c>
    </row>
    <row r="6546" spans="8:11" x14ac:dyDescent="0.3">
      <c r="H6546">
        <v>0.5</v>
      </c>
      <c r="I6546" s="11">
        <f t="shared" si="102"/>
        <v>0</v>
      </c>
      <c r="J6546" s="11">
        <f>1/(H6546*Utilities!$B$11)</f>
        <v>8</v>
      </c>
      <c r="K6546" s="11">
        <f>IF(B6546&lt;C6546,1,EXP(-1*(B6546-C6546)/(Utilities!$B$11*IterData!H6546)))</f>
        <v>1</v>
      </c>
    </row>
    <row r="6547" spans="8:11" x14ac:dyDescent="0.3">
      <c r="H6547">
        <v>0.5</v>
      </c>
      <c r="I6547" s="11">
        <f t="shared" si="102"/>
        <v>0</v>
      </c>
      <c r="J6547" s="11">
        <f>1/(H6547*Utilities!$B$11)</f>
        <v>8</v>
      </c>
      <c r="K6547" s="11">
        <f>IF(B6547&lt;C6547,1,EXP(-1*(B6547-C6547)/(Utilities!$B$11*IterData!H6547)))</f>
        <v>1</v>
      </c>
    </row>
    <row r="6548" spans="8:11" x14ac:dyDescent="0.3">
      <c r="H6548">
        <v>0.5</v>
      </c>
      <c r="I6548" s="11">
        <f t="shared" si="102"/>
        <v>0</v>
      </c>
      <c r="J6548" s="11">
        <f>1/(H6548*Utilities!$B$11)</f>
        <v>8</v>
      </c>
      <c r="K6548" s="11">
        <f>IF(B6548&lt;C6548,1,EXP(-1*(B6548-C6548)/(Utilities!$B$11*IterData!H6548)))</f>
        <v>1</v>
      </c>
    </row>
    <row r="6549" spans="8:11" x14ac:dyDescent="0.3">
      <c r="H6549">
        <v>0.5</v>
      </c>
      <c r="I6549" s="11">
        <f t="shared" si="102"/>
        <v>0</v>
      </c>
      <c r="J6549" s="11">
        <f>1/(H6549*Utilities!$B$11)</f>
        <v>8</v>
      </c>
      <c r="K6549" s="11">
        <f>IF(B6549&lt;C6549,1,EXP(-1*(B6549-C6549)/(Utilities!$B$11*IterData!H6549)))</f>
        <v>1</v>
      </c>
    </row>
    <row r="6550" spans="8:11" x14ac:dyDescent="0.3">
      <c r="H6550">
        <v>0.5</v>
      </c>
      <c r="I6550" s="11">
        <f t="shared" si="102"/>
        <v>0</v>
      </c>
      <c r="J6550" s="11">
        <f>1/(H6550*Utilities!$B$11)</f>
        <v>8</v>
      </c>
      <c r="K6550" s="11">
        <f>IF(B6550&lt;C6550,1,EXP(-1*(B6550-C6550)/(Utilities!$B$11*IterData!H6550)))</f>
        <v>1</v>
      </c>
    </row>
    <row r="6551" spans="8:11" x14ac:dyDescent="0.3">
      <c r="H6551">
        <v>0.5</v>
      </c>
      <c r="I6551" s="11">
        <f t="shared" si="102"/>
        <v>0</v>
      </c>
      <c r="J6551" s="11">
        <f>1/(H6551*Utilities!$B$11)</f>
        <v>8</v>
      </c>
      <c r="K6551" s="11">
        <f>IF(B6551&lt;C6551,1,EXP(-1*(B6551-C6551)/(Utilities!$B$11*IterData!H6551)))</f>
        <v>1</v>
      </c>
    </row>
    <row r="6552" spans="8:11" x14ac:dyDescent="0.3">
      <c r="H6552">
        <v>0.5</v>
      </c>
      <c r="I6552" s="11">
        <f t="shared" si="102"/>
        <v>0</v>
      </c>
      <c r="J6552" s="11">
        <f>1/(H6552*Utilities!$B$11)</f>
        <v>8</v>
      </c>
      <c r="K6552" s="11">
        <f>IF(B6552&lt;C6552,1,EXP(-1*(B6552-C6552)/(Utilities!$B$11*IterData!H6552)))</f>
        <v>1</v>
      </c>
    </row>
    <row r="6553" spans="8:11" x14ac:dyDescent="0.3">
      <c r="H6553">
        <v>0.5</v>
      </c>
      <c r="I6553" s="11">
        <f t="shared" si="102"/>
        <v>0</v>
      </c>
      <c r="J6553" s="11">
        <f>1/(H6553*Utilities!$B$11)</f>
        <v>8</v>
      </c>
      <c r="K6553" s="11">
        <f>IF(B6553&lt;C6553,1,EXP(-1*(B6553-C6553)/(Utilities!$B$11*IterData!H6553)))</f>
        <v>1</v>
      </c>
    </row>
    <row r="6554" spans="8:11" x14ac:dyDescent="0.3">
      <c r="H6554">
        <v>0.5</v>
      </c>
      <c r="I6554" s="11">
        <f t="shared" si="102"/>
        <v>0</v>
      </c>
      <c r="J6554" s="11">
        <f>1/(H6554*Utilities!$B$11)</f>
        <v>8</v>
      </c>
      <c r="K6554" s="11">
        <f>IF(B6554&lt;C6554,1,EXP(-1*(B6554-C6554)/(Utilities!$B$11*IterData!H6554)))</f>
        <v>1</v>
      </c>
    </row>
    <row r="6555" spans="8:11" x14ac:dyDescent="0.3">
      <c r="H6555">
        <v>0.5</v>
      </c>
      <c r="I6555" s="11">
        <f t="shared" si="102"/>
        <v>0</v>
      </c>
      <c r="J6555" s="11">
        <f>1/(H6555*Utilities!$B$11)</f>
        <v>8</v>
      </c>
      <c r="K6555" s="11">
        <f>IF(B6555&lt;C6555,1,EXP(-1*(B6555-C6555)/(Utilities!$B$11*IterData!H6555)))</f>
        <v>1</v>
      </c>
    </row>
    <row r="6556" spans="8:11" x14ac:dyDescent="0.3">
      <c r="H6556">
        <v>0.5</v>
      </c>
      <c r="I6556" s="11">
        <f t="shared" si="102"/>
        <v>0</v>
      </c>
      <c r="J6556" s="11">
        <f>1/(H6556*Utilities!$B$11)</f>
        <v>8</v>
      </c>
      <c r="K6556" s="11">
        <f>IF(B6556&lt;C6556,1,EXP(-1*(B6556-C6556)/(Utilities!$B$11*IterData!H6556)))</f>
        <v>1</v>
      </c>
    </row>
    <row r="6557" spans="8:11" x14ac:dyDescent="0.3">
      <c r="H6557">
        <v>0.5</v>
      </c>
      <c r="I6557" s="11">
        <f t="shared" si="102"/>
        <v>0</v>
      </c>
      <c r="J6557" s="11">
        <f>1/(H6557*Utilities!$B$11)</f>
        <v>8</v>
      </c>
      <c r="K6557" s="11">
        <f>IF(B6557&lt;C6557,1,EXP(-1*(B6557-C6557)/(Utilities!$B$11*IterData!H6557)))</f>
        <v>1</v>
      </c>
    </row>
    <row r="6558" spans="8:11" x14ac:dyDescent="0.3">
      <c r="H6558">
        <v>0.5</v>
      </c>
      <c r="I6558" s="11">
        <f t="shared" si="102"/>
        <v>0</v>
      </c>
      <c r="J6558" s="11">
        <f>1/(H6558*Utilities!$B$11)</f>
        <v>8</v>
      </c>
      <c r="K6558" s="11">
        <f>IF(B6558&lt;C6558,1,EXP(-1*(B6558-C6558)/(Utilities!$B$11*IterData!H6558)))</f>
        <v>1</v>
      </c>
    </row>
    <row r="6559" spans="8:11" x14ac:dyDescent="0.3">
      <c r="H6559">
        <v>0.5</v>
      </c>
      <c r="I6559" s="11">
        <f t="shared" si="102"/>
        <v>0</v>
      </c>
      <c r="J6559" s="11">
        <f>1/(H6559*Utilities!$B$11)</f>
        <v>8</v>
      </c>
      <c r="K6559" s="11">
        <f>IF(B6559&lt;C6559,1,EXP(-1*(B6559-C6559)/(Utilities!$B$11*IterData!H6559)))</f>
        <v>1</v>
      </c>
    </row>
    <row r="6560" spans="8:11" x14ac:dyDescent="0.3">
      <c r="H6560">
        <v>0.5</v>
      </c>
      <c r="I6560" s="11">
        <f t="shared" si="102"/>
        <v>0</v>
      </c>
      <c r="J6560" s="11">
        <f>1/(H6560*Utilities!$B$11)</f>
        <v>8</v>
      </c>
      <c r="K6560" s="11">
        <f>IF(B6560&lt;C6560,1,EXP(-1*(B6560-C6560)/(Utilities!$B$11*IterData!H6560)))</f>
        <v>1</v>
      </c>
    </row>
    <row r="6561" spans="8:11" x14ac:dyDescent="0.3">
      <c r="H6561">
        <v>0.5</v>
      </c>
      <c r="I6561" s="11">
        <f t="shared" si="102"/>
        <v>0</v>
      </c>
      <c r="J6561" s="11">
        <f>1/(H6561*Utilities!$B$11)</f>
        <v>8</v>
      </c>
      <c r="K6561" s="11">
        <f>IF(B6561&lt;C6561,1,EXP(-1*(B6561-C6561)/(Utilities!$B$11*IterData!H6561)))</f>
        <v>1</v>
      </c>
    </row>
    <row r="6562" spans="8:11" x14ac:dyDescent="0.3">
      <c r="H6562">
        <v>0.5</v>
      </c>
      <c r="I6562" s="11">
        <f t="shared" si="102"/>
        <v>0</v>
      </c>
      <c r="J6562" s="11">
        <f>1/(H6562*Utilities!$B$11)</f>
        <v>8</v>
      </c>
      <c r="K6562" s="11">
        <f>IF(B6562&lt;C6562,1,EXP(-1*(B6562-C6562)/(Utilities!$B$11*IterData!H6562)))</f>
        <v>1</v>
      </c>
    </row>
    <row r="6563" spans="8:11" x14ac:dyDescent="0.3">
      <c r="H6563">
        <v>0.5</v>
      </c>
      <c r="I6563" s="11">
        <f t="shared" si="102"/>
        <v>0</v>
      </c>
      <c r="J6563" s="11">
        <f>1/(H6563*Utilities!$B$11)</f>
        <v>8</v>
      </c>
      <c r="K6563" s="11">
        <f>IF(B6563&lt;C6563,1,EXP(-1*(B6563-C6563)/(Utilities!$B$11*IterData!H6563)))</f>
        <v>1</v>
      </c>
    </row>
    <row r="6564" spans="8:11" x14ac:dyDescent="0.3">
      <c r="H6564">
        <v>0.5</v>
      </c>
      <c r="I6564" s="11">
        <f t="shared" si="102"/>
        <v>0</v>
      </c>
      <c r="J6564" s="11">
        <f>1/(H6564*Utilities!$B$11)</f>
        <v>8</v>
      </c>
      <c r="K6564" s="11">
        <f>IF(B6564&lt;C6564,1,EXP(-1*(B6564-C6564)/(Utilities!$B$11*IterData!H6564)))</f>
        <v>1</v>
      </c>
    </row>
    <row r="6565" spans="8:11" x14ac:dyDescent="0.3">
      <c r="H6565">
        <v>0.5</v>
      </c>
      <c r="I6565" s="11">
        <f t="shared" si="102"/>
        <v>0</v>
      </c>
      <c r="J6565" s="11">
        <f>1/(H6565*Utilities!$B$11)</f>
        <v>8</v>
      </c>
      <c r="K6565" s="11">
        <f>IF(B6565&lt;C6565,1,EXP(-1*(B6565-C6565)/(Utilities!$B$11*IterData!H6565)))</f>
        <v>1</v>
      </c>
    </row>
    <row r="6566" spans="8:11" x14ac:dyDescent="0.3">
      <c r="H6566">
        <v>0.5</v>
      </c>
      <c r="I6566" s="11">
        <f t="shared" si="102"/>
        <v>0</v>
      </c>
      <c r="J6566" s="11">
        <f>1/(H6566*Utilities!$B$11)</f>
        <v>8</v>
      </c>
      <c r="K6566" s="11">
        <f>IF(B6566&lt;C6566,1,EXP(-1*(B6566-C6566)/(Utilities!$B$11*IterData!H6566)))</f>
        <v>1</v>
      </c>
    </row>
    <row r="6567" spans="8:11" x14ac:dyDescent="0.3">
      <c r="H6567">
        <v>0.5</v>
      </c>
      <c r="I6567" s="11">
        <f t="shared" si="102"/>
        <v>0</v>
      </c>
      <c r="J6567" s="11">
        <f>1/(H6567*Utilities!$B$11)</f>
        <v>8</v>
      </c>
      <c r="K6567" s="11">
        <f>IF(B6567&lt;C6567,1,EXP(-1*(B6567-C6567)/(Utilities!$B$11*IterData!H6567)))</f>
        <v>1</v>
      </c>
    </row>
    <row r="6568" spans="8:11" x14ac:dyDescent="0.3">
      <c r="H6568">
        <v>0.5</v>
      </c>
      <c r="I6568" s="11">
        <f t="shared" si="102"/>
        <v>0</v>
      </c>
      <c r="J6568" s="11">
        <f>1/(H6568*Utilities!$B$11)</f>
        <v>8</v>
      </c>
      <c r="K6568" s="11">
        <f>IF(B6568&lt;C6568,1,EXP(-1*(B6568-C6568)/(Utilities!$B$11*IterData!H6568)))</f>
        <v>1</v>
      </c>
    </row>
    <row r="6569" spans="8:11" x14ac:dyDescent="0.3">
      <c r="H6569">
        <v>0.5</v>
      </c>
      <c r="I6569" s="11">
        <f t="shared" si="102"/>
        <v>0</v>
      </c>
      <c r="J6569" s="11">
        <f>1/(H6569*Utilities!$B$11)</f>
        <v>8</v>
      </c>
      <c r="K6569" s="11">
        <f>IF(B6569&lt;C6569,1,EXP(-1*(B6569-C6569)/(Utilities!$B$11*IterData!H6569)))</f>
        <v>1</v>
      </c>
    </row>
    <row r="6570" spans="8:11" x14ac:dyDescent="0.3">
      <c r="H6570">
        <v>0.5</v>
      </c>
      <c r="I6570" s="11">
        <f t="shared" si="102"/>
        <v>0</v>
      </c>
      <c r="J6570" s="11">
        <f>1/(H6570*Utilities!$B$11)</f>
        <v>8</v>
      </c>
      <c r="K6570" s="11">
        <f>IF(B6570&lt;C6570,1,EXP(-1*(B6570-C6570)/(Utilities!$B$11*IterData!H6570)))</f>
        <v>1</v>
      </c>
    </row>
    <row r="6571" spans="8:11" x14ac:dyDescent="0.3">
      <c r="H6571">
        <v>0.5</v>
      </c>
      <c r="I6571" s="11">
        <f t="shared" si="102"/>
        <v>0</v>
      </c>
      <c r="J6571" s="11">
        <f>1/(H6571*Utilities!$B$11)</f>
        <v>8</v>
      </c>
      <c r="K6571" s="11">
        <f>IF(B6571&lt;C6571,1,EXP(-1*(B6571-C6571)/(Utilities!$B$11*IterData!H6571)))</f>
        <v>1</v>
      </c>
    </row>
    <row r="6572" spans="8:11" x14ac:dyDescent="0.3">
      <c r="H6572">
        <v>0.5</v>
      </c>
      <c r="I6572" s="11">
        <f t="shared" si="102"/>
        <v>0</v>
      </c>
      <c r="J6572" s="11">
        <f>1/(H6572*Utilities!$B$11)</f>
        <v>8</v>
      </c>
      <c r="K6572" s="11">
        <f>IF(B6572&lt;C6572,1,EXP(-1*(B6572-C6572)/(Utilities!$B$11*IterData!H6572)))</f>
        <v>1</v>
      </c>
    </row>
    <row r="6573" spans="8:11" x14ac:dyDescent="0.3">
      <c r="H6573">
        <v>0.5</v>
      </c>
      <c r="I6573" s="11">
        <f t="shared" si="102"/>
        <v>0</v>
      </c>
      <c r="J6573" s="11">
        <f>1/(H6573*Utilities!$B$11)</f>
        <v>8</v>
      </c>
      <c r="K6573" s="11">
        <f>IF(B6573&lt;C6573,1,EXP(-1*(B6573-C6573)/(Utilities!$B$11*IterData!H6573)))</f>
        <v>1</v>
      </c>
    </row>
    <row r="6574" spans="8:11" x14ac:dyDescent="0.3">
      <c r="H6574">
        <v>0.5</v>
      </c>
      <c r="I6574" s="11">
        <f t="shared" si="102"/>
        <v>0</v>
      </c>
      <c r="J6574" s="11">
        <f>1/(H6574*Utilities!$B$11)</f>
        <v>8</v>
      </c>
      <c r="K6574" s="11">
        <f>IF(B6574&lt;C6574,1,EXP(-1*(B6574-C6574)/(Utilities!$B$11*IterData!H6574)))</f>
        <v>1</v>
      </c>
    </row>
    <row r="6575" spans="8:11" x14ac:dyDescent="0.3">
      <c r="H6575">
        <v>0.5</v>
      </c>
      <c r="I6575" s="11">
        <f t="shared" si="102"/>
        <v>0</v>
      </c>
      <c r="J6575" s="11">
        <f>1/(H6575*Utilities!$B$11)</f>
        <v>8</v>
      </c>
      <c r="K6575" s="11">
        <f>IF(B6575&lt;C6575,1,EXP(-1*(B6575-C6575)/(Utilities!$B$11*IterData!H6575)))</f>
        <v>1</v>
      </c>
    </row>
    <row r="6576" spans="8:11" x14ac:dyDescent="0.3">
      <c r="H6576">
        <v>0.5</v>
      </c>
      <c r="I6576" s="11">
        <f t="shared" si="102"/>
        <v>0</v>
      </c>
      <c r="J6576" s="11">
        <f>1/(H6576*Utilities!$B$11)</f>
        <v>8</v>
      </c>
      <c r="K6576" s="11">
        <f>IF(B6576&lt;C6576,1,EXP(-1*(B6576-C6576)/(Utilities!$B$11*IterData!H6576)))</f>
        <v>1</v>
      </c>
    </row>
    <row r="6577" spans="8:11" x14ac:dyDescent="0.3">
      <c r="H6577">
        <v>0.5</v>
      </c>
      <c r="I6577" s="11">
        <f t="shared" si="102"/>
        <v>0</v>
      </c>
      <c r="J6577" s="11">
        <f>1/(H6577*Utilities!$B$11)</f>
        <v>8</v>
      </c>
      <c r="K6577" s="11">
        <f>IF(B6577&lt;C6577,1,EXP(-1*(B6577-C6577)/(Utilities!$B$11*IterData!H6577)))</f>
        <v>1</v>
      </c>
    </row>
    <row r="6578" spans="8:11" x14ac:dyDescent="0.3">
      <c r="H6578">
        <v>0.5</v>
      </c>
      <c r="I6578" s="11">
        <f t="shared" si="102"/>
        <v>0</v>
      </c>
      <c r="J6578" s="11">
        <f>1/(H6578*Utilities!$B$11)</f>
        <v>8</v>
      </c>
      <c r="K6578" s="11">
        <f>IF(B6578&lt;C6578,1,EXP(-1*(B6578-C6578)/(Utilities!$B$11*IterData!H6578)))</f>
        <v>1</v>
      </c>
    </row>
    <row r="6579" spans="8:11" x14ac:dyDescent="0.3">
      <c r="H6579">
        <v>0.5</v>
      </c>
      <c r="I6579" s="11">
        <f t="shared" si="102"/>
        <v>0</v>
      </c>
      <c r="J6579" s="11">
        <f>1/(H6579*Utilities!$B$11)</f>
        <v>8</v>
      </c>
      <c r="K6579" s="11">
        <f>IF(B6579&lt;C6579,1,EXP(-1*(B6579-C6579)/(Utilities!$B$11*IterData!H6579)))</f>
        <v>1</v>
      </c>
    </row>
    <row r="6580" spans="8:11" x14ac:dyDescent="0.3">
      <c r="H6580">
        <v>0.5</v>
      </c>
      <c r="I6580" s="11">
        <f t="shared" si="102"/>
        <v>0</v>
      </c>
      <c r="J6580" s="11">
        <f>1/(H6580*Utilities!$B$11)</f>
        <v>8</v>
      </c>
      <c r="K6580" s="11">
        <f>IF(B6580&lt;C6580,1,EXP(-1*(B6580-C6580)/(Utilities!$B$11*IterData!H6580)))</f>
        <v>1</v>
      </c>
    </row>
    <row r="6581" spans="8:11" x14ac:dyDescent="0.3">
      <c r="H6581">
        <v>0.5</v>
      </c>
      <c r="I6581" s="11">
        <f t="shared" si="102"/>
        <v>0</v>
      </c>
      <c r="J6581" s="11">
        <f>1/(H6581*Utilities!$B$11)</f>
        <v>8</v>
      </c>
      <c r="K6581" s="11">
        <f>IF(B6581&lt;C6581,1,EXP(-1*(B6581-C6581)/(Utilities!$B$11*IterData!H6581)))</f>
        <v>1</v>
      </c>
    </row>
    <row r="6582" spans="8:11" x14ac:dyDescent="0.3">
      <c r="H6582">
        <v>0.5</v>
      </c>
      <c r="I6582" s="11">
        <f t="shared" si="102"/>
        <v>0</v>
      </c>
      <c r="J6582" s="11">
        <f>1/(H6582*Utilities!$B$11)</f>
        <v>8</v>
      </c>
      <c r="K6582" s="11">
        <f>IF(B6582&lt;C6582,1,EXP(-1*(B6582-C6582)/(Utilities!$B$11*IterData!H6582)))</f>
        <v>1</v>
      </c>
    </row>
    <row r="6583" spans="8:11" x14ac:dyDescent="0.3">
      <c r="H6583">
        <v>0.5</v>
      </c>
      <c r="I6583" s="11">
        <f t="shared" si="102"/>
        <v>0</v>
      </c>
      <c r="J6583" s="11">
        <f>1/(H6583*Utilities!$B$11)</f>
        <v>8</v>
      </c>
      <c r="K6583" s="11">
        <f>IF(B6583&lt;C6583,1,EXP(-1*(B6583-C6583)/(Utilities!$B$11*IterData!H6583)))</f>
        <v>1</v>
      </c>
    </row>
    <row r="6584" spans="8:11" x14ac:dyDescent="0.3">
      <c r="H6584">
        <v>0.5</v>
      </c>
      <c r="I6584" s="11">
        <f t="shared" si="102"/>
        <v>0</v>
      </c>
      <c r="J6584" s="11">
        <f>1/(H6584*Utilities!$B$11)</f>
        <v>8</v>
      </c>
      <c r="K6584" s="11">
        <f>IF(B6584&lt;C6584,1,EXP(-1*(B6584-C6584)/(Utilities!$B$11*IterData!H6584)))</f>
        <v>1</v>
      </c>
    </row>
    <row r="6585" spans="8:11" x14ac:dyDescent="0.3">
      <c r="H6585">
        <v>0.5</v>
      </c>
      <c r="I6585" s="11">
        <f t="shared" si="102"/>
        <v>0</v>
      </c>
      <c r="J6585" s="11">
        <f>1/(H6585*Utilities!$B$11)</f>
        <v>8</v>
      </c>
      <c r="K6585" s="11">
        <f>IF(B6585&lt;C6585,1,EXP(-1*(B6585-C6585)/(Utilities!$B$11*IterData!H6585)))</f>
        <v>1</v>
      </c>
    </row>
    <row r="6586" spans="8:11" x14ac:dyDescent="0.3">
      <c r="H6586">
        <v>0.5</v>
      </c>
      <c r="I6586" s="11">
        <f t="shared" si="102"/>
        <v>0</v>
      </c>
      <c r="J6586" s="11">
        <f>1/(H6586*Utilities!$B$11)</f>
        <v>8</v>
      </c>
      <c r="K6586" s="11">
        <f>IF(B6586&lt;C6586,1,EXP(-1*(B6586-C6586)/(Utilities!$B$11*IterData!H6586)))</f>
        <v>1</v>
      </c>
    </row>
    <row r="6587" spans="8:11" x14ac:dyDescent="0.3">
      <c r="H6587">
        <v>0.5</v>
      </c>
      <c r="I6587" s="11">
        <f t="shared" si="102"/>
        <v>0</v>
      </c>
      <c r="J6587" s="11">
        <f>1/(H6587*Utilities!$B$11)</f>
        <v>8</v>
      </c>
      <c r="K6587" s="11">
        <f>IF(B6587&lt;C6587,1,EXP(-1*(B6587-C6587)/(Utilities!$B$11*IterData!H6587)))</f>
        <v>1</v>
      </c>
    </row>
    <row r="6588" spans="8:11" x14ac:dyDescent="0.3">
      <c r="H6588">
        <v>0.5</v>
      </c>
      <c r="I6588" s="11">
        <f t="shared" si="102"/>
        <v>0</v>
      </c>
      <c r="J6588" s="11">
        <f>1/(H6588*Utilities!$B$11)</f>
        <v>8</v>
      </c>
      <c r="K6588" s="11">
        <f>IF(B6588&lt;C6588,1,EXP(-1*(B6588-C6588)/(Utilities!$B$11*IterData!H6588)))</f>
        <v>1</v>
      </c>
    </row>
    <row r="6589" spans="8:11" x14ac:dyDescent="0.3">
      <c r="H6589">
        <v>0.5</v>
      </c>
      <c r="I6589" s="11">
        <f t="shared" si="102"/>
        <v>0</v>
      </c>
      <c r="J6589" s="11">
        <f>1/(H6589*Utilities!$B$11)</f>
        <v>8</v>
      </c>
      <c r="K6589" s="11">
        <f>IF(B6589&lt;C6589,1,EXP(-1*(B6589-C6589)/(Utilities!$B$11*IterData!H6589)))</f>
        <v>1</v>
      </c>
    </row>
    <row r="6590" spans="8:11" x14ac:dyDescent="0.3">
      <c r="H6590">
        <v>0.5</v>
      </c>
      <c r="I6590" s="11">
        <f t="shared" si="102"/>
        <v>0</v>
      </c>
      <c r="J6590" s="11">
        <f>1/(H6590*Utilities!$B$11)</f>
        <v>8</v>
      </c>
      <c r="K6590" s="11">
        <f>IF(B6590&lt;C6590,1,EXP(-1*(B6590-C6590)/(Utilities!$B$11*IterData!H6590)))</f>
        <v>1</v>
      </c>
    </row>
    <row r="6591" spans="8:11" x14ac:dyDescent="0.3">
      <c r="H6591">
        <v>0.5</v>
      </c>
      <c r="I6591" s="11">
        <f t="shared" si="102"/>
        <v>0</v>
      </c>
      <c r="J6591" s="11">
        <f>1/(H6591*Utilities!$B$11)</f>
        <v>8</v>
      </c>
      <c r="K6591" s="11">
        <f>IF(B6591&lt;C6591,1,EXP(-1*(B6591-C6591)/(Utilities!$B$11*IterData!H6591)))</f>
        <v>1</v>
      </c>
    </row>
    <row r="6592" spans="8:11" x14ac:dyDescent="0.3">
      <c r="H6592">
        <v>0.5</v>
      </c>
      <c r="I6592" s="11">
        <f t="shared" si="102"/>
        <v>0</v>
      </c>
      <c r="J6592" s="11">
        <f>1/(H6592*Utilities!$B$11)</f>
        <v>8</v>
      </c>
      <c r="K6592" s="11">
        <f>IF(B6592&lt;C6592,1,EXP(-1*(B6592-C6592)/(Utilities!$B$11*IterData!H6592)))</f>
        <v>1</v>
      </c>
    </row>
    <row r="6593" spans="8:11" x14ac:dyDescent="0.3">
      <c r="H6593">
        <v>0.5</v>
      </c>
      <c r="I6593" s="11">
        <f t="shared" si="102"/>
        <v>0</v>
      </c>
      <c r="J6593" s="11">
        <f>1/(H6593*Utilities!$B$11)</f>
        <v>8</v>
      </c>
      <c r="K6593" s="11">
        <f>IF(B6593&lt;C6593,1,EXP(-1*(B6593-C6593)/(Utilities!$B$11*IterData!H6593)))</f>
        <v>1</v>
      </c>
    </row>
    <row r="6594" spans="8:11" x14ac:dyDescent="0.3">
      <c r="H6594">
        <v>0.5</v>
      </c>
      <c r="I6594" s="11">
        <f t="shared" si="102"/>
        <v>0</v>
      </c>
      <c r="J6594" s="11">
        <f>1/(H6594*Utilities!$B$11)</f>
        <v>8</v>
      </c>
      <c r="K6594" s="11">
        <f>IF(B6594&lt;C6594,1,EXP(-1*(B6594-C6594)/(Utilities!$B$11*IterData!H6594)))</f>
        <v>1</v>
      </c>
    </row>
    <row r="6595" spans="8:11" x14ac:dyDescent="0.3">
      <c r="H6595">
        <v>0.5</v>
      </c>
      <c r="I6595" s="11">
        <f t="shared" ref="I6595:I6658" si="103">B6595-C6595</f>
        <v>0</v>
      </c>
      <c r="J6595" s="11">
        <f>1/(H6595*Utilities!$B$11)</f>
        <v>8</v>
      </c>
      <c r="K6595" s="11">
        <f>IF(B6595&lt;C6595,1,EXP(-1*(B6595-C6595)/(Utilities!$B$11*IterData!H6595)))</f>
        <v>1</v>
      </c>
    </row>
    <row r="6596" spans="8:11" x14ac:dyDescent="0.3">
      <c r="H6596">
        <v>0.5</v>
      </c>
      <c r="I6596" s="11">
        <f t="shared" si="103"/>
        <v>0</v>
      </c>
      <c r="J6596" s="11">
        <f>1/(H6596*Utilities!$B$11)</f>
        <v>8</v>
      </c>
      <c r="K6596" s="11">
        <f>IF(B6596&lt;C6596,1,EXP(-1*(B6596-C6596)/(Utilities!$B$11*IterData!H6596)))</f>
        <v>1</v>
      </c>
    </row>
    <row r="6597" spans="8:11" x14ac:dyDescent="0.3">
      <c r="H6597">
        <v>0.5</v>
      </c>
      <c r="I6597" s="11">
        <f t="shared" si="103"/>
        <v>0</v>
      </c>
      <c r="J6597" s="11">
        <f>1/(H6597*Utilities!$B$11)</f>
        <v>8</v>
      </c>
      <c r="K6597" s="11">
        <f>IF(B6597&lt;C6597,1,EXP(-1*(B6597-C6597)/(Utilities!$B$11*IterData!H6597)))</f>
        <v>1</v>
      </c>
    </row>
    <row r="6598" spans="8:11" x14ac:dyDescent="0.3">
      <c r="H6598">
        <v>0.5</v>
      </c>
      <c r="I6598" s="11">
        <f t="shared" si="103"/>
        <v>0</v>
      </c>
      <c r="J6598" s="11">
        <f>1/(H6598*Utilities!$B$11)</f>
        <v>8</v>
      </c>
      <c r="K6598" s="11">
        <f>IF(B6598&lt;C6598,1,EXP(-1*(B6598-C6598)/(Utilities!$B$11*IterData!H6598)))</f>
        <v>1</v>
      </c>
    </row>
    <row r="6599" spans="8:11" x14ac:dyDescent="0.3">
      <c r="H6599">
        <v>0.5</v>
      </c>
      <c r="I6599" s="11">
        <f t="shared" si="103"/>
        <v>0</v>
      </c>
      <c r="J6599" s="11">
        <f>1/(H6599*Utilities!$B$11)</f>
        <v>8</v>
      </c>
      <c r="K6599" s="11">
        <f>IF(B6599&lt;C6599,1,EXP(-1*(B6599-C6599)/(Utilities!$B$11*IterData!H6599)))</f>
        <v>1</v>
      </c>
    </row>
    <row r="6600" spans="8:11" x14ac:dyDescent="0.3">
      <c r="H6600">
        <v>0.5</v>
      </c>
      <c r="I6600" s="11">
        <f t="shared" si="103"/>
        <v>0</v>
      </c>
      <c r="J6600" s="11">
        <f>1/(H6600*Utilities!$B$11)</f>
        <v>8</v>
      </c>
      <c r="K6600" s="11">
        <f>IF(B6600&lt;C6600,1,EXP(-1*(B6600-C6600)/(Utilities!$B$11*IterData!H6600)))</f>
        <v>1</v>
      </c>
    </row>
    <row r="6601" spans="8:11" x14ac:dyDescent="0.3">
      <c r="H6601">
        <v>0.5</v>
      </c>
      <c r="I6601" s="11">
        <f t="shared" si="103"/>
        <v>0</v>
      </c>
      <c r="J6601" s="11">
        <f>1/(H6601*Utilities!$B$11)</f>
        <v>8</v>
      </c>
      <c r="K6601" s="11">
        <f>IF(B6601&lt;C6601,1,EXP(-1*(B6601-C6601)/(Utilities!$B$11*IterData!H6601)))</f>
        <v>1</v>
      </c>
    </row>
    <row r="6602" spans="8:11" x14ac:dyDescent="0.3">
      <c r="H6602">
        <v>0.5</v>
      </c>
      <c r="I6602" s="11">
        <f t="shared" si="103"/>
        <v>0</v>
      </c>
      <c r="J6602" s="11">
        <f>1/(H6602*Utilities!$B$11)</f>
        <v>8</v>
      </c>
      <c r="K6602" s="11">
        <f>IF(B6602&lt;C6602,1,EXP(-1*(B6602-C6602)/(Utilities!$B$11*IterData!H6602)))</f>
        <v>1</v>
      </c>
    </row>
    <row r="6603" spans="8:11" x14ac:dyDescent="0.3">
      <c r="H6603">
        <v>0.5</v>
      </c>
      <c r="I6603" s="11">
        <f t="shared" si="103"/>
        <v>0</v>
      </c>
      <c r="J6603" s="11">
        <f>1/(H6603*Utilities!$B$11)</f>
        <v>8</v>
      </c>
      <c r="K6603" s="11">
        <f>IF(B6603&lt;C6603,1,EXP(-1*(B6603-C6603)/(Utilities!$B$11*IterData!H6603)))</f>
        <v>1</v>
      </c>
    </row>
    <row r="6604" spans="8:11" x14ac:dyDescent="0.3">
      <c r="H6604">
        <v>0.5</v>
      </c>
      <c r="I6604" s="11">
        <f t="shared" si="103"/>
        <v>0</v>
      </c>
      <c r="J6604" s="11">
        <f>1/(H6604*Utilities!$B$11)</f>
        <v>8</v>
      </c>
      <c r="K6604" s="11">
        <f>IF(B6604&lt;C6604,1,EXP(-1*(B6604-C6604)/(Utilities!$B$11*IterData!H6604)))</f>
        <v>1</v>
      </c>
    </row>
    <row r="6605" spans="8:11" x14ac:dyDescent="0.3">
      <c r="H6605">
        <v>0.5</v>
      </c>
      <c r="I6605" s="11">
        <f t="shared" si="103"/>
        <v>0</v>
      </c>
      <c r="J6605" s="11">
        <f>1/(H6605*Utilities!$B$11)</f>
        <v>8</v>
      </c>
      <c r="K6605" s="11">
        <f>IF(B6605&lt;C6605,1,EXP(-1*(B6605-C6605)/(Utilities!$B$11*IterData!H6605)))</f>
        <v>1</v>
      </c>
    </row>
    <row r="6606" spans="8:11" x14ac:dyDescent="0.3">
      <c r="H6606">
        <v>0.5</v>
      </c>
      <c r="I6606" s="11">
        <f t="shared" si="103"/>
        <v>0</v>
      </c>
      <c r="J6606" s="11">
        <f>1/(H6606*Utilities!$B$11)</f>
        <v>8</v>
      </c>
      <c r="K6606" s="11">
        <f>IF(B6606&lt;C6606,1,EXP(-1*(B6606-C6606)/(Utilities!$B$11*IterData!H6606)))</f>
        <v>1</v>
      </c>
    </row>
    <row r="6607" spans="8:11" x14ac:dyDescent="0.3">
      <c r="H6607">
        <v>0.5</v>
      </c>
      <c r="I6607" s="11">
        <f t="shared" si="103"/>
        <v>0</v>
      </c>
      <c r="J6607" s="11">
        <f>1/(H6607*Utilities!$B$11)</f>
        <v>8</v>
      </c>
      <c r="K6607" s="11">
        <f>IF(B6607&lt;C6607,1,EXP(-1*(B6607-C6607)/(Utilities!$B$11*IterData!H6607)))</f>
        <v>1</v>
      </c>
    </row>
    <row r="6608" spans="8:11" x14ac:dyDescent="0.3">
      <c r="H6608">
        <v>0.5</v>
      </c>
      <c r="I6608" s="11">
        <f t="shared" si="103"/>
        <v>0</v>
      </c>
      <c r="J6608" s="11">
        <f>1/(H6608*Utilities!$B$11)</f>
        <v>8</v>
      </c>
      <c r="K6608" s="11">
        <f>IF(B6608&lt;C6608,1,EXP(-1*(B6608-C6608)/(Utilities!$B$11*IterData!H6608)))</f>
        <v>1</v>
      </c>
    </row>
    <row r="6609" spans="8:11" x14ac:dyDescent="0.3">
      <c r="H6609">
        <v>0.5</v>
      </c>
      <c r="I6609" s="11">
        <f t="shared" si="103"/>
        <v>0</v>
      </c>
      <c r="J6609" s="11">
        <f>1/(H6609*Utilities!$B$11)</f>
        <v>8</v>
      </c>
      <c r="K6609" s="11">
        <f>IF(B6609&lt;C6609,1,EXP(-1*(B6609-C6609)/(Utilities!$B$11*IterData!H6609)))</f>
        <v>1</v>
      </c>
    </row>
    <row r="6610" spans="8:11" x14ac:dyDescent="0.3">
      <c r="H6610">
        <v>0.5</v>
      </c>
      <c r="I6610" s="11">
        <f t="shared" si="103"/>
        <v>0</v>
      </c>
      <c r="J6610" s="11">
        <f>1/(H6610*Utilities!$B$11)</f>
        <v>8</v>
      </c>
      <c r="K6610" s="11">
        <f>IF(B6610&lt;C6610,1,EXP(-1*(B6610-C6610)/(Utilities!$B$11*IterData!H6610)))</f>
        <v>1</v>
      </c>
    </row>
    <row r="6611" spans="8:11" x14ac:dyDescent="0.3">
      <c r="H6611">
        <v>0.5</v>
      </c>
      <c r="I6611" s="11">
        <f t="shared" si="103"/>
        <v>0</v>
      </c>
      <c r="J6611" s="11">
        <f>1/(H6611*Utilities!$B$11)</f>
        <v>8</v>
      </c>
      <c r="K6611" s="11">
        <f>IF(B6611&lt;C6611,1,EXP(-1*(B6611-C6611)/(Utilities!$B$11*IterData!H6611)))</f>
        <v>1</v>
      </c>
    </row>
    <row r="6612" spans="8:11" x14ac:dyDescent="0.3">
      <c r="H6612">
        <v>0.5</v>
      </c>
      <c r="I6612" s="11">
        <f t="shared" si="103"/>
        <v>0</v>
      </c>
      <c r="J6612" s="11">
        <f>1/(H6612*Utilities!$B$11)</f>
        <v>8</v>
      </c>
      <c r="K6612" s="11">
        <f>IF(B6612&lt;C6612,1,EXP(-1*(B6612-C6612)/(Utilities!$B$11*IterData!H6612)))</f>
        <v>1</v>
      </c>
    </row>
    <row r="6613" spans="8:11" x14ac:dyDescent="0.3">
      <c r="H6613">
        <v>0.5</v>
      </c>
      <c r="I6613" s="11">
        <f t="shared" si="103"/>
        <v>0</v>
      </c>
      <c r="J6613" s="11">
        <f>1/(H6613*Utilities!$B$11)</f>
        <v>8</v>
      </c>
      <c r="K6613" s="11">
        <f>IF(B6613&lt;C6613,1,EXP(-1*(B6613-C6613)/(Utilities!$B$11*IterData!H6613)))</f>
        <v>1</v>
      </c>
    </row>
    <row r="6614" spans="8:11" x14ac:dyDescent="0.3">
      <c r="H6614">
        <v>0.5</v>
      </c>
      <c r="I6614" s="11">
        <f t="shared" si="103"/>
        <v>0</v>
      </c>
      <c r="J6614" s="11">
        <f>1/(H6614*Utilities!$B$11)</f>
        <v>8</v>
      </c>
      <c r="K6614" s="11">
        <f>IF(B6614&lt;C6614,1,EXP(-1*(B6614-C6614)/(Utilities!$B$11*IterData!H6614)))</f>
        <v>1</v>
      </c>
    </row>
    <row r="6615" spans="8:11" x14ac:dyDescent="0.3">
      <c r="H6615">
        <v>0.5</v>
      </c>
      <c r="I6615" s="11">
        <f t="shared" si="103"/>
        <v>0</v>
      </c>
      <c r="J6615" s="11">
        <f>1/(H6615*Utilities!$B$11)</f>
        <v>8</v>
      </c>
      <c r="K6615" s="11">
        <f>IF(B6615&lt;C6615,1,EXP(-1*(B6615-C6615)/(Utilities!$B$11*IterData!H6615)))</f>
        <v>1</v>
      </c>
    </row>
    <row r="6616" spans="8:11" x14ac:dyDescent="0.3">
      <c r="H6616">
        <v>0.5</v>
      </c>
      <c r="I6616" s="11">
        <f t="shared" si="103"/>
        <v>0</v>
      </c>
      <c r="J6616" s="11">
        <f>1/(H6616*Utilities!$B$11)</f>
        <v>8</v>
      </c>
      <c r="K6616" s="11">
        <f>IF(B6616&lt;C6616,1,EXP(-1*(B6616-C6616)/(Utilities!$B$11*IterData!H6616)))</f>
        <v>1</v>
      </c>
    </row>
    <row r="6617" spans="8:11" x14ac:dyDescent="0.3">
      <c r="H6617">
        <v>0.5</v>
      </c>
      <c r="I6617" s="11">
        <f t="shared" si="103"/>
        <v>0</v>
      </c>
      <c r="J6617" s="11">
        <f>1/(H6617*Utilities!$B$11)</f>
        <v>8</v>
      </c>
      <c r="K6617" s="11">
        <f>IF(B6617&lt;C6617,1,EXP(-1*(B6617-C6617)/(Utilities!$B$11*IterData!H6617)))</f>
        <v>1</v>
      </c>
    </row>
    <row r="6618" spans="8:11" x14ac:dyDescent="0.3">
      <c r="H6618">
        <v>0.5</v>
      </c>
      <c r="I6618" s="11">
        <f t="shared" si="103"/>
        <v>0</v>
      </c>
      <c r="J6618" s="11">
        <f>1/(H6618*Utilities!$B$11)</f>
        <v>8</v>
      </c>
      <c r="K6618" s="11">
        <f>IF(B6618&lt;C6618,1,EXP(-1*(B6618-C6618)/(Utilities!$B$11*IterData!H6618)))</f>
        <v>1</v>
      </c>
    </row>
    <row r="6619" spans="8:11" x14ac:dyDescent="0.3">
      <c r="H6619">
        <v>0.5</v>
      </c>
      <c r="I6619" s="11">
        <f t="shared" si="103"/>
        <v>0</v>
      </c>
      <c r="J6619" s="11">
        <f>1/(H6619*Utilities!$B$11)</f>
        <v>8</v>
      </c>
      <c r="K6619" s="11">
        <f>IF(B6619&lt;C6619,1,EXP(-1*(B6619-C6619)/(Utilities!$B$11*IterData!H6619)))</f>
        <v>1</v>
      </c>
    </row>
    <row r="6620" spans="8:11" x14ac:dyDescent="0.3">
      <c r="H6620">
        <v>0.5</v>
      </c>
      <c r="I6620" s="11">
        <f t="shared" si="103"/>
        <v>0</v>
      </c>
      <c r="J6620" s="11">
        <f>1/(H6620*Utilities!$B$11)</f>
        <v>8</v>
      </c>
      <c r="K6620" s="11">
        <f>IF(B6620&lt;C6620,1,EXP(-1*(B6620-C6620)/(Utilities!$B$11*IterData!H6620)))</f>
        <v>1</v>
      </c>
    </row>
    <row r="6621" spans="8:11" x14ac:dyDescent="0.3">
      <c r="H6621">
        <v>0.5</v>
      </c>
      <c r="I6621" s="11">
        <f t="shared" si="103"/>
        <v>0</v>
      </c>
      <c r="J6621" s="11">
        <f>1/(H6621*Utilities!$B$11)</f>
        <v>8</v>
      </c>
      <c r="K6621" s="11">
        <f>IF(B6621&lt;C6621,1,EXP(-1*(B6621-C6621)/(Utilities!$B$11*IterData!H6621)))</f>
        <v>1</v>
      </c>
    </row>
    <row r="6622" spans="8:11" x14ac:dyDescent="0.3">
      <c r="H6622">
        <v>0.5</v>
      </c>
      <c r="I6622" s="11">
        <f t="shared" si="103"/>
        <v>0</v>
      </c>
      <c r="J6622" s="11">
        <f>1/(H6622*Utilities!$B$11)</f>
        <v>8</v>
      </c>
      <c r="K6622" s="11">
        <f>IF(B6622&lt;C6622,1,EXP(-1*(B6622-C6622)/(Utilities!$B$11*IterData!H6622)))</f>
        <v>1</v>
      </c>
    </row>
    <row r="6623" spans="8:11" x14ac:dyDescent="0.3">
      <c r="H6623">
        <v>0.5</v>
      </c>
      <c r="I6623" s="11">
        <f t="shared" si="103"/>
        <v>0</v>
      </c>
      <c r="J6623" s="11">
        <f>1/(H6623*Utilities!$B$11)</f>
        <v>8</v>
      </c>
      <c r="K6623" s="11">
        <f>IF(B6623&lt;C6623,1,EXP(-1*(B6623-C6623)/(Utilities!$B$11*IterData!H6623)))</f>
        <v>1</v>
      </c>
    </row>
    <row r="6624" spans="8:11" x14ac:dyDescent="0.3">
      <c r="H6624">
        <v>0.5</v>
      </c>
      <c r="I6624" s="11">
        <f t="shared" si="103"/>
        <v>0</v>
      </c>
      <c r="J6624" s="11">
        <f>1/(H6624*Utilities!$B$11)</f>
        <v>8</v>
      </c>
      <c r="K6624" s="11">
        <f>IF(B6624&lt;C6624,1,EXP(-1*(B6624-C6624)/(Utilities!$B$11*IterData!H6624)))</f>
        <v>1</v>
      </c>
    </row>
    <row r="6625" spans="8:11" x14ac:dyDescent="0.3">
      <c r="H6625">
        <v>0.5</v>
      </c>
      <c r="I6625" s="11">
        <f t="shared" si="103"/>
        <v>0</v>
      </c>
      <c r="J6625" s="11">
        <f>1/(H6625*Utilities!$B$11)</f>
        <v>8</v>
      </c>
      <c r="K6625" s="11">
        <f>IF(B6625&lt;C6625,1,EXP(-1*(B6625-C6625)/(Utilities!$B$11*IterData!H6625)))</f>
        <v>1</v>
      </c>
    </row>
    <row r="6626" spans="8:11" x14ac:dyDescent="0.3">
      <c r="H6626">
        <v>0.5</v>
      </c>
      <c r="I6626" s="11">
        <f t="shared" si="103"/>
        <v>0</v>
      </c>
      <c r="J6626" s="11">
        <f>1/(H6626*Utilities!$B$11)</f>
        <v>8</v>
      </c>
      <c r="K6626" s="11">
        <f>IF(B6626&lt;C6626,1,EXP(-1*(B6626-C6626)/(Utilities!$B$11*IterData!H6626)))</f>
        <v>1</v>
      </c>
    </row>
    <row r="6627" spans="8:11" x14ac:dyDescent="0.3">
      <c r="H6627">
        <v>0.5</v>
      </c>
      <c r="I6627" s="11">
        <f t="shared" si="103"/>
        <v>0</v>
      </c>
      <c r="J6627" s="11">
        <f>1/(H6627*Utilities!$B$11)</f>
        <v>8</v>
      </c>
      <c r="K6627" s="11">
        <f>IF(B6627&lt;C6627,1,EXP(-1*(B6627-C6627)/(Utilities!$B$11*IterData!H6627)))</f>
        <v>1</v>
      </c>
    </row>
    <row r="6628" spans="8:11" x14ac:dyDescent="0.3">
      <c r="H6628">
        <v>0.5</v>
      </c>
      <c r="I6628" s="11">
        <f t="shared" si="103"/>
        <v>0</v>
      </c>
      <c r="J6628" s="11">
        <f>1/(H6628*Utilities!$B$11)</f>
        <v>8</v>
      </c>
      <c r="K6628" s="11">
        <f>IF(B6628&lt;C6628,1,EXP(-1*(B6628-C6628)/(Utilities!$B$11*IterData!H6628)))</f>
        <v>1</v>
      </c>
    </row>
    <row r="6629" spans="8:11" x14ac:dyDescent="0.3">
      <c r="H6629">
        <v>0.5</v>
      </c>
      <c r="I6629" s="11">
        <f t="shared" si="103"/>
        <v>0</v>
      </c>
      <c r="J6629" s="11">
        <f>1/(H6629*Utilities!$B$11)</f>
        <v>8</v>
      </c>
      <c r="K6629" s="11">
        <f>IF(B6629&lt;C6629,1,EXP(-1*(B6629-C6629)/(Utilities!$B$11*IterData!H6629)))</f>
        <v>1</v>
      </c>
    </row>
    <row r="6630" spans="8:11" x14ac:dyDescent="0.3">
      <c r="H6630">
        <v>0.5</v>
      </c>
      <c r="I6630" s="11">
        <f t="shared" si="103"/>
        <v>0</v>
      </c>
      <c r="J6630" s="11">
        <f>1/(H6630*Utilities!$B$11)</f>
        <v>8</v>
      </c>
      <c r="K6630" s="11">
        <f>IF(B6630&lt;C6630,1,EXP(-1*(B6630-C6630)/(Utilities!$B$11*IterData!H6630)))</f>
        <v>1</v>
      </c>
    </row>
    <row r="6631" spans="8:11" x14ac:dyDescent="0.3">
      <c r="H6631">
        <v>0.5</v>
      </c>
      <c r="I6631" s="11">
        <f t="shared" si="103"/>
        <v>0</v>
      </c>
      <c r="J6631" s="11">
        <f>1/(H6631*Utilities!$B$11)</f>
        <v>8</v>
      </c>
      <c r="K6631" s="11">
        <f>IF(B6631&lt;C6631,1,EXP(-1*(B6631-C6631)/(Utilities!$B$11*IterData!H6631)))</f>
        <v>1</v>
      </c>
    </row>
    <row r="6632" spans="8:11" x14ac:dyDescent="0.3">
      <c r="H6632">
        <v>0.5</v>
      </c>
      <c r="I6632" s="11">
        <f t="shared" si="103"/>
        <v>0</v>
      </c>
      <c r="J6632" s="11">
        <f>1/(H6632*Utilities!$B$11)</f>
        <v>8</v>
      </c>
      <c r="K6632" s="11">
        <f>IF(B6632&lt;C6632,1,EXP(-1*(B6632-C6632)/(Utilities!$B$11*IterData!H6632)))</f>
        <v>1</v>
      </c>
    </row>
    <row r="6633" spans="8:11" x14ac:dyDescent="0.3">
      <c r="H6633">
        <v>0.5</v>
      </c>
      <c r="I6633" s="11">
        <f t="shared" si="103"/>
        <v>0</v>
      </c>
      <c r="J6633" s="11">
        <f>1/(H6633*Utilities!$B$11)</f>
        <v>8</v>
      </c>
      <c r="K6633" s="11">
        <f>IF(B6633&lt;C6633,1,EXP(-1*(B6633-C6633)/(Utilities!$B$11*IterData!H6633)))</f>
        <v>1</v>
      </c>
    </row>
    <row r="6634" spans="8:11" x14ac:dyDescent="0.3">
      <c r="H6634">
        <v>0.5</v>
      </c>
      <c r="I6634" s="11">
        <f t="shared" si="103"/>
        <v>0</v>
      </c>
      <c r="J6634" s="11">
        <f>1/(H6634*Utilities!$B$11)</f>
        <v>8</v>
      </c>
      <c r="K6634" s="11">
        <f>IF(B6634&lt;C6634,1,EXP(-1*(B6634-C6634)/(Utilities!$B$11*IterData!H6634)))</f>
        <v>1</v>
      </c>
    </row>
    <row r="6635" spans="8:11" x14ac:dyDescent="0.3">
      <c r="H6635">
        <v>0.5</v>
      </c>
      <c r="I6635" s="11">
        <f t="shared" si="103"/>
        <v>0</v>
      </c>
      <c r="J6635" s="11">
        <f>1/(H6635*Utilities!$B$11)</f>
        <v>8</v>
      </c>
      <c r="K6635" s="11">
        <f>IF(B6635&lt;C6635,1,EXP(-1*(B6635-C6635)/(Utilities!$B$11*IterData!H6635)))</f>
        <v>1</v>
      </c>
    </row>
    <row r="6636" spans="8:11" x14ac:dyDescent="0.3">
      <c r="H6636">
        <v>0.5</v>
      </c>
      <c r="I6636" s="11">
        <f t="shared" si="103"/>
        <v>0</v>
      </c>
      <c r="J6636" s="11">
        <f>1/(H6636*Utilities!$B$11)</f>
        <v>8</v>
      </c>
      <c r="K6636" s="11">
        <f>IF(B6636&lt;C6636,1,EXP(-1*(B6636-C6636)/(Utilities!$B$11*IterData!H6636)))</f>
        <v>1</v>
      </c>
    </row>
    <row r="6637" spans="8:11" x14ac:dyDescent="0.3">
      <c r="H6637">
        <v>0.5</v>
      </c>
      <c r="I6637" s="11">
        <f t="shared" si="103"/>
        <v>0</v>
      </c>
      <c r="J6637" s="11">
        <f>1/(H6637*Utilities!$B$11)</f>
        <v>8</v>
      </c>
      <c r="K6637" s="11">
        <f>IF(B6637&lt;C6637,1,EXP(-1*(B6637-C6637)/(Utilities!$B$11*IterData!H6637)))</f>
        <v>1</v>
      </c>
    </row>
    <row r="6638" spans="8:11" x14ac:dyDescent="0.3">
      <c r="H6638">
        <v>0.5</v>
      </c>
      <c r="I6638" s="11">
        <f t="shared" si="103"/>
        <v>0</v>
      </c>
      <c r="J6638" s="11">
        <f>1/(H6638*Utilities!$B$11)</f>
        <v>8</v>
      </c>
      <c r="K6638" s="11">
        <f>IF(B6638&lt;C6638,1,EXP(-1*(B6638-C6638)/(Utilities!$B$11*IterData!H6638)))</f>
        <v>1</v>
      </c>
    </row>
    <row r="6639" spans="8:11" x14ac:dyDescent="0.3">
      <c r="H6639">
        <v>0.5</v>
      </c>
      <c r="I6639" s="11">
        <f t="shared" si="103"/>
        <v>0</v>
      </c>
      <c r="J6639" s="11">
        <f>1/(H6639*Utilities!$B$11)</f>
        <v>8</v>
      </c>
      <c r="K6639" s="11">
        <f>IF(B6639&lt;C6639,1,EXP(-1*(B6639-C6639)/(Utilities!$B$11*IterData!H6639)))</f>
        <v>1</v>
      </c>
    </row>
    <row r="6640" spans="8:11" x14ac:dyDescent="0.3">
      <c r="H6640">
        <v>0.5</v>
      </c>
      <c r="I6640" s="11">
        <f t="shared" si="103"/>
        <v>0</v>
      </c>
      <c r="J6640" s="11">
        <f>1/(H6640*Utilities!$B$11)</f>
        <v>8</v>
      </c>
      <c r="K6640" s="11">
        <f>IF(B6640&lt;C6640,1,EXP(-1*(B6640-C6640)/(Utilities!$B$11*IterData!H6640)))</f>
        <v>1</v>
      </c>
    </row>
    <row r="6641" spans="8:11" x14ac:dyDescent="0.3">
      <c r="H6641">
        <v>0.5</v>
      </c>
      <c r="I6641" s="11">
        <f t="shared" si="103"/>
        <v>0</v>
      </c>
      <c r="J6641" s="11">
        <f>1/(H6641*Utilities!$B$11)</f>
        <v>8</v>
      </c>
      <c r="K6641" s="11">
        <f>IF(B6641&lt;C6641,1,EXP(-1*(B6641-C6641)/(Utilities!$B$11*IterData!H6641)))</f>
        <v>1</v>
      </c>
    </row>
    <row r="6642" spans="8:11" x14ac:dyDescent="0.3">
      <c r="H6642">
        <v>0.5</v>
      </c>
      <c r="I6642" s="11">
        <f t="shared" si="103"/>
        <v>0</v>
      </c>
      <c r="J6642" s="11">
        <f>1/(H6642*Utilities!$B$11)</f>
        <v>8</v>
      </c>
      <c r="K6642" s="11">
        <f>IF(B6642&lt;C6642,1,EXP(-1*(B6642-C6642)/(Utilities!$B$11*IterData!H6642)))</f>
        <v>1</v>
      </c>
    </row>
    <row r="6643" spans="8:11" x14ac:dyDescent="0.3">
      <c r="H6643">
        <v>0.5</v>
      </c>
      <c r="I6643" s="11">
        <f t="shared" si="103"/>
        <v>0</v>
      </c>
      <c r="J6643" s="11">
        <f>1/(H6643*Utilities!$B$11)</f>
        <v>8</v>
      </c>
      <c r="K6643" s="11">
        <f>IF(B6643&lt;C6643,1,EXP(-1*(B6643-C6643)/(Utilities!$B$11*IterData!H6643)))</f>
        <v>1</v>
      </c>
    </row>
    <row r="6644" spans="8:11" x14ac:dyDescent="0.3">
      <c r="H6644">
        <v>0.5</v>
      </c>
      <c r="I6644" s="11">
        <f t="shared" si="103"/>
        <v>0</v>
      </c>
      <c r="J6644" s="11">
        <f>1/(H6644*Utilities!$B$11)</f>
        <v>8</v>
      </c>
      <c r="K6644" s="11">
        <f>IF(B6644&lt;C6644,1,EXP(-1*(B6644-C6644)/(Utilities!$B$11*IterData!H6644)))</f>
        <v>1</v>
      </c>
    </row>
    <row r="6645" spans="8:11" x14ac:dyDescent="0.3">
      <c r="H6645">
        <v>0.5</v>
      </c>
      <c r="I6645" s="11">
        <f t="shared" si="103"/>
        <v>0</v>
      </c>
      <c r="J6645" s="11">
        <f>1/(H6645*Utilities!$B$11)</f>
        <v>8</v>
      </c>
      <c r="K6645" s="11">
        <f>IF(B6645&lt;C6645,1,EXP(-1*(B6645-C6645)/(Utilities!$B$11*IterData!H6645)))</f>
        <v>1</v>
      </c>
    </row>
    <row r="6646" spans="8:11" x14ac:dyDescent="0.3">
      <c r="H6646">
        <v>0.5</v>
      </c>
      <c r="I6646" s="11">
        <f t="shared" si="103"/>
        <v>0</v>
      </c>
      <c r="J6646" s="11">
        <f>1/(H6646*Utilities!$B$11)</f>
        <v>8</v>
      </c>
      <c r="K6646" s="11">
        <f>IF(B6646&lt;C6646,1,EXP(-1*(B6646-C6646)/(Utilities!$B$11*IterData!H6646)))</f>
        <v>1</v>
      </c>
    </row>
    <row r="6647" spans="8:11" x14ac:dyDescent="0.3">
      <c r="H6647">
        <v>0.5</v>
      </c>
      <c r="I6647" s="11">
        <f t="shared" si="103"/>
        <v>0</v>
      </c>
      <c r="J6647" s="11">
        <f>1/(H6647*Utilities!$B$11)</f>
        <v>8</v>
      </c>
      <c r="K6647" s="11">
        <f>IF(B6647&lt;C6647,1,EXP(-1*(B6647-C6647)/(Utilities!$B$11*IterData!H6647)))</f>
        <v>1</v>
      </c>
    </row>
    <row r="6648" spans="8:11" x14ac:dyDescent="0.3">
      <c r="H6648">
        <v>0.5</v>
      </c>
      <c r="I6648" s="11">
        <f t="shared" si="103"/>
        <v>0</v>
      </c>
      <c r="J6648" s="11">
        <f>1/(H6648*Utilities!$B$11)</f>
        <v>8</v>
      </c>
      <c r="K6648" s="11">
        <f>IF(B6648&lt;C6648,1,EXP(-1*(B6648-C6648)/(Utilities!$B$11*IterData!H6648)))</f>
        <v>1</v>
      </c>
    </row>
    <row r="6649" spans="8:11" x14ac:dyDescent="0.3">
      <c r="H6649">
        <v>0.5</v>
      </c>
      <c r="I6649" s="11">
        <f t="shared" si="103"/>
        <v>0</v>
      </c>
      <c r="J6649" s="11">
        <f>1/(H6649*Utilities!$B$11)</f>
        <v>8</v>
      </c>
      <c r="K6649" s="11">
        <f>IF(B6649&lt;C6649,1,EXP(-1*(B6649-C6649)/(Utilities!$B$11*IterData!H6649)))</f>
        <v>1</v>
      </c>
    </row>
    <row r="6650" spans="8:11" x14ac:dyDescent="0.3">
      <c r="H6650">
        <v>0.5</v>
      </c>
      <c r="I6650" s="11">
        <f t="shared" si="103"/>
        <v>0</v>
      </c>
      <c r="J6650" s="11">
        <f>1/(H6650*Utilities!$B$11)</f>
        <v>8</v>
      </c>
      <c r="K6650" s="11">
        <f>IF(B6650&lt;C6650,1,EXP(-1*(B6650-C6650)/(Utilities!$B$11*IterData!H6650)))</f>
        <v>1</v>
      </c>
    </row>
    <row r="6651" spans="8:11" x14ac:dyDescent="0.3">
      <c r="H6651">
        <v>0.5</v>
      </c>
      <c r="I6651" s="11">
        <f t="shared" si="103"/>
        <v>0</v>
      </c>
      <c r="J6651" s="11">
        <f>1/(H6651*Utilities!$B$11)</f>
        <v>8</v>
      </c>
      <c r="K6651" s="11">
        <f>IF(B6651&lt;C6651,1,EXP(-1*(B6651-C6651)/(Utilities!$B$11*IterData!H6651)))</f>
        <v>1</v>
      </c>
    </row>
    <row r="6652" spans="8:11" x14ac:dyDescent="0.3">
      <c r="H6652">
        <v>0.5</v>
      </c>
      <c r="I6652" s="11">
        <f t="shared" si="103"/>
        <v>0</v>
      </c>
      <c r="J6652" s="11">
        <f>1/(H6652*Utilities!$B$11)</f>
        <v>8</v>
      </c>
      <c r="K6652" s="11">
        <f>IF(B6652&lt;C6652,1,EXP(-1*(B6652-C6652)/(Utilities!$B$11*IterData!H6652)))</f>
        <v>1</v>
      </c>
    </row>
    <row r="6653" spans="8:11" x14ac:dyDescent="0.3">
      <c r="H6653">
        <v>0.5</v>
      </c>
      <c r="I6653" s="11">
        <f t="shared" si="103"/>
        <v>0</v>
      </c>
      <c r="J6653" s="11">
        <f>1/(H6653*Utilities!$B$11)</f>
        <v>8</v>
      </c>
      <c r="K6653" s="11">
        <f>IF(B6653&lt;C6653,1,EXP(-1*(B6653-C6653)/(Utilities!$B$11*IterData!H6653)))</f>
        <v>1</v>
      </c>
    </row>
    <row r="6654" spans="8:11" x14ac:dyDescent="0.3">
      <c r="H6654">
        <v>0.5</v>
      </c>
      <c r="I6654" s="11">
        <f t="shared" si="103"/>
        <v>0</v>
      </c>
      <c r="J6654" s="11">
        <f>1/(H6654*Utilities!$B$11)</f>
        <v>8</v>
      </c>
      <c r="K6654" s="11">
        <f>IF(B6654&lt;C6654,1,EXP(-1*(B6654-C6654)/(Utilities!$B$11*IterData!H6654)))</f>
        <v>1</v>
      </c>
    </row>
    <row r="6655" spans="8:11" x14ac:dyDescent="0.3">
      <c r="H6655">
        <v>0.5</v>
      </c>
      <c r="I6655" s="11">
        <f t="shared" si="103"/>
        <v>0</v>
      </c>
      <c r="J6655" s="11">
        <f>1/(H6655*Utilities!$B$11)</f>
        <v>8</v>
      </c>
      <c r="K6655" s="11">
        <f>IF(B6655&lt;C6655,1,EXP(-1*(B6655-C6655)/(Utilities!$B$11*IterData!H6655)))</f>
        <v>1</v>
      </c>
    </row>
    <row r="6656" spans="8:11" x14ac:dyDescent="0.3">
      <c r="H6656">
        <v>0.5</v>
      </c>
      <c r="I6656" s="11">
        <f t="shared" si="103"/>
        <v>0</v>
      </c>
      <c r="J6656" s="11">
        <f>1/(H6656*Utilities!$B$11)</f>
        <v>8</v>
      </c>
      <c r="K6656" s="11">
        <f>IF(B6656&lt;C6656,1,EXP(-1*(B6656-C6656)/(Utilities!$B$11*IterData!H6656)))</f>
        <v>1</v>
      </c>
    </row>
    <row r="6657" spans="8:11" x14ac:dyDescent="0.3">
      <c r="H6657">
        <v>0.5</v>
      </c>
      <c r="I6657" s="11">
        <f t="shared" si="103"/>
        <v>0</v>
      </c>
      <c r="J6657" s="11">
        <f>1/(H6657*Utilities!$B$11)</f>
        <v>8</v>
      </c>
      <c r="K6657" s="11">
        <f>IF(B6657&lt;C6657,1,EXP(-1*(B6657-C6657)/(Utilities!$B$11*IterData!H6657)))</f>
        <v>1</v>
      </c>
    </row>
    <row r="6658" spans="8:11" x14ac:dyDescent="0.3">
      <c r="H6658">
        <v>0.5</v>
      </c>
      <c r="I6658" s="11">
        <f t="shared" si="103"/>
        <v>0</v>
      </c>
      <c r="J6658" s="11">
        <f>1/(H6658*Utilities!$B$11)</f>
        <v>8</v>
      </c>
      <c r="K6658" s="11">
        <f>IF(B6658&lt;C6658,1,EXP(-1*(B6658-C6658)/(Utilities!$B$11*IterData!H6658)))</f>
        <v>1</v>
      </c>
    </row>
    <row r="6659" spans="8:11" x14ac:dyDescent="0.3">
      <c r="H6659">
        <v>0.5</v>
      </c>
      <c r="I6659" s="11">
        <f t="shared" ref="I6659:I6722" si="104">B6659-C6659</f>
        <v>0</v>
      </c>
      <c r="J6659" s="11">
        <f>1/(H6659*Utilities!$B$11)</f>
        <v>8</v>
      </c>
      <c r="K6659" s="11">
        <f>IF(B6659&lt;C6659,1,EXP(-1*(B6659-C6659)/(Utilities!$B$11*IterData!H6659)))</f>
        <v>1</v>
      </c>
    </row>
    <row r="6660" spans="8:11" x14ac:dyDescent="0.3">
      <c r="H6660">
        <v>0.5</v>
      </c>
      <c r="I6660" s="11">
        <f t="shared" si="104"/>
        <v>0</v>
      </c>
      <c r="J6660" s="11">
        <f>1/(H6660*Utilities!$B$11)</f>
        <v>8</v>
      </c>
      <c r="K6660" s="11">
        <f>IF(B6660&lt;C6660,1,EXP(-1*(B6660-C6660)/(Utilities!$B$11*IterData!H6660)))</f>
        <v>1</v>
      </c>
    </row>
    <row r="6661" spans="8:11" x14ac:dyDescent="0.3">
      <c r="H6661">
        <v>0.5</v>
      </c>
      <c r="I6661" s="11">
        <f t="shared" si="104"/>
        <v>0</v>
      </c>
      <c r="J6661" s="11">
        <f>1/(H6661*Utilities!$B$11)</f>
        <v>8</v>
      </c>
      <c r="K6661" s="11">
        <f>IF(B6661&lt;C6661,1,EXP(-1*(B6661-C6661)/(Utilities!$B$11*IterData!H6661)))</f>
        <v>1</v>
      </c>
    </row>
    <row r="6662" spans="8:11" x14ac:dyDescent="0.3">
      <c r="H6662">
        <v>0.5</v>
      </c>
      <c r="I6662" s="11">
        <f t="shared" si="104"/>
        <v>0</v>
      </c>
      <c r="J6662" s="11">
        <f>1/(H6662*Utilities!$B$11)</f>
        <v>8</v>
      </c>
      <c r="K6662" s="11">
        <f>IF(B6662&lt;C6662,1,EXP(-1*(B6662-C6662)/(Utilities!$B$11*IterData!H6662)))</f>
        <v>1</v>
      </c>
    </row>
    <row r="6663" spans="8:11" x14ac:dyDescent="0.3">
      <c r="H6663">
        <v>0.5</v>
      </c>
      <c r="I6663" s="11">
        <f t="shared" si="104"/>
        <v>0</v>
      </c>
      <c r="J6663" s="11">
        <f>1/(H6663*Utilities!$B$11)</f>
        <v>8</v>
      </c>
      <c r="K6663" s="11">
        <f>IF(B6663&lt;C6663,1,EXP(-1*(B6663-C6663)/(Utilities!$B$11*IterData!H6663)))</f>
        <v>1</v>
      </c>
    </row>
    <row r="6664" spans="8:11" x14ac:dyDescent="0.3">
      <c r="H6664">
        <v>0.5</v>
      </c>
      <c r="I6664" s="11">
        <f t="shared" si="104"/>
        <v>0</v>
      </c>
      <c r="J6664" s="11">
        <f>1/(H6664*Utilities!$B$11)</f>
        <v>8</v>
      </c>
      <c r="K6664" s="11">
        <f>IF(B6664&lt;C6664,1,EXP(-1*(B6664-C6664)/(Utilities!$B$11*IterData!H6664)))</f>
        <v>1</v>
      </c>
    </row>
    <row r="6665" spans="8:11" x14ac:dyDescent="0.3">
      <c r="H6665">
        <v>0.5</v>
      </c>
      <c r="I6665" s="11">
        <f t="shared" si="104"/>
        <v>0</v>
      </c>
      <c r="J6665" s="11">
        <f>1/(H6665*Utilities!$B$11)</f>
        <v>8</v>
      </c>
      <c r="K6665" s="11">
        <f>IF(B6665&lt;C6665,1,EXP(-1*(B6665-C6665)/(Utilities!$B$11*IterData!H6665)))</f>
        <v>1</v>
      </c>
    </row>
    <row r="6666" spans="8:11" x14ac:dyDescent="0.3">
      <c r="H6666">
        <v>0.5</v>
      </c>
      <c r="I6666" s="11">
        <f t="shared" si="104"/>
        <v>0</v>
      </c>
      <c r="J6666" s="11">
        <f>1/(H6666*Utilities!$B$11)</f>
        <v>8</v>
      </c>
      <c r="K6666" s="11">
        <f>IF(B6666&lt;C6666,1,EXP(-1*(B6666-C6666)/(Utilities!$B$11*IterData!H6666)))</f>
        <v>1</v>
      </c>
    </row>
    <row r="6667" spans="8:11" x14ac:dyDescent="0.3">
      <c r="H6667">
        <v>0.5</v>
      </c>
      <c r="I6667" s="11">
        <f t="shared" si="104"/>
        <v>0</v>
      </c>
      <c r="J6667" s="11">
        <f>1/(H6667*Utilities!$B$11)</f>
        <v>8</v>
      </c>
      <c r="K6667" s="11">
        <f>IF(B6667&lt;C6667,1,EXP(-1*(B6667-C6667)/(Utilities!$B$11*IterData!H6667)))</f>
        <v>1</v>
      </c>
    </row>
    <row r="6668" spans="8:11" x14ac:dyDescent="0.3">
      <c r="H6668">
        <v>0.5</v>
      </c>
      <c r="I6668" s="11">
        <f t="shared" si="104"/>
        <v>0</v>
      </c>
      <c r="J6668" s="11">
        <f>1/(H6668*Utilities!$B$11)</f>
        <v>8</v>
      </c>
      <c r="K6668" s="11">
        <f>IF(B6668&lt;C6668,1,EXP(-1*(B6668-C6668)/(Utilities!$B$11*IterData!H6668)))</f>
        <v>1</v>
      </c>
    </row>
    <row r="6669" spans="8:11" x14ac:dyDescent="0.3">
      <c r="H6669">
        <v>0.5</v>
      </c>
      <c r="I6669" s="11">
        <f t="shared" si="104"/>
        <v>0</v>
      </c>
      <c r="J6669" s="11">
        <f>1/(H6669*Utilities!$B$11)</f>
        <v>8</v>
      </c>
      <c r="K6669" s="11">
        <f>IF(B6669&lt;C6669,1,EXP(-1*(B6669-C6669)/(Utilities!$B$11*IterData!H6669)))</f>
        <v>1</v>
      </c>
    </row>
    <row r="6670" spans="8:11" x14ac:dyDescent="0.3">
      <c r="H6670">
        <v>0.5</v>
      </c>
      <c r="I6670" s="11">
        <f t="shared" si="104"/>
        <v>0</v>
      </c>
      <c r="J6670" s="11">
        <f>1/(H6670*Utilities!$B$11)</f>
        <v>8</v>
      </c>
      <c r="K6670" s="11">
        <f>IF(B6670&lt;C6670,1,EXP(-1*(B6670-C6670)/(Utilities!$B$11*IterData!H6670)))</f>
        <v>1</v>
      </c>
    </row>
    <row r="6671" spans="8:11" x14ac:dyDescent="0.3">
      <c r="H6671">
        <v>0.5</v>
      </c>
      <c r="I6671" s="11">
        <f t="shared" si="104"/>
        <v>0</v>
      </c>
      <c r="J6671" s="11">
        <f>1/(H6671*Utilities!$B$11)</f>
        <v>8</v>
      </c>
      <c r="K6671" s="11">
        <f>IF(B6671&lt;C6671,1,EXP(-1*(B6671-C6671)/(Utilities!$B$11*IterData!H6671)))</f>
        <v>1</v>
      </c>
    </row>
    <row r="6672" spans="8:11" x14ac:dyDescent="0.3">
      <c r="H6672">
        <v>0.5</v>
      </c>
      <c r="I6672" s="11">
        <f t="shared" si="104"/>
        <v>0</v>
      </c>
      <c r="J6672" s="11">
        <f>1/(H6672*Utilities!$B$11)</f>
        <v>8</v>
      </c>
      <c r="K6672" s="11">
        <f>IF(B6672&lt;C6672,1,EXP(-1*(B6672-C6672)/(Utilities!$B$11*IterData!H6672)))</f>
        <v>1</v>
      </c>
    </row>
    <row r="6673" spans="8:11" x14ac:dyDescent="0.3">
      <c r="H6673">
        <v>0.5</v>
      </c>
      <c r="I6673" s="11">
        <f t="shared" si="104"/>
        <v>0</v>
      </c>
      <c r="J6673" s="11">
        <f>1/(H6673*Utilities!$B$11)</f>
        <v>8</v>
      </c>
      <c r="K6673" s="11">
        <f>IF(B6673&lt;C6673,1,EXP(-1*(B6673-C6673)/(Utilities!$B$11*IterData!H6673)))</f>
        <v>1</v>
      </c>
    </row>
    <row r="6674" spans="8:11" x14ac:dyDescent="0.3">
      <c r="H6674">
        <v>0.5</v>
      </c>
      <c r="I6674" s="11">
        <f t="shared" si="104"/>
        <v>0</v>
      </c>
      <c r="J6674" s="11">
        <f>1/(H6674*Utilities!$B$11)</f>
        <v>8</v>
      </c>
      <c r="K6674" s="11">
        <f>IF(B6674&lt;C6674,1,EXP(-1*(B6674-C6674)/(Utilities!$B$11*IterData!H6674)))</f>
        <v>1</v>
      </c>
    </row>
    <row r="6675" spans="8:11" x14ac:dyDescent="0.3">
      <c r="H6675">
        <v>0.5</v>
      </c>
      <c r="I6675" s="11">
        <f t="shared" si="104"/>
        <v>0</v>
      </c>
      <c r="J6675" s="11">
        <f>1/(H6675*Utilities!$B$11)</f>
        <v>8</v>
      </c>
      <c r="K6675" s="11">
        <f>IF(B6675&lt;C6675,1,EXP(-1*(B6675-C6675)/(Utilities!$B$11*IterData!H6675)))</f>
        <v>1</v>
      </c>
    </row>
    <row r="6676" spans="8:11" x14ac:dyDescent="0.3">
      <c r="H6676">
        <v>0.5</v>
      </c>
      <c r="I6676" s="11">
        <f t="shared" si="104"/>
        <v>0</v>
      </c>
      <c r="J6676" s="11">
        <f>1/(H6676*Utilities!$B$11)</f>
        <v>8</v>
      </c>
      <c r="K6676" s="11">
        <f>IF(B6676&lt;C6676,1,EXP(-1*(B6676-C6676)/(Utilities!$B$11*IterData!H6676)))</f>
        <v>1</v>
      </c>
    </row>
    <row r="6677" spans="8:11" x14ac:dyDescent="0.3">
      <c r="H6677">
        <v>0.5</v>
      </c>
      <c r="I6677" s="11">
        <f t="shared" si="104"/>
        <v>0</v>
      </c>
      <c r="J6677" s="11">
        <f>1/(H6677*Utilities!$B$11)</f>
        <v>8</v>
      </c>
      <c r="K6677" s="11">
        <f>IF(B6677&lt;C6677,1,EXP(-1*(B6677-C6677)/(Utilities!$B$11*IterData!H6677)))</f>
        <v>1</v>
      </c>
    </row>
    <row r="6678" spans="8:11" x14ac:dyDescent="0.3">
      <c r="H6678">
        <v>0.5</v>
      </c>
      <c r="I6678" s="11">
        <f t="shared" si="104"/>
        <v>0</v>
      </c>
      <c r="J6678" s="11">
        <f>1/(H6678*Utilities!$B$11)</f>
        <v>8</v>
      </c>
      <c r="K6678" s="11">
        <f>IF(B6678&lt;C6678,1,EXP(-1*(B6678-C6678)/(Utilities!$B$11*IterData!H6678)))</f>
        <v>1</v>
      </c>
    </row>
    <row r="6679" spans="8:11" x14ac:dyDescent="0.3">
      <c r="H6679">
        <v>0.5</v>
      </c>
      <c r="I6679" s="11">
        <f t="shared" si="104"/>
        <v>0</v>
      </c>
      <c r="J6679" s="11">
        <f>1/(H6679*Utilities!$B$11)</f>
        <v>8</v>
      </c>
      <c r="K6679" s="11">
        <f>IF(B6679&lt;C6679,1,EXP(-1*(B6679-C6679)/(Utilities!$B$11*IterData!H6679)))</f>
        <v>1</v>
      </c>
    </row>
    <row r="6680" spans="8:11" x14ac:dyDescent="0.3">
      <c r="H6680">
        <v>0.5</v>
      </c>
      <c r="I6680" s="11">
        <f t="shared" si="104"/>
        <v>0</v>
      </c>
      <c r="J6680" s="11">
        <f>1/(H6680*Utilities!$B$11)</f>
        <v>8</v>
      </c>
      <c r="K6680" s="11">
        <f>IF(B6680&lt;C6680,1,EXP(-1*(B6680-C6680)/(Utilities!$B$11*IterData!H6680)))</f>
        <v>1</v>
      </c>
    </row>
    <row r="6681" spans="8:11" x14ac:dyDescent="0.3">
      <c r="H6681">
        <v>0.5</v>
      </c>
      <c r="I6681" s="11">
        <f t="shared" si="104"/>
        <v>0</v>
      </c>
      <c r="J6681" s="11">
        <f>1/(H6681*Utilities!$B$11)</f>
        <v>8</v>
      </c>
      <c r="K6681" s="11">
        <f>IF(B6681&lt;C6681,1,EXP(-1*(B6681-C6681)/(Utilities!$B$11*IterData!H6681)))</f>
        <v>1</v>
      </c>
    </row>
    <row r="6682" spans="8:11" x14ac:dyDescent="0.3">
      <c r="H6682">
        <v>0.5</v>
      </c>
      <c r="I6682" s="11">
        <f t="shared" si="104"/>
        <v>0</v>
      </c>
      <c r="J6682" s="11">
        <f>1/(H6682*Utilities!$B$11)</f>
        <v>8</v>
      </c>
      <c r="K6682" s="11">
        <f>IF(B6682&lt;C6682,1,EXP(-1*(B6682-C6682)/(Utilities!$B$11*IterData!H6682)))</f>
        <v>1</v>
      </c>
    </row>
    <row r="6683" spans="8:11" x14ac:dyDescent="0.3">
      <c r="H6683">
        <v>0.5</v>
      </c>
      <c r="I6683" s="11">
        <f t="shared" si="104"/>
        <v>0</v>
      </c>
      <c r="J6683" s="11">
        <f>1/(H6683*Utilities!$B$11)</f>
        <v>8</v>
      </c>
      <c r="K6683" s="11">
        <f>IF(B6683&lt;C6683,1,EXP(-1*(B6683-C6683)/(Utilities!$B$11*IterData!H6683)))</f>
        <v>1</v>
      </c>
    </row>
    <row r="6684" spans="8:11" x14ac:dyDescent="0.3">
      <c r="H6684">
        <v>0.5</v>
      </c>
      <c r="I6684" s="11">
        <f t="shared" si="104"/>
        <v>0</v>
      </c>
      <c r="J6684" s="11">
        <f>1/(H6684*Utilities!$B$11)</f>
        <v>8</v>
      </c>
      <c r="K6684" s="11">
        <f>IF(B6684&lt;C6684,1,EXP(-1*(B6684-C6684)/(Utilities!$B$11*IterData!H6684)))</f>
        <v>1</v>
      </c>
    </row>
    <row r="6685" spans="8:11" x14ac:dyDescent="0.3">
      <c r="H6685">
        <v>0.5</v>
      </c>
      <c r="I6685" s="11">
        <f t="shared" si="104"/>
        <v>0</v>
      </c>
      <c r="J6685" s="11">
        <f>1/(H6685*Utilities!$B$11)</f>
        <v>8</v>
      </c>
      <c r="K6685" s="11">
        <f>IF(B6685&lt;C6685,1,EXP(-1*(B6685-C6685)/(Utilities!$B$11*IterData!H6685)))</f>
        <v>1</v>
      </c>
    </row>
    <row r="6686" spans="8:11" x14ac:dyDescent="0.3">
      <c r="H6686">
        <v>0.5</v>
      </c>
      <c r="I6686" s="11">
        <f t="shared" si="104"/>
        <v>0</v>
      </c>
      <c r="J6686" s="11">
        <f>1/(H6686*Utilities!$B$11)</f>
        <v>8</v>
      </c>
      <c r="K6686" s="11">
        <f>IF(B6686&lt;C6686,1,EXP(-1*(B6686-C6686)/(Utilities!$B$11*IterData!H6686)))</f>
        <v>1</v>
      </c>
    </row>
    <row r="6687" spans="8:11" x14ac:dyDescent="0.3">
      <c r="H6687">
        <v>0.5</v>
      </c>
      <c r="I6687" s="11">
        <f t="shared" si="104"/>
        <v>0</v>
      </c>
      <c r="J6687" s="11">
        <f>1/(H6687*Utilities!$B$11)</f>
        <v>8</v>
      </c>
      <c r="K6687" s="11">
        <f>IF(B6687&lt;C6687,1,EXP(-1*(B6687-C6687)/(Utilities!$B$11*IterData!H6687)))</f>
        <v>1</v>
      </c>
    </row>
    <row r="6688" spans="8:11" x14ac:dyDescent="0.3">
      <c r="H6688">
        <v>0.5</v>
      </c>
      <c r="I6688" s="11">
        <f t="shared" si="104"/>
        <v>0</v>
      </c>
      <c r="J6688" s="11">
        <f>1/(H6688*Utilities!$B$11)</f>
        <v>8</v>
      </c>
      <c r="K6688" s="11">
        <f>IF(B6688&lt;C6688,1,EXP(-1*(B6688-C6688)/(Utilities!$B$11*IterData!H6688)))</f>
        <v>1</v>
      </c>
    </row>
    <row r="6689" spans="8:11" x14ac:dyDescent="0.3">
      <c r="H6689">
        <v>0.5</v>
      </c>
      <c r="I6689" s="11">
        <f t="shared" si="104"/>
        <v>0</v>
      </c>
      <c r="J6689" s="11">
        <f>1/(H6689*Utilities!$B$11)</f>
        <v>8</v>
      </c>
      <c r="K6689" s="11">
        <f>IF(B6689&lt;C6689,1,EXP(-1*(B6689-C6689)/(Utilities!$B$11*IterData!H6689)))</f>
        <v>1</v>
      </c>
    </row>
    <row r="6690" spans="8:11" x14ac:dyDescent="0.3">
      <c r="H6690">
        <v>0.5</v>
      </c>
      <c r="I6690" s="11">
        <f t="shared" si="104"/>
        <v>0</v>
      </c>
      <c r="J6690" s="11">
        <f>1/(H6690*Utilities!$B$11)</f>
        <v>8</v>
      </c>
      <c r="K6690" s="11">
        <f>IF(B6690&lt;C6690,1,EXP(-1*(B6690-C6690)/(Utilities!$B$11*IterData!H6690)))</f>
        <v>1</v>
      </c>
    </row>
    <row r="6691" spans="8:11" x14ac:dyDescent="0.3">
      <c r="H6691">
        <v>0.5</v>
      </c>
      <c r="I6691" s="11">
        <f t="shared" si="104"/>
        <v>0</v>
      </c>
      <c r="J6691" s="11">
        <f>1/(H6691*Utilities!$B$11)</f>
        <v>8</v>
      </c>
      <c r="K6691" s="11">
        <f>IF(B6691&lt;C6691,1,EXP(-1*(B6691-C6691)/(Utilities!$B$11*IterData!H6691)))</f>
        <v>1</v>
      </c>
    </row>
    <row r="6692" spans="8:11" x14ac:dyDescent="0.3">
      <c r="H6692">
        <v>0.5</v>
      </c>
      <c r="I6692" s="11">
        <f t="shared" si="104"/>
        <v>0</v>
      </c>
      <c r="J6692" s="11">
        <f>1/(H6692*Utilities!$B$11)</f>
        <v>8</v>
      </c>
      <c r="K6692" s="11">
        <f>IF(B6692&lt;C6692,1,EXP(-1*(B6692-C6692)/(Utilities!$B$11*IterData!H6692)))</f>
        <v>1</v>
      </c>
    </row>
    <row r="6693" spans="8:11" x14ac:dyDescent="0.3">
      <c r="H6693">
        <v>0.5</v>
      </c>
      <c r="I6693" s="11">
        <f t="shared" si="104"/>
        <v>0</v>
      </c>
      <c r="J6693" s="11">
        <f>1/(H6693*Utilities!$B$11)</f>
        <v>8</v>
      </c>
      <c r="K6693" s="11">
        <f>IF(B6693&lt;C6693,1,EXP(-1*(B6693-C6693)/(Utilities!$B$11*IterData!H6693)))</f>
        <v>1</v>
      </c>
    </row>
    <row r="6694" spans="8:11" x14ac:dyDescent="0.3">
      <c r="H6694">
        <v>0.5</v>
      </c>
      <c r="I6694" s="11">
        <f t="shared" si="104"/>
        <v>0</v>
      </c>
      <c r="J6694" s="11">
        <f>1/(H6694*Utilities!$B$11)</f>
        <v>8</v>
      </c>
      <c r="K6694" s="11">
        <f>IF(B6694&lt;C6694,1,EXP(-1*(B6694-C6694)/(Utilities!$B$11*IterData!H6694)))</f>
        <v>1</v>
      </c>
    </row>
    <row r="6695" spans="8:11" x14ac:dyDescent="0.3">
      <c r="H6695">
        <v>0.5</v>
      </c>
      <c r="I6695" s="11">
        <f t="shared" si="104"/>
        <v>0</v>
      </c>
      <c r="J6695" s="11">
        <f>1/(H6695*Utilities!$B$11)</f>
        <v>8</v>
      </c>
      <c r="K6695" s="11">
        <f>IF(B6695&lt;C6695,1,EXP(-1*(B6695-C6695)/(Utilities!$B$11*IterData!H6695)))</f>
        <v>1</v>
      </c>
    </row>
    <row r="6696" spans="8:11" x14ac:dyDescent="0.3">
      <c r="H6696">
        <v>0.5</v>
      </c>
      <c r="I6696" s="11">
        <f t="shared" si="104"/>
        <v>0</v>
      </c>
      <c r="J6696" s="11">
        <f>1/(H6696*Utilities!$B$11)</f>
        <v>8</v>
      </c>
      <c r="K6696" s="11">
        <f>IF(B6696&lt;C6696,1,EXP(-1*(B6696-C6696)/(Utilities!$B$11*IterData!H6696)))</f>
        <v>1</v>
      </c>
    </row>
    <row r="6697" spans="8:11" x14ac:dyDescent="0.3">
      <c r="H6697">
        <v>0.5</v>
      </c>
      <c r="I6697" s="11">
        <f t="shared" si="104"/>
        <v>0</v>
      </c>
      <c r="J6697" s="11">
        <f>1/(H6697*Utilities!$B$11)</f>
        <v>8</v>
      </c>
      <c r="K6697" s="11">
        <f>IF(B6697&lt;C6697,1,EXP(-1*(B6697-C6697)/(Utilities!$B$11*IterData!H6697)))</f>
        <v>1</v>
      </c>
    </row>
    <row r="6698" spans="8:11" x14ac:dyDescent="0.3">
      <c r="H6698">
        <v>0.5</v>
      </c>
      <c r="I6698" s="11">
        <f t="shared" si="104"/>
        <v>0</v>
      </c>
      <c r="J6698" s="11">
        <f>1/(H6698*Utilities!$B$11)</f>
        <v>8</v>
      </c>
      <c r="K6698" s="11">
        <f>IF(B6698&lt;C6698,1,EXP(-1*(B6698-C6698)/(Utilities!$B$11*IterData!H6698)))</f>
        <v>1</v>
      </c>
    </row>
    <row r="6699" spans="8:11" x14ac:dyDescent="0.3">
      <c r="H6699">
        <v>0.5</v>
      </c>
      <c r="I6699" s="11">
        <f t="shared" si="104"/>
        <v>0</v>
      </c>
      <c r="J6699" s="11">
        <f>1/(H6699*Utilities!$B$11)</f>
        <v>8</v>
      </c>
      <c r="K6699" s="11">
        <f>IF(B6699&lt;C6699,1,EXP(-1*(B6699-C6699)/(Utilities!$B$11*IterData!H6699)))</f>
        <v>1</v>
      </c>
    </row>
    <row r="6700" spans="8:11" x14ac:dyDescent="0.3">
      <c r="H6700">
        <v>0.5</v>
      </c>
      <c r="I6700" s="11">
        <f t="shared" si="104"/>
        <v>0</v>
      </c>
      <c r="J6700" s="11">
        <f>1/(H6700*Utilities!$B$11)</f>
        <v>8</v>
      </c>
      <c r="K6700" s="11">
        <f>IF(B6700&lt;C6700,1,EXP(-1*(B6700-C6700)/(Utilities!$B$11*IterData!H6700)))</f>
        <v>1</v>
      </c>
    </row>
    <row r="6701" spans="8:11" x14ac:dyDescent="0.3">
      <c r="H6701">
        <v>0.5</v>
      </c>
      <c r="I6701" s="11">
        <f t="shared" si="104"/>
        <v>0</v>
      </c>
      <c r="J6701" s="11">
        <f>1/(H6701*Utilities!$B$11)</f>
        <v>8</v>
      </c>
      <c r="K6701" s="11">
        <f>IF(B6701&lt;C6701,1,EXP(-1*(B6701-C6701)/(Utilities!$B$11*IterData!H6701)))</f>
        <v>1</v>
      </c>
    </row>
    <row r="6702" spans="8:11" x14ac:dyDescent="0.3">
      <c r="H6702">
        <v>0.5</v>
      </c>
      <c r="I6702" s="11">
        <f t="shared" si="104"/>
        <v>0</v>
      </c>
      <c r="J6702" s="11">
        <f>1/(H6702*Utilities!$B$11)</f>
        <v>8</v>
      </c>
      <c r="K6702" s="11">
        <f>IF(B6702&lt;C6702,1,EXP(-1*(B6702-C6702)/(Utilities!$B$11*IterData!H6702)))</f>
        <v>1</v>
      </c>
    </row>
    <row r="6703" spans="8:11" x14ac:dyDescent="0.3">
      <c r="H6703">
        <v>0.5</v>
      </c>
      <c r="I6703" s="11">
        <f t="shared" si="104"/>
        <v>0</v>
      </c>
      <c r="J6703" s="11">
        <f>1/(H6703*Utilities!$B$11)</f>
        <v>8</v>
      </c>
      <c r="K6703" s="11">
        <f>IF(B6703&lt;C6703,1,EXP(-1*(B6703-C6703)/(Utilities!$B$11*IterData!H6703)))</f>
        <v>1</v>
      </c>
    </row>
    <row r="6704" spans="8:11" x14ac:dyDescent="0.3">
      <c r="H6704">
        <v>0.5</v>
      </c>
      <c r="I6704" s="11">
        <f t="shared" si="104"/>
        <v>0</v>
      </c>
      <c r="J6704" s="11">
        <f>1/(H6704*Utilities!$B$11)</f>
        <v>8</v>
      </c>
      <c r="K6704" s="11">
        <f>IF(B6704&lt;C6704,1,EXP(-1*(B6704-C6704)/(Utilities!$B$11*IterData!H6704)))</f>
        <v>1</v>
      </c>
    </row>
    <row r="6705" spans="8:11" x14ac:dyDescent="0.3">
      <c r="H6705">
        <v>0.5</v>
      </c>
      <c r="I6705" s="11">
        <f t="shared" si="104"/>
        <v>0</v>
      </c>
      <c r="J6705" s="11">
        <f>1/(H6705*Utilities!$B$11)</f>
        <v>8</v>
      </c>
      <c r="K6705" s="11">
        <f>IF(B6705&lt;C6705,1,EXP(-1*(B6705-C6705)/(Utilities!$B$11*IterData!H6705)))</f>
        <v>1</v>
      </c>
    </row>
    <row r="6706" spans="8:11" x14ac:dyDescent="0.3">
      <c r="H6706">
        <v>0.5</v>
      </c>
      <c r="I6706" s="11">
        <f t="shared" si="104"/>
        <v>0</v>
      </c>
      <c r="J6706" s="11">
        <f>1/(H6706*Utilities!$B$11)</f>
        <v>8</v>
      </c>
      <c r="K6706" s="11">
        <f>IF(B6706&lt;C6706,1,EXP(-1*(B6706-C6706)/(Utilities!$B$11*IterData!H6706)))</f>
        <v>1</v>
      </c>
    </row>
    <row r="6707" spans="8:11" x14ac:dyDescent="0.3">
      <c r="H6707">
        <v>0.5</v>
      </c>
      <c r="I6707" s="11">
        <f t="shared" si="104"/>
        <v>0</v>
      </c>
      <c r="J6707" s="11">
        <f>1/(H6707*Utilities!$B$11)</f>
        <v>8</v>
      </c>
      <c r="K6707" s="11">
        <f>IF(B6707&lt;C6707,1,EXP(-1*(B6707-C6707)/(Utilities!$B$11*IterData!H6707)))</f>
        <v>1</v>
      </c>
    </row>
    <row r="6708" spans="8:11" x14ac:dyDescent="0.3">
      <c r="H6708">
        <v>0.5</v>
      </c>
      <c r="I6708" s="11">
        <f t="shared" si="104"/>
        <v>0</v>
      </c>
      <c r="J6708" s="11">
        <f>1/(H6708*Utilities!$B$11)</f>
        <v>8</v>
      </c>
      <c r="K6708" s="11">
        <f>IF(B6708&lt;C6708,1,EXP(-1*(B6708-C6708)/(Utilities!$B$11*IterData!H6708)))</f>
        <v>1</v>
      </c>
    </row>
    <row r="6709" spans="8:11" x14ac:dyDescent="0.3">
      <c r="H6709">
        <v>0.5</v>
      </c>
      <c r="I6709" s="11">
        <f t="shared" si="104"/>
        <v>0</v>
      </c>
      <c r="J6709" s="11">
        <f>1/(H6709*Utilities!$B$11)</f>
        <v>8</v>
      </c>
      <c r="K6709" s="11">
        <f>IF(B6709&lt;C6709,1,EXP(-1*(B6709-C6709)/(Utilities!$B$11*IterData!H6709)))</f>
        <v>1</v>
      </c>
    </row>
    <row r="6710" spans="8:11" x14ac:dyDescent="0.3">
      <c r="H6710">
        <v>0.5</v>
      </c>
      <c r="I6710" s="11">
        <f t="shared" si="104"/>
        <v>0</v>
      </c>
      <c r="J6710" s="11">
        <f>1/(H6710*Utilities!$B$11)</f>
        <v>8</v>
      </c>
      <c r="K6710" s="11">
        <f>IF(B6710&lt;C6710,1,EXP(-1*(B6710-C6710)/(Utilities!$B$11*IterData!H6710)))</f>
        <v>1</v>
      </c>
    </row>
    <row r="6711" spans="8:11" x14ac:dyDescent="0.3">
      <c r="H6711">
        <v>0.5</v>
      </c>
      <c r="I6711" s="11">
        <f t="shared" si="104"/>
        <v>0</v>
      </c>
      <c r="J6711" s="11">
        <f>1/(H6711*Utilities!$B$11)</f>
        <v>8</v>
      </c>
      <c r="K6711" s="11">
        <f>IF(B6711&lt;C6711,1,EXP(-1*(B6711-C6711)/(Utilities!$B$11*IterData!H6711)))</f>
        <v>1</v>
      </c>
    </row>
    <row r="6712" spans="8:11" x14ac:dyDescent="0.3">
      <c r="H6712">
        <v>0.5</v>
      </c>
      <c r="I6712" s="11">
        <f t="shared" si="104"/>
        <v>0</v>
      </c>
      <c r="J6712" s="11">
        <f>1/(H6712*Utilities!$B$11)</f>
        <v>8</v>
      </c>
      <c r="K6712" s="11">
        <f>IF(B6712&lt;C6712,1,EXP(-1*(B6712-C6712)/(Utilities!$B$11*IterData!H6712)))</f>
        <v>1</v>
      </c>
    </row>
    <row r="6713" spans="8:11" x14ac:dyDescent="0.3">
      <c r="H6713">
        <v>0.5</v>
      </c>
      <c r="I6713" s="11">
        <f t="shared" si="104"/>
        <v>0</v>
      </c>
      <c r="J6713" s="11">
        <f>1/(H6713*Utilities!$B$11)</f>
        <v>8</v>
      </c>
      <c r="K6713" s="11">
        <f>IF(B6713&lt;C6713,1,EXP(-1*(B6713-C6713)/(Utilities!$B$11*IterData!H6713)))</f>
        <v>1</v>
      </c>
    </row>
    <row r="6714" spans="8:11" x14ac:dyDescent="0.3">
      <c r="H6714">
        <v>0.5</v>
      </c>
      <c r="I6714" s="11">
        <f t="shared" si="104"/>
        <v>0</v>
      </c>
      <c r="J6714" s="11">
        <f>1/(H6714*Utilities!$B$11)</f>
        <v>8</v>
      </c>
      <c r="K6714" s="11">
        <f>IF(B6714&lt;C6714,1,EXP(-1*(B6714-C6714)/(Utilities!$B$11*IterData!H6714)))</f>
        <v>1</v>
      </c>
    </row>
    <row r="6715" spans="8:11" x14ac:dyDescent="0.3">
      <c r="H6715">
        <v>0.5</v>
      </c>
      <c r="I6715" s="11">
        <f t="shared" si="104"/>
        <v>0</v>
      </c>
      <c r="J6715" s="11">
        <f>1/(H6715*Utilities!$B$11)</f>
        <v>8</v>
      </c>
      <c r="K6715" s="11">
        <f>IF(B6715&lt;C6715,1,EXP(-1*(B6715-C6715)/(Utilities!$B$11*IterData!H6715)))</f>
        <v>1</v>
      </c>
    </row>
    <row r="6716" spans="8:11" x14ac:dyDescent="0.3">
      <c r="H6716">
        <v>0.5</v>
      </c>
      <c r="I6716" s="11">
        <f t="shared" si="104"/>
        <v>0</v>
      </c>
      <c r="J6716" s="11">
        <f>1/(H6716*Utilities!$B$11)</f>
        <v>8</v>
      </c>
      <c r="K6716" s="11">
        <f>IF(B6716&lt;C6716,1,EXP(-1*(B6716-C6716)/(Utilities!$B$11*IterData!H6716)))</f>
        <v>1</v>
      </c>
    </row>
    <row r="6717" spans="8:11" x14ac:dyDescent="0.3">
      <c r="H6717">
        <v>0.5</v>
      </c>
      <c r="I6717" s="11">
        <f t="shared" si="104"/>
        <v>0</v>
      </c>
      <c r="J6717" s="11">
        <f>1/(H6717*Utilities!$B$11)</f>
        <v>8</v>
      </c>
      <c r="K6717" s="11">
        <f>IF(B6717&lt;C6717,1,EXP(-1*(B6717-C6717)/(Utilities!$B$11*IterData!H6717)))</f>
        <v>1</v>
      </c>
    </row>
    <row r="6718" spans="8:11" x14ac:dyDescent="0.3">
      <c r="H6718">
        <v>0.5</v>
      </c>
      <c r="I6718" s="11">
        <f t="shared" si="104"/>
        <v>0</v>
      </c>
      <c r="J6718" s="11">
        <f>1/(H6718*Utilities!$B$11)</f>
        <v>8</v>
      </c>
      <c r="K6718" s="11">
        <f>IF(B6718&lt;C6718,1,EXP(-1*(B6718-C6718)/(Utilities!$B$11*IterData!H6718)))</f>
        <v>1</v>
      </c>
    </row>
    <row r="6719" spans="8:11" x14ac:dyDescent="0.3">
      <c r="H6719">
        <v>0.5</v>
      </c>
      <c r="I6719" s="11">
        <f t="shared" si="104"/>
        <v>0</v>
      </c>
      <c r="J6719" s="11">
        <f>1/(H6719*Utilities!$B$11)</f>
        <v>8</v>
      </c>
      <c r="K6719" s="11">
        <f>IF(B6719&lt;C6719,1,EXP(-1*(B6719-C6719)/(Utilities!$B$11*IterData!H6719)))</f>
        <v>1</v>
      </c>
    </row>
    <row r="6720" spans="8:11" x14ac:dyDescent="0.3">
      <c r="H6720">
        <v>0.5</v>
      </c>
      <c r="I6720" s="11">
        <f t="shared" si="104"/>
        <v>0</v>
      </c>
      <c r="J6720" s="11">
        <f>1/(H6720*Utilities!$B$11)</f>
        <v>8</v>
      </c>
      <c r="K6720" s="11">
        <f>IF(B6720&lt;C6720,1,EXP(-1*(B6720-C6720)/(Utilities!$B$11*IterData!H6720)))</f>
        <v>1</v>
      </c>
    </row>
    <row r="6721" spans="8:11" x14ac:dyDescent="0.3">
      <c r="H6721">
        <v>0.5</v>
      </c>
      <c r="I6721" s="11">
        <f t="shared" si="104"/>
        <v>0</v>
      </c>
      <c r="J6721" s="11">
        <f>1/(H6721*Utilities!$B$11)</f>
        <v>8</v>
      </c>
      <c r="K6721" s="11">
        <f>IF(B6721&lt;C6721,1,EXP(-1*(B6721-C6721)/(Utilities!$B$11*IterData!H6721)))</f>
        <v>1</v>
      </c>
    </row>
    <row r="6722" spans="8:11" x14ac:dyDescent="0.3">
      <c r="H6722">
        <v>0.5</v>
      </c>
      <c r="I6722" s="11">
        <f t="shared" si="104"/>
        <v>0</v>
      </c>
      <c r="J6722" s="11">
        <f>1/(H6722*Utilities!$B$11)</f>
        <v>8</v>
      </c>
      <c r="K6722" s="11">
        <f>IF(B6722&lt;C6722,1,EXP(-1*(B6722-C6722)/(Utilities!$B$11*IterData!H6722)))</f>
        <v>1</v>
      </c>
    </row>
    <row r="6723" spans="8:11" x14ac:dyDescent="0.3">
      <c r="H6723">
        <v>0.5</v>
      </c>
      <c r="I6723" s="11">
        <f t="shared" ref="I6723:I6786" si="105">B6723-C6723</f>
        <v>0</v>
      </c>
      <c r="J6723" s="11">
        <f>1/(H6723*Utilities!$B$11)</f>
        <v>8</v>
      </c>
      <c r="K6723" s="11">
        <f>IF(B6723&lt;C6723,1,EXP(-1*(B6723-C6723)/(Utilities!$B$11*IterData!H6723)))</f>
        <v>1</v>
      </c>
    </row>
    <row r="6724" spans="8:11" x14ac:dyDescent="0.3">
      <c r="H6724">
        <v>0.5</v>
      </c>
      <c r="I6724" s="11">
        <f t="shared" si="105"/>
        <v>0</v>
      </c>
      <c r="J6724" s="11">
        <f>1/(H6724*Utilities!$B$11)</f>
        <v>8</v>
      </c>
      <c r="K6724" s="11">
        <f>IF(B6724&lt;C6724,1,EXP(-1*(B6724-C6724)/(Utilities!$B$11*IterData!H6724)))</f>
        <v>1</v>
      </c>
    </row>
    <row r="6725" spans="8:11" x14ac:dyDescent="0.3">
      <c r="H6725">
        <v>0.5</v>
      </c>
      <c r="I6725" s="11">
        <f t="shared" si="105"/>
        <v>0</v>
      </c>
      <c r="J6725" s="11">
        <f>1/(H6725*Utilities!$B$11)</f>
        <v>8</v>
      </c>
      <c r="K6725" s="11">
        <f>IF(B6725&lt;C6725,1,EXP(-1*(B6725-C6725)/(Utilities!$B$11*IterData!H6725)))</f>
        <v>1</v>
      </c>
    </row>
    <row r="6726" spans="8:11" x14ac:dyDescent="0.3">
      <c r="H6726">
        <v>0.5</v>
      </c>
      <c r="I6726" s="11">
        <f t="shared" si="105"/>
        <v>0</v>
      </c>
      <c r="J6726" s="11">
        <f>1/(H6726*Utilities!$B$11)</f>
        <v>8</v>
      </c>
      <c r="K6726" s="11">
        <f>IF(B6726&lt;C6726,1,EXP(-1*(B6726-C6726)/(Utilities!$B$11*IterData!H6726)))</f>
        <v>1</v>
      </c>
    </row>
    <row r="6727" spans="8:11" x14ac:dyDescent="0.3">
      <c r="H6727">
        <v>0.5</v>
      </c>
      <c r="I6727" s="11">
        <f t="shared" si="105"/>
        <v>0</v>
      </c>
      <c r="J6727" s="11">
        <f>1/(H6727*Utilities!$B$11)</f>
        <v>8</v>
      </c>
      <c r="K6727" s="11">
        <f>IF(B6727&lt;C6727,1,EXP(-1*(B6727-C6727)/(Utilities!$B$11*IterData!H6727)))</f>
        <v>1</v>
      </c>
    </row>
    <row r="6728" spans="8:11" x14ac:dyDescent="0.3">
      <c r="H6728">
        <v>0.5</v>
      </c>
      <c r="I6728" s="11">
        <f t="shared" si="105"/>
        <v>0</v>
      </c>
      <c r="J6728" s="11">
        <f>1/(H6728*Utilities!$B$11)</f>
        <v>8</v>
      </c>
      <c r="K6728" s="11">
        <f>IF(B6728&lt;C6728,1,EXP(-1*(B6728-C6728)/(Utilities!$B$11*IterData!H6728)))</f>
        <v>1</v>
      </c>
    </row>
    <row r="6729" spans="8:11" x14ac:dyDescent="0.3">
      <c r="H6729">
        <v>0.5</v>
      </c>
      <c r="I6729" s="11">
        <f t="shared" si="105"/>
        <v>0</v>
      </c>
      <c r="J6729" s="11">
        <f>1/(H6729*Utilities!$B$11)</f>
        <v>8</v>
      </c>
      <c r="K6729" s="11">
        <f>IF(B6729&lt;C6729,1,EXP(-1*(B6729-C6729)/(Utilities!$B$11*IterData!H6729)))</f>
        <v>1</v>
      </c>
    </row>
    <row r="6730" spans="8:11" x14ac:dyDescent="0.3">
      <c r="H6730">
        <v>0.5</v>
      </c>
      <c r="I6730" s="11">
        <f t="shared" si="105"/>
        <v>0</v>
      </c>
      <c r="J6730" s="11">
        <f>1/(H6730*Utilities!$B$11)</f>
        <v>8</v>
      </c>
      <c r="K6730" s="11">
        <f>IF(B6730&lt;C6730,1,EXP(-1*(B6730-C6730)/(Utilities!$B$11*IterData!H6730)))</f>
        <v>1</v>
      </c>
    </row>
    <row r="6731" spans="8:11" x14ac:dyDescent="0.3">
      <c r="H6731">
        <v>0.5</v>
      </c>
      <c r="I6731" s="11">
        <f t="shared" si="105"/>
        <v>0</v>
      </c>
      <c r="J6731" s="11">
        <f>1/(H6731*Utilities!$B$11)</f>
        <v>8</v>
      </c>
      <c r="K6731" s="11">
        <f>IF(B6731&lt;C6731,1,EXP(-1*(B6731-C6731)/(Utilities!$B$11*IterData!H6731)))</f>
        <v>1</v>
      </c>
    </row>
    <row r="6732" spans="8:11" x14ac:dyDescent="0.3">
      <c r="H6732">
        <v>0.5</v>
      </c>
      <c r="I6732" s="11">
        <f t="shared" si="105"/>
        <v>0</v>
      </c>
      <c r="J6732" s="11">
        <f>1/(H6732*Utilities!$B$11)</f>
        <v>8</v>
      </c>
      <c r="K6732" s="11">
        <f>IF(B6732&lt;C6732,1,EXP(-1*(B6732-C6732)/(Utilities!$B$11*IterData!H6732)))</f>
        <v>1</v>
      </c>
    </row>
    <row r="6733" spans="8:11" x14ac:dyDescent="0.3">
      <c r="H6733">
        <v>0.5</v>
      </c>
      <c r="I6733" s="11">
        <f t="shared" si="105"/>
        <v>0</v>
      </c>
      <c r="J6733" s="11">
        <f>1/(H6733*Utilities!$B$11)</f>
        <v>8</v>
      </c>
      <c r="K6733" s="11">
        <f>IF(B6733&lt;C6733,1,EXP(-1*(B6733-C6733)/(Utilities!$B$11*IterData!H6733)))</f>
        <v>1</v>
      </c>
    </row>
    <row r="6734" spans="8:11" x14ac:dyDescent="0.3">
      <c r="H6734">
        <v>0.5</v>
      </c>
      <c r="I6734" s="11">
        <f t="shared" si="105"/>
        <v>0</v>
      </c>
      <c r="J6734" s="11">
        <f>1/(H6734*Utilities!$B$11)</f>
        <v>8</v>
      </c>
      <c r="K6734" s="11">
        <f>IF(B6734&lt;C6734,1,EXP(-1*(B6734-C6734)/(Utilities!$B$11*IterData!H6734)))</f>
        <v>1</v>
      </c>
    </row>
    <row r="6735" spans="8:11" x14ac:dyDescent="0.3">
      <c r="H6735">
        <v>0.5</v>
      </c>
      <c r="I6735" s="11">
        <f t="shared" si="105"/>
        <v>0</v>
      </c>
      <c r="J6735" s="11">
        <f>1/(H6735*Utilities!$B$11)</f>
        <v>8</v>
      </c>
      <c r="K6735" s="11">
        <f>IF(B6735&lt;C6735,1,EXP(-1*(B6735-C6735)/(Utilities!$B$11*IterData!H6735)))</f>
        <v>1</v>
      </c>
    </row>
    <row r="6736" spans="8:11" x14ac:dyDescent="0.3">
      <c r="H6736">
        <v>0.5</v>
      </c>
      <c r="I6736" s="11">
        <f t="shared" si="105"/>
        <v>0</v>
      </c>
      <c r="J6736" s="11">
        <f>1/(H6736*Utilities!$B$11)</f>
        <v>8</v>
      </c>
      <c r="K6736" s="11">
        <f>IF(B6736&lt;C6736,1,EXP(-1*(B6736-C6736)/(Utilities!$B$11*IterData!H6736)))</f>
        <v>1</v>
      </c>
    </row>
    <row r="6737" spans="8:11" x14ac:dyDescent="0.3">
      <c r="H6737">
        <v>0.5</v>
      </c>
      <c r="I6737" s="11">
        <f t="shared" si="105"/>
        <v>0</v>
      </c>
      <c r="J6737" s="11">
        <f>1/(H6737*Utilities!$B$11)</f>
        <v>8</v>
      </c>
      <c r="K6737" s="11">
        <f>IF(B6737&lt;C6737,1,EXP(-1*(B6737-C6737)/(Utilities!$B$11*IterData!H6737)))</f>
        <v>1</v>
      </c>
    </row>
    <row r="6738" spans="8:11" x14ac:dyDescent="0.3">
      <c r="H6738">
        <v>0.5</v>
      </c>
      <c r="I6738" s="11">
        <f t="shared" si="105"/>
        <v>0</v>
      </c>
      <c r="J6738" s="11">
        <f>1/(H6738*Utilities!$B$11)</f>
        <v>8</v>
      </c>
      <c r="K6738" s="11">
        <f>IF(B6738&lt;C6738,1,EXP(-1*(B6738-C6738)/(Utilities!$B$11*IterData!H6738)))</f>
        <v>1</v>
      </c>
    </row>
    <row r="6739" spans="8:11" x14ac:dyDescent="0.3">
      <c r="H6739">
        <v>0.5</v>
      </c>
      <c r="I6739" s="11">
        <f t="shared" si="105"/>
        <v>0</v>
      </c>
      <c r="J6739" s="11">
        <f>1/(H6739*Utilities!$B$11)</f>
        <v>8</v>
      </c>
      <c r="K6739" s="11">
        <f>IF(B6739&lt;C6739,1,EXP(-1*(B6739-C6739)/(Utilities!$B$11*IterData!H6739)))</f>
        <v>1</v>
      </c>
    </row>
    <row r="6740" spans="8:11" x14ac:dyDescent="0.3">
      <c r="H6740">
        <v>0.5</v>
      </c>
      <c r="I6740" s="11">
        <f t="shared" si="105"/>
        <v>0</v>
      </c>
      <c r="J6740" s="11">
        <f>1/(H6740*Utilities!$B$11)</f>
        <v>8</v>
      </c>
      <c r="K6740" s="11">
        <f>IF(B6740&lt;C6740,1,EXP(-1*(B6740-C6740)/(Utilities!$B$11*IterData!H6740)))</f>
        <v>1</v>
      </c>
    </row>
    <row r="6741" spans="8:11" x14ac:dyDescent="0.3">
      <c r="H6741">
        <v>0.5</v>
      </c>
      <c r="I6741" s="11">
        <f t="shared" si="105"/>
        <v>0</v>
      </c>
      <c r="J6741" s="11">
        <f>1/(H6741*Utilities!$B$11)</f>
        <v>8</v>
      </c>
      <c r="K6741" s="11">
        <f>IF(B6741&lt;C6741,1,EXP(-1*(B6741-C6741)/(Utilities!$B$11*IterData!H6741)))</f>
        <v>1</v>
      </c>
    </row>
    <row r="6742" spans="8:11" x14ac:dyDescent="0.3">
      <c r="H6742">
        <v>0.5</v>
      </c>
      <c r="I6742" s="11">
        <f t="shared" si="105"/>
        <v>0</v>
      </c>
      <c r="J6742" s="11">
        <f>1/(H6742*Utilities!$B$11)</f>
        <v>8</v>
      </c>
      <c r="K6742" s="11">
        <f>IF(B6742&lt;C6742,1,EXP(-1*(B6742-C6742)/(Utilities!$B$11*IterData!H6742)))</f>
        <v>1</v>
      </c>
    </row>
    <row r="6743" spans="8:11" x14ac:dyDescent="0.3">
      <c r="H6743">
        <v>0.5</v>
      </c>
      <c r="I6743" s="11">
        <f t="shared" si="105"/>
        <v>0</v>
      </c>
      <c r="J6743" s="11">
        <f>1/(H6743*Utilities!$B$11)</f>
        <v>8</v>
      </c>
      <c r="K6743" s="11">
        <f>IF(B6743&lt;C6743,1,EXP(-1*(B6743-C6743)/(Utilities!$B$11*IterData!H6743)))</f>
        <v>1</v>
      </c>
    </row>
    <row r="6744" spans="8:11" x14ac:dyDescent="0.3">
      <c r="H6744">
        <v>0.5</v>
      </c>
      <c r="I6744" s="11">
        <f t="shared" si="105"/>
        <v>0</v>
      </c>
      <c r="J6744" s="11">
        <f>1/(H6744*Utilities!$B$11)</f>
        <v>8</v>
      </c>
      <c r="K6744" s="11">
        <f>IF(B6744&lt;C6744,1,EXP(-1*(B6744-C6744)/(Utilities!$B$11*IterData!H6744)))</f>
        <v>1</v>
      </c>
    </row>
    <row r="6745" spans="8:11" x14ac:dyDescent="0.3">
      <c r="H6745">
        <v>0.5</v>
      </c>
      <c r="I6745" s="11">
        <f t="shared" si="105"/>
        <v>0</v>
      </c>
      <c r="J6745" s="11">
        <f>1/(H6745*Utilities!$B$11)</f>
        <v>8</v>
      </c>
      <c r="K6745" s="11">
        <f>IF(B6745&lt;C6745,1,EXP(-1*(B6745-C6745)/(Utilities!$B$11*IterData!H6745)))</f>
        <v>1</v>
      </c>
    </row>
    <row r="6746" spans="8:11" x14ac:dyDescent="0.3">
      <c r="H6746">
        <v>0.5</v>
      </c>
      <c r="I6746" s="11">
        <f t="shared" si="105"/>
        <v>0</v>
      </c>
      <c r="J6746" s="11">
        <f>1/(H6746*Utilities!$B$11)</f>
        <v>8</v>
      </c>
      <c r="K6746" s="11">
        <f>IF(B6746&lt;C6746,1,EXP(-1*(B6746-C6746)/(Utilities!$B$11*IterData!H6746)))</f>
        <v>1</v>
      </c>
    </row>
    <row r="6747" spans="8:11" x14ac:dyDescent="0.3">
      <c r="H6747">
        <v>0.5</v>
      </c>
      <c r="I6747" s="11">
        <f t="shared" si="105"/>
        <v>0</v>
      </c>
      <c r="J6747" s="11">
        <f>1/(H6747*Utilities!$B$11)</f>
        <v>8</v>
      </c>
      <c r="K6747" s="11">
        <f>IF(B6747&lt;C6747,1,EXP(-1*(B6747-C6747)/(Utilities!$B$11*IterData!H6747)))</f>
        <v>1</v>
      </c>
    </row>
    <row r="6748" spans="8:11" x14ac:dyDescent="0.3">
      <c r="H6748">
        <v>0.5</v>
      </c>
      <c r="I6748" s="11">
        <f t="shared" si="105"/>
        <v>0</v>
      </c>
      <c r="J6748" s="11">
        <f>1/(H6748*Utilities!$B$11)</f>
        <v>8</v>
      </c>
      <c r="K6748" s="11">
        <f>IF(B6748&lt;C6748,1,EXP(-1*(B6748-C6748)/(Utilities!$B$11*IterData!H6748)))</f>
        <v>1</v>
      </c>
    </row>
    <row r="6749" spans="8:11" x14ac:dyDescent="0.3">
      <c r="H6749">
        <v>0.5</v>
      </c>
      <c r="I6749" s="11">
        <f t="shared" si="105"/>
        <v>0</v>
      </c>
      <c r="J6749" s="11">
        <f>1/(H6749*Utilities!$B$11)</f>
        <v>8</v>
      </c>
      <c r="K6749" s="11">
        <f>IF(B6749&lt;C6749,1,EXP(-1*(B6749-C6749)/(Utilities!$B$11*IterData!H6749)))</f>
        <v>1</v>
      </c>
    </row>
    <row r="6750" spans="8:11" x14ac:dyDescent="0.3">
      <c r="H6750">
        <v>0.5</v>
      </c>
      <c r="I6750" s="11">
        <f t="shared" si="105"/>
        <v>0</v>
      </c>
      <c r="J6750" s="11">
        <f>1/(H6750*Utilities!$B$11)</f>
        <v>8</v>
      </c>
      <c r="K6750" s="11">
        <f>IF(B6750&lt;C6750,1,EXP(-1*(B6750-C6750)/(Utilities!$B$11*IterData!H6750)))</f>
        <v>1</v>
      </c>
    </row>
    <row r="6751" spans="8:11" x14ac:dyDescent="0.3">
      <c r="H6751">
        <v>0.5</v>
      </c>
      <c r="I6751" s="11">
        <f t="shared" si="105"/>
        <v>0</v>
      </c>
      <c r="J6751" s="11">
        <f>1/(H6751*Utilities!$B$11)</f>
        <v>8</v>
      </c>
      <c r="K6751" s="11">
        <f>IF(B6751&lt;C6751,1,EXP(-1*(B6751-C6751)/(Utilities!$B$11*IterData!H6751)))</f>
        <v>1</v>
      </c>
    </row>
    <row r="6752" spans="8:11" x14ac:dyDescent="0.3">
      <c r="H6752">
        <v>0.5</v>
      </c>
      <c r="I6752" s="11">
        <f t="shared" si="105"/>
        <v>0</v>
      </c>
      <c r="J6752" s="11">
        <f>1/(H6752*Utilities!$B$11)</f>
        <v>8</v>
      </c>
      <c r="K6752" s="11">
        <f>IF(B6752&lt;C6752,1,EXP(-1*(B6752-C6752)/(Utilities!$B$11*IterData!H6752)))</f>
        <v>1</v>
      </c>
    </row>
    <row r="6753" spans="8:11" x14ac:dyDescent="0.3">
      <c r="H6753">
        <v>0.5</v>
      </c>
      <c r="I6753" s="11">
        <f t="shared" si="105"/>
        <v>0</v>
      </c>
      <c r="J6753" s="11">
        <f>1/(H6753*Utilities!$B$11)</f>
        <v>8</v>
      </c>
      <c r="K6753" s="11">
        <f>IF(B6753&lt;C6753,1,EXP(-1*(B6753-C6753)/(Utilities!$B$11*IterData!H6753)))</f>
        <v>1</v>
      </c>
    </row>
    <row r="6754" spans="8:11" x14ac:dyDescent="0.3">
      <c r="H6754">
        <v>0.5</v>
      </c>
      <c r="I6754" s="11">
        <f t="shared" si="105"/>
        <v>0</v>
      </c>
      <c r="J6754" s="11">
        <f>1/(H6754*Utilities!$B$11)</f>
        <v>8</v>
      </c>
      <c r="K6754" s="11">
        <f>IF(B6754&lt;C6754,1,EXP(-1*(B6754-C6754)/(Utilities!$B$11*IterData!H6754)))</f>
        <v>1</v>
      </c>
    </row>
    <row r="6755" spans="8:11" x14ac:dyDescent="0.3">
      <c r="H6755">
        <v>0.5</v>
      </c>
      <c r="I6755" s="11">
        <f t="shared" si="105"/>
        <v>0</v>
      </c>
      <c r="J6755" s="11">
        <f>1/(H6755*Utilities!$B$11)</f>
        <v>8</v>
      </c>
      <c r="K6755" s="11">
        <f>IF(B6755&lt;C6755,1,EXP(-1*(B6755-C6755)/(Utilities!$B$11*IterData!H6755)))</f>
        <v>1</v>
      </c>
    </row>
    <row r="6756" spans="8:11" x14ac:dyDescent="0.3">
      <c r="H6756">
        <v>0.5</v>
      </c>
      <c r="I6756" s="11">
        <f t="shared" si="105"/>
        <v>0</v>
      </c>
      <c r="J6756" s="11">
        <f>1/(H6756*Utilities!$B$11)</f>
        <v>8</v>
      </c>
      <c r="K6756" s="11">
        <f>IF(B6756&lt;C6756,1,EXP(-1*(B6756-C6756)/(Utilities!$B$11*IterData!H6756)))</f>
        <v>1</v>
      </c>
    </row>
    <row r="6757" spans="8:11" x14ac:dyDescent="0.3">
      <c r="H6757">
        <v>0.5</v>
      </c>
      <c r="I6757" s="11">
        <f t="shared" si="105"/>
        <v>0</v>
      </c>
      <c r="J6757" s="11">
        <f>1/(H6757*Utilities!$B$11)</f>
        <v>8</v>
      </c>
      <c r="K6757" s="11">
        <f>IF(B6757&lt;C6757,1,EXP(-1*(B6757-C6757)/(Utilities!$B$11*IterData!H6757)))</f>
        <v>1</v>
      </c>
    </row>
    <row r="6758" spans="8:11" x14ac:dyDescent="0.3">
      <c r="H6758">
        <v>0.5</v>
      </c>
      <c r="I6758" s="11">
        <f t="shared" si="105"/>
        <v>0</v>
      </c>
      <c r="J6758" s="11">
        <f>1/(H6758*Utilities!$B$11)</f>
        <v>8</v>
      </c>
      <c r="K6758" s="11">
        <f>IF(B6758&lt;C6758,1,EXP(-1*(B6758-C6758)/(Utilities!$B$11*IterData!H6758)))</f>
        <v>1</v>
      </c>
    </row>
    <row r="6759" spans="8:11" x14ac:dyDescent="0.3">
      <c r="H6759">
        <v>0.5</v>
      </c>
      <c r="I6759" s="11">
        <f t="shared" si="105"/>
        <v>0</v>
      </c>
      <c r="J6759" s="11">
        <f>1/(H6759*Utilities!$B$11)</f>
        <v>8</v>
      </c>
      <c r="K6759" s="11">
        <f>IF(B6759&lt;C6759,1,EXP(-1*(B6759-C6759)/(Utilities!$B$11*IterData!H6759)))</f>
        <v>1</v>
      </c>
    </row>
    <row r="6760" spans="8:11" x14ac:dyDescent="0.3">
      <c r="H6760">
        <v>0.5</v>
      </c>
      <c r="I6760" s="11">
        <f t="shared" si="105"/>
        <v>0</v>
      </c>
      <c r="J6760" s="11">
        <f>1/(H6760*Utilities!$B$11)</f>
        <v>8</v>
      </c>
      <c r="K6760" s="11">
        <f>IF(B6760&lt;C6760,1,EXP(-1*(B6760-C6760)/(Utilities!$B$11*IterData!H6760)))</f>
        <v>1</v>
      </c>
    </row>
    <row r="6761" spans="8:11" x14ac:dyDescent="0.3">
      <c r="H6761">
        <v>0.5</v>
      </c>
      <c r="I6761" s="11">
        <f t="shared" si="105"/>
        <v>0</v>
      </c>
      <c r="J6761" s="11">
        <f>1/(H6761*Utilities!$B$11)</f>
        <v>8</v>
      </c>
      <c r="K6761" s="11">
        <f>IF(B6761&lt;C6761,1,EXP(-1*(B6761-C6761)/(Utilities!$B$11*IterData!H6761)))</f>
        <v>1</v>
      </c>
    </row>
    <row r="6762" spans="8:11" x14ac:dyDescent="0.3">
      <c r="H6762">
        <v>0.5</v>
      </c>
      <c r="I6762" s="11">
        <f t="shared" si="105"/>
        <v>0</v>
      </c>
      <c r="J6762" s="11">
        <f>1/(H6762*Utilities!$B$11)</f>
        <v>8</v>
      </c>
      <c r="K6762" s="11">
        <f>IF(B6762&lt;C6762,1,EXP(-1*(B6762-C6762)/(Utilities!$B$11*IterData!H6762)))</f>
        <v>1</v>
      </c>
    </row>
    <row r="6763" spans="8:11" x14ac:dyDescent="0.3">
      <c r="H6763">
        <v>0.5</v>
      </c>
      <c r="I6763" s="11">
        <f t="shared" si="105"/>
        <v>0</v>
      </c>
      <c r="J6763" s="11">
        <f>1/(H6763*Utilities!$B$11)</f>
        <v>8</v>
      </c>
      <c r="K6763" s="11">
        <f>IF(B6763&lt;C6763,1,EXP(-1*(B6763-C6763)/(Utilities!$B$11*IterData!H6763)))</f>
        <v>1</v>
      </c>
    </row>
    <row r="6764" spans="8:11" x14ac:dyDescent="0.3">
      <c r="H6764">
        <v>0.5</v>
      </c>
      <c r="I6764" s="11">
        <f t="shared" si="105"/>
        <v>0</v>
      </c>
      <c r="J6764" s="11">
        <f>1/(H6764*Utilities!$B$11)</f>
        <v>8</v>
      </c>
      <c r="K6764" s="11">
        <f>IF(B6764&lt;C6764,1,EXP(-1*(B6764-C6764)/(Utilities!$B$11*IterData!H6764)))</f>
        <v>1</v>
      </c>
    </row>
    <row r="6765" spans="8:11" x14ac:dyDescent="0.3">
      <c r="H6765">
        <v>0.5</v>
      </c>
      <c r="I6765" s="11">
        <f t="shared" si="105"/>
        <v>0</v>
      </c>
      <c r="J6765" s="11">
        <f>1/(H6765*Utilities!$B$11)</f>
        <v>8</v>
      </c>
      <c r="K6765" s="11">
        <f>IF(B6765&lt;C6765,1,EXP(-1*(B6765-C6765)/(Utilities!$B$11*IterData!H6765)))</f>
        <v>1</v>
      </c>
    </row>
    <row r="6766" spans="8:11" x14ac:dyDescent="0.3">
      <c r="H6766">
        <v>0.5</v>
      </c>
      <c r="I6766" s="11">
        <f t="shared" si="105"/>
        <v>0</v>
      </c>
      <c r="J6766" s="11">
        <f>1/(H6766*Utilities!$B$11)</f>
        <v>8</v>
      </c>
      <c r="K6766" s="11">
        <f>IF(B6766&lt;C6766,1,EXP(-1*(B6766-C6766)/(Utilities!$B$11*IterData!H6766)))</f>
        <v>1</v>
      </c>
    </row>
    <row r="6767" spans="8:11" x14ac:dyDescent="0.3">
      <c r="H6767">
        <v>0.5</v>
      </c>
      <c r="I6767" s="11">
        <f t="shared" si="105"/>
        <v>0</v>
      </c>
      <c r="J6767" s="11">
        <f>1/(H6767*Utilities!$B$11)</f>
        <v>8</v>
      </c>
      <c r="K6767" s="11">
        <f>IF(B6767&lt;C6767,1,EXP(-1*(B6767-C6767)/(Utilities!$B$11*IterData!H6767)))</f>
        <v>1</v>
      </c>
    </row>
    <row r="6768" spans="8:11" x14ac:dyDescent="0.3">
      <c r="H6768">
        <v>0.5</v>
      </c>
      <c r="I6768" s="11">
        <f t="shared" si="105"/>
        <v>0</v>
      </c>
      <c r="J6768" s="11">
        <f>1/(H6768*Utilities!$B$11)</f>
        <v>8</v>
      </c>
      <c r="K6768" s="11">
        <f>IF(B6768&lt;C6768,1,EXP(-1*(B6768-C6768)/(Utilities!$B$11*IterData!H6768)))</f>
        <v>1</v>
      </c>
    </row>
    <row r="6769" spans="8:11" x14ac:dyDescent="0.3">
      <c r="H6769">
        <v>0.5</v>
      </c>
      <c r="I6769" s="11">
        <f t="shared" si="105"/>
        <v>0</v>
      </c>
      <c r="J6769" s="11">
        <f>1/(H6769*Utilities!$B$11)</f>
        <v>8</v>
      </c>
      <c r="K6769" s="11">
        <f>IF(B6769&lt;C6769,1,EXP(-1*(B6769-C6769)/(Utilities!$B$11*IterData!H6769)))</f>
        <v>1</v>
      </c>
    </row>
    <row r="6770" spans="8:11" x14ac:dyDescent="0.3">
      <c r="H6770">
        <v>0.5</v>
      </c>
      <c r="I6770" s="11">
        <f t="shared" si="105"/>
        <v>0</v>
      </c>
      <c r="J6770" s="11">
        <f>1/(H6770*Utilities!$B$11)</f>
        <v>8</v>
      </c>
      <c r="K6770" s="11">
        <f>IF(B6770&lt;C6770,1,EXP(-1*(B6770-C6770)/(Utilities!$B$11*IterData!H6770)))</f>
        <v>1</v>
      </c>
    </row>
    <row r="6771" spans="8:11" x14ac:dyDescent="0.3">
      <c r="H6771">
        <v>0.5</v>
      </c>
      <c r="I6771" s="11">
        <f t="shared" si="105"/>
        <v>0</v>
      </c>
      <c r="J6771" s="11">
        <f>1/(H6771*Utilities!$B$11)</f>
        <v>8</v>
      </c>
      <c r="K6771" s="11">
        <f>IF(B6771&lt;C6771,1,EXP(-1*(B6771-C6771)/(Utilities!$B$11*IterData!H6771)))</f>
        <v>1</v>
      </c>
    </row>
    <row r="6772" spans="8:11" x14ac:dyDescent="0.3">
      <c r="H6772">
        <v>0.5</v>
      </c>
      <c r="I6772" s="11">
        <f t="shared" si="105"/>
        <v>0</v>
      </c>
      <c r="J6772" s="11">
        <f>1/(H6772*Utilities!$B$11)</f>
        <v>8</v>
      </c>
      <c r="K6772" s="11">
        <f>IF(B6772&lt;C6772,1,EXP(-1*(B6772-C6772)/(Utilities!$B$11*IterData!H6772)))</f>
        <v>1</v>
      </c>
    </row>
    <row r="6773" spans="8:11" x14ac:dyDescent="0.3">
      <c r="H6773">
        <v>0.5</v>
      </c>
      <c r="I6773" s="11">
        <f t="shared" si="105"/>
        <v>0</v>
      </c>
      <c r="J6773" s="11">
        <f>1/(H6773*Utilities!$B$11)</f>
        <v>8</v>
      </c>
      <c r="K6773" s="11">
        <f>IF(B6773&lt;C6773,1,EXP(-1*(B6773-C6773)/(Utilities!$B$11*IterData!H6773)))</f>
        <v>1</v>
      </c>
    </row>
    <row r="6774" spans="8:11" x14ac:dyDescent="0.3">
      <c r="H6774">
        <v>0.5</v>
      </c>
      <c r="I6774" s="11">
        <f t="shared" si="105"/>
        <v>0</v>
      </c>
      <c r="J6774" s="11">
        <f>1/(H6774*Utilities!$B$11)</f>
        <v>8</v>
      </c>
      <c r="K6774" s="11">
        <f>IF(B6774&lt;C6774,1,EXP(-1*(B6774-C6774)/(Utilities!$B$11*IterData!H6774)))</f>
        <v>1</v>
      </c>
    </row>
    <row r="6775" spans="8:11" x14ac:dyDescent="0.3">
      <c r="H6775">
        <v>0.5</v>
      </c>
      <c r="I6775" s="11">
        <f t="shared" si="105"/>
        <v>0</v>
      </c>
      <c r="J6775" s="11">
        <f>1/(H6775*Utilities!$B$11)</f>
        <v>8</v>
      </c>
      <c r="K6775" s="11">
        <f>IF(B6775&lt;C6775,1,EXP(-1*(B6775-C6775)/(Utilities!$B$11*IterData!H6775)))</f>
        <v>1</v>
      </c>
    </row>
    <row r="6776" spans="8:11" x14ac:dyDescent="0.3">
      <c r="H6776">
        <v>0.5</v>
      </c>
      <c r="I6776" s="11">
        <f t="shared" si="105"/>
        <v>0</v>
      </c>
      <c r="J6776" s="11">
        <f>1/(H6776*Utilities!$B$11)</f>
        <v>8</v>
      </c>
      <c r="K6776" s="11">
        <f>IF(B6776&lt;C6776,1,EXP(-1*(B6776-C6776)/(Utilities!$B$11*IterData!H6776)))</f>
        <v>1</v>
      </c>
    </row>
    <row r="6777" spans="8:11" x14ac:dyDescent="0.3">
      <c r="H6777">
        <v>0.5</v>
      </c>
      <c r="I6777" s="11">
        <f t="shared" si="105"/>
        <v>0</v>
      </c>
      <c r="J6777" s="11">
        <f>1/(H6777*Utilities!$B$11)</f>
        <v>8</v>
      </c>
      <c r="K6777" s="11">
        <f>IF(B6777&lt;C6777,1,EXP(-1*(B6777-C6777)/(Utilities!$B$11*IterData!H6777)))</f>
        <v>1</v>
      </c>
    </row>
    <row r="6778" spans="8:11" x14ac:dyDescent="0.3">
      <c r="H6778">
        <v>0.5</v>
      </c>
      <c r="I6778" s="11">
        <f t="shared" si="105"/>
        <v>0</v>
      </c>
      <c r="J6778" s="11">
        <f>1/(H6778*Utilities!$B$11)</f>
        <v>8</v>
      </c>
      <c r="K6778" s="11">
        <f>IF(B6778&lt;C6778,1,EXP(-1*(B6778-C6778)/(Utilities!$B$11*IterData!H6778)))</f>
        <v>1</v>
      </c>
    </row>
    <row r="6779" spans="8:11" x14ac:dyDescent="0.3">
      <c r="H6779">
        <v>0.5</v>
      </c>
      <c r="I6779" s="11">
        <f t="shared" si="105"/>
        <v>0</v>
      </c>
      <c r="J6779" s="11">
        <f>1/(H6779*Utilities!$B$11)</f>
        <v>8</v>
      </c>
      <c r="K6779" s="11">
        <f>IF(B6779&lt;C6779,1,EXP(-1*(B6779-C6779)/(Utilities!$B$11*IterData!H6779)))</f>
        <v>1</v>
      </c>
    </row>
    <row r="6780" spans="8:11" x14ac:dyDescent="0.3">
      <c r="H6780">
        <v>0.5</v>
      </c>
      <c r="I6780" s="11">
        <f t="shared" si="105"/>
        <v>0</v>
      </c>
      <c r="J6780" s="11">
        <f>1/(H6780*Utilities!$B$11)</f>
        <v>8</v>
      </c>
      <c r="K6780" s="11">
        <f>IF(B6780&lt;C6780,1,EXP(-1*(B6780-C6780)/(Utilities!$B$11*IterData!H6780)))</f>
        <v>1</v>
      </c>
    </row>
    <row r="6781" spans="8:11" x14ac:dyDescent="0.3">
      <c r="H6781">
        <v>0.5</v>
      </c>
      <c r="I6781" s="11">
        <f t="shared" si="105"/>
        <v>0</v>
      </c>
      <c r="J6781" s="11">
        <f>1/(H6781*Utilities!$B$11)</f>
        <v>8</v>
      </c>
      <c r="K6781" s="11">
        <f>IF(B6781&lt;C6781,1,EXP(-1*(B6781-C6781)/(Utilities!$B$11*IterData!H6781)))</f>
        <v>1</v>
      </c>
    </row>
    <row r="6782" spans="8:11" x14ac:dyDescent="0.3">
      <c r="H6782">
        <v>0.5</v>
      </c>
      <c r="I6782" s="11">
        <f t="shared" si="105"/>
        <v>0</v>
      </c>
      <c r="J6782" s="11">
        <f>1/(H6782*Utilities!$B$11)</f>
        <v>8</v>
      </c>
      <c r="K6782" s="11">
        <f>IF(B6782&lt;C6782,1,EXP(-1*(B6782-C6782)/(Utilities!$B$11*IterData!H6782)))</f>
        <v>1</v>
      </c>
    </row>
    <row r="6783" spans="8:11" x14ac:dyDescent="0.3">
      <c r="H6783">
        <v>0.5</v>
      </c>
      <c r="I6783" s="11">
        <f t="shared" si="105"/>
        <v>0</v>
      </c>
      <c r="J6783" s="11">
        <f>1/(H6783*Utilities!$B$11)</f>
        <v>8</v>
      </c>
      <c r="K6783" s="11">
        <f>IF(B6783&lt;C6783,1,EXP(-1*(B6783-C6783)/(Utilities!$B$11*IterData!H6783)))</f>
        <v>1</v>
      </c>
    </row>
    <row r="6784" spans="8:11" x14ac:dyDescent="0.3">
      <c r="H6784">
        <v>0.5</v>
      </c>
      <c r="I6784" s="11">
        <f t="shared" si="105"/>
        <v>0</v>
      </c>
      <c r="J6784" s="11">
        <f>1/(H6784*Utilities!$B$11)</f>
        <v>8</v>
      </c>
      <c r="K6784" s="11">
        <f>IF(B6784&lt;C6784,1,EXP(-1*(B6784-C6784)/(Utilities!$B$11*IterData!H6784)))</f>
        <v>1</v>
      </c>
    </row>
    <row r="6785" spans="8:11" x14ac:dyDescent="0.3">
      <c r="H6785">
        <v>0.5</v>
      </c>
      <c r="I6785" s="11">
        <f t="shared" si="105"/>
        <v>0</v>
      </c>
      <c r="J6785" s="11">
        <f>1/(H6785*Utilities!$B$11)</f>
        <v>8</v>
      </c>
      <c r="K6785" s="11">
        <f>IF(B6785&lt;C6785,1,EXP(-1*(B6785-C6785)/(Utilities!$B$11*IterData!H6785)))</f>
        <v>1</v>
      </c>
    </row>
    <row r="6786" spans="8:11" x14ac:dyDescent="0.3">
      <c r="H6786">
        <v>0.5</v>
      </c>
      <c r="I6786" s="11">
        <f t="shared" si="105"/>
        <v>0</v>
      </c>
      <c r="J6786" s="11">
        <f>1/(H6786*Utilities!$B$11)</f>
        <v>8</v>
      </c>
      <c r="K6786" s="11">
        <f>IF(B6786&lt;C6786,1,EXP(-1*(B6786-C6786)/(Utilities!$B$11*IterData!H6786)))</f>
        <v>1</v>
      </c>
    </row>
    <row r="6787" spans="8:11" x14ac:dyDescent="0.3">
      <c r="H6787">
        <v>0.5</v>
      </c>
      <c r="I6787" s="11">
        <f t="shared" ref="I6787:I6850" si="106">B6787-C6787</f>
        <v>0</v>
      </c>
      <c r="J6787" s="11">
        <f>1/(H6787*Utilities!$B$11)</f>
        <v>8</v>
      </c>
      <c r="K6787" s="11">
        <f>IF(B6787&lt;C6787,1,EXP(-1*(B6787-C6787)/(Utilities!$B$11*IterData!H6787)))</f>
        <v>1</v>
      </c>
    </row>
    <row r="6788" spans="8:11" x14ac:dyDescent="0.3">
      <c r="H6788">
        <v>0.5</v>
      </c>
      <c r="I6788" s="11">
        <f t="shared" si="106"/>
        <v>0</v>
      </c>
      <c r="J6788" s="11">
        <f>1/(H6788*Utilities!$B$11)</f>
        <v>8</v>
      </c>
      <c r="K6788" s="11">
        <f>IF(B6788&lt;C6788,1,EXP(-1*(B6788-C6788)/(Utilities!$B$11*IterData!H6788)))</f>
        <v>1</v>
      </c>
    </row>
    <row r="6789" spans="8:11" x14ac:dyDescent="0.3">
      <c r="H6789">
        <v>0.5</v>
      </c>
      <c r="I6789" s="11">
        <f t="shared" si="106"/>
        <v>0</v>
      </c>
      <c r="J6789" s="11">
        <f>1/(H6789*Utilities!$B$11)</f>
        <v>8</v>
      </c>
      <c r="K6789" s="11">
        <f>IF(B6789&lt;C6789,1,EXP(-1*(B6789-C6789)/(Utilities!$B$11*IterData!H6789)))</f>
        <v>1</v>
      </c>
    </row>
    <row r="6790" spans="8:11" x14ac:dyDescent="0.3">
      <c r="H6790">
        <v>0.5</v>
      </c>
      <c r="I6790" s="11">
        <f t="shared" si="106"/>
        <v>0</v>
      </c>
      <c r="J6790" s="11">
        <f>1/(H6790*Utilities!$B$11)</f>
        <v>8</v>
      </c>
      <c r="K6790" s="11">
        <f>IF(B6790&lt;C6790,1,EXP(-1*(B6790-C6790)/(Utilities!$B$11*IterData!H6790)))</f>
        <v>1</v>
      </c>
    </row>
    <row r="6791" spans="8:11" x14ac:dyDescent="0.3">
      <c r="H6791">
        <v>0.5</v>
      </c>
      <c r="I6791" s="11">
        <f t="shared" si="106"/>
        <v>0</v>
      </c>
      <c r="J6791" s="11">
        <f>1/(H6791*Utilities!$B$11)</f>
        <v>8</v>
      </c>
      <c r="K6791" s="11">
        <f>IF(B6791&lt;C6791,1,EXP(-1*(B6791-C6791)/(Utilities!$B$11*IterData!H6791)))</f>
        <v>1</v>
      </c>
    </row>
    <row r="6792" spans="8:11" x14ac:dyDescent="0.3">
      <c r="H6792">
        <v>0.5</v>
      </c>
      <c r="I6792" s="11">
        <f t="shared" si="106"/>
        <v>0</v>
      </c>
      <c r="J6792" s="11">
        <f>1/(H6792*Utilities!$B$11)</f>
        <v>8</v>
      </c>
      <c r="K6792" s="11">
        <f>IF(B6792&lt;C6792,1,EXP(-1*(B6792-C6792)/(Utilities!$B$11*IterData!H6792)))</f>
        <v>1</v>
      </c>
    </row>
    <row r="6793" spans="8:11" x14ac:dyDescent="0.3">
      <c r="H6793">
        <v>0.5</v>
      </c>
      <c r="I6793" s="11">
        <f t="shared" si="106"/>
        <v>0</v>
      </c>
      <c r="J6793" s="11">
        <f>1/(H6793*Utilities!$B$11)</f>
        <v>8</v>
      </c>
      <c r="K6793" s="11">
        <f>IF(B6793&lt;C6793,1,EXP(-1*(B6793-C6793)/(Utilities!$B$11*IterData!H6793)))</f>
        <v>1</v>
      </c>
    </row>
    <row r="6794" spans="8:11" x14ac:dyDescent="0.3">
      <c r="H6794">
        <v>0.5</v>
      </c>
      <c r="I6794" s="11">
        <f t="shared" si="106"/>
        <v>0</v>
      </c>
      <c r="J6794" s="11">
        <f>1/(H6794*Utilities!$B$11)</f>
        <v>8</v>
      </c>
      <c r="K6794" s="11">
        <f>IF(B6794&lt;C6794,1,EXP(-1*(B6794-C6794)/(Utilities!$B$11*IterData!H6794)))</f>
        <v>1</v>
      </c>
    </row>
    <row r="6795" spans="8:11" x14ac:dyDescent="0.3">
      <c r="H6795">
        <v>0.5</v>
      </c>
      <c r="I6795" s="11">
        <f t="shared" si="106"/>
        <v>0</v>
      </c>
      <c r="J6795" s="11">
        <f>1/(H6795*Utilities!$B$11)</f>
        <v>8</v>
      </c>
      <c r="K6795" s="11">
        <f>IF(B6795&lt;C6795,1,EXP(-1*(B6795-C6795)/(Utilities!$B$11*IterData!H6795)))</f>
        <v>1</v>
      </c>
    </row>
    <row r="6796" spans="8:11" x14ac:dyDescent="0.3">
      <c r="H6796">
        <v>0.5</v>
      </c>
      <c r="I6796" s="11">
        <f t="shared" si="106"/>
        <v>0</v>
      </c>
      <c r="J6796" s="11">
        <f>1/(H6796*Utilities!$B$11)</f>
        <v>8</v>
      </c>
      <c r="K6796" s="11">
        <f>IF(B6796&lt;C6796,1,EXP(-1*(B6796-C6796)/(Utilities!$B$11*IterData!H6796)))</f>
        <v>1</v>
      </c>
    </row>
    <row r="6797" spans="8:11" x14ac:dyDescent="0.3">
      <c r="H6797">
        <v>0.5</v>
      </c>
      <c r="I6797" s="11">
        <f t="shared" si="106"/>
        <v>0</v>
      </c>
      <c r="J6797" s="11">
        <f>1/(H6797*Utilities!$B$11)</f>
        <v>8</v>
      </c>
      <c r="K6797" s="11">
        <f>IF(B6797&lt;C6797,1,EXP(-1*(B6797-C6797)/(Utilities!$B$11*IterData!H6797)))</f>
        <v>1</v>
      </c>
    </row>
    <row r="6798" spans="8:11" x14ac:dyDescent="0.3">
      <c r="H6798">
        <v>0.5</v>
      </c>
      <c r="I6798" s="11">
        <f t="shared" si="106"/>
        <v>0</v>
      </c>
      <c r="J6798" s="11">
        <f>1/(H6798*Utilities!$B$11)</f>
        <v>8</v>
      </c>
      <c r="K6798" s="11">
        <f>IF(B6798&lt;C6798,1,EXP(-1*(B6798-C6798)/(Utilities!$B$11*IterData!H6798)))</f>
        <v>1</v>
      </c>
    </row>
    <row r="6799" spans="8:11" x14ac:dyDescent="0.3">
      <c r="H6799">
        <v>0.5</v>
      </c>
      <c r="I6799" s="11">
        <f t="shared" si="106"/>
        <v>0</v>
      </c>
      <c r="J6799" s="11">
        <f>1/(H6799*Utilities!$B$11)</f>
        <v>8</v>
      </c>
      <c r="K6799" s="11">
        <f>IF(B6799&lt;C6799,1,EXP(-1*(B6799-C6799)/(Utilities!$B$11*IterData!H6799)))</f>
        <v>1</v>
      </c>
    </row>
    <row r="6800" spans="8:11" x14ac:dyDescent="0.3">
      <c r="H6800">
        <v>0.5</v>
      </c>
      <c r="I6800" s="11">
        <f t="shared" si="106"/>
        <v>0</v>
      </c>
      <c r="J6800" s="11">
        <f>1/(H6800*Utilities!$B$11)</f>
        <v>8</v>
      </c>
      <c r="K6800" s="11">
        <f>IF(B6800&lt;C6800,1,EXP(-1*(B6800-C6800)/(Utilities!$B$11*IterData!H6800)))</f>
        <v>1</v>
      </c>
    </row>
    <row r="6801" spans="8:11" x14ac:dyDescent="0.3">
      <c r="H6801">
        <v>0.5</v>
      </c>
      <c r="I6801" s="11">
        <f t="shared" si="106"/>
        <v>0</v>
      </c>
      <c r="J6801" s="11">
        <f>1/(H6801*Utilities!$B$11)</f>
        <v>8</v>
      </c>
      <c r="K6801" s="11">
        <f>IF(B6801&lt;C6801,1,EXP(-1*(B6801-C6801)/(Utilities!$B$11*IterData!H6801)))</f>
        <v>1</v>
      </c>
    </row>
    <row r="6802" spans="8:11" x14ac:dyDescent="0.3">
      <c r="H6802">
        <v>0.5</v>
      </c>
      <c r="I6802" s="11">
        <f t="shared" si="106"/>
        <v>0</v>
      </c>
      <c r="J6802" s="11">
        <f>1/(H6802*Utilities!$B$11)</f>
        <v>8</v>
      </c>
      <c r="K6802" s="11">
        <f>IF(B6802&lt;C6802,1,EXP(-1*(B6802-C6802)/(Utilities!$B$11*IterData!H6802)))</f>
        <v>1</v>
      </c>
    </row>
    <row r="6803" spans="8:11" x14ac:dyDescent="0.3">
      <c r="H6803">
        <v>0.5</v>
      </c>
      <c r="I6803" s="11">
        <f t="shared" si="106"/>
        <v>0</v>
      </c>
      <c r="J6803" s="11">
        <f>1/(H6803*Utilities!$B$11)</f>
        <v>8</v>
      </c>
      <c r="K6803" s="11">
        <f>IF(B6803&lt;C6803,1,EXP(-1*(B6803-C6803)/(Utilities!$B$11*IterData!H6803)))</f>
        <v>1</v>
      </c>
    </row>
    <row r="6804" spans="8:11" x14ac:dyDescent="0.3">
      <c r="H6804">
        <v>0.5</v>
      </c>
      <c r="I6804" s="11">
        <f t="shared" si="106"/>
        <v>0</v>
      </c>
      <c r="J6804" s="11">
        <f>1/(H6804*Utilities!$B$11)</f>
        <v>8</v>
      </c>
      <c r="K6804" s="11">
        <f>IF(B6804&lt;C6804,1,EXP(-1*(B6804-C6804)/(Utilities!$B$11*IterData!H6804)))</f>
        <v>1</v>
      </c>
    </row>
    <row r="6805" spans="8:11" x14ac:dyDescent="0.3">
      <c r="H6805">
        <v>0.5</v>
      </c>
      <c r="I6805" s="11">
        <f t="shared" si="106"/>
        <v>0</v>
      </c>
      <c r="J6805" s="11">
        <f>1/(H6805*Utilities!$B$11)</f>
        <v>8</v>
      </c>
      <c r="K6805" s="11">
        <f>IF(B6805&lt;C6805,1,EXP(-1*(B6805-C6805)/(Utilities!$B$11*IterData!H6805)))</f>
        <v>1</v>
      </c>
    </row>
    <row r="6806" spans="8:11" x14ac:dyDescent="0.3">
      <c r="H6806">
        <v>0.5</v>
      </c>
      <c r="I6806" s="11">
        <f t="shared" si="106"/>
        <v>0</v>
      </c>
      <c r="J6806" s="11">
        <f>1/(H6806*Utilities!$B$11)</f>
        <v>8</v>
      </c>
      <c r="K6806" s="11">
        <f>IF(B6806&lt;C6806,1,EXP(-1*(B6806-C6806)/(Utilities!$B$11*IterData!H6806)))</f>
        <v>1</v>
      </c>
    </row>
    <row r="6807" spans="8:11" x14ac:dyDescent="0.3">
      <c r="H6807">
        <v>0.5</v>
      </c>
      <c r="I6807" s="11">
        <f t="shared" si="106"/>
        <v>0</v>
      </c>
      <c r="J6807" s="11">
        <f>1/(H6807*Utilities!$B$11)</f>
        <v>8</v>
      </c>
      <c r="K6807" s="11">
        <f>IF(B6807&lt;C6807,1,EXP(-1*(B6807-C6807)/(Utilities!$B$11*IterData!H6807)))</f>
        <v>1</v>
      </c>
    </row>
    <row r="6808" spans="8:11" x14ac:dyDescent="0.3">
      <c r="H6808">
        <v>0.5</v>
      </c>
      <c r="I6808" s="11">
        <f t="shared" si="106"/>
        <v>0</v>
      </c>
      <c r="J6808" s="11">
        <f>1/(H6808*Utilities!$B$11)</f>
        <v>8</v>
      </c>
      <c r="K6808" s="11">
        <f>IF(B6808&lt;C6808,1,EXP(-1*(B6808-C6808)/(Utilities!$B$11*IterData!H6808)))</f>
        <v>1</v>
      </c>
    </row>
    <row r="6809" spans="8:11" x14ac:dyDescent="0.3">
      <c r="H6809">
        <v>0.5</v>
      </c>
      <c r="I6809" s="11">
        <f t="shared" si="106"/>
        <v>0</v>
      </c>
      <c r="J6809" s="11">
        <f>1/(H6809*Utilities!$B$11)</f>
        <v>8</v>
      </c>
      <c r="K6809" s="11">
        <f>IF(B6809&lt;C6809,1,EXP(-1*(B6809-C6809)/(Utilities!$B$11*IterData!H6809)))</f>
        <v>1</v>
      </c>
    </row>
    <row r="6810" spans="8:11" x14ac:dyDescent="0.3">
      <c r="H6810">
        <v>0.5</v>
      </c>
      <c r="I6810" s="11">
        <f t="shared" si="106"/>
        <v>0</v>
      </c>
      <c r="J6810" s="11">
        <f>1/(H6810*Utilities!$B$11)</f>
        <v>8</v>
      </c>
      <c r="K6810" s="11">
        <f>IF(B6810&lt;C6810,1,EXP(-1*(B6810-C6810)/(Utilities!$B$11*IterData!H6810)))</f>
        <v>1</v>
      </c>
    </row>
    <row r="6811" spans="8:11" x14ac:dyDescent="0.3">
      <c r="H6811">
        <v>0.5</v>
      </c>
      <c r="I6811" s="11">
        <f t="shared" si="106"/>
        <v>0</v>
      </c>
      <c r="J6811" s="11">
        <f>1/(H6811*Utilities!$B$11)</f>
        <v>8</v>
      </c>
      <c r="K6811" s="11">
        <f>IF(B6811&lt;C6811,1,EXP(-1*(B6811-C6811)/(Utilities!$B$11*IterData!H6811)))</f>
        <v>1</v>
      </c>
    </row>
    <row r="6812" spans="8:11" x14ac:dyDescent="0.3">
      <c r="H6812">
        <v>0.5</v>
      </c>
      <c r="I6812" s="11">
        <f t="shared" si="106"/>
        <v>0</v>
      </c>
      <c r="J6812" s="11">
        <f>1/(H6812*Utilities!$B$11)</f>
        <v>8</v>
      </c>
      <c r="K6812" s="11">
        <f>IF(B6812&lt;C6812,1,EXP(-1*(B6812-C6812)/(Utilities!$B$11*IterData!H6812)))</f>
        <v>1</v>
      </c>
    </row>
    <row r="6813" spans="8:11" x14ac:dyDescent="0.3">
      <c r="H6813">
        <v>0.5</v>
      </c>
      <c r="I6813" s="11">
        <f t="shared" si="106"/>
        <v>0</v>
      </c>
      <c r="J6813" s="11">
        <f>1/(H6813*Utilities!$B$11)</f>
        <v>8</v>
      </c>
      <c r="K6813" s="11">
        <f>IF(B6813&lt;C6813,1,EXP(-1*(B6813-C6813)/(Utilities!$B$11*IterData!H6813)))</f>
        <v>1</v>
      </c>
    </row>
    <row r="6814" spans="8:11" x14ac:dyDescent="0.3">
      <c r="H6814">
        <v>0.5</v>
      </c>
      <c r="I6814" s="11">
        <f t="shared" si="106"/>
        <v>0</v>
      </c>
      <c r="J6814" s="11">
        <f>1/(H6814*Utilities!$B$11)</f>
        <v>8</v>
      </c>
      <c r="K6814" s="11">
        <f>IF(B6814&lt;C6814,1,EXP(-1*(B6814-C6814)/(Utilities!$B$11*IterData!H6814)))</f>
        <v>1</v>
      </c>
    </row>
    <row r="6815" spans="8:11" x14ac:dyDescent="0.3">
      <c r="H6815">
        <v>0.5</v>
      </c>
      <c r="I6815" s="11">
        <f t="shared" si="106"/>
        <v>0</v>
      </c>
      <c r="J6815" s="11">
        <f>1/(H6815*Utilities!$B$11)</f>
        <v>8</v>
      </c>
      <c r="K6815" s="11">
        <f>IF(B6815&lt;C6815,1,EXP(-1*(B6815-C6815)/(Utilities!$B$11*IterData!H6815)))</f>
        <v>1</v>
      </c>
    </row>
    <row r="6816" spans="8:11" x14ac:dyDescent="0.3">
      <c r="H6816">
        <v>0.5</v>
      </c>
      <c r="I6816" s="11">
        <f t="shared" si="106"/>
        <v>0</v>
      </c>
      <c r="J6816" s="11">
        <f>1/(H6816*Utilities!$B$11)</f>
        <v>8</v>
      </c>
      <c r="K6816" s="11">
        <f>IF(B6816&lt;C6816,1,EXP(-1*(B6816-C6816)/(Utilities!$B$11*IterData!H6816)))</f>
        <v>1</v>
      </c>
    </row>
    <row r="6817" spans="8:11" x14ac:dyDescent="0.3">
      <c r="H6817">
        <v>0.5</v>
      </c>
      <c r="I6817" s="11">
        <f t="shared" si="106"/>
        <v>0</v>
      </c>
      <c r="J6817" s="11">
        <f>1/(H6817*Utilities!$B$11)</f>
        <v>8</v>
      </c>
      <c r="K6817" s="11">
        <f>IF(B6817&lt;C6817,1,EXP(-1*(B6817-C6817)/(Utilities!$B$11*IterData!H6817)))</f>
        <v>1</v>
      </c>
    </row>
    <row r="6818" spans="8:11" x14ac:dyDescent="0.3">
      <c r="H6818">
        <v>0.5</v>
      </c>
      <c r="I6818" s="11">
        <f t="shared" si="106"/>
        <v>0</v>
      </c>
      <c r="J6818" s="11">
        <f>1/(H6818*Utilities!$B$11)</f>
        <v>8</v>
      </c>
      <c r="K6818" s="11">
        <f>IF(B6818&lt;C6818,1,EXP(-1*(B6818-C6818)/(Utilities!$B$11*IterData!H6818)))</f>
        <v>1</v>
      </c>
    </row>
    <row r="6819" spans="8:11" x14ac:dyDescent="0.3">
      <c r="H6819">
        <v>0.5</v>
      </c>
      <c r="I6819" s="11">
        <f t="shared" si="106"/>
        <v>0</v>
      </c>
      <c r="J6819" s="11">
        <f>1/(H6819*Utilities!$B$11)</f>
        <v>8</v>
      </c>
      <c r="K6819" s="11">
        <f>IF(B6819&lt;C6819,1,EXP(-1*(B6819-C6819)/(Utilities!$B$11*IterData!H6819)))</f>
        <v>1</v>
      </c>
    </row>
    <row r="6820" spans="8:11" x14ac:dyDescent="0.3">
      <c r="H6820">
        <v>0.5</v>
      </c>
      <c r="I6820" s="11">
        <f t="shared" si="106"/>
        <v>0</v>
      </c>
      <c r="J6820" s="11">
        <f>1/(H6820*Utilities!$B$11)</f>
        <v>8</v>
      </c>
      <c r="K6820" s="11">
        <f>IF(B6820&lt;C6820,1,EXP(-1*(B6820-C6820)/(Utilities!$B$11*IterData!H6820)))</f>
        <v>1</v>
      </c>
    </row>
    <row r="6821" spans="8:11" x14ac:dyDescent="0.3">
      <c r="H6821">
        <v>0.5</v>
      </c>
      <c r="I6821" s="11">
        <f t="shared" si="106"/>
        <v>0</v>
      </c>
      <c r="J6821" s="11">
        <f>1/(H6821*Utilities!$B$11)</f>
        <v>8</v>
      </c>
      <c r="K6821" s="11">
        <f>IF(B6821&lt;C6821,1,EXP(-1*(B6821-C6821)/(Utilities!$B$11*IterData!H6821)))</f>
        <v>1</v>
      </c>
    </row>
    <row r="6822" spans="8:11" x14ac:dyDescent="0.3">
      <c r="H6822">
        <v>0.5</v>
      </c>
      <c r="I6822" s="11">
        <f t="shared" si="106"/>
        <v>0</v>
      </c>
      <c r="J6822" s="11">
        <f>1/(H6822*Utilities!$B$11)</f>
        <v>8</v>
      </c>
      <c r="K6822" s="11">
        <f>IF(B6822&lt;C6822,1,EXP(-1*(B6822-C6822)/(Utilities!$B$11*IterData!H6822)))</f>
        <v>1</v>
      </c>
    </row>
    <row r="6823" spans="8:11" x14ac:dyDescent="0.3">
      <c r="H6823">
        <v>0.5</v>
      </c>
      <c r="I6823" s="11">
        <f t="shared" si="106"/>
        <v>0</v>
      </c>
      <c r="J6823" s="11">
        <f>1/(H6823*Utilities!$B$11)</f>
        <v>8</v>
      </c>
      <c r="K6823" s="11">
        <f>IF(B6823&lt;C6823,1,EXP(-1*(B6823-C6823)/(Utilities!$B$11*IterData!H6823)))</f>
        <v>1</v>
      </c>
    </row>
    <row r="6824" spans="8:11" x14ac:dyDescent="0.3">
      <c r="H6824">
        <v>0.5</v>
      </c>
      <c r="I6824" s="11">
        <f t="shared" si="106"/>
        <v>0</v>
      </c>
      <c r="J6824" s="11">
        <f>1/(H6824*Utilities!$B$11)</f>
        <v>8</v>
      </c>
      <c r="K6824" s="11">
        <f>IF(B6824&lt;C6824,1,EXP(-1*(B6824-C6824)/(Utilities!$B$11*IterData!H6824)))</f>
        <v>1</v>
      </c>
    </row>
    <row r="6825" spans="8:11" x14ac:dyDescent="0.3">
      <c r="H6825">
        <v>0.5</v>
      </c>
      <c r="I6825" s="11">
        <f t="shared" si="106"/>
        <v>0</v>
      </c>
      <c r="J6825" s="11">
        <f>1/(H6825*Utilities!$B$11)</f>
        <v>8</v>
      </c>
      <c r="K6825" s="11">
        <f>IF(B6825&lt;C6825,1,EXP(-1*(B6825-C6825)/(Utilities!$B$11*IterData!H6825)))</f>
        <v>1</v>
      </c>
    </row>
    <row r="6826" spans="8:11" x14ac:dyDescent="0.3">
      <c r="H6826">
        <v>0.5</v>
      </c>
      <c r="I6826" s="11">
        <f t="shared" si="106"/>
        <v>0</v>
      </c>
      <c r="J6826" s="11">
        <f>1/(H6826*Utilities!$B$11)</f>
        <v>8</v>
      </c>
      <c r="K6826" s="11">
        <f>IF(B6826&lt;C6826,1,EXP(-1*(B6826-C6826)/(Utilities!$B$11*IterData!H6826)))</f>
        <v>1</v>
      </c>
    </row>
    <row r="6827" spans="8:11" x14ac:dyDescent="0.3">
      <c r="H6827">
        <v>0.5</v>
      </c>
      <c r="I6827" s="11">
        <f t="shared" si="106"/>
        <v>0</v>
      </c>
      <c r="J6827" s="11">
        <f>1/(H6827*Utilities!$B$11)</f>
        <v>8</v>
      </c>
      <c r="K6827" s="11">
        <f>IF(B6827&lt;C6827,1,EXP(-1*(B6827-C6827)/(Utilities!$B$11*IterData!H6827)))</f>
        <v>1</v>
      </c>
    </row>
    <row r="6828" spans="8:11" x14ac:dyDescent="0.3">
      <c r="H6828">
        <v>0.5</v>
      </c>
      <c r="I6828" s="11">
        <f t="shared" si="106"/>
        <v>0</v>
      </c>
      <c r="J6828" s="11">
        <f>1/(H6828*Utilities!$B$11)</f>
        <v>8</v>
      </c>
      <c r="K6828" s="11">
        <f>IF(B6828&lt;C6828,1,EXP(-1*(B6828-C6828)/(Utilities!$B$11*IterData!H6828)))</f>
        <v>1</v>
      </c>
    </row>
    <row r="6829" spans="8:11" x14ac:dyDescent="0.3">
      <c r="H6829">
        <v>0.5</v>
      </c>
      <c r="I6829" s="11">
        <f t="shared" si="106"/>
        <v>0</v>
      </c>
      <c r="J6829" s="11">
        <f>1/(H6829*Utilities!$B$11)</f>
        <v>8</v>
      </c>
      <c r="K6829" s="11">
        <f>IF(B6829&lt;C6829,1,EXP(-1*(B6829-C6829)/(Utilities!$B$11*IterData!H6829)))</f>
        <v>1</v>
      </c>
    </row>
    <row r="6830" spans="8:11" x14ac:dyDescent="0.3">
      <c r="H6830">
        <v>0.5</v>
      </c>
      <c r="I6830" s="11">
        <f t="shared" si="106"/>
        <v>0</v>
      </c>
      <c r="J6830" s="11">
        <f>1/(H6830*Utilities!$B$11)</f>
        <v>8</v>
      </c>
      <c r="K6830" s="11">
        <f>IF(B6830&lt;C6830,1,EXP(-1*(B6830-C6830)/(Utilities!$B$11*IterData!H6830)))</f>
        <v>1</v>
      </c>
    </row>
    <row r="6831" spans="8:11" x14ac:dyDescent="0.3">
      <c r="H6831">
        <v>0.5</v>
      </c>
      <c r="I6831" s="11">
        <f t="shared" si="106"/>
        <v>0</v>
      </c>
      <c r="J6831" s="11">
        <f>1/(H6831*Utilities!$B$11)</f>
        <v>8</v>
      </c>
      <c r="K6831" s="11">
        <f>IF(B6831&lt;C6831,1,EXP(-1*(B6831-C6831)/(Utilities!$B$11*IterData!H6831)))</f>
        <v>1</v>
      </c>
    </row>
    <row r="6832" spans="8:11" x14ac:dyDescent="0.3">
      <c r="H6832">
        <v>0.5</v>
      </c>
      <c r="I6832" s="11">
        <f t="shared" si="106"/>
        <v>0</v>
      </c>
      <c r="J6832" s="11">
        <f>1/(H6832*Utilities!$B$11)</f>
        <v>8</v>
      </c>
      <c r="K6832" s="11">
        <f>IF(B6832&lt;C6832,1,EXP(-1*(B6832-C6832)/(Utilities!$B$11*IterData!H6832)))</f>
        <v>1</v>
      </c>
    </row>
    <row r="6833" spans="8:11" x14ac:dyDescent="0.3">
      <c r="H6833">
        <v>0.5</v>
      </c>
      <c r="I6833" s="11">
        <f t="shared" si="106"/>
        <v>0</v>
      </c>
      <c r="J6833" s="11">
        <f>1/(H6833*Utilities!$B$11)</f>
        <v>8</v>
      </c>
      <c r="K6833" s="11">
        <f>IF(B6833&lt;C6833,1,EXP(-1*(B6833-C6833)/(Utilities!$B$11*IterData!H6833)))</f>
        <v>1</v>
      </c>
    </row>
    <row r="6834" spans="8:11" x14ac:dyDescent="0.3">
      <c r="H6834">
        <v>0.5</v>
      </c>
      <c r="I6834" s="11">
        <f t="shared" si="106"/>
        <v>0</v>
      </c>
      <c r="J6834" s="11">
        <f>1/(H6834*Utilities!$B$11)</f>
        <v>8</v>
      </c>
      <c r="K6834" s="11">
        <f>IF(B6834&lt;C6834,1,EXP(-1*(B6834-C6834)/(Utilities!$B$11*IterData!H6834)))</f>
        <v>1</v>
      </c>
    </row>
    <row r="6835" spans="8:11" x14ac:dyDescent="0.3">
      <c r="H6835">
        <v>0.5</v>
      </c>
      <c r="I6835" s="11">
        <f t="shared" si="106"/>
        <v>0</v>
      </c>
      <c r="J6835" s="11">
        <f>1/(H6835*Utilities!$B$11)</f>
        <v>8</v>
      </c>
      <c r="K6835" s="11">
        <f>IF(B6835&lt;C6835,1,EXP(-1*(B6835-C6835)/(Utilities!$B$11*IterData!H6835)))</f>
        <v>1</v>
      </c>
    </row>
    <row r="6836" spans="8:11" x14ac:dyDescent="0.3">
      <c r="H6836">
        <v>0.5</v>
      </c>
      <c r="I6836" s="11">
        <f t="shared" si="106"/>
        <v>0</v>
      </c>
      <c r="J6836" s="11">
        <f>1/(H6836*Utilities!$B$11)</f>
        <v>8</v>
      </c>
      <c r="K6836" s="11">
        <f>IF(B6836&lt;C6836,1,EXP(-1*(B6836-C6836)/(Utilities!$B$11*IterData!H6836)))</f>
        <v>1</v>
      </c>
    </row>
    <row r="6837" spans="8:11" x14ac:dyDescent="0.3">
      <c r="H6837">
        <v>0.5</v>
      </c>
      <c r="I6837" s="11">
        <f t="shared" si="106"/>
        <v>0</v>
      </c>
      <c r="J6837" s="11">
        <f>1/(H6837*Utilities!$B$11)</f>
        <v>8</v>
      </c>
      <c r="K6837" s="11">
        <f>IF(B6837&lt;C6837,1,EXP(-1*(B6837-C6837)/(Utilities!$B$11*IterData!H6837)))</f>
        <v>1</v>
      </c>
    </row>
    <row r="6838" spans="8:11" x14ac:dyDescent="0.3">
      <c r="H6838">
        <v>0.5</v>
      </c>
      <c r="I6838" s="11">
        <f t="shared" si="106"/>
        <v>0</v>
      </c>
      <c r="J6838" s="11">
        <f>1/(H6838*Utilities!$B$11)</f>
        <v>8</v>
      </c>
      <c r="K6838" s="11">
        <f>IF(B6838&lt;C6838,1,EXP(-1*(B6838-C6838)/(Utilities!$B$11*IterData!H6838)))</f>
        <v>1</v>
      </c>
    </row>
    <row r="6839" spans="8:11" x14ac:dyDescent="0.3">
      <c r="H6839">
        <v>0.5</v>
      </c>
      <c r="I6839" s="11">
        <f t="shared" si="106"/>
        <v>0</v>
      </c>
      <c r="J6839" s="11">
        <f>1/(H6839*Utilities!$B$11)</f>
        <v>8</v>
      </c>
      <c r="K6839" s="11">
        <f>IF(B6839&lt;C6839,1,EXP(-1*(B6839-C6839)/(Utilities!$B$11*IterData!H6839)))</f>
        <v>1</v>
      </c>
    </row>
    <row r="6840" spans="8:11" x14ac:dyDescent="0.3">
      <c r="H6840">
        <v>0.5</v>
      </c>
      <c r="I6840" s="11">
        <f t="shared" si="106"/>
        <v>0</v>
      </c>
      <c r="J6840" s="11">
        <f>1/(H6840*Utilities!$B$11)</f>
        <v>8</v>
      </c>
      <c r="K6840" s="11">
        <f>IF(B6840&lt;C6840,1,EXP(-1*(B6840-C6840)/(Utilities!$B$11*IterData!H6840)))</f>
        <v>1</v>
      </c>
    </row>
    <row r="6841" spans="8:11" x14ac:dyDescent="0.3">
      <c r="H6841">
        <v>0.5</v>
      </c>
      <c r="I6841" s="11">
        <f t="shared" si="106"/>
        <v>0</v>
      </c>
      <c r="J6841" s="11">
        <f>1/(H6841*Utilities!$B$11)</f>
        <v>8</v>
      </c>
      <c r="K6841" s="11">
        <f>IF(B6841&lt;C6841,1,EXP(-1*(B6841-C6841)/(Utilities!$B$11*IterData!H6841)))</f>
        <v>1</v>
      </c>
    </row>
    <row r="6842" spans="8:11" x14ac:dyDescent="0.3">
      <c r="H6842">
        <v>0.5</v>
      </c>
      <c r="I6842" s="11">
        <f t="shared" si="106"/>
        <v>0</v>
      </c>
      <c r="J6842" s="11">
        <f>1/(H6842*Utilities!$B$11)</f>
        <v>8</v>
      </c>
      <c r="K6842" s="11">
        <f>IF(B6842&lt;C6842,1,EXP(-1*(B6842-C6842)/(Utilities!$B$11*IterData!H6842)))</f>
        <v>1</v>
      </c>
    </row>
    <row r="6843" spans="8:11" x14ac:dyDescent="0.3">
      <c r="H6843">
        <v>0.5</v>
      </c>
      <c r="I6843" s="11">
        <f t="shared" si="106"/>
        <v>0</v>
      </c>
      <c r="J6843" s="11">
        <f>1/(H6843*Utilities!$B$11)</f>
        <v>8</v>
      </c>
      <c r="K6843" s="11">
        <f>IF(B6843&lt;C6843,1,EXP(-1*(B6843-C6843)/(Utilities!$B$11*IterData!H6843)))</f>
        <v>1</v>
      </c>
    </row>
    <row r="6844" spans="8:11" x14ac:dyDescent="0.3">
      <c r="H6844">
        <v>0.5</v>
      </c>
      <c r="I6844" s="11">
        <f t="shared" si="106"/>
        <v>0</v>
      </c>
      <c r="J6844" s="11">
        <f>1/(H6844*Utilities!$B$11)</f>
        <v>8</v>
      </c>
      <c r="K6844" s="11">
        <f>IF(B6844&lt;C6844,1,EXP(-1*(B6844-C6844)/(Utilities!$B$11*IterData!H6844)))</f>
        <v>1</v>
      </c>
    </row>
    <row r="6845" spans="8:11" x14ac:dyDescent="0.3">
      <c r="H6845">
        <v>0.5</v>
      </c>
      <c r="I6845" s="11">
        <f t="shared" si="106"/>
        <v>0</v>
      </c>
      <c r="J6845" s="11">
        <f>1/(H6845*Utilities!$B$11)</f>
        <v>8</v>
      </c>
      <c r="K6845" s="11">
        <f>IF(B6845&lt;C6845,1,EXP(-1*(B6845-C6845)/(Utilities!$B$11*IterData!H6845)))</f>
        <v>1</v>
      </c>
    </row>
    <row r="6846" spans="8:11" x14ac:dyDescent="0.3">
      <c r="H6846">
        <v>0.5</v>
      </c>
      <c r="I6846" s="11">
        <f t="shared" si="106"/>
        <v>0</v>
      </c>
      <c r="J6846" s="11">
        <f>1/(H6846*Utilities!$B$11)</f>
        <v>8</v>
      </c>
      <c r="K6846" s="11">
        <f>IF(B6846&lt;C6846,1,EXP(-1*(B6846-C6846)/(Utilities!$B$11*IterData!H6846)))</f>
        <v>1</v>
      </c>
    </row>
    <row r="6847" spans="8:11" x14ac:dyDescent="0.3">
      <c r="H6847">
        <v>0.5</v>
      </c>
      <c r="I6847" s="11">
        <f t="shared" si="106"/>
        <v>0</v>
      </c>
      <c r="J6847" s="11">
        <f>1/(H6847*Utilities!$B$11)</f>
        <v>8</v>
      </c>
      <c r="K6847" s="11">
        <f>IF(B6847&lt;C6847,1,EXP(-1*(B6847-C6847)/(Utilities!$B$11*IterData!H6847)))</f>
        <v>1</v>
      </c>
    </row>
    <row r="6848" spans="8:11" x14ac:dyDescent="0.3">
      <c r="H6848">
        <v>0.5</v>
      </c>
      <c r="I6848" s="11">
        <f t="shared" si="106"/>
        <v>0</v>
      </c>
      <c r="J6848" s="11">
        <f>1/(H6848*Utilities!$B$11)</f>
        <v>8</v>
      </c>
      <c r="K6848" s="11">
        <f>IF(B6848&lt;C6848,1,EXP(-1*(B6848-C6848)/(Utilities!$B$11*IterData!H6848)))</f>
        <v>1</v>
      </c>
    </row>
    <row r="6849" spans="8:11" x14ac:dyDescent="0.3">
      <c r="H6849">
        <v>0.5</v>
      </c>
      <c r="I6849" s="11">
        <f t="shared" si="106"/>
        <v>0</v>
      </c>
      <c r="J6849" s="11">
        <f>1/(H6849*Utilities!$B$11)</f>
        <v>8</v>
      </c>
      <c r="K6849" s="11">
        <f>IF(B6849&lt;C6849,1,EXP(-1*(B6849-C6849)/(Utilities!$B$11*IterData!H6849)))</f>
        <v>1</v>
      </c>
    </row>
    <row r="6850" spans="8:11" x14ac:dyDescent="0.3">
      <c r="H6850">
        <v>0.5</v>
      </c>
      <c r="I6850" s="11">
        <f t="shared" si="106"/>
        <v>0</v>
      </c>
      <c r="J6850" s="11">
        <f>1/(H6850*Utilities!$B$11)</f>
        <v>8</v>
      </c>
      <c r="K6850" s="11">
        <f>IF(B6850&lt;C6850,1,EXP(-1*(B6850-C6850)/(Utilities!$B$11*IterData!H6850)))</f>
        <v>1</v>
      </c>
    </row>
    <row r="6851" spans="8:11" x14ac:dyDescent="0.3">
      <c r="H6851">
        <v>0.5</v>
      </c>
      <c r="I6851" s="11">
        <f t="shared" ref="I6851:I6914" si="107">B6851-C6851</f>
        <v>0</v>
      </c>
      <c r="J6851" s="11">
        <f>1/(H6851*Utilities!$B$11)</f>
        <v>8</v>
      </c>
      <c r="K6851" s="11">
        <f>IF(B6851&lt;C6851,1,EXP(-1*(B6851-C6851)/(Utilities!$B$11*IterData!H6851)))</f>
        <v>1</v>
      </c>
    </row>
    <row r="6852" spans="8:11" x14ac:dyDescent="0.3">
      <c r="H6852">
        <v>0.5</v>
      </c>
      <c r="I6852" s="11">
        <f t="shared" si="107"/>
        <v>0</v>
      </c>
      <c r="J6852" s="11">
        <f>1/(H6852*Utilities!$B$11)</f>
        <v>8</v>
      </c>
      <c r="K6852" s="11">
        <f>IF(B6852&lt;C6852,1,EXP(-1*(B6852-C6852)/(Utilities!$B$11*IterData!H6852)))</f>
        <v>1</v>
      </c>
    </row>
    <row r="6853" spans="8:11" x14ac:dyDescent="0.3">
      <c r="H6853">
        <v>0.5</v>
      </c>
      <c r="I6853" s="11">
        <f t="shared" si="107"/>
        <v>0</v>
      </c>
      <c r="J6853" s="11">
        <f>1/(H6853*Utilities!$B$11)</f>
        <v>8</v>
      </c>
      <c r="K6853" s="11">
        <f>IF(B6853&lt;C6853,1,EXP(-1*(B6853-C6853)/(Utilities!$B$11*IterData!H6853)))</f>
        <v>1</v>
      </c>
    </row>
    <row r="6854" spans="8:11" x14ac:dyDescent="0.3">
      <c r="H6854">
        <v>0.5</v>
      </c>
      <c r="I6854" s="11">
        <f t="shared" si="107"/>
        <v>0</v>
      </c>
      <c r="J6854" s="11">
        <f>1/(H6854*Utilities!$B$11)</f>
        <v>8</v>
      </c>
      <c r="K6854" s="11">
        <f>IF(B6854&lt;C6854,1,EXP(-1*(B6854-C6854)/(Utilities!$B$11*IterData!H6854)))</f>
        <v>1</v>
      </c>
    </row>
    <row r="6855" spans="8:11" x14ac:dyDescent="0.3">
      <c r="H6855">
        <v>0.5</v>
      </c>
      <c r="I6855" s="11">
        <f t="shared" si="107"/>
        <v>0</v>
      </c>
      <c r="J6855" s="11">
        <f>1/(H6855*Utilities!$B$11)</f>
        <v>8</v>
      </c>
      <c r="K6855" s="11">
        <f>IF(B6855&lt;C6855,1,EXP(-1*(B6855-C6855)/(Utilities!$B$11*IterData!H6855)))</f>
        <v>1</v>
      </c>
    </row>
    <row r="6856" spans="8:11" x14ac:dyDescent="0.3">
      <c r="H6856">
        <v>0.5</v>
      </c>
      <c r="I6856" s="11">
        <f t="shared" si="107"/>
        <v>0</v>
      </c>
      <c r="J6856" s="11">
        <f>1/(H6856*Utilities!$B$11)</f>
        <v>8</v>
      </c>
      <c r="K6856" s="11">
        <f>IF(B6856&lt;C6856,1,EXP(-1*(B6856-C6856)/(Utilities!$B$11*IterData!H6856)))</f>
        <v>1</v>
      </c>
    </row>
    <row r="6857" spans="8:11" x14ac:dyDescent="0.3">
      <c r="H6857">
        <v>0.5</v>
      </c>
      <c r="I6857" s="11">
        <f t="shared" si="107"/>
        <v>0</v>
      </c>
      <c r="J6857" s="11">
        <f>1/(H6857*Utilities!$B$11)</f>
        <v>8</v>
      </c>
      <c r="K6857" s="11">
        <f>IF(B6857&lt;C6857,1,EXP(-1*(B6857-C6857)/(Utilities!$B$11*IterData!H6857)))</f>
        <v>1</v>
      </c>
    </row>
    <row r="6858" spans="8:11" x14ac:dyDescent="0.3">
      <c r="H6858">
        <v>0.5</v>
      </c>
      <c r="I6858" s="11">
        <f t="shared" si="107"/>
        <v>0</v>
      </c>
      <c r="J6858" s="11">
        <f>1/(H6858*Utilities!$B$11)</f>
        <v>8</v>
      </c>
      <c r="K6858" s="11">
        <f>IF(B6858&lt;C6858,1,EXP(-1*(B6858-C6858)/(Utilities!$B$11*IterData!H6858)))</f>
        <v>1</v>
      </c>
    </row>
    <row r="6859" spans="8:11" x14ac:dyDescent="0.3">
      <c r="H6859">
        <v>0.5</v>
      </c>
      <c r="I6859" s="11">
        <f t="shared" si="107"/>
        <v>0</v>
      </c>
      <c r="J6859" s="11">
        <f>1/(H6859*Utilities!$B$11)</f>
        <v>8</v>
      </c>
      <c r="K6859" s="11">
        <f>IF(B6859&lt;C6859,1,EXP(-1*(B6859-C6859)/(Utilities!$B$11*IterData!H6859)))</f>
        <v>1</v>
      </c>
    </row>
    <row r="6860" spans="8:11" x14ac:dyDescent="0.3">
      <c r="H6860">
        <v>0.5</v>
      </c>
      <c r="I6860" s="11">
        <f t="shared" si="107"/>
        <v>0</v>
      </c>
      <c r="J6860" s="11">
        <f>1/(H6860*Utilities!$B$11)</f>
        <v>8</v>
      </c>
      <c r="K6860" s="11">
        <f>IF(B6860&lt;C6860,1,EXP(-1*(B6860-C6860)/(Utilities!$B$11*IterData!H6860)))</f>
        <v>1</v>
      </c>
    </row>
    <row r="6861" spans="8:11" x14ac:dyDescent="0.3">
      <c r="H6861">
        <v>0.5</v>
      </c>
      <c r="I6861" s="11">
        <f t="shared" si="107"/>
        <v>0</v>
      </c>
      <c r="J6861" s="11">
        <f>1/(H6861*Utilities!$B$11)</f>
        <v>8</v>
      </c>
      <c r="K6861" s="11">
        <f>IF(B6861&lt;C6861,1,EXP(-1*(B6861-C6861)/(Utilities!$B$11*IterData!H6861)))</f>
        <v>1</v>
      </c>
    </row>
    <row r="6862" spans="8:11" x14ac:dyDescent="0.3">
      <c r="H6862">
        <v>0.5</v>
      </c>
      <c r="I6862" s="11">
        <f t="shared" si="107"/>
        <v>0</v>
      </c>
      <c r="J6862" s="11">
        <f>1/(H6862*Utilities!$B$11)</f>
        <v>8</v>
      </c>
      <c r="K6862" s="11">
        <f>IF(B6862&lt;C6862,1,EXP(-1*(B6862-C6862)/(Utilities!$B$11*IterData!H6862)))</f>
        <v>1</v>
      </c>
    </row>
    <row r="6863" spans="8:11" x14ac:dyDescent="0.3">
      <c r="H6863">
        <v>0.5</v>
      </c>
      <c r="I6863" s="11">
        <f t="shared" si="107"/>
        <v>0</v>
      </c>
      <c r="J6863" s="11">
        <f>1/(H6863*Utilities!$B$11)</f>
        <v>8</v>
      </c>
      <c r="K6863" s="11">
        <f>IF(B6863&lt;C6863,1,EXP(-1*(B6863-C6863)/(Utilities!$B$11*IterData!H6863)))</f>
        <v>1</v>
      </c>
    </row>
    <row r="6864" spans="8:11" x14ac:dyDescent="0.3">
      <c r="H6864">
        <v>0.5</v>
      </c>
      <c r="I6864" s="11">
        <f t="shared" si="107"/>
        <v>0</v>
      </c>
      <c r="J6864" s="11">
        <f>1/(H6864*Utilities!$B$11)</f>
        <v>8</v>
      </c>
      <c r="K6864" s="11">
        <f>IF(B6864&lt;C6864,1,EXP(-1*(B6864-C6864)/(Utilities!$B$11*IterData!H6864)))</f>
        <v>1</v>
      </c>
    </row>
    <row r="6865" spans="8:11" x14ac:dyDescent="0.3">
      <c r="H6865">
        <v>0.5</v>
      </c>
      <c r="I6865" s="11">
        <f t="shared" si="107"/>
        <v>0</v>
      </c>
      <c r="J6865" s="11">
        <f>1/(H6865*Utilities!$B$11)</f>
        <v>8</v>
      </c>
      <c r="K6865" s="11">
        <f>IF(B6865&lt;C6865,1,EXP(-1*(B6865-C6865)/(Utilities!$B$11*IterData!H6865)))</f>
        <v>1</v>
      </c>
    </row>
    <row r="6866" spans="8:11" x14ac:dyDescent="0.3">
      <c r="H6866">
        <v>0.5</v>
      </c>
      <c r="I6866" s="11">
        <f t="shared" si="107"/>
        <v>0</v>
      </c>
      <c r="J6866" s="11">
        <f>1/(H6866*Utilities!$B$11)</f>
        <v>8</v>
      </c>
      <c r="K6866" s="11">
        <f>IF(B6866&lt;C6866,1,EXP(-1*(B6866-C6866)/(Utilities!$B$11*IterData!H6866)))</f>
        <v>1</v>
      </c>
    </row>
    <row r="6867" spans="8:11" x14ac:dyDescent="0.3">
      <c r="H6867">
        <v>0.5</v>
      </c>
      <c r="I6867" s="11">
        <f t="shared" si="107"/>
        <v>0</v>
      </c>
      <c r="J6867" s="11">
        <f>1/(H6867*Utilities!$B$11)</f>
        <v>8</v>
      </c>
      <c r="K6867" s="11">
        <f>IF(B6867&lt;C6867,1,EXP(-1*(B6867-C6867)/(Utilities!$B$11*IterData!H6867)))</f>
        <v>1</v>
      </c>
    </row>
    <row r="6868" spans="8:11" x14ac:dyDescent="0.3">
      <c r="H6868">
        <v>0.5</v>
      </c>
      <c r="I6868" s="11">
        <f t="shared" si="107"/>
        <v>0</v>
      </c>
      <c r="J6868" s="11">
        <f>1/(H6868*Utilities!$B$11)</f>
        <v>8</v>
      </c>
      <c r="K6868" s="11">
        <f>IF(B6868&lt;C6868,1,EXP(-1*(B6868-C6868)/(Utilities!$B$11*IterData!H6868)))</f>
        <v>1</v>
      </c>
    </row>
    <row r="6869" spans="8:11" x14ac:dyDescent="0.3">
      <c r="H6869">
        <v>0.5</v>
      </c>
      <c r="I6869" s="11">
        <f t="shared" si="107"/>
        <v>0</v>
      </c>
      <c r="J6869" s="11">
        <f>1/(H6869*Utilities!$B$11)</f>
        <v>8</v>
      </c>
      <c r="K6869" s="11">
        <f>IF(B6869&lt;C6869,1,EXP(-1*(B6869-C6869)/(Utilities!$B$11*IterData!H6869)))</f>
        <v>1</v>
      </c>
    </row>
    <row r="6870" spans="8:11" x14ac:dyDescent="0.3">
      <c r="H6870">
        <v>0.5</v>
      </c>
      <c r="I6870" s="11">
        <f t="shared" si="107"/>
        <v>0</v>
      </c>
      <c r="J6870" s="11">
        <f>1/(H6870*Utilities!$B$11)</f>
        <v>8</v>
      </c>
      <c r="K6870" s="11">
        <f>IF(B6870&lt;C6870,1,EXP(-1*(B6870-C6870)/(Utilities!$B$11*IterData!H6870)))</f>
        <v>1</v>
      </c>
    </row>
    <row r="6871" spans="8:11" x14ac:dyDescent="0.3">
      <c r="H6871">
        <v>0.5</v>
      </c>
      <c r="I6871" s="11">
        <f t="shared" si="107"/>
        <v>0</v>
      </c>
      <c r="J6871" s="11">
        <f>1/(H6871*Utilities!$B$11)</f>
        <v>8</v>
      </c>
      <c r="K6871" s="11">
        <f>IF(B6871&lt;C6871,1,EXP(-1*(B6871-C6871)/(Utilities!$B$11*IterData!H6871)))</f>
        <v>1</v>
      </c>
    </row>
    <row r="6872" spans="8:11" x14ac:dyDescent="0.3">
      <c r="H6872">
        <v>0.5</v>
      </c>
      <c r="I6872" s="11">
        <f t="shared" si="107"/>
        <v>0</v>
      </c>
      <c r="J6872" s="11">
        <f>1/(H6872*Utilities!$B$11)</f>
        <v>8</v>
      </c>
      <c r="K6872" s="11">
        <f>IF(B6872&lt;C6872,1,EXP(-1*(B6872-C6872)/(Utilities!$B$11*IterData!H6872)))</f>
        <v>1</v>
      </c>
    </row>
    <row r="6873" spans="8:11" x14ac:dyDescent="0.3">
      <c r="H6873">
        <v>0.5</v>
      </c>
      <c r="I6873" s="11">
        <f t="shared" si="107"/>
        <v>0</v>
      </c>
      <c r="J6873" s="11">
        <f>1/(H6873*Utilities!$B$11)</f>
        <v>8</v>
      </c>
      <c r="K6873" s="11">
        <f>IF(B6873&lt;C6873,1,EXP(-1*(B6873-C6873)/(Utilities!$B$11*IterData!H6873)))</f>
        <v>1</v>
      </c>
    </row>
    <row r="6874" spans="8:11" x14ac:dyDescent="0.3">
      <c r="H6874">
        <v>0.5</v>
      </c>
      <c r="I6874" s="11">
        <f t="shared" si="107"/>
        <v>0</v>
      </c>
      <c r="J6874" s="11">
        <f>1/(H6874*Utilities!$B$11)</f>
        <v>8</v>
      </c>
      <c r="K6874" s="11">
        <f>IF(B6874&lt;C6874,1,EXP(-1*(B6874-C6874)/(Utilities!$B$11*IterData!H6874)))</f>
        <v>1</v>
      </c>
    </row>
    <row r="6875" spans="8:11" x14ac:dyDescent="0.3">
      <c r="H6875">
        <v>0.5</v>
      </c>
      <c r="I6875" s="11">
        <f t="shared" si="107"/>
        <v>0</v>
      </c>
      <c r="J6875" s="11">
        <f>1/(H6875*Utilities!$B$11)</f>
        <v>8</v>
      </c>
      <c r="K6875" s="11">
        <f>IF(B6875&lt;C6875,1,EXP(-1*(B6875-C6875)/(Utilities!$B$11*IterData!H6875)))</f>
        <v>1</v>
      </c>
    </row>
    <row r="6876" spans="8:11" x14ac:dyDescent="0.3">
      <c r="H6876">
        <v>0.5</v>
      </c>
      <c r="I6876" s="11">
        <f t="shared" si="107"/>
        <v>0</v>
      </c>
      <c r="J6876" s="11">
        <f>1/(H6876*Utilities!$B$11)</f>
        <v>8</v>
      </c>
      <c r="K6876" s="11">
        <f>IF(B6876&lt;C6876,1,EXP(-1*(B6876-C6876)/(Utilities!$B$11*IterData!H6876)))</f>
        <v>1</v>
      </c>
    </row>
    <row r="6877" spans="8:11" x14ac:dyDescent="0.3">
      <c r="H6877">
        <v>0.5</v>
      </c>
      <c r="I6877" s="11">
        <f t="shared" si="107"/>
        <v>0</v>
      </c>
      <c r="J6877" s="11">
        <f>1/(H6877*Utilities!$B$11)</f>
        <v>8</v>
      </c>
      <c r="K6877" s="11">
        <f>IF(B6877&lt;C6877,1,EXP(-1*(B6877-C6877)/(Utilities!$B$11*IterData!H6877)))</f>
        <v>1</v>
      </c>
    </row>
    <row r="6878" spans="8:11" x14ac:dyDescent="0.3">
      <c r="H6878">
        <v>0.5</v>
      </c>
      <c r="I6878" s="11">
        <f t="shared" si="107"/>
        <v>0</v>
      </c>
      <c r="J6878" s="11">
        <f>1/(H6878*Utilities!$B$11)</f>
        <v>8</v>
      </c>
      <c r="K6878" s="11">
        <f>IF(B6878&lt;C6878,1,EXP(-1*(B6878-C6878)/(Utilities!$B$11*IterData!H6878)))</f>
        <v>1</v>
      </c>
    </row>
    <row r="6879" spans="8:11" x14ac:dyDescent="0.3">
      <c r="H6879">
        <v>0.5</v>
      </c>
      <c r="I6879" s="11">
        <f t="shared" si="107"/>
        <v>0</v>
      </c>
      <c r="J6879" s="11">
        <f>1/(H6879*Utilities!$B$11)</f>
        <v>8</v>
      </c>
      <c r="K6879" s="11">
        <f>IF(B6879&lt;C6879,1,EXP(-1*(B6879-C6879)/(Utilities!$B$11*IterData!H6879)))</f>
        <v>1</v>
      </c>
    </row>
    <row r="6880" spans="8:11" x14ac:dyDescent="0.3">
      <c r="H6880">
        <v>0.5</v>
      </c>
      <c r="I6880" s="11">
        <f t="shared" si="107"/>
        <v>0</v>
      </c>
      <c r="J6880" s="11">
        <f>1/(H6880*Utilities!$B$11)</f>
        <v>8</v>
      </c>
      <c r="K6880" s="11">
        <f>IF(B6880&lt;C6880,1,EXP(-1*(B6880-C6880)/(Utilities!$B$11*IterData!H6880)))</f>
        <v>1</v>
      </c>
    </row>
    <row r="6881" spans="8:11" x14ac:dyDescent="0.3">
      <c r="H6881">
        <v>0.5</v>
      </c>
      <c r="I6881" s="11">
        <f t="shared" si="107"/>
        <v>0</v>
      </c>
      <c r="J6881" s="11">
        <f>1/(H6881*Utilities!$B$11)</f>
        <v>8</v>
      </c>
      <c r="K6881" s="11">
        <f>IF(B6881&lt;C6881,1,EXP(-1*(B6881-C6881)/(Utilities!$B$11*IterData!H6881)))</f>
        <v>1</v>
      </c>
    </row>
    <row r="6882" spans="8:11" x14ac:dyDescent="0.3">
      <c r="H6882">
        <v>0.5</v>
      </c>
      <c r="I6882" s="11">
        <f t="shared" si="107"/>
        <v>0</v>
      </c>
      <c r="J6882" s="11">
        <f>1/(H6882*Utilities!$B$11)</f>
        <v>8</v>
      </c>
      <c r="K6882" s="11">
        <f>IF(B6882&lt;C6882,1,EXP(-1*(B6882-C6882)/(Utilities!$B$11*IterData!H6882)))</f>
        <v>1</v>
      </c>
    </row>
    <row r="6883" spans="8:11" x14ac:dyDescent="0.3">
      <c r="H6883">
        <v>0.5</v>
      </c>
      <c r="I6883" s="11">
        <f t="shared" si="107"/>
        <v>0</v>
      </c>
      <c r="J6883" s="11">
        <f>1/(H6883*Utilities!$B$11)</f>
        <v>8</v>
      </c>
      <c r="K6883" s="11">
        <f>IF(B6883&lt;C6883,1,EXP(-1*(B6883-C6883)/(Utilities!$B$11*IterData!H6883)))</f>
        <v>1</v>
      </c>
    </row>
    <row r="6884" spans="8:11" x14ac:dyDescent="0.3">
      <c r="H6884">
        <v>0.5</v>
      </c>
      <c r="I6884" s="11">
        <f t="shared" si="107"/>
        <v>0</v>
      </c>
      <c r="J6884" s="11">
        <f>1/(H6884*Utilities!$B$11)</f>
        <v>8</v>
      </c>
      <c r="K6884" s="11">
        <f>IF(B6884&lt;C6884,1,EXP(-1*(B6884-C6884)/(Utilities!$B$11*IterData!H6884)))</f>
        <v>1</v>
      </c>
    </row>
    <row r="6885" spans="8:11" x14ac:dyDescent="0.3">
      <c r="H6885">
        <v>0.5</v>
      </c>
      <c r="I6885" s="11">
        <f t="shared" si="107"/>
        <v>0</v>
      </c>
      <c r="J6885" s="11">
        <f>1/(H6885*Utilities!$B$11)</f>
        <v>8</v>
      </c>
      <c r="K6885" s="11">
        <f>IF(B6885&lt;C6885,1,EXP(-1*(B6885-C6885)/(Utilities!$B$11*IterData!H6885)))</f>
        <v>1</v>
      </c>
    </row>
    <row r="6886" spans="8:11" x14ac:dyDescent="0.3">
      <c r="H6886">
        <v>0.5</v>
      </c>
      <c r="I6886" s="11">
        <f t="shared" si="107"/>
        <v>0</v>
      </c>
      <c r="J6886" s="11">
        <f>1/(H6886*Utilities!$B$11)</f>
        <v>8</v>
      </c>
      <c r="K6886" s="11">
        <f>IF(B6886&lt;C6886,1,EXP(-1*(B6886-C6886)/(Utilities!$B$11*IterData!H6886)))</f>
        <v>1</v>
      </c>
    </row>
    <row r="6887" spans="8:11" x14ac:dyDescent="0.3">
      <c r="H6887">
        <v>0.5</v>
      </c>
      <c r="I6887" s="11">
        <f t="shared" si="107"/>
        <v>0</v>
      </c>
      <c r="J6887" s="11">
        <f>1/(H6887*Utilities!$B$11)</f>
        <v>8</v>
      </c>
      <c r="K6887" s="11">
        <f>IF(B6887&lt;C6887,1,EXP(-1*(B6887-C6887)/(Utilities!$B$11*IterData!H6887)))</f>
        <v>1</v>
      </c>
    </row>
    <row r="6888" spans="8:11" x14ac:dyDescent="0.3">
      <c r="H6888">
        <v>0.5</v>
      </c>
      <c r="I6888" s="11">
        <f t="shared" si="107"/>
        <v>0</v>
      </c>
      <c r="J6888" s="11">
        <f>1/(H6888*Utilities!$B$11)</f>
        <v>8</v>
      </c>
      <c r="K6888" s="11">
        <f>IF(B6888&lt;C6888,1,EXP(-1*(B6888-C6888)/(Utilities!$B$11*IterData!H6888)))</f>
        <v>1</v>
      </c>
    </row>
    <row r="6889" spans="8:11" x14ac:dyDescent="0.3">
      <c r="H6889">
        <v>0.5</v>
      </c>
      <c r="I6889" s="11">
        <f t="shared" si="107"/>
        <v>0</v>
      </c>
      <c r="J6889" s="11">
        <f>1/(H6889*Utilities!$B$11)</f>
        <v>8</v>
      </c>
      <c r="K6889" s="11">
        <f>IF(B6889&lt;C6889,1,EXP(-1*(B6889-C6889)/(Utilities!$B$11*IterData!H6889)))</f>
        <v>1</v>
      </c>
    </row>
    <row r="6890" spans="8:11" x14ac:dyDescent="0.3">
      <c r="H6890">
        <v>0.5</v>
      </c>
      <c r="I6890" s="11">
        <f t="shared" si="107"/>
        <v>0</v>
      </c>
      <c r="J6890" s="11">
        <f>1/(H6890*Utilities!$B$11)</f>
        <v>8</v>
      </c>
      <c r="K6890" s="11">
        <f>IF(B6890&lt;C6890,1,EXP(-1*(B6890-C6890)/(Utilities!$B$11*IterData!H6890)))</f>
        <v>1</v>
      </c>
    </row>
    <row r="6891" spans="8:11" x14ac:dyDescent="0.3">
      <c r="H6891">
        <v>0.5</v>
      </c>
      <c r="I6891" s="11">
        <f t="shared" si="107"/>
        <v>0</v>
      </c>
      <c r="J6891" s="11">
        <f>1/(H6891*Utilities!$B$11)</f>
        <v>8</v>
      </c>
      <c r="K6891" s="11">
        <f>IF(B6891&lt;C6891,1,EXP(-1*(B6891-C6891)/(Utilities!$B$11*IterData!H6891)))</f>
        <v>1</v>
      </c>
    </row>
    <row r="6892" spans="8:11" x14ac:dyDescent="0.3">
      <c r="H6892">
        <v>0.5</v>
      </c>
      <c r="I6892" s="11">
        <f t="shared" si="107"/>
        <v>0</v>
      </c>
      <c r="J6892" s="11">
        <f>1/(H6892*Utilities!$B$11)</f>
        <v>8</v>
      </c>
      <c r="K6892" s="11">
        <f>IF(B6892&lt;C6892,1,EXP(-1*(B6892-C6892)/(Utilities!$B$11*IterData!H6892)))</f>
        <v>1</v>
      </c>
    </row>
    <row r="6893" spans="8:11" x14ac:dyDescent="0.3">
      <c r="H6893">
        <v>0.5</v>
      </c>
      <c r="I6893" s="11">
        <f t="shared" si="107"/>
        <v>0</v>
      </c>
      <c r="J6893" s="11">
        <f>1/(H6893*Utilities!$B$11)</f>
        <v>8</v>
      </c>
      <c r="K6893" s="11">
        <f>IF(B6893&lt;C6893,1,EXP(-1*(B6893-C6893)/(Utilities!$B$11*IterData!H6893)))</f>
        <v>1</v>
      </c>
    </row>
    <row r="6894" spans="8:11" x14ac:dyDescent="0.3">
      <c r="H6894">
        <v>0.5</v>
      </c>
      <c r="I6894" s="11">
        <f t="shared" si="107"/>
        <v>0</v>
      </c>
      <c r="J6894" s="11">
        <f>1/(H6894*Utilities!$B$11)</f>
        <v>8</v>
      </c>
      <c r="K6894" s="11">
        <f>IF(B6894&lt;C6894,1,EXP(-1*(B6894-C6894)/(Utilities!$B$11*IterData!H6894)))</f>
        <v>1</v>
      </c>
    </row>
    <row r="6895" spans="8:11" x14ac:dyDescent="0.3">
      <c r="H6895">
        <v>0.5</v>
      </c>
      <c r="I6895" s="11">
        <f t="shared" si="107"/>
        <v>0</v>
      </c>
      <c r="J6895" s="11">
        <f>1/(H6895*Utilities!$B$11)</f>
        <v>8</v>
      </c>
      <c r="K6895" s="11">
        <f>IF(B6895&lt;C6895,1,EXP(-1*(B6895-C6895)/(Utilities!$B$11*IterData!H6895)))</f>
        <v>1</v>
      </c>
    </row>
    <row r="6896" spans="8:11" x14ac:dyDescent="0.3">
      <c r="H6896">
        <v>0.5</v>
      </c>
      <c r="I6896" s="11">
        <f t="shared" si="107"/>
        <v>0</v>
      </c>
      <c r="J6896" s="11">
        <f>1/(H6896*Utilities!$B$11)</f>
        <v>8</v>
      </c>
      <c r="K6896" s="11">
        <f>IF(B6896&lt;C6896,1,EXP(-1*(B6896-C6896)/(Utilities!$B$11*IterData!H6896)))</f>
        <v>1</v>
      </c>
    </row>
    <row r="6897" spans="8:11" x14ac:dyDescent="0.3">
      <c r="H6897">
        <v>0.5</v>
      </c>
      <c r="I6897" s="11">
        <f t="shared" si="107"/>
        <v>0</v>
      </c>
      <c r="J6897" s="11">
        <f>1/(H6897*Utilities!$B$11)</f>
        <v>8</v>
      </c>
      <c r="K6897" s="11">
        <f>IF(B6897&lt;C6897,1,EXP(-1*(B6897-C6897)/(Utilities!$B$11*IterData!H6897)))</f>
        <v>1</v>
      </c>
    </row>
    <row r="6898" spans="8:11" x14ac:dyDescent="0.3">
      <c r="H6898">
        <v>0.5</v>
      </c>
      <c r="I6898" s="11">
        <f t="shared" si="107"/>
        <v>0</v>
      </c>
      <c r="J6898" s="11">
        <f>1/(H6898*Utilities!$B$11)</f>
        <v>8</v>
      </c>
      <c r="K6898" s="11">
        <f>IF(B6898&lt;C6898,1,EXP(-1*(B6898-C6898)/(Utilities!$B$11*IterData!H6898)))</f>
        <v>1</v>
      </c>
    </row>
    <row r="6899" spans="8:11" x14ac:dyDescent="0.3">
      <c r="H6899">
        <v>0.5</v>
      </c>
      <c r="I6899" s="11">
        <f t="shared" si="107"/>
        <v>0</v>
      </c>
      <c r="J6899" s="11">
        <f>1/(H6899*Utilities!$B$11)</f>
        <v>8</v>
      </c>
      <c r="K6899" s="11">
        <f>IF(B6899&lt;C6899,1,EXP(-1*(B6899-C6899)/(Utilities!$B$11*IterData!H6899)))</f>
        <v>1</v>
      </c>
    </row>
    <row r="6900" spans="8:11" x14ac:dyDescent="0.3">
      <c r="H6900">
        <v>0.5</v>
      </c>
      <c r="I6900" s="11">
        <f t="shared" si="107"/>
        <v>0</v>
      </c>
      <c r="J6900" s="11">
        <f>1/(H6900*Utilities!$B$11)</f>
        <v>8</v>
      </c>
      <c r="K6900" s="11">
        <f>IF(B6900&lt;C6900,1,EXP(-1*(B6900-C6900)/(Utilities!$B$11*IterData!H6900)))</f>
        <v>1</v>
      </c>
    </row>
    <row r="6901" spans="8:11" x14ac:dyDescent="0.3">
      <c r="H6901">
        <v>0.5</v>
      </c>
      <c r="I6901" s="11">
        <f t="shared" si="107"/>
        <v>0</v>
      </c>
      <c r="J6901" s="11">
        <f>1/(H6901*Utilities!$B$11)</f>
        <v>8</v>
      </c>
      <c r="K6901" s="11">
        <f>IF(B6901&lt;C6901,1,EXP(-1*(B6901-C6901)/(Utilities!$B$11*IterData!H6901)))</f>
        <v>1</v>
      </c>
    </row>
    <row r="6902" spans="8:11" x14ac:dyDescent="0.3">
      <c r="H6902">
        <v>0.5</v>
      </c>
      <c r="I6902" s="11">
        <f t="shared" si="107"/>
        <v>0</v>
      </c>
      <c r="J6902" s="11">
        <f>1/(H6902*Utilities!$B$11)</f>
        <v>8</v>
      </c>
      <c r="K6902" s="11">
        <f>IF(B6902&lt;C6902,1,EXP(-1*(B6902-C6902)/(Utilities!$B$11*IterData!H6902)))</f>
        <v>1</v>
      </c>
    </row>
    <row r="6903" spans="8:11" x14ac:dyDescent="0.3">
      <c r="H6903">
        <v>0.5</v>
      </c>
      <c r="I6903" s="11">
        <f t="shared" si="107"/>
        <v>0</v>
      </c>
      <c r="J6903" s="11">
        <f>1/(H6903*Utilities!$B$11)</f>
        <v>8</v>
      </c>
      <c r="K6903" s="11">
        <f>IF(B6903&lt;C6903,1,EXP(-1*(B6903-C6903)/(Utilities!$B$11*IterData!H6903)))</f>
        <v>1</v>
      </c>
    </row>
    <row r="6904" spans="8:11" x14ac:dyDescent="0.3">
      <c r="H6904">
        <v>0.5</v>
      </c>
      <c r="I6904" s="11">
        <f t="shared" si="107"/>
        <v>0</v>
      </c>
      <c r="J6904" s="11">
        <f>1/(H6904*Utilities!$B$11)</f>
        <v>8</v>
      </c>
      <c r="K6904" s="11">
        <f>IF(B6904&lt;C6904,1,EXP(-1*(B6904-C6904)/(Utilities!$B$11*IterData!H6904)))</f>
        <v>1</v>
      </c>
    </row>
    <row r="6905" spans="8:11" x14ac:dyDescent="0.3">
      <c r="H6905">
        <v>0.5</v>
      </c>
      <c r="I6905" s="11">
        <f t="shared" si="107"/>
        <v>0</v>
      </c>
      <c r="J6905" s="11">
        <f>1/(H6905*Utilities!$B$11)</f>
        <v>8</v>
      </c>
      <c r="K6905" s="11">
        <f>IF(B6905&lt;C6905,1,EXP(-1*(B6905-C6905)/(Utilities!$B$11*IterData!H6905)))</f>
        <v>1</v>
      </c>
    </row>
    <row r="6906" spans="8:11" x14ac:dyDescent="0.3">
      <c r="H6906">
        <v>0.5</v>
      </c>
      <c r="I6906" s="11">
        <f t="shared" si="107"/>
        <v>0</v>
      </c>
      <c r="J6906" s="11">
        <f>1/(H6906*Utilities!$B$11)</f>
        <v>8</v>
      </c>
      <c r="K6906" s="11">
        <f>IF(B6906&lt;C6906,1,EXP(-1*(B6906-C6906)/(Utilities!$B$11*IterData!H6906)))</f>
        <v>1</v>
      </c>
    </row>
    <row r="6907" spans="8:11" x14ac:dyDescent="0.3">
      <c r="H6907">
        <v>0.5</v>
      </c>
      <c r="I6907" s="11">
        <f t="shared" si="107"/>
        <v>0</v>
      </c>
      <c r="J6907" s="11">
        <f>1/(H6907*Utilities!$B$11)</f>
        <v>8</v>
      </c>
      <c r="K6907" s="11">
        <f>IF(B6907&lt;C6907,1,EXP(-1*(B6907-C6907)/(Utilities!$B$11*IterData!H6907)))</f>
        <v>1</v>
      </c>
    </row>
    <row r="6908" spans="8:11" x14ac:dyDescent="0.3">
      <c r="H6908">
        <v>0.5</v>
      </c>
      <c r="I6908" s="11">
        <f t="shared" si="107"/>
        <v>0</v>
      </c>
      <c r="J6908" s="11">
        <f>1/(H6908*Utilities!$B$11)</f>
        <v>8</v>
      </c>
      <c r="K6908" s="11">
        <f>IF(B6908&lt;C6908,1,EXP(-1*(B6908-C6908)/(Utilities!$B$11*IterData!H6908)))</f>
        <v>1</v>
      </c>
    </row>
    <row r="6909" spans="8:11" x14ac:dyDescent="0.3">
      <c r="H6909">
        <v>0.5</v>
      </c>
      <c r="I6909" s="11">
        <f t="shared" si="107"/>
        <v>0</v>
      </c>
      <c r="J6909" s="11">
        <f>1/(H6909*Utilities!$B$11)</f>
        <v>8</v>
      </c>
      <c r="K6909" s="11">
        <f>IF(B6909&lt;C6909,1,EXP(-1*(B6909-C6909)/(Utilities!$B$11*IterData!H6909)))</f>
        <v>1</v>
      </c>
    </row>
    <row r="6910" spans="8:11" x14ac:dyDescent="0.3">
      <c r="H6910">
        <v>0.5</v>
      </c>
      <c r="I6910" s="11">
        <f t="shared" si="107"/>
        <v>0</v>
      </c>
      <c r="J6910" s="11">
        <f>1/(H6910*Utilities!$B$11)</f>
        <v>8</v>
      </c>
      <c r="K6910" s="11">
        <f>IF(B6910&lt;C6910,1,EXP(-1*(B6910-C6910)/(Utilities!$B$11*IterData!H6910)))</f>
        <v>1</v>
      </c>
    </row>
    <row r="6911" spans="8:11" x14ac:dyDescent="0.3">
      <c r="H6911">
        <v>0.5</v>
      </c>
      <c r="I6911" s="11">
        <f t="shared" si="107"/>
        <v>0</v>
      </c>
      <c r="J6911" s="11">
        <f>1/(H6911*Utilities!$B$11)</f>
        <v>8</v>
      </c>
      <c r="K6911" s="11">
        <f>IF(B6911&lt;C6911,1,EXP(-1*(B6911-C6911)/(Utilities!$B$11*IterData!H6911)))</f>
        <v>1</v>
      </c>
    </row>
    <row r="6912" spans="8:11" x14ac:dyDescent="0.3">
      <c r="H6912">
        <v>0.5</v>
      </c>
      <c r="I6912" s="11">
        <f t="shared" si="107"/>
        <v>0</v>
      </c>
      <c r="J6912" s="11">
        <f>1/(H6912*Utilities!$B$11)</f>
        <v>8</v>
      </c>
      <c r="K6912" s="11">
        <f>IF(B6912&lt;C6912,1,EXP(-1*(B6912-C6912)/(Utilities!$B$11*IterData!H6912)))</f>
        <v>1</v>
      </c>
    </row>
    <row r="6913" spans="8:11" x14ac:dyDescent="0.3">
      <c r="H6913">
        <v>0.5</v>
      </c>
      <c r="I6913" s="11">
        <f t="shared" si="107"/>
        <v>0</v>
      </c>
      <c r="J6913" s="11">
        <f>1/(H6913*Utilities!$B$11)</f>
        <v>8</v>
      </c>
      <c r="K6913" s="11">
        <f>IF(B6913&lt;C6913,1,EXP(-1*(B6913-C6913)/(Utilities!$B$11*IterData!H6913)))</f>
        <v>1</v>
      </c>
    </row>
    <row r="6914" spans="8:11" x14ac:dyDescent="0.3">
      <c r="H6914">
        <v>0.5</v>
      </c>
      <c r="I6914" s="11">
        <f t="shared" si="107"/>
        <v>0</v>
      </c>
      <c r="J6914" s="11">
        <f>1/(H6914*Utilities!$B$11)</f>
        <v>8</v>
      </c>
      <c r="K6914" s="11">
        <f>IF(B6914&lt;C6914,1,EXP(-1*(B6914-C6914)/(Utilities!$B$11*IterData!H6914)))</f>
        <v>1</v>
      </c>
    </row>
    <row r="6915" spans="8:11" x14ac:dyDescent="0.3">
      <c r="H6915">
        <v>0.5</v>
      </c>
      <c r="I6915" s="11">
        <f t="shared" ref="I6915:I6978" si="108">B6915-C6915</f>
        <v>0</v>
      </c>
      <c r="J6915" s="11">
        <f>1/(H6915*Utilities!$B$11)</f>
        <v>8</v>
      </c>
      <c r="K6915" s="11">
        <f>IF(B6915&lt;C6915,1,EXP(-1*(B6915-C6915)/(Utilities!$B$11*IterData!H6915)))</f>
        <v>1</v>
      </c>
    </row>
    <row r="6916" spans="8:11" x14ac:dyDescent="0.3">
      <c r="H6916">
        <v>0.5</v>
      </c>
      <c r="I6916" s="11">
        <f t="shared" si="108"/>
        <v>0</v>
      </c>
      <c r="J6916" s="11">
        <f>1/(H6916*Utilities!$B$11)</f>
        <v>8</v>
      </c>
      <c r="K6916" s="11">
        <f>IF(B6916&lt;C6916,1,EXP(-1*(B6916-C6916)/(Utilities!$B$11*IterData!H6916)))</f>
        <v>1</v>
      </c>
    </row>
    <row r="6917" spans="8:11" x14ac:dyDescent="0.3">
      <c r="H6917">
        <v>0.5</v>
      </c>
      <c r="I6917" s="11">
        <f t="shared" si="108"/>
        <v>0</v>
      </c>
      <c r="J6917" s="11">
        <f>1/(H6917*Utilities!$B$11)</f>
        <v>8</v>
      </c>
      <c r="K6917" s="11">
        <f>IF(B6917&lt;C6917,1,EXP(-1*(B6917-C6917)/(Utilities!$B$11*IterData!H6917)))</f>
        <v>1</v>
      </c>
    </row>
    <row r="6918" spans="8:11" x14ac:dyDescent="0.3">
      <c r="H6918">
        <v>0.5</v>
      </c>
      <c r="I6918" s="11">
        <f t="shared" si="108"/>
        <v>0</v>
      </c>
      <c r="J6918" s="11">
        <f>1/(H6918*Utilities!$B$11)</f>
        <v>8</v>
      </c>
      <c r="K6918" s="11">
        <f>IF(B6918&lt;C6918,1,EXP(-1*(B6918-C6918)/(Utilities!$B$11*IterData!H6918)))</f>
        <v>1</v>
      </c>
    </row>
    <row r="6919" spans="8:11" x14ac:dyDescent="0.3">
      <c r="H6919">
        <v>0.5</v>
      </c>
      <c r="I6919" s="11">
        <f t="shared" si="108"/>
        <v>0</v>
      </c>
      <c r="J6919" s="11">
        <f>1/(H6919*Utilities!$B$11)</f>
        <v>8</v>
      </c>
      <c r="K6919" s="11">
        <f>IF(B6919&lt;C6919,1,EXP(-1*(B6919-C6919)/(Utilities!$B$11*IterData!H6919)))</f>
        <v>1</v>
      </c>
    </row>
    <row r="6920" spans="8:11" x14ac:dyDescent="0.3">
      <c r="H6920">
        <v>0.5</v>
      </c>
      <c r="I6920" s="11">
        <f t="shared" si="108"/>
        <v>0</v>
      </c>
      <c r="J6920" s="11">
        <f>1/(H6920*Utilities!$B$11)</f>
        <v>8</v>
      </c>
      <c r="K6920" s="11">
        <f>IF(B6920&lt;C6920,1,EXP(-1*(B6920-C6920)/(Utilities!$B$11*IterData!H6920)))</f>
        <v>1</v>
      </c>
    </row>
    <row r="6921" spans="8:11" x14ac:dyDescent="0.3">
      <c r="H6921">
        <v>0.5</v>
      </c>
      <c r="I6921" s="11">
        <f t="shared" si="108"/>
        <v>0</v>
      </c>
      <c r="J6921" s="11">
        <f>1/(H6921*Utilities!$B$11)</f>
        <v>8</v>
      </c>
      <c r="K6921" s="11">
        <f>IF(B6921&lt;C6921,1,EXP(-1*(B6921-C6921)/(Utilities!$B$11*IterData!H6921)))</f>
        <v>1</v>
      </c>
    </row>
    <row r="6922" spans="8:11" x14ac:dyDescent="0.3">
      <c r="H6922">
        <v>0.5</v>
      </c>
      <c r="I6922" s="11">
        <f t="shared" si="108"/>
        <v>0</v>
      </c>
      <c r="J6922" s="11">
        <f>1/(H6922*Utilities!$B$11)</f>
        <v>8</v>
      </c>
      <c r="K6922" s="11">
        <f>IF(B6922&lt;C6922,1,EXP(-1*(B6922-C6922)/(Utilities!$B$11*IterData!H6922)))</f>
        <v>1</v>
      </c>
    </row>
    <row r="6923" spans="8:11" x14ac:dyDescent="0.3">
      <c r="H6923">
        <v>0.5</v>
      </c>
      <c r="I6923" s="11">
        <f t="shared" si="108"/>
        <v>0</v>
      </c>
      <c r="J6923" s="11">
        <f>1/(H6923*Utilities!$B$11)</f>
        <v>8</v>
      </c>
      <c r="K6923" s="11">
        <f>IF(B6923&lt;C6923,1,EXP(-1*(B6923-C6923)/(Utilities!$B$11*IterData!H6923)))</f>
        <v>1</v>
      </c>
    </row>
    <row r="6924" spans="8:11" x14ac:dyDescent="0.3">
      <c r="H6924">
        <v>0.5</v>
      </c>
      <c r="I6924" s="11">
        <f t="shared" si="108"/>
        <v>0</v>
      </c>
      <c r="J6924" s="11">
        <f>1/(H6924*Utilities!$B$11)</f>
        <v>8</v>
      </c>
      <c r="K6924" s="11">
        <f>IF(B6924&lt;C6924,1,EXP(-1*(B6924-C6924)/(Utilities!$B$11*IterData!H6924)))</f>
        <v>1</v>
      </c>
    </row>
    <row r="6925" spans="8:11" x14ac:dyDescent="0.3">
      <c r="H6925">
        <v>0.5</v>
      </c>
      <c r="I6925" s="11">
        <f t="shared" si="108"/>
        <v>0</v>
      </c>
      <c r="J6925" s="11">
        <f>1/(H6925*Utilities!$B$11)</f>
        <v>8</v>
      </c>
      <c r="K6925" s="11">
        <f>IF(B6925&lt;C6925,1,EXP(-1*(B6925-C6925)/(Utilities!$B$11*IterData!H6925)))</f>
        <v>1</v>
      </c>
    </row>
    <row r="6926" spans="8:11" x14ac:dyDescent="0.3">
      <c r="H6926">
        <v>0.5</v>
      </c>
      <c r="I6926" s="11">
        <f t="shared" si="108"/>
        <v>0</v>
      </c>
      <c r="J6926" s="11">
        <f>1/(H6926*Utilities!$B$11)</f>
        <v>8</v>
      </c>
      <c r="K6926" s="11">
        <f>IF(B6926&lt;C6926,1,EXP(-1*(B6926-C6926)/(Utilities!$B$11*IterData!H6926)))</f>
        <v>1</v>
      </c>
    </row>
    <row r="6927" spans="8:11" x14ac:dyDescent="0.3">
      <c r="H6927">
        <v>0.5</v>
      </c>
      <c r="I6927" s="11">
        <f t="shared" si="108"/>
        <v>0</v>
      </c>
      <c r="J6927" s="11">
        <f>1/(H6927*Utilities!$B$11)</f>
        <v>8</v>
      </c>
      <c r="K6927" s="11">
        <f>IF(B6927&lt;C6927,1,EXP(-1*(B6927-C6927)/(Utilities!$B$11*IterData!H6927)))</f>
        <v>1</v>
      </c>
    </row>
    <row r="6928" spans="8:11" x14ac:dyDescent="0.3">
      <c r="H6928">
        <v>0.5</v>
      </c>
      <c r="I6928" s="11">
        <f t="shared" si="108"/>
        <v>0</v>
      </c>
      <c r="J6928" s="11">
        <f>1/(H6928*Utilities!$B$11)</f>
        <v>8</v>
      </c>
      <c r="K6928" s="11">
        <f>IF(B6928&lt;C6928,1,EXP(-1*(B6928-C6928)/(Utilities!$B$11*IterData!H6928)))</f>
        <v>1</v>
      </c>
    </row>
    <row r="6929" spans="8:11" x14ac:dyDescent="0.3">
      <c r="H6929">
        <v>0.5</v>
      </c>
      <c r="I6929" s="11">
        <f t="shared" si="108"/>
        <v>0</v>
      </c>
      <c r="J6929" s="11">
        <f>1/(H6929*Utilities!$B$11)</f>
        <v>8</v>
      </c>
      <c r="K6929" s="11">
        <f>IF(B6929&lt;C6929,1,EXP(-1*(B6929-C6929)/(Utilities!$B$11*IterData!H6929)))</f>
        <v>1</v>
      </c>
    </row>
    <row r="6930" spans="8:11" x14ac:dyDescent="0.3">
      <c r="H6930">
        <v>0.5</v>
      </c>
      <c r="I6930" s="11">
        <f t="shared" si="108"/>
        <v>0</v>
      </c>
      <c r="J6930" s="11">
        <f>1/(H6930*Utilities!$B$11)</f>
        <v>8</v>
      </c>
      <c r="K6930" s="11">
        <f>IF(B6930&lt;C6930,1,EXP(-1*(B6930-C6930)/(Utilities!$B$11*IterData!H6930)))</f>
        <v>1</v>
      </c>
    </row>
    <row r="6931" spans="8:11" x14ac:dyDescent="0.3">
      <c r="H6931">
        <v>0.5</v>
      </c>
      <c r="I6931" s="11">
        <f t="shared" si="108"/>
        <v>0</v>
      </c>
      <c r="J6931" s="11">
        <f>1/(H6931*Utilities!$B$11)</f>
        <v>8</v>
      </c>
      <c r="K6931" s="11">
        <f>IF(B6931&lt;C6931,1,EXP(-1*(B6931-C6931)/(Utilities!$B$11*IterData!H6931)))</f>
        <v>1</v>
      </c>
    </row>
    <row r="6932" spans="8:11" x14ac:dyDescent="0.3">
      <c r="H6932">
        <v>0.5</v>
      </c>
      <c r="I6932" s="11">
        <f t="shared" si="108"/>
        <v>0</v>
      </c>
      <c r="J6932" s="11">
        <f>1/(H6932*Utilities!$B$11)</f>
        <v>8</v>
      </c>
      <c r="K6932" s="11">
        <f>IF(B6932&lt;C6932,1,EXP(-1*(B6932-C6932)/(Utilities!$B$11*IterData!H6932)))</f>
        <v>1</v>
      </c>
    </row>
    <row r="6933" spans="8:11" x14ac:dyDescent="0.3">
      <c r="H6933">
        <v>0.5</v>
      </c>
      <c r="I6933" s="11">
        <f t="shared" si="108"/>
        <v>0</v>
      </c>
      <c r="J6933" s="11">
        <f>1/(H6933*Utilities!$B$11)</f>
        <v>8</v>
      </c>
      <c r="K6933" s="11">
        <f>IF(B6933&lt;C6933,1,EXP(-1*(B6933-C6933)/(Utilities!$B$11*IterData!H6933)))</f>
        <v>1</v>
      </c>
    </row>
    <row r="6934" spans="8:11" x14ac:dyDescent="0.3">
      <c r="H6934">
        <v>0.5</v>
      </c>
      <c r="I6934" s="11">
        <f t="shared" si="108"/>
        <v>0</v>
      </c>
      <c r="J6934" s="11">
        <f>1/(H6934*Utilities!$B$11)</f>
        <v>8</v>
      </c>
      <c r="K6934" s="11">
        <f>IF(B6934&lt;C6934,1,EXP(-1*(B6934-C6934)/(Utilities!$B$11*IterData!H6934)))</f>
        <v>1</v>
      </c>
    </row>
    <row r="6935" spans="8:11" x14ac:dyDescent="0.3">
      <c r="H6935">
        <v>0.5</v>
      </c>
      <c r="I6935" s="11">
        <f t="shared" si="108"/>
        <v>0</v>
      </c>
      <c r="J6935" s="11">
        <f>1/(H6935*Utilities!$B$11)</f>
        <v>8</v>
      </c>
      <c r="K6935" s="11">
        <f>IF(B6935&lt;C6935,1,EXP(-1*(B6935-C6935)/(Utilities!$B$11*IterData!H6935)))</f>
        <v>1</v>
      </c>
    </row>
    <row r="6936" spans="8:11" x14ac:dyDescent="0.3">
      <c r="H6936">
        <v>0.5</v>
      </c>
      <c r="I6936" s="11">
        <f t="shared" si="108"/>
        <v>0</v>
      </c>
      <c r="J6936" s="11">
        <f>1/(H6936*Utilities!$B$11)</f>
        <v>8</v>
      </c>
      <c r="K6936" s="11">
        <f>IF(B6936&lt;C6936,1,EXP(-1*(B6936-C6936)/(Utilities!$B$11*IterData!H6936)))</f>
        <v>1</v>
      </c>
    </row>
    <row r="6937" spans="8:11" x14ac:dyDescent="0.3">
      <c r="H6937">
        <v>0.5</v>
      </c>
      <c r="I6937" s="11">
        <f t="shared" si="108"/>
        <v>0</v>
      </c>
      <c r="J6937" s="11">
        <f>1/(H6937*Utilities!$B$11)</f>
        <v>8</v>
      </c>
      <c r="K6937" s="11">
        <f>IF(B6937&lt;C6937,1,EXP(-1*(B6937-C6937)/(Utilities!$B$11*IterData!H6937)))</f>
        <v>1</v>
      </c>
    </row>
    <row r="6938" spans="8:11" x14ac:dyDescent="0.3">
      <c r="H6938">
        <v>0.5</v>
      </c>
      <c r="I6938" s="11">
        <f t="shared" si="108"/>
        <v>0</v>
      </c>
      <c r="J6938" s="11">
        <f>1/(H6938*Utilities!$B$11)</f>
        <v>8</v>
      </c>
      <c r="K6938" s="11">
        <f>IF(B6938&lt;C6938,1,EXP(-1*(B6938-C6938)/(Utilities!$B$11*IterData!H6938)))</f>
        <v>1</v>
      </c>
    </row>
    <row r="6939" spans="8:11" x14ac:dyDescent="0.3">
      <c r="H6939">
        <v>0.5</v>
      </c>
      <c r="I6939" s="11">
        <f t="shared" si="108"/>
        <v>0</v>
      </c>
      <c r="J6939" s="11">
        <f>1/(H6939*Utilities!$B$11)</f>
        <v>8</v>
      </c>
      <c r="K6939" s="11">
        <f>IF(B6939&lt;C6939,1,EXP(-1*(B6939-C6939)/(Utilities!$B$11*IterData!H6939)))</f>
        <v>1</v>
      </c>
    </row>
    <row r="6940" spans="8:11" x14ac:dyDescent="0.3">
      <c r="H6940">
        <v>0.5</v>
      </c>
      <c r="I6940" s="11">
        <f t="shared" si="108"/>
        <v>0</v>
      </c>
      <c r="J6940" s="11">
        <f>1/(H6940*Utilities!$B$11)</f>
        <v>8</v>
      </c>
      <c r="K6940" s="11">
        <f>IF(B6940&lt;C6940,1,EXP(-1*(B6940-C6940)/(Utilities!$B$11*IterData!H6940)))</f>
        <v>1</v>
      </c>
    </row>
    <row r="6941" spans="8:11" x14ac:dyDescent="0.3">
      <c r="H6941">
        <v>0.5</v>
      </c>
      <c r="I6941" s="11">
        <f t="shared" si="108"/>
        <v>0</v>
      </c>
      <c r="J6941" s="11">
        <f>1/(H6941*Utilities!$B$11)</f>
        <v>8</v>
      </c>
      <c r="K6941" s="11">
        <f>IF(B6941&lt;C6941,1,EXP(-1*(B6941-C6941)/(Utilities!$B$11*IterData!H6941)))</f>
        <v>1</v>
      </c>
    </row>
    <row r="6942" spans="8:11" x14ac:dyDescent="0.3">
      <c r="H6942">
        <v>0.5</v>
      </c>
      <c r="I6942" s="11">
        <f t="shared" si="108"/>
        <v>0</v>
      </c>
      <c r="J6942" s="11">
        <f>1/(H6942*Utilities!$B$11)</f>
        <v>8</v>
      </c>
      <c r="K6942" s="11">
        <f>IF(B6942&lt;C6942,1,EXP(-1*(B6942-C6942)/(Utilities!$B$11*IterData!H6942)))</f>
        <v>1</v>
      </c>
    </row>
    <row r="6943" spans="8:11" x14ac:dyDescent="0.3">
      <c r="H6943">
        <v>0.5</v>
      </c>
      <c r="I6943" s="11">
        <f t="shared" si="108"/>
        <v>0</v>
      </c>
      <c r="J6943" s="11">
        <f>1/(H6943*Utilities!$B$11)</f>
        <v>8</v>
      </c>
      <c r="K6943" s="11">
        <f>IF(B6943&lt;C6943,1,EXP(-1*(B6943-C6943)/(Utilities!$B$11*IterData!H6943)))</f>
        <v>1</v>
      </c>
    </row>
    <row r="6944" spans="8:11" x14ac:dyDescent="0.3">
      <c r="H6944">
        <v>0.5</v>
      </c>
      <c r="I6944" s="11">
        <f t="shared" si="108"/>
        <v>0</v>
      </c>
      <c r="J6944" s="11">
        <f>1/(H6944*Utilities!$B$11)</f>
        <v>8</v>
      </c>
      <c r="K6944" s="11">
        <f>IF(B6944&lt;C6944,1,EXP(-1*(B6944-C6944)/(Utilities!$B$11*IterData!H6944)))</f>
        <v>1</v>
      </c>
    </row>
    <row r="6945" spans="8:11" x14ac:dyDescent="0.3">
      <c r="H6945">
        <v>0.5</v>
      </c>
      <c r="I6945" s="11">
        <f t="shared" si="108"/>
        <v>0</v>
      </c>
      <c r="J6945" s="11">
        <f>1/(H6945*Utilities!$B$11)</f>
        <v>8</v>
      </c>
      <c r="K6945" s="11">
        <f>IF(B6945&lt;C6945,1,EXP(-1*(B6945-C6945)/(Utilities!$B$11*IterData!H6945)))</f>
        <v>1</v>
      </c>
    </row>
    <row r="6946" spans="8:11" x14ac:dyDescent="0.3">
      <c r="H6946">
        <v>0.5</v>
      </c>
      <c r="I6946" s="11">
        <f t="shared" si="108"/>
        <v>0</v>
      </c>
      <c r="J6946" s="11">
        <f>1/(H6946*Utilities!$B$11)</f>
        <v>8</v>
      </c>
      <c r="K6946" s="11">
        <f>IF(B6946&lt;C6946,1,EXP(-1*(B6946-C6946)/(Utilities!$B$11*IterData!H6946)))</f>
        <v>1</v>
      </c>
    </row>
    <row r="6947" spans="8:11" x14ac:dyDescent="0.3">
      <c r="H6947">
        <v>0.5</v>
      </c>
      <c r="I6947" s="11">
        <f t="shared" si="108"/>
        <v>0</v>
      </c>
      <c r="J6947" s="11">
        <f>1/(H6947*Utilities!$B$11)</f>
        <v>8</v>
      </c>
      <c r="K6947" s="11">
        <f>IF(B6947&lt;C6947,1,EXP(-1*(B6947-C6947)/(Utilities!$B$11*IterData!H6947)))</f>
        <v>1</v>
      </c>
    </row>
    <row r="6948" spans="8:11" x14ac:dyDescent="0.3">
      <c r="H6948">
        <v>0.5</v>
      </c>
      <c r="I6948" s="11">
        <f t="shared" si="108"/>
        <v>0</v>
      </c>
      <c r="J6948" s="11">
        <f>1/(H6948*Utilities!$B$11)</f>
        <v>8</v>
      </c>
      <c r="K6948" s="11">
        <f>IF(B6948&lt;C6948,1,EXP(-1*(B6948-C6948)/(Utilities!$B$11*IterData!H6948)))</f>
        <v>1</v>
      </c>
    </row>
    <row r="6949" spans="8:11" x14ac:dyDescent="0.3">
      <c r="H6949">
        <v>0.5</v>
      </c>
      <c r="I6949" s="11">
        <f t="shared" si="108"/>
        <v>0</v>
      </c>
      <c r="J6949" s="11">
        <f>1/(H6949*Utilities!$B$11)</f>
        <v>8</v>
      </c>
      <c r="K6949" s="11">
        <f>IF(B6949&lt;C6949,1,EXP(-1*(B6949-C6949)/(Utilities!$B$11*IterData!H6949)))</f>
        <v>1</v>
      </c>
    </row>
    <row r="6950" spans="8:11" x14ac:dyDescent="0.3">
      <c r="H6950">
        <v>0.5</v>
      </c>
      <c r="I6950" s="11">
        <f t="shared" si="108"/>
        <v>0</v>
      </c>
      <c r="J6950" s="11">
        <f>1/(H6950*Utilities!$B$11)</f>
        <v>8</v>
      </c>
      <c r="K6950" s="11">
        <f>IF(B6950&lt;C6950,1,EXP(-1*(B6950-C6950)/(Utilities!$B$11*IterData!H6950)))</f>
        <v>1</v>
      </c>
    </row>
    <row r="6951" spans="8:11" x14ac:dyDescent="0.3">
      <c r="H6951">
        <v>0.5</v>
      </c>
      <c r="I6951" s="11">
        <f t="shared" si="108"/>
        <v>0</v>
      </c>
      <c r="J6951" s="11">
        <f>1/(H6951*Utilities!$B$11)</f>
        <v>8</v>
      </c>
      <c r="K6951" s="11">
        <f>IF(B6951&lt;C6951,1,EXP(-1*(B6951-C6951)/(Utilities!$B$11*IterData!H6951)))</f>
        <v>1</v>
      </c>
    </row>
    <row r="6952" spans="8:11" x14ac:dyDescent="0.3">
      <c r="H6952">
        <v>0.5</v>
      </c>
      <c r="I6952" s="11">
        <f t="shared" si="108"/>
        <v>0</v>
      </c>
      <c r="J6952" s="11">
        <f>1/(H6952*Utilities!$B$11)</f>
        <v>8</v>
      </c>
      <c r="K6952" s="11">
        <f>IF(B6952&lt;C6952,1,EXP(-1*(B6952-C6952)/(Utilities!$B$11*IterData!H6952)))</f>
        <v>1</v>
      </c>
    </row>
    <row r="6953" spans="8:11" x14ac:dyDescent="0.3">
      <c r="H6953">
        <v>0.5</v>
      </c>
      <c r="I6953" s="11">
        <f t="shared" si="108"/>
        <v>0</v>
      </c>
      <c r="J6953" s="11">
        <f>1/(H6953*Utilities!$B$11)</f>
        <v>8</v>
      </c>
      <c r="K6953" s="11">
        <f>IF(B6953&lt;C6953,1,EXP(-1*(B6953-C6953)/(Utilities!$B$11*IterData!H6953)))</f>
        <v>1</v>
      </c>
    </row>
    <row r="6954" spans="8:11" x14ac:dyDescent="0.3">
      <c r="H6954">
        <v>0.5</v>
      </c>
      <c r="I6954" s="11">
        <f t="shared" si="108"/>
        <v>0</v>
      </c>
      <c r="J6954" s="11">
        <f>1/(H6954*Utilities!$B$11)</f>
        <v>8</v>
      </c>
      <c r="K6954" s="11">
        <f>IF(B6954&lt;C6954,1,EXP(-1*(B6954-C6954)/(Utilities!$B$11*IterData!H6954)))</f>
        <v>1</v>
      </c>
    </row>
    <row r="6955" spans="8:11" x14ac:dyDescent="0.3">
      <c r="H6955">
        <v>0.5</v>
      </c>
      <c r="I6955" s="11">
        <f t="shared" si="108"/>
        <v>0</v>
      </c>
      <c r="J6955" s="11">
        <f>1/(H6955*Utilities!$B$11)</f>
        <v>8</v>
      </c>
      <c r="K6955" s="11">
        <f>IF(B6955&lt;C6955,1,EXP(-1*(B6955-C6955)/(Utilities!$B$11*IterData!H6955)))</f>
        <v>1</v>
      </c>
    </row>
    <row r="6956" spans="8:11" x14ac:dyDescent="0.3">
      <c r="H6956">
        <v>0.5</v>
      </c>
      <c r="I6956" s="11">
        <f t="shared" si="108"/>
        <v>0</v>
      </c>
      <c r="J6956" s="11">
        <f>1/(H6956*Utilities!$B$11)</f>
        <v>8</v>
      </c>
      <c r="K6956" s="11">
        <f>IF(B6956&lt;C6956,1,EXP(-1*(B6956-C6956)/(Utilities!$B$11*IterData!H6956)))</f>
        <v>1</v>
      </c>
    </row>
    <row r="6957" spans="8:11" x14ac:dyDescent="0.3">
      <c r="H6957">
        <v>0.5</v>
      </c>
      <c r="I6957" s="11">
        <f t="shared" si="108"/>
        <v>0</v>
      </c>
      <c r="J6957" s="11">
        <f>1/(H6957*Utilities!$B$11)</f>
        <v>8</v>
      </c>
      <c r="K6957" s="11">
        <f>IF(B6957&lt;C6957,1,EXP(-1*(B6957-C6957)/(Utilities!$B$11*IterData!H6957)))</f>
        <v>1</v>
      </c>
    </row>
    <row r="6958" spans="8:11" x14ac:dyDescent="0.3">
      <c r="H6958">
        <v>0.5</v>
      </c>
      <c r="I6958" s="11">
        <f t="shared" si="108"/>
        <v>0</v>
      </c>
      <c r="J6958" s="11">
        <f>1/(H6958*Utilities!$B$11)</f>
        <v>8</v>
      </c>
      <c r="K6958" s="11">
        <f>IF(B6958&lt;C6958,1,EXP(-1*(B6958-C6958)/(Utilities!$B$11*IterData!H6958)))</f>
        <v>1</v>
      </c>
    </row>
    <row r="6959" spans="8:11" x14ac:dyDescent="0.3">
      <c r="H6959">
        <v>0.5</v>
      </c>
      <c r="I6959" s="11">
        <f t="shared" si="108"/>
        <v>0</v>
      </c>
      <c r="J6959" s="11">
        <f>1/(H6959*Utilities!$B$11)</f>
        <v>8</v>
      </c>
      <c r="K6959" s="11">
        <f>IF(B6959&lt;C6959,1,EXP(-1*(B6959-C6959)/(Utilities!$B$11*IterData!H6959)))</f>
        <v>1</v>
      </c>
    </row>
    <row r="6960" spans="8:11" x14ac:dyDescent="0.3">
      <c r="H6960">
        <v>0.5</v>
      </c>
      <c r="I6960" s="11">
        <f t="shared" si="108"/>
        <v>0</v>
      </c>
      <c r="J6960" s="11">
        <f>1/(H6960*Utilities!$B$11)</f>
        <v>8</v>
      </c>
      <c r="K6960" s="11">
        <f>IF(B6960&lt;C6960,1,EXP(-1*(B6960-C6960)/(Utilities!$B$11*IterData!H6960)))</f>
        <v>1</v>
      </c>
    </row>
    <row r="6961" spans="8:11" x14ac:dyDescent="0.3">
      <c r="H6961">
        <v>0.5</v>
      </c>
      <c r="I6961" s="11">
        <f t="shared" si="108"/>
        <v>0</v>
      </c>
      <c r="J6961" s="11">
        <f>1/(H6961*Utilities!$B$11)</f>
        <v>8</v>
      </c>
      <c r="K6961" s="11">
        <f>IF(B6961&lt;C6961,1,EXP(-1*(B6961-C6961)/(Utilities!$B$11*IterData!H6961)))</f>
        <v>1</v>
      </c>
    </row>
    <row r="6962" spans="8:11" x14ac:dyDescent="0.3">
      <c r="H6962">
        <v>0.5</v>
      </c>
      <c r="I6962" s="11">
        <f t="shared" si="108"/>
        <v>0</v>
      </c>
      <c r="J6962" s="11">
        <f>1/(H6962*Utilities!$B$11)</f>
        <v>8</v>
      </c>
      <c r="K6962" s="11">
        <f>IF(B6962&lt;C6962,1,EXP(-1*(B6962-C6962)/(Utilities!$B$11*IterData!H6962)))</f>
        <v>1</v>
      </c>
    </row>
    <row r="6963" spans="8:11" x14ac:dyDescent="0.3">
      <c r="H6963">
        <v>0.5</v>
      </c>
      <c r="I6963" s="11">
        <f t="shared" si="108"/>
        <v>0</v>
      </c>
      <c r="J6963" s="11">
        <f>1/(H6963*Utilities!$B$11)</f>
        <v>8</v>
      </c>
      <c r="K6963" s="11">
        <f>IF(B6963&lt;C6963,1,EXP(-1*(B6963-C6963)/(Utilities!$B$11*IterData!H6963)))</f>
        <v>1</v>
      </c>
    </row>
    <row r="6964" spans="8:11" x14ac:dyDescent="0.3">
      <c r="H6964">
        <v>0.5</v>
      </c>
      <c r="I6964" s="11">
        <f t="shared" si="108"/>
        <v>0</v>
      </c>
      <c r="J6964" s="11">
        <f>1/(H6964*Utilities!$B$11)</f>
        <v>8</v>
      </c>
      <c r="K6964" s="11">
        <f>IF(B6964&lt;C6964,1,EXP(-1*(B6964-C6964)/(Utilities!$B$11*IterData!H6964)))</f>
        <v>1</v>
      </c>
    </row>
    <row r="6965" spans="8:11" x14ac:dyDescent="0.3">
      <c r="H6965">
        <v>0.5</v>
      </c>
      <c r="I6965" s="11">
        <f t="shared" si="108"/>
        <v>0</v>
      </c>
      <c r="J6965" s="11">
        <f>1/(H6965*Utilities!$B$11)</f>
        <v>8</v>
      </c>
      <c r="K6965" s="11">
        <f>IF(B6965&lt;C6965,1,EXP(-1*(B6965-C6965)/(Utilities!$B$11*IterData!H6965)))</f>
        <v>1</v>
      </c>
    </row>
    <row r="6966" spans="8:11" x14ac:dyDescent="0.3">
      <c r="H6966">
        <v>0.5</v>
      </c>
      <c r="I6966" s="11">
        <f t="shared" si="108"/>
        <v>0</v>
      </c>
      <c r="J6966" s="11">
        <f>1/(H6966*Utilities!$B$11)</f>
        <v>8</v>
      </c>
      <c r="K6966" s="11">
        <f>IF(B6966&lt;C6966,1,EXP(-1*(B6966-C6966)/(Utilities!$B$11*IterData!H6966)))</f>
        <v>1</v>
      </c>
    </row>
    <row r="6967" spans="8:11" x14ac:dyDescent="0.3">
      <c r="H6967">
        <v>0.5</v>
      </c>
      <c r="I6967" s="11">
        <f t="shared" si="108"/>
        <v>0</v>
      </c>
      <c r="J6967" s="11">
        <f>1/(H6967*Utilities!$B$11)</f>
        <v>8</v>
      </c>
      <c r="K6967" s="11">
        <f>IF(B6967&lt;C6967,1,EXP(-1*(B6967-C6967)/(Utilities!$B$11*IterData!H6967)))</f>
        <v>1</v>
      </c>
    </row>
    <row r="6968" spans="8:11" x14ac:dyDescent="0.3">
      <c r="H6968">
        <v>0.5</v>
      </c>
      <c r="I6968" s="11">
        <f t="shared" si="108"/>
        <v>0</v>
      </c>
      <c r="J6968" s="11">
        <f>1/(H6968*Utilities!$B$11)</f>
        <v>8</v>
      </c>
      <c r="K6968" s="11">
        <f>IF(B6968&lt;C6968,1,EXP(-1*(B6968-C6968)/(Utilities!$B$11*IterData!H6968)))</f>
        <v>1</v>
      </c>
    </row>
    <row r="6969" spans="8:11" x14ac:dyDescent="0.3">
      <c r="H6969">
        <v>0.5</v>
      </c>
      <c r="I6969" s="11">
        <f t="shared" si="108"/>
        <v>0</v>
      </c>
      <c r="J6969" s="11">
        <f>1/(H6969*Utilities!$B$11)</f>
        <v>8</v>
      </c>
      <c r="K6969" s="11">
        <f>IF(B6969&lt;C6969,1,EXP(-1*(B6969-C6969)/(Utilities!$B$11*IterData!H6969)))</f>
        <v>1</v>
      </c>
    </row>
    <row r="6970" spans="8:11" x14ac:dyDescent="0.3">
      <c r="H6970">
        <v>0.5</v>
      </c>
      <c r="I6970" s="11">
        <f t="shared" si="108"/>
        <v>0</v>
      </c>
      <c r="J6970" s="11">
        <f>1/(H6970*Utilities!$B$11)</f>
        <v>8</v>
      </c>
      <c r="K6970" s="11">
        <f>IF(B6970&lt;C6970,1,EXP(-1*(B6970-C6970)/(Utilities!$B$11*IterData!H6970)))</f>
        <v>1</v>
      </c>
    </row>
    <row r="6971" spans="8:11" x14ac:dyDescent="0.3">
      <c r="H6971">
        <v>0.5</v>
      </c>
      <c r="I6971" s="11">
        <f t="shared" si="108"/>
        <v>0</v>
      </c>
      <c r="J6971" s="11">
        <f>1/(H6971*Utilities!$B$11)</f>
        <v>8</v>
      </c>
      <c r="K6971" s="11">
        <f>IF(B6971&lt;C6971,1,EXP(-1*(B6971-C6971)/(Utilities!$B$11*IterData!H6971)))</f>
        <v>1</v>
      </c>
    </row>
    <row r="6972" spans="8:11" x14ac:dyDescent="0.3">
      <c r="H6972">
        <v>0.5</v>
      </c>
      <c r="I6972" s="11">
        <f t="shared" si="108"/>
        <v>0</v>
      </c>
      <c r="J6972" s="11">
        <f>1/(H6972*Utilities!$B$11)</f>
        <v>8</v>
      </c>
      <c r="K6972" s="11">
        <f>IF(B6972&lt;C6972,1,EXP(-1*(B6972-C6972)/(Utilities!$B$11*IterData!H6972)))</f>
        <v>1</v>
      </c>
    </row>
    <row r="6973" spans="8:11" x14ac:dyDescent="0.3">
      <c r="H6973">
        <v>0.5</v>
      </c>
      <c r="I6973" s="11">
        <f t="shared" si="108"/>
        <v>0</v>
      </c>
      <c r="J6973" s="11">
        <f>1/(H6973*Utilities!$B$11)</f>
        <v>8</v>
      </c>
      <c r="K6973" s="11">
        <f>IF(B6973&lt;C6973,1,EXP(-1*(B6973-C6973)/(Utilities!$B$11*IterData!H6973)))</f>
        <v>1</v>
      </c>
    </row>
    <row r="6974" spans="8:11" x14ac:dyDescent="0.3">
      <c r="H6974">
        <v>0.5</v>
      </c>
      <c r="I6974" s="11">
        <f t="shared" si="108"/>
        <v>0</v>
      </c>
      <c r="J6974" s="11">
        <f>1/(H6974*Utilities!$B$11)</f>
        <v>8</v>
      </c>
      <c r="K6974" s="11">
        <f>IF(B6974&lt;C6974,1,EXP(-1*(B6974-C6974)/(Utilities!$B$11*IterData!H6974)))</f>
        <v>1</v>
      </c>
    </row>
    <row r="6975" spans="8:11" x14ac:dyDescent="0.3">
      <c r="H6975">
        <v>0.5</v>
      </c>
      <c r="I6975" s="11">
        <f t="shared" si="108"/>
        <v>0</v>
      </c>
      <c r="J6975" s="11">
        <f>1/(H6975*Utilities!$B$11)</f>
        <v>8</v>
      </c>
      <c r="K6975" s="11">
        <f>IF(B6975&lt;C6975,1,EXP(-1*(B6975-C6975)/(Utilities!$B$11*IterData!H6975)))</f>
        <v>1</v>
      </c>
    </row>
    <row r="6976" spans="8:11" x14ac:dyDescent="0.3">
      <c r="H6976">
        <v>0.5</v>
      </c>
      <c r="I6976" s="11">
        <f t="shared" si="108"/>
        <v>0</v>
      </c>
      <c r="J6976" s="11">
        <f>1/(H6976*Utilities!$B$11)</f>
        <v>8</v>
      </c>
      <c r="K6976" s="11">
        <f>IF(B6976&lt;C6976,1,EXP(-1*(B6976-C6976)/(Utilities!$B$11*IterData!H6976)))</f>
        <v>1</v>
      </c>
    </row>
    <row r="6977" spans="8:11" x14ac:dyDescent="0.3">
      <c r="H6977">
        <v>0.5</v>
      </c>
      <c r="I6977" s="11">
        <f t="shared" si="108"/>
        <v>0</v>
      </c>
      <c r="J6977" s="11">
        <f>1/(H6977*Utilities!$B$11)</f>
        <v>8</v>
      </c>
      <c r="K6977" s="11">
        <f>IF(B6977&lt;C6977,1,EXP(-1*(B6977-C6977)/(Utilities!$B$11*IterData!H6977)))</f>
        <v>1</v>
      </c>
    </row>
    <row r="6978" spans="8:11" x14ac:dyDescent="0.3">
      <c r="H6978">
        <v>0.5</v>
      </c>
      <c r="I6978" s="11">
        <f t="shared" si="108"/>
        <v>0</v>
      </c>
      <c r="J6978" s="11">
        <f>1/(H6978*Utilities!$B$11)</f>
        <v>8</v>
      </c>
      <c r="K6978" s="11">
        <f>IF(B6978&lt;C6978,1,EXP(-1*(B6978-C6978)/(Utilities!$B$11*IterData!H6978)))</f>
        <v>1</v>
      </c>
    </row>
    <row r="6979" spans="8:11" x14ac:dyDescent="0.3">
      <c r="H6979">
        <v>0.5</v>
      </c>
      <c r="I6979" s="11">
        <f t="shared" ref="I6979:I7042" si="109">B6979-C6979</f>
        <v>0</v>
      </c>
      <c r="J6979" s="11">
        <f>1/(H6979*Utilities!$B$11)</f>
        <v>8</v>
      </c>
      <c r="K6979" s="11">
        <f>IF(B6979&lt;C6979,1,EXP(-1*(B6979-C6979)/(Utilities!$B$11*IterData!H6979)))</f>
        <v>1</v>
      </c>
    </row>
    <row r="6980" spans="8:11" x14ac:dyDescent="0.3">
      <c r="H6980">
        <v>0.5</v>
      </c>
      <c r="I6980" s="11">
        <f t="shared" si="109"/>
        <v>0</v>
      </c>
      <c r="J6980" s="11">
        <f>1/(H6980*Utilities!$B$11)</f>
        <v>8</v>
      </c>
      <c r="K6980" s="11">
        <f>IF(B6980&lt;C6980,1,EXP(-1*(B6980-C6980)/(Utilities!$B$11*IterData!H6980)))</f>
        <v>1</v>
      </c>
    </row>
    <row r="6981" spans="8:11" x14ac:dyDescent="0.3">
      <c r="H6981">
        <v>0.5</v>
      </c>
      <c r="I6981" s="11">
        <f t="shared" si="109"/>
        <v>0</v>
      </c>
      <c r="J6981" s="11">
        <f>1/(H6981*Utilities!$B$11)</f>
        <v>8</v>
      </c>
      <c r="K6981" s="11">
        <f>IF(B6981&lt;C6981,1,EXP(-1*(B6981-C6981)/(Utilities!$B$11*IterData!H6981)))</f>
        <v>1</v>
      </c>
    </row>
    <row r="6982" spans="8:11" x14ac:dyDescent="0.3">
      <c r="H6982">
        <v>0.5</v>
      </c>
      <c r="I6982" s="11">
        <f t="shared" si="109"/>
        <v>0</v>
      </c>
      <c r="J6982" s="11">
        <f>1/(H6982*Utilities!$B$11)</f>
        <v>8</v>
      </c>
      <c r="K6982" s="11">
        <f>IF(B6982&lt;C6982,1,EXP(-1*(B6982-C6982)/(Utilities!$B$11*IterData!H6982)))</f>
        <v>1</v>
      </c>
    </row>
    <row r="6983" spans="8:11" x14ac:dyDescent="0.3">
      <c r="H6983">
        <v>0.5</v>
      </c>
      <c r="I6983" s="11">
        <f t="shared" si="109"/>
        <v>0</v>
      </c>
      <c r="J6983" s="11">
        <f>1/(H6983*Utilities!$B$11)</f>
        <v>8</v>
      </c>
      <c r="K6983" s="11">
        <f>IF(B6983&lt;C6983,1,EXP(-1*(B6983-C6983)/(Utilities!$B$11*IterData!H6983)))</f>
        <v>1</v>
      </c>
    </row>
    <row r="6984" spans="8:11" x14ac:dyDescent="0.3">
      <c r="H6984">
        <v>0.5</v>
      </c>
      <c r="I6984" s="11">
        <f t="shared" si="109"/>
        <v>0</v>
      </c>
      <c r="J6984" s="11">
        <f>1/(H6984*Utilities!$B$11)</f>
        <v>8</v>
      </c>
      <c r="K6984" s="11">
        <f>IF(B6984&lt;C6984,1,EXP(-1*(B6984-C6984)/(Utilities!$B$11*IterData!H6984)))</f>
        <v>1</v>
      </c>
    </row>
    <row r="6985" spans="8:11" x14ac:dyDescent="0.3">
      <c r="H6985">
        <v>0.5</v>
      </c>
      <c r="I6985" s="11">
        <f t="shared" si="109"/>
        <v>0</v>
      </c>
      <c r="J6985" s="11">
        <f>1/(H6985*Utilities!$B$11)</f>
        <v>8</v>
      </c>
      <c r="K6985" s="11">
        <f>IF(B6985&lt;C6985,1,EXP(-1*(B6985-C6985)/(Utilities!$B$11*IterData!H6985)))</f>
        <v>1</v>
      </c>
    </row>
    <row r="6986" spans="8:11" x14ac:dyDescent="0.3">
      <c r="H6986">
        <v>0.5</v>
      </c>
      <c r="I6986" s="11">
        <f t="shared" si="109"/>
        <v>0</v>
      </c>
      <c r="J6986" s="11">
        <f>1/(H6986*Utilities!$B$11)</f>
        <v>8</v>
      </c>
      <c r="K6986" s="11">
        <f>IF(B6986&lt;C6986,1,EXP(-1*(B6986-C6986)/(Utilities!$B$11*IterData!H6986)))</f>
        <v>1</v>
      </c>
    </row>
    <row r="6987" spans="8:11" x14ac:dyDescent="0.3">
      <c r="H6987">
        <v>0.5</v>
      </c>
      <c r="I6987" s="11">
        <f t="shared" si="109"/>
        <v>0</v>
      </c>
      <c r="J6987" s="11">
        <f>1/(H6987*Utilities!$B$11)</f>
        <v>8</v>
      </c>
      <c r="K6987" s="11">
        <f>IF(B6987&lt;C6987,1,EXP(-1*(B6987-C6987)/(Utilities!$B$11*IterData!H6987)))</f>
        <v>1</v>
      </c>
    </row>
    <row r="6988" spans="8:11" x14ac:dyDescent="0.3">
      <c r="H6988">
        <v>0.5</v>
      </c>
      <c r="I6988" s="11">
        <f t="shared" si="109"/>
        <v>0</v>
      </c>
      <c r="J6988" s="11">
        <f>1/(H6988*Utilities!$B$11)</f>
        <v>8</v>
      </c>
      <c r="K6988" s="11">
        <f>IF(B6988&lt;C6988,1,EXP(-1*(B6988-C6988)/(Utilities!$B$11*IterData!H6988)))</f>
        <v>1</v>
      </c>
    </row>
    <row r="6989" spans="8:11" x14ac:dyDescent="0.3">
      <c r="H6989">
        <v>0.5</v>
      </c>
      <c r="I6989" s="11">
        <f t="shared" si="109"/>
        <v>0</v>
      </c>
      <c r="J6989" s="11">
        <f>1/(H6989*Utilities!$B$11)</f>
        <v>8</v>
      </c>
      <c r="K6989" s="11">
        <f>IF(B6989&lt;C6989,1,EXP(-1*(B6989-C6989)/(Utilities!$B$11*IterData!H6989)))</f>
        <v>1</v>
      </c>
    </row>
    <row r="6990" spans="8:11" x14ac:dyDescent="0.3">
      <c r="H6990">
        <v>0.5</v>
      </c>
      <c r="I6990" s="11">
        <f t="shared" si="109"/>
        <v>0</v>
      </c>
      <c r="J6990" s="11">
        <f>1/(H6990*Utilities!$B$11)</f>
        <v>8</v>
      </c>
      <c r="K6990" s="11">
        <f>IF(B6990&lt;C6990,1,EXP(-1*(B6990-C6990)/(Utilities!$B$11*IterData!H6990)))</f>
        <v>1</v>
      </c>
    </row>
    <row r="6991" spans="8:11" x14ac:dyDescent="0.3">
      <c r="H6991">
        <v>0.5</v>
      </c>
      <c r="I6991" s="11">
        <f t="shared" si="109"/>
        <v>0</v>
      </c>
      <c r="J6991" s="11">
        <f>1/(H6991*Utilities!$B$11)</f>
        <v>8</v>
      </c>
      <c r="K6991" s="11">
        <f>IF(B6991&lt;C6991,1,EXP(-1*(B6991-C6991)/(Utilities!$B$11*IterData!H6991)))</f>
        <v>1</v>
      </c>
    </row>
    <row r="6992" spans="8:11" x14ac:dyDescent="0.3">
      <c r="H6992">
        <v>0.5</v>
      </c>
      <c r="I6992" s="11">
        <f t="shared" si="109"/>
        <v>0</v>
      </c>
      <c r="J6992" s="11">
        <f>1/(H6992*Utilities!$B$11)</f>
        <v>8</v>
      </c>
      <c r="K6992" s="11">
        <f>IF(B6992&lt;C6992,1,EXP(-1*(B6992-C6992)/(Utilities!$B$11*IterData!H6992)))</f>
        <v>1</v>
      </c>
    </row>
    <row r="6993" spans="8:11" x14ac:dyDescent="0.3">
      <c r="H6993">
        <v>0.5</v>
      </c>
      <c r="I6993" s="11">
        <f t="shared" si="109"/>
        <v>0</v>
      </c>
      <c r="J6993" s="11">
        <f>1/(H6993*Utilities!$B$11)</f>
        <v>8</v>
      </c>
      <c r="K6993" s="11">
        <f>IF(B6993&lt;C6993,1,EXP(-1*(B6993-C6993)/(Utilities!$B$11*IterData!H6993)))</f>
        <v>1</v>
      </c>
    </row>
    <row r="6994" spans="8:11" x14ac:dyDescent="0.3">
      <c r="H6994">
        <v>0.5</v>
      </c>
      <c r="I6994" s="11">
        <f t="shared" si="109"/>
        <v>0</v>
      </c>
      <c r="J6994" s="11">
        <f>1/(H6994*Utilities!$B$11)</f>
        <v>8</v>
      </c>
      <c r="K6994" s="11">
        <f>IF(B6994&lt;C6994,1,EXP(-1*(B6994-C6994)/(Utilities!$B$11*IterData!H6994)))</f>
        <v>1</v>
      </c>
    </row>
    <row r="6995" spans="8:11" x14ac:dyDescent="0.3">
      <c r="H6995">
        <v>0.5</v>
      </c>
      <c r="I6995" s="11">
        <f t="shared" si="109"/>
        <v>0</v>
      </c>
      <c r="J6995" s="11">
        <f>1/(H6995*Utilities!$B$11)</f>
        <v>8</v>
      </c>
      <c r="K6995" s="11">
        <f>IF(B6995&lt;C6995,1,EXP(-1*(B6995-C6995)/(Utilities!$B$11*IterData!H6995)))</f>
        <v>1</v>
      </c>
    </row>
    <row r="6996" spans="8:11" x14ac:dyDescent="0.3">
      <c r="H6996">
        <v>0.5</v>
      </c>
      <c r="I6996" s="11">
        <f t="shared" si="109"/>
        <v>0</v>
      </c>
      <c r="J6996" s="11">
        <f>1/(H6996*Utilities!$B$11)</f>
        <v>8</v>
      </c>
      <c r="K6996" s="11">
        <f>IF(B6996&lt;C6996,1,EXP(-1*(B6996-C6996)/(Utilities!$B$11*IterData!H6996)))</f>
        <v>1</v>
      </c>
    </row>
    <row r="6997" spans="8:11" x14ac:dyDescent="0.3">
      <c r="H6997">
        <v>0.5</v>
      </c>
      <c r="I6997" s="11">
        <f t="shared" si="109"/>
        <v>0</v>
      </c>
      <c r="J6997" s="11">
        <f>1/(H6997*Utilities!$B$11)</f>
        <v>8</v>
      </c>
      <c r="K6997" s="11">
        <f>IF(B6997&lt;C6997,1,EXP(-1*(B6997-C6997)/(Utilities!$B$11*IterData!H6997)))</f>
        <v>1</v>
      </c>
    </row>
    <row r="6998" spans="8:11" x14ac:dyDescent="0.3">
      <c r="H6998">
        <v>0.5</v>
      </c>
      <c r="I6998" s="11">
        <f t="shared" si="109"/>
        <v>0</v>
      </c>
      <c r="J6998" s="11">
        <f>1/(H6998*Utilities!$B$11)</f>
        <v>8</v>
      </c>
      <c r="K6998" s="11">
        <f>IF(B6998&lt;C6998,1,EXP(-1*(B6998-C6998)/(Utilities!$B$11*IterData!H6998)))</f>
        <v>1</v>
      </c>
    </row>
    <row r="6999" spans="8:11" x14ac:dyDescent="0.3">
      <c r="H6999">
        <v>0.5</v>
      </c>
      <c r="I6999" s="11">
        <f t="shared" si="109"/>
        <v>0</v>
      </c>
      <c r="J6999" s="11">
        <f>1/(H6999*Utilities!$B$11)</f>
        <v>8</v>
      </c>
      <c r="K6999" s="11">
        <f>IF(B6999&lt;C6999,1,EXP(-1*(B6999-C6999)/(Utilities!$B$11*IterData!H6999)))</f>
        <v>1</v>
      </c>
    </row>
    <row r="7000" spans="8:11" x14ac:dyDescent="0.3">
      <c r="H7000">
        <v>0.5</v>
      </c>
      <c r="I7000" s="11">
        <f t="shared" si="109"/>
        <v>0</v>
      </c>
      <c r="J7000" s="11">
        <f>1/(H7000*Utilities!$B$11)</f>
        <v>8</v>
      </c>
      <c r="K7000" s="11">
        <f>IF(B7000&lt;C7000,1,EXP(-1*(B7000-C7000)/(Utilities!$B$11*IterData!H7000)))</f>
        <v>1</v>
      </c>
    </row>
    <row r="7001" spans="8:11" x14ac:dyDescent="0.3">
      <c r="H7001">
        <v>0.5</v>
      </c>
      <c r="I7001" s="11">
        <f t="shared" si="109"/>
        <v>0</v>
      </c>
      <c r="J7001" s="11">
        <f>1/(H7001*Utilities!$B$11)</f>
        <v>8</v>
      </c>
      <c r="K7001" s="11">
        <f>IF(B7001&lt;C7001,1,EXP(-1*(B7001-C7001)/(Utilities!$B$11*IterData!H7001)))</f>
        <v>1</v>
      </c>
    </row>
    <row r="7002" spans="8:11" x14ac:dyDescent="0.3">
      <c r="H7002">
        <v>0.5</v>
      </c>
      <c r="I7002" s="11">
        <f t="shared" si="109"/>
        <v>0</v>
      </c>
      <c r="J7002" s="11">
        <f>1/(H7002*Utilities!$B$11)</f>
        <v>8</v>
      </c>
      <c r="K7002" s="11">
        <f>IF(B7002&lt;C7002,1,EXP(-1*(B7002-C7002)/(Utilities!$B$11*IterData!H7002)))</f>
        <v>1</v>
      </c>
    </row>
    <row r="7003" spans="8:11" x14ac:dyDescent="0.3">
      <c r="H7003">
        <v>0.5</v>
      </c>
      <c r="I7003" s="11">
        <f t="shared" si="109"/>
        <v>0</v>
      </c>
      <c r="J7003" s="11">
        <f>1/(H7003*Utilities!$B$11)</f>
        <v>8</v>
      </c>
      <c r="K7003" s="11">
        <f>IF(B7003&lt;C7003,1,EXP(-1*(B7003-C7003)/(Utilities!$B$11*IterData!H7003)))</f>
        <v>1</v>
      </c>
    </row>
    <row r="7004" spans="8:11" x14ac:dyDescent="0.3">
      <c r="H7004">
        <v>0.5</v>
      </c>
      <c r="I7004" s="11">
        <f t="shared" si="109"/>
        <v>0</v>
      </c>
      <c r="J7004" s="11">
        <f>1/(H7004*Utilities!$B$11)</f>
        <v>8</v>
      </c>
      <c r="K7004" s="11">
        <f>IF(B7004&lt;C7004,1,EXP(-1*(B7004-C7004)/(Utilities!$B$11*IterData!H7004)))</f>
        <v>1</v>
      </c>
    </row>
    <row r="7005" spans="8:11" x14ac:dyDescent="0.3">
      <c r="H7005">
        <v>0.5</v>
      </c>
      <c r="I7005" s="11">
        <f t="shared" si="109"/>
        <v>0</v>
      </c>
      <c r="J7005" s="11">
        <f>1/(H7005*Utilities!$B$11)</f>
        <v>8</v>
      </c>
      <c r="K7005" s="11">
        <f>IF(B7005&lt;C7005,1,EXP(-1*(B7005-C7005)/(Utilities!$B$11*IterData!H7005)))</f>
        <v>1</v>
      </c>
    </row>
    <row r="7006" spans="8:11" x14ac:dyDescent="0.3">
      <c r="H7006">
        <v>0.5</v>
      </c>
      <c r="I7006" s="11">
        <f t="shared" si="109"/>
        <v>0</v>
      </c>
      <c r="J7006" s="11">
        <f>1/(H7006*Utilities!$B$11)</f>
        <v>8</v>
      </c>
      <c r="K7006" s="11">
        <f>IF(B7006&lt;C7006,1,EXP(-1*(B7006-C7006)/(Utilities!$B$11*IterData!H7006)))</f>
        <v>1</v>
      </c>
    </row>
    <row r="7007" spans="8:11" x14ac:dyDescent="0.3">
      <c r="H7007">
        <v>0.5</v>
      </c>
      <c r="I7007" s="11">
        <f t="shared" si="109"/>
        <v>0</v>
      </c>
      <c r="J7007" s="11">
        <f>1/(H7007*Utilities!$B$11)</f>
        <v>8</v>
      </c>
      <c r="K7007" s="11">
        <f>IF(B7007&lt;C7007,1,EXP(-1*(B7007-C7007)/(Utilities!$B$11*IterData!H7007)))</f>
        <v>1</v>
      </c>
    </row>
    <row r="7008" spans="8:11" x14ac:dyDescent="0.3">
      <c r="H7008">
        <v>0.5</v>
      </c>
      <c r="I7008" s="11">
        <f t="shared" si="109"/>
        <v>0</v>
      </c>
      <c r="J7008" s="11">
        <f>1/(H7008*Utilities!$B$11)</f>
        <v>8</v>
      </c>
      <c r="K7008" s="11">
        <f>IF(B7008&lt;C7008,1,EXP(-1*(B7008-C7008)/(Utilities!$B$11*IterData!H7008)))</f>
        <v>1</v>
      </c>
    </row>
    <row r="7009" spans="8:11" x14ac:dyDescent="0.3">
      <c r="H7009">
        <v>0.5</v>
      </c>
      <c r="I7009" s="11">
        <f t="shared" si="109"/>
        <v>0</v>
      </c>
      <c r="J7009" s="11">
        <f>1/(H7009*Utilities!$B$11)</f>
        <v>8</v>
      </c>
      <c r="K7009" s="11">
        <f>IF(B7009&lt;C7009,1,EXP(-1*(B7009-C7009)/(Utilities!$B$11*IterData!H7009)))</f>
        <v>1</v>
      </c>
    </row>
    <row r="7010" spans="8:11" x14ac:dyDescent="0.3">
      <c r="H7010">
        <v>0.5</v>
      </c>
      <c r="I7010" s="11">
        <f t="shared" si="109"/>
        <v>0</v>
      </c>
      <c r="J7010" s="11">
        <f>1/(H7010*Utilities!$B$11)</f>
        <v>8</v>
      </c>
      <c r="K7010" s="11">
        <f>IF(B7010&lt;C7010,1,EXP(-1*(B7010-C7010)/(Utilities!$B$11*IterData!H7010)))</f>
        <v>1</v>
      </c>
    </row>
    <row r="7011" spans="8:11" x14ac:dyDescent="0.3">
      <c r="H7011">
        <v>0.5</v>
      </c>
      <c r="I7011" s="11">
        <f t="shared" si="109"/>
        <v>0</v>
      </c>
      <c r="J7011" s="11">
        <f>1/(H7011*Utilities!$B$11)</f>
        <v>8</v>
      </c>
      <c r="K7011" s="11">
        <f>IF(B7011&lt;C7011,1,EXP(-1*(B7011-C7011)/(Utilities!$B$11*IterData!H7011)))</f>
        <v>1</v>
      </c>
    </row>
    <row r="7012" spans="8:11" x14ac:dyDescent="0.3">
      <c r="H7012">
        <v>0.5</v>
      </c>
      <c r="I7012" s="11">
        <f t="shared" si="109"/>
        <v>0</v>
      </c>
      <c r="J7012" s="11">
        <f>1/(H7012*Utilities!$B$11)</f>
        <v>8</v>
      </c>
      <c r="K7012" s="11">
        <f>IF(B7012&lt;C7012,1,EXP(-1*(B7012-C7012)/(Utilities!$B$11*IterData!H7012)))</f>
        <v>1</v>
      </c>
    </row>
    <row r="7013" spans="8:11" x14ac:dyDescent="0.3">
      <c r="H7013">
        <v>0.5</v>
      </c>
      <c r="I7013" s="11">
        <f t="shared" si="109"/>
        <v>0</v>
      </c>
      <c r="J7013" s="11">
        <f>1/(H7013*Utilities!$B$11)</f>
        <v>8</v>
      </c>
      <c r="K7013" s="11">
        <f>IF(B7013&lt;C7013,1,EXP(-1*(B7013-C7013)/(Utilities!$B$11*IterData!H7013)))</f>
        <v>1</v>
      </c>
    </row>
    <row r="7014" spans="8:11" x14ac:dyDescent="0.3">
      <c r="H7014">
        <v>0.5</v>
      </c>
      <c r="I7014" s="11">
        <f t="shared" si="109"/>
        <v>0</v>
      </c>
      <c r="J7014" s="11">
        <f>1/(H7014*Utilities!$B$11)</f>
        <v>8</v>
      </c>
      <c r="K7014" s="11">
        <f>IF(B7014&lt;C7014,1,EXP(-1*(B7014-C7014)/(Utilities!$B$11*IterData!H7014)))</f>
        <v>1</v>
      </c>
    </row>
    <row r="7015" spans="8:11" x14ac:dyDescent="0.3">
      <c r="H7015">
        <v>0.5</v>
      </c>
      <c r="I7015" s="11">
        <f t="shared" si="109"/>
        <v>0</v>
      </c>
      <c r="J7015" s="11">
        <f>1/(H7015*Utilities!$B$11)</f>
        <v>8</v>
      </c>
      <c r="K7015" s="11">
        <f>IF(B7015&lt;C7015,1,EXP(-1*(B7015-C7015)/(Utilities!$B$11*IterData!H7015)))</f>
        <v>1</v>
      </c>
    </row>
    <row r="7016" spans="8:11" x14ac:dyDescent="0.3">
      <c r="H7016">
        <v>0.5</v>
      </c>
      <c r="I7016" s="11">
        <f t="shared" si="109"/>
        <v>0</v>
      </c>
      <c r="J7016" s="11">
        <f>1/(H7016*Utilities!$B$11)</f>
        <v>8</v>
      </c>
      <c r="K7016" s="11">
        <f>IF(B7016&lt;C7016,1,EXP(-1*(B7016-C7016)/(Utilities!$B$11*IterData!H7016)))</f>
        <v>1</v>
      </c>
    </row>
    <row r="7017" spans="8:11" x14ac:dyDescent="0.3">
      <c r="H7017">
        <v>0.5</v>
      </c>
      <c r="I7017" s="11">
        <f t="shared" si="109"/>
        <v>0</v>
      </c>
      <c r="J7017" s="11">
        <f>1/(H7017*Utilities!$B$11)</f>
        <v>8</v>
      </c>
      <c r="K7017" s="11">
        <f>IF(B7017&lt;C7017,1,EXP(-1*(B7017-C7017)/(Utilities!$B$11*IterData!H7017)))</f>
        <v>1</v>
      </c>
    </row>
    <row r="7018" spans="8:11" x14ac:dyDescent="0.3">
      <c r="H7018">
        <v>0.5</v>
      </c>
      <c r="I7018" s="11">
        <f t="shared" si="109"/>
        <v>0</v>
      </c>
      <c r="J7018" s="11">
        <f>1/(H7018*Utilities!$B$11)</f>
        <v>8</v>
      </c>
      <c r="K7018" s="11">
        <f>IF(B7018&lt;C7018,1,EXP(-1*(B7018-C7018)/(Utilities!$B$11*IterData!H7018)))</f>
        <v>1</v>
      </c>
    </row>
    <row r="7019" spans="8:11" x14ac:dyDescent="0.3">
      <c r="H7019">
        <v>0.5</v>
      </c>
      <c r="I7019" s="11">
        <f t="shared" si="109"/>
        <v>0</v>
      </c>
      <c r="J7019" s="11">
        <f>1/(H7019*Utilities!$B$11)</f>
        <v>8</v>
      </c>
      <c r="K7019" s="11">
        <f>IF(B7019&lt;C7019,1,EXP(-1*(B7019-C7019)/(Utilities!$B$11*IterData!H7019)))</f>
        <v>1</v>
      </c>
    </row>
    <row r="7020" spans="8:11" x14ac:dyDescent="0.3">
      <c r="H7020">
        <v>0.5</v>
      </c>
      <c r="I7020" s="11">
        <f t="shared" si="109"/>
        <v>0</v>
      </c>
      <c r="J7020" s="11">
        <f>1/(H7020*Utilities!$B$11)</f>
        <v>8</v>
      </c>
      <c r="K7020" s="11">
        <f>IF(B7020&lt;C7020,1,EXP(-1*(B7020-C7020)/(Utilities!$B$11*IterData!H7020)))</f>
        <v>1</v>
      </c>
    </row>
    <row r="7021" spans="8:11" x14ac:dyDescent="0.3">
      <c r="H7021">
        <v>0.5</v>
      </c>
      <c r="I7021" s="11">
        <f t="shared" si="109"/>
        <v>0</v>
      </c>
      <c r="J7021" s="11">
        <f>1/(H7021*Utilities!$B$11)</f>
        <v>8</v>
      </c>
      <c r="K7021" s="11">
        <f>IF(B7021&lt;C7021,1,EXP(-1*(B7021-C7021)/(Utilities!$B$11*IterData!H7021)))</f>
        <v>1</v>
      </c>
    </row>
    <row r="7022" spans="8:11" x14ac:dyDescent="0.3">
      <c r="H7022">
        <v>0.5</v>
      </c>
      <c r="I7022" s="11">
        <f t="shared" si="109"/>
        <v>0</v>
      </c>
      <c r="J7022" s="11">
        <f>1/(H7022*Utilities!$B$11)</f>
        <v>8</v>
      </c>
      <c r="K7022" s="11">
        <f>IF(B7022&lt;C7022,1,EXP(-1*(B7022-C7022)/(Utilities!$B$11*IterData!H7022)))</f>
        <v>1</v>
      </c>
    </row>
    <row r="7023" spans="8:11" x14ac:dyDescent="0.3">
      <c r="H7023">
        <v>0.5</v>
      </c>
      <c r="I7023" s="11">
        <f t="shared" si="109"/>
        <v>0</v>
      </c>
      <c r="J7023" s="11">
        <f>1/(H7023*Utilities!$B$11)</f>
        <v>8</v>
      </c>
      <c r="K7023" s="11">
        <f>IF(B7023&lt;C7023,1,EXP(-1*(B7023-C7023)/(Utilities!$B$11*IterData!H7023)))</f>
        <v>1</v>
      </c>
    </row>
    <row r="7024" spans="8:11" x14ac:dyDescent="0.3">
      <c r="H7024">
        <v>0.5</v>
      </c>
      <c r="I7024" s="11">
        <f t="shared" si="109"/>
        <v>0</v>
      </c>
      <c r="J7024" s="11">
        <f>1/(H7024*Utilities!$B$11)</f>
        <v>8</v>
      </c>
      <c r="K7024" s="11">
        <f>IF(B7024&lt;C7024,1,EXP(-1*(B7024-C7024)/(Utilities!$B$11*IterData!H7024)))</f>
        <v>1</v>
      </c>
    </row>
    <row r="7025" spans="8:11" x14ac:dyDescent="0.3">
      <c r="H7025">
        <v>0.5</v>
      </c>
      <c r="I7025" s="11">
        <f t="shared" si="109"/>
        <v>0</v>
      </c>
      <c r="J7025" s="11">
        <f>1/(H7025*Utilities!$B$11)</f>
        <v>8</v>
      </c>
      <c r="K7025" s="11">
        <f>IF(B7025&lt;C7025,1,EXP(-1*(B7025-C7025)/(Utilities!$B$11*IterData!H7025)))</f>
        <v>1</v>
      </c>
    </row>
    <row r="7026" spans="8:11" x14ac:dyDescent="0.3">
      <c r="H7026">
        <v>0.5</v>
      </c>
      <c r="I7026" s="11">
        <f t="shared" si="109"/>
        <v>0</v>
      </c>
      <c r="J7026" s="11">
        <f>1/(H7026*Utilities!$B$11)</f>
        <v>8</v>
      </c>
      <c r="K7026" s="11">
        <f>IF(B7026&lt;C7026,1,EXP(-1*(B7026-C7026)/(Utilities!$B$11*IterData!H7026)))</f>
        <v>1</v>
      </c>
    </row>
    <row r="7027" spans="8:11" x14ac:dyDescent="0.3">
      <c r="H7027">
        <v>0.5</v>
      </c>
      <c r="I7027" s="11">
        <f t="shared" si="109"/>
        <v>0</v>
      </c>
      <c r="J7027" s="11">
        <f>1/(H7027*Utilities!$B$11)</f>
        <v>8</v>
      </c>
      <c r="K7027" s="11">
        <f>IF(B7027&lt;C7027,1,EXP(-1*(B7027-C7027)/(Utilities!$B$11*IterData!H7027)))</f>
        <v>1</v>
      </c>
    </row>
    <row r="7028" spans="8:11" x14ac:dyDescent="0.3">
      <c r="H7028">
        <v>0.5</v>
      </c>
      <c r="I7028" s="11">
        <f t="shared" si="109"/>
        <v>0</v>
      </c>
      <c r="J7028" s="11">
        <f>1/(H7028*Utilities!$B$11)</f>
        <v>8</v>
      </c>
      <c r="K7028" s="11">
        <f>IF(B7028&lt;C7028,1,EXP(-1*(B7028-C7028)/(Utilities!$B$11*IterData!H7028)))</f>
        <v>1</v>
      </c>
    </row>
    <row r="7029" spans="8:11" x14ac:dyDescent="0.3">
      <c r="H7029">
        <v>0.5</v>
      </c>
      <c r="I7029" s="11">
        <f t="shared" si="109"/>
        <v>0</v>
      </c>
      <c r="J7029" s="11">
        <f>1/(H7029*Utilities!$B$11)</f>
        <v>8</v>
      </c>
      <c r="K7029" s="11">
        <f>IF(B7029&lt;C7029,1,EXP(-1*(B7029-C7029)/(Utilities!$B$11*IterData!H7029)))</f>
        <v>1</v>
      </c>
    </row>
    <row r="7030" spans="8:11" x14ac:dyDescent="0.3">
      <c r="H7030">
        <v>0.5</v>
      </c>
      <c r="I7030" s="11">
        <f t="shared" si="109"/>
        <v>0</v>
      </c>
      <c r="J7030" s="11">
        <f>1/(H7030*Utilities!$B$11)</f>
        <v>8</v>
      </c>
      <c r="K7030" s="11">
        <f>IF(B7030&lt;C7030,1,EXP(-1*(B7030-C7030)/(Utilities!$B$11*IterData!H7030)))</f>
        <v>1</v>
      </c>
    </row>
    <row r="7031" spans="8:11" x14ac:dyDescent="0.3">
      <c r="H7031">
        <v>0.5</v>
      </c>
      <c r="I7031" s="11">
        <f t="shared" si="109"/>
        <v>0</v>
      </c>
      <c r="J7031" s="11">
        <f>1/(H7031*Utilities!$B$11)</f>
        <v>8</v>
      </c>
      <c r="K7031" s="11">
        <f>IF(B7031&lt;C7031,1,EXP(-1*(B7031-C7031)/(Utilities!$B$11*IterData!H7031)))</f>
        <v>1</v>
      </c>
    </row>
    <row r="7032" spans="8:11" x14ac:dyDescent="0.3">
      <c r="H7032">
        <v>0.5</v>
      </c>
      <c r="I7032" s="11">
        <f t="shared" si="109"/>
        <v>0</v>
      </c>
      <c r="J7032" s="11">
        <f>1/(H7032*Utilities!$B$11)</f>
        <v>8</v>
      </c>
      <c r="K7032" s="11">
        <f>IF(B7032&lt;C7032,1,EXP(-1*(B7032-C7032)/(Utilities!$B$11*IterData!H7032)))</f>
        <v>1</v>
      </c>
    </row>
    <row r="7033" spans="8:11" x14ac:dyDescent="0.3">
      <c r="H7033">
        <v>0.5</v>
      </c>
      <c r="I7033" s="11">
        <f t="shared" si="109"/>
        <v>0</v>
      </c>
      <c r="J7033" s="11">
        <f>1/(H7033*Utilities!$B$11)</f>
        <v>8</v>
      </c>
      <c r="K7033" s="11">
        <f>IF(B7033&lt;C7033,1,EXP(-1*(B7033-C7033)/(Utilities!$B$11*IterData!H7033)))</f>
        <v>1</v>
      </c>
    </row>
    <row r="7034" spans="8:11" x14ac:dyDescent="0.3">
      <c r="H7034">
        <v>0.5</v>
      </c>
      <c r="I7034" s="11">
        <f t="shared" si="109"/>
        <v>0</v>
      </c>
      <c r="J7034" s="11">
        <f>1/(H7034*Utilities!$B$11)</f>
        <v>8</v>
      </c>
      <c r="K7034" s="11">
        <f>IF(B7034&lt;C7034,1,EXP(-1*(B7034-C7034)/(Utilities!$B$11*IterData!H7034)))</f>
        <v>1</v>
      </c>
    </row>
    <row r="7035" spans="8:11" x14ac:dyDescent="0.3">
      <c r="H7035">
        <v>0.5</v>
      </c>
      <c r="I7035" s="11">
        <f t="shared" si="109"/>
        <v>0</v>
      </c>
      <c r="J7035" s="11">
        <f>1/(H7035*Utilities!$B$11)</f>
        <v>8</v>
      </c>
      <c r="K7035" s="11">
        <f>IF(B7035&lt;C7035,1,EXP(-1*(B7035-C7035)/(Utilities!$B$11*IterData!H7035)))</f>
        <v>1</v>
      </c>
    </row>
    <row r="7036" spans="8:11" x14ac:dyDescent="0.3">
      <c r="H7036">
        <v>0.5</v>
      </c>
      <c r="I7036" s="11">
        <f t="shared" si="109"/>
        <v>0</v>
      </c>
      <c r="J7036" s="11">
        <f>1/(H7036*Utilities!$B$11)</f>
        <v>8</v>
      </c>
      <c r="K7036" s="11">
        <f>IF(B7036&lt;C7036,1,EXP(-1*(B7036-C7036)/(Utilities!$B$11*IterData!H7036)))</f>
        <v>1</v>
      </c>
    </row>
    <row r="7037" spans="8:11" x14ac:dyDescent="0.3">
      <c r="H7037">
        <v>0.5</v>
      </c>
      <c r="I7037" s="11">
        <f t="shared" si="109"/>
        <v>0</v>
      </c>
      <c r="J7037" s="11">
        <f>1/(H7037*Utilities!$B$11)</f>
        <v>8</v>
      </c>
      <c r="K7037" s="11">
        <f>IF(B7037&lt;C7037,1,EXP(-1*(B7037-C7037)/(Utilities!$B$11*IterData!H7037)))</f>
        <v>1</v>
      </c>
    </row>
    <row r="7038" spans="8:11" x14ac:dyDescent="0.3">
      <c r="H7038">
        <v>0.5</v>
      </c>
      <c r="I7038" s="11">
        <f t="shared" si="109"/>
        <v>0</v>
      </c>
      <c r="J7038" s="11">
        <f>1/(H7038*Utilities!$B$11)</f>
        <v>8</v>
      </c>
      <c r="K7038" s="11">
        <f>IF(B7038&lt;C7038,1,EXP(-1*(B7038-C7038)/(Utilities!$B$11*IterData!H7038)))</f>
        <v>1</v>
      </c>
    </row>
    <row r="7039" spans="8:11" x14ac:dyDescent="0.3">
      <c r="H7039">
        <v>0.5</v>
      </c>
      <c r="I7039" s="11">
        <f t="shared" si="109"/>
        <v>0</v>
      </c>
      <c r="J7039" s="11">
        <f>1/(H7039*Utilities!$B$11)</f>
        <v>8</v>
      </c>
      <c r="K7039" s="11">
        <f>IF(B7039&lt;C7039,1,EXP(-1*(B7039-C7039)/(Utilities!$B$11*IterData!H7039)))</f>
        <v>1</v>
      </c>
    </row>
    <row r="7040" spans="8:11" x14ac:dyDescent="0.3">
      <c r="H7040">
        <v>0.5</v>
      </c>
      <c r="I7040" s="11">
        <f t="shared" si="109"/>
        <v>0</v>
      </c>
      <c r="J7040" s="11">
        <f>1/(H7040*Utilities!$B$11)</f>
        <v>8</v>
      </c>
      <c r="K7040" s="11">
        <f>IF(B7040&lt;C7040,1,EXP(-1*(B7040-C7040)/(Utilities!$B$11*IterData!H7040)))</f>
        <v>1</v>
      </c>
    </row>
    <row r="7041" spans="8:11" x14ac:dyDescent="0.3">
      <c r="H7041">
        <v>0.5</v>
      </c>
      <c r="I7041" s="11">
        <f t="shared" si="109"/>
        <v>0</v>
      </c>
      <c r="J7041" s="11">
        <f>1/(H7041*Utilities!$B$11)</f>
        <v>8</v>
      </c>
      <c r="K7041" s="11">
        <f>IF(B7041&lt;C7041,1,EXP(-1*(B7041-C7041)/(Utilities!$B$11*IterData!H7041)))</f>
        <v>1</v>
      </c>
    </row>
    <row r="7042" spans="8:11" x14ac:dyDescent="0.3">
      <c r="H7042">
        <v>0.5</v>
      </c>
      <c r="I7042" s="11">
        <f t="shared" si="109"/>
        <v>0</v>
      </c>
      <c r="J7042" s="11">
        <f>1/(H7042*Utilities!$B$11)</f>
        <v>8</v>
      </c>
      <c r="K7042" s="11">
        <f>IF(B7042&lt;C7042,1,EXP(-1*(B7042-C7042)/(Utilities!$B$11*IterData!H7042)))</f>
        <v>1</v>
      </c>
    </row>
    <row r="7043" spans="8:11" x14ac:dyDescent="0.3">
      <c r="H7043">
        <v>0.5</v>
      </c>
      <c r="I7043" s="11">
        <f t="shared" ref="I7043:I7106" si="110">B7043-C7043</f>
        <v>0</v>
      </c>
      <c r="J7043" s="11">
        <f>1/(H7043*Utilities!$B$11)</f>
        <v>8</v>
      </c>
      <c r="K7043" s="11">
        <f>IF(B7043&lt;C7043,1,EXP(-1*(B7043-C7043)/(Utilities!$B$11*IterData!H7043)))</f>
        <v>1</v>
      </c>
    </row>
    <row r="7044" spans="8:11" x14ac:dyDescent="0.3">
      <c r="H7044">
        <v>0.5</v>
      </c>
      <c r="I7044" s="11">
        <f t="shared" si="110"/>
        <v>0</v>
      </c>
      <c r="J7044" s="11">
        <f>1/(H7044*Utilities!$B$11)</f>
        <v>8</v>
      </c>
      <c r="K7044" s="11">
        <f>IF(B7044&lt;C7044,1,EXP(-1*(B7044-C7044)/(Utilities!$B$11*IterData!H7044)))</f>
        <v>1</v>
      </c>
    </row>
    <row r="7045" spans="8:11" x14ac:dyDescent="0.3">
      <c r="H7045">
        <v>0.5</v>
      </c>
      <c r="I7045" s="11">
        <f t="shared" si="110"/>
        <v>0</v>
      </c>
      <c r="J7045" s="11">
        <f>1/(H7045*Utilities!$B$11)</f>
        <v>8</v>
      </c>
      <c r="K7045" s="11">
        <f>IF(B7045&lt;C7045,1,EXP(-1*(B7045-C7045)/(Utilities!$B$11*IterData!H7045)))</f>
        <v>1</v>
      </c>
    </row>
    <row r="7046" spans="8:11" x14ac:dyDescent="0.3">
      <c r="H7046">
        <v>0.5</v>
      </c>
      <c r="I7046" s="11">
        <f t="shared" si="110"/>
        <v>0</v>
      </c>
      <c r="J7046" s="11">
        <f>1/(H7046*Utilities!$B$11)</f>
        <v>8</v>
      </c>
      <c r="K7046" s="11">
        <f>IF(B7046&lt;C7046,1,EXP(-1*(B7046-C7046)/(Utilities!$B$11*IterData!H7046)))</f>
        <v>1</v>
      </c>
    </row>
    <row r="7047" spans="8:11" x14ac:dyDescent="0.3">
      <c r="H7047">
        <v>0.5</v>
      </c>
      <c r="I7047" s="11">
        <f t="shared" si="110"/>
        <v>0</v>
      </c>
      <c r="J7047" s="11">
        <f>1/(H7047*Utilities!$B$11)</f>
        <v>8</v>
      </c>
      <c r="K7047" s="11">
        <f>IF(B7047&lt;C7047,1,EXP(-1*(B7047-C7047)/(Utilities!$B$11*IterData!H7047)))</f>
        <v>1</v>
      </c>
    </row>
    <row r="7048" spans="8:11" x14ac:dyDescent="0.3">
      <c r="H7048">
        <v>0.5</v>
      </c>
      <c r="I7048" s="11">
        <f t="shared" si="110"/>
        <v>0</v>
      </c>
      <c r="J7048" s="11">
        <f>1/(H7048*Utilities!$B$11)</f>
        <v>8</v>
      </c>
      <c r="K7048" s="11">
        <f>IF(B7048&lt;C7048,1,EXP(-1*(B7048-C7048)/(Utilities!$B$11*IterData!H7048)))</f>
        <v>1</v>
      </c>
    </row>
    <row r="7049" spans="8:11" x14ac:dyDescent="0.3">
      <c r="H7049">
        <v>0.5</v>
      </c>
      <c r="I7049" s="11">
        <f t="shared" si="110"/>
        <v>0</v>
      </c>
      <c r="J7049" s="11">
        <f>1/(H7049*Utilities!$B$11)</f>
        <v>8</v>
      </c>
      <c r="K7049" s="11">
        <f>IF(B7049&lt;C7049,1,EXP(-1*(B7049-C7049)/(Utilities!$B$11*IterData!H7049)))</f>
        <v>1</v>
      </c>
    </row>
    <row r="7050" spans="8:11" x14ac:dyDescent="0.3">
      <c r="H7050">
        <v>0.5</v>
      </c>
      <c r="I7050" s="11">
        <f t="shared" si="110"/>
        <v>0</v>
      </c>
      <c r="J7050" s="11">
        <f>1/(H7050*Utilities!$B$11)</f>
        <v>8</v>
      </c>
      <c r="K7050" s="11">
        <f>IF(B7050&lt;C7050,1,EXP(-1*(B7050-C7050)/(Utilities!$B$11*IterData!H7050)))</f>
        <v>1</v>
      </c>
    </row>
    <row r="7051" spans="8:11" x14ac:dyDescent="0.3">
      <c r="H7051">
        <v>0.5</v>
      </c>
      <c r="I7051" s="11">
        <f t="shared" si="110"/>
        <v>0</v>
      </c>
      <c r="J7051" s="11">
        <f>1/(H7051*Utilities!$B$11)</f>
        <v>8</v>
      </c>
      <c r="K7051" s="11">
        <f>IF(B7051&lt;C7051,1,EXP(-1*(B7051-C7051)/(Utilities!$B$11*IterData!H7051)))</f>
        <v>1</v>
      </c>
    </row>
    <row r="7052" spans="8:11" x14ac:dyDescent="0.3">
      <c r="H7052">
        <v>0.5</v>
      </c>
      <c r="I7052" s="11">
        <f t="shared" si="110"/>
        <v>0</v>
      </c>
      <c r="J7052" s="11">
        <f>1/(H7052*Utilities!$B$11)</f>
        <v>8</v>
      </c>
      <c r="K7052" s="11">
        <f>IF(B7052&lt;C7052,1,EXP(-1*(B7052-C7052)/(Utilities!$B$11*IterData!H7052)))</f>
        <v>1</v>
      </c>
    </row>
    <row r="7053" spans="8:11" x14ac:dyDescent="0.3">
      <c r="H7053">
        <v>0.5</v>
      </c>
      <c r="I7053" s="11">
        <f t="shared" si="110"/>
        <v>0</v>
      </c>
      <c r="J7053" s="11">
        <f>1/(H7053*Utilities!$B$11)</f>
        <v>8</v>
      </c>
      <c r="K7053" s="11">
        <f>IF(B7053&lt;C7053,1,EXP(-1*(B7053-C7053)/(Utilities!$B$11*IterData!H7053)))</f>
        <v>1</v>
      </c>
    </row>
    <row r="7054" spans="8:11" x14ac:dyDescent="0.3">
      <c r="H7054">
        <v>0.5</v>
      </c>
      <c r="I7054" s="11">
        <f t="shared" si="110"/>
        <v>0</v>
      </c>
      <c r="J7054" s="11">
        <f>1/(H7054*Utilities!$B$11)</f>
        <v>8</v>
      </c>
      <c r="K7054" s="11">
        <f>IF(B7054&lt;C7054,1,EXP(-1*(B7054-C7054)/(Utilities!$B$11*IterData!H7054)))</f>
        <v>1</v>
      </c>
    </row>
    <row r="7055" spans="8:11" x14ac:dyDescent="0.3">
      <c r="H7055">
        <v>0.5</v>
      </c>
      <c r="I7055" s="11">
        <f t="shared" si="110"/>
        <v>0</v>
      </c>
      <c r="J7055" s="11">
        <f>1/(H7055*Utilities!$B$11)</f>
        <v>8</v>
      </c>
      <c r="K7055" s="11">
        <f>IF(B7055&lt;C7055,1,EXP(-1*(B7055-C7055)/(Utilities!$B$11*IterData!H7055)))</f>
        <v>1</v>
      </c>
    </row>
    <row r="7056" spans="8:11" x14ac:dyDescent="0.3">
      <c r="H7056">
        <v>0.5</v>
      </c>
      <c r="I7056" s="11">
        <f t="shared" si="110"/>
        <v>0</v>
      </c>
      <c r="J7056" s="11">
        <f>1/(H7056*Utilities!$B$11)</f>
        <v>8</v>
      </c>
      <c r="K7056" s="11">
        <f>IF(B7056&lt;C7056,1,EXP(-1*(B7056-C7056)/(Utilities!$B$11*IterData!H7056)))</f>
        <v>1</v>
      </c>
    </row>
    <row r="7057" spans="8:11" x14ac:dyDescent="0.3">
      <c r="H7057">
        <v>0.5</v>
      </c>
      <c r="I7057" s="11">
        <f t="shared" si="110"/>
        <v>0</v>
      </c>
      <c r="J7057" s="11">
        <f>1/(H7057*Utilities!$B$11)</f>
        <v>8</v>
      </c>
      <c r="K7057" s="11">
        <f>IF(B7057&lt;C7057,1,EXP(-1*(B7057-C7057)/(Utilities!$B$11*IterData!H7057)))</f>
        <v>1</v>
      </c>
    </row>
    <row r="7058" spans="8:11" x14ac:dyDescent="0.3">
      <c r="H7058">
        <v>0.5</v>
      </c>
      <c r="I7058" s="11">
        <f t="shared" si="110"/>
        <v>0</v>
      </c>
      <c r="J7058" s="11">
        <f>1/(H7058*Utilities!$B$11)</f>
        <v>8</v>
      </c>
      <c r="K7058" s="11">
        <f>IF(B7058&lt;C7058,1,EXP(-1*(B7058-C7058)/(Utilities!$B$11*IterData!H7058)))</f>
        <v>1</v>
      </c>
    </row>
    <row r="7059" spans="8:11" x14ac:dyDescent="0.3">
      <c r="H7059">
        <v>0.5</v>
      </c>
      <c r="I7059" s="11">
        <f t="shared" si="110"/>
        <v>0</v>
      </c>
      <c r="J7059" s="11">
        <f>1/(H7059*Utilities!$B$11)</f>
        <v>8</v>
      </c>
      <c r="K7059" s="11">
        <f>IF(B7059&lt;C7059,1,EXP(-1*(B7059-C7059)/(Utilities!$B$11*IterData!H7059)))</f>
        <v>1</v>
      </c>
    </row>
    <row r="7060" spans="8:11" x14ac:dyDescent="0.3">
      <c r="H7060">
        <v>0.5</v>
      </c>
      <c r="I7060" s="11">
        <f t="shared" si="110"/>
        <v>0</v>
      </c>
      <c r="J7060" s="11">
        <f>1/(H7060*Utilities!$B$11)</f>
        <v>8</v>
      </c>
      <c r="K7060" s="11">
        <f>IF(B7060&lt;C7060,1,EXP(-1*(B7060-C7060)/(Utilities!$B$11*IterData!H7060)))</f>
        <v>1</v>
      </c>
    </row>
    <row r="7061" spans="8:11" x14ac:dyDescent="0.3">
      <c r="H7061">
        <v>0.5</v>
      </c>
      <c r="I7061" s="11">
        <f t="shared" si="110"/>
        <v>0</v>
      </c>
      <c r="J7061" s="11">
        <f>1/(H7061*Utilities!$B$11)</f>
        <v>8</v>
      </c>
      <c r="K7061" s="11">
        <f>IF(B7061&lt;C7061,1,EXP(-1*(B7061-C7061)/(Utilities!$B$11*IterData!H7061)))</f>
        <v>1</v>
      </c>
    </row>
    <row r="7062" spans="8:11" x14ac:dyDescent="0.3">
      <c r="H7062">
        <v>0.5</v>
      </c>
      <c r="I7062" s="11">
        <f t="shared" si="110"/>
        <v>0</v>
      </c>
      <c r="J7062" s="11">
        <f>1/(H7062*Utilities!$B$11)</f>
        <v>8</v>
      </c>
      <c r="K7062" s="11">
        <f>IF(B7062&lt;C7062,1,EXP(-1*(B7062-C7062)/(Utilities!$B$11*IterData!H7062)))</f>
        <v>1</v>
      </c>
    </row>
    <row r="7063" spans="8:11" x14ac:dyDescent="0.3">
      <c r="H7063">
        <v>0.5</v>
      </c>
      <c r="I7063" s="11">
        <f t="shared" si="110"/>
        <v>0</v>
      </c>
      <c r="J7063" s="11">
        <f>1/(H7063*Utilities!$B$11)</f>
        <v>8</v>
      </c>
      <c r="K7063" s="11">
        <f>IF(B7063&lt;C7063,1,EXP(-1*(B7063-C7063)/(Utilities!$B$11*IterData!H7063)))</f>
        <v>1</v>
      </c>
    </row>
    <row r="7064" spans="8:11" x14ac:dyDescent="0.3">
      <c r="H7064">
        <v>0.5</v>
      </c>
      <c r="I7064" s="11">
        <f t="shared" si="110"/>
        <v>0</v>
      </c>
      <c r="J7064" s="11">
        <f>1/(H7064*Utilities!$B$11)</f>
        <v>8</v>
      </c>
      <c r="K7064" s="11">
        <f>IF(B7064&lt;C7064,1,EXP(-1*(B7064-C7064)/(Utilities!$B$11*IterData!H7064)))</f>
        <v>1</v>
      </c>
    </row>
    <row r="7065" spans="8:11" x14ac:dyDescent="0.3">
      <c r="H7065">
        <v>0.5</v>
      </c>
      <c r="I7065" s="11">
        <f t="shared" si="110"/>
        <v>0</v>
      </c>
      <c r="J7065" s="11">
        <f>1/(H7065*Utilities!$B$11)</f>
        <v>8</v>
      </c>
      <c r="K7065" s="11">
        <f>IF(B7065&lt;C7065,1,EXP(-1*(B7065-C7065)/(Utilities!$B$11*IterData!H7065)))</f>
        <v>1</v>
      </c>
    </row>
    <row r="7066" spans="8:11" x14ac:dyDescent="0.3">
      <c r="H7066">
        <v>0.5</v>
      </c>
      <c r="I7066" s="11">
        <f t="shared" si="110"/>
        <v>0</v>
      </c>
      <c r="J7066" s="11">
        <f>1/(H7066*Utilities!$B$11)</f>
        <v>8</v>
      </c>
      <c r="K7066" s="11">
        <f>IF(B7066&lt;C7066,1,EXP(-1*(B7066-C7066)/(Utilities!$B$11*IterData!H7066)))</f>
        <v>1</v>
      </c>
    </row>
    <row r="7067" spans="8:11" x14ac:dyDescent="0.3">
      <c r="H7067">
        <v>0.5</v>
      </c>
      <c r="I7067" s="11">
        <f t="shared" si="110"/>
        <v>0</v>
      </c>
      <c r="J7067" s="11">
        <f>1/(H7067*Utilities!$B$11)</f>
        <v>8</v>
      </c>
      <c r="K7067" s="11">
        <f>IF(B7067&lt;C7067,1,EXP(-1*(B7067-C7067)/(Utilities!$B$11*IterData!H7067)))</f>
        <v>1</v>
      </c>
    </row>
    <row r="7068" spans="8:11" x14ac:dyDescent="0.3">
      <c r="H7068">
        <v>0.5</v>
      </c>
      <c r="I7068" s="11">
        <f t="shared" si="110"/>
        <v>0</v>
      </c>
      <c r="J7068" s="11">
        <f>1/(H7068*Utilities!$B$11)</f>
        <v>8</v>
      </c>
      <c r="K7068" s="11">
        <f>IF(B7068&lt;C7068,1,EXP(-1*(B7068-C7068)/(Utilities!$B$11*IterData!H7068)))</f>
        <v>1</v>
      </c>
    </row>
    <row r="7069" spans="8:11" x14ac:dyDescent="0.3">
      <c r="H7069">
        <v>0.5</v>
      </c>
      <c r="I7069" s="11">
        <f t="shared" si="110"/>
        <v>0</v>
      </c>
      <c r="J7069" s="11">
        <f>1/(H7069*Utilities!$B$11)</f>
        <v>8</v>
      </c>
      <c r="K7069" s="11">
        <f>IF(B7069&lt;C7069,1,EXP(-1*(B7069-C7069)/(Utilities!$B$11*IterData!H7069)))</f>
        <v>1</v>
      </c>
    </row>
    <row r="7070" spans="8:11" x14ac:dyDescent="0.3">
      <c r="H7070">
        <v>0.5</v>
      </c>
      <c r="I7070" s="11">
        <f t="shared" si="110"/>
        <v>0</v>
      </c>
      <c r="J7070" s="11">
        <f>1/(H7070*Utilities!$B$11)</f>
        <v>8</v>
      </c>
      <c r="K7070" s="11">
        <f>IF(B7070&lt;C7070,1,EXP(-1*(B7070-C7070)/(Utilities!$B$11*IterData!H7070)))</f>
        <v>1</v>
      </c>
    </row>
    <row r="7071" spans="8:11" x14ac:dyDescent="0.3">
      <c r="H7071">
        <v>0.5</v>
      </c>
      <c r="I7071" s="11">
        <f t="shared" si="110"/>
        <v>0</v>
      </c>
      <c r="J7071" s="11">
        <f>1/(H7071*Utilities!$B$11)</f>
        <v>8</v>
      </c>
      <c r="K7071" s="11">
        <f>IF(B7071&lt;C7071,1,EXP(-1*(B7071-C7071)/(Utilities!$B$11*IterData!H7071)))</f>
        <v>1</v>
      </c>
    </row>
    <row r="7072" spans="8:11" x14ac:dyDescent="0.3">
      <c r="H7072">
        <v>0.5</v>
      </c>
      <c r="I7072" s="11">
        <f t="shared" si="110"/>
        <v>0</v>
      </c>
      <c r="J7072" s="11">
        <f>1/(H7072*Utilities!$B$11)</f>
        <v>8</v>
      </c>
      <c r="K7072" s="11">
        <f>IF(B7072&lt;C7072,1,EXP(-1*(B7072-C7072)/(Utilities!$B$11*IterData!H7072)))</f>
        <v>1</v>
      </c>
    </row>
    <row r="7073" spans="8:11" x14ac:dyDescent="0.3">
      <c r="H7073">
        <v>0.5</v>
      </c>
      <c r="I7073" s="11">
        <f t="shared" si="110"/>
        <v>0</v>
      </c>
      <c r="J7073" s="11">
        <f>1/(H7073*Utilities!$B$11)</f>
        <v>8</v>
      </c>
      <c r="K7073" s="11">
        <f>IF(B7073&lt;C7073,1,EXP(-1*(B7073-C7073)/(Utilities!$B$11*IterData!H7073)))</f>
        <v>1</v>
      </c>
    </row>
    <row r="7074" spans="8:11" x14ac:dyDescent="0.3">
      <c r="H7074">
        <v>0.5</v>
      </c>
      <c r="I7074" s="11">
        <f t="shared" si="110"/>
        <v>0</v>
      </c>
      <c r="J7074" s="11">
        <f>1/(H7074*Utilities!$B$11)</f>
        <v>8</v>
      </c>
      <c r="K7074" s="11">
        <f>IF(B7074&lt;C7074,1,EXP(-1*(B7074-C7074)/(Utilities!$B$11*IterData!H7074)))</f>
        <v>1</v>
      </c>
    </row>
    <row r="7075" spans="8:11" x14ac:dyDescent="0.3">
      <c r="H7075">
        <v>0.5</v>
      </c>
      <c r="I7075" s="11">
        <f t="shared" si="110"/>
        <v>0</v>
      </c>
      <c r="J7075" s="11">
        <f>1/(H7075*Utilities!$B$11)</f>
        <v>8</v>
      </c>
      <c r="K7075" s="11">
        <f>IF(B7075&lt;C7075,1,EXP(-1*(B7075-C7075)/(Utilities!$B$11*IterData!H7075)))</f>
        <v>1</v>
      </c>
    </row>
    <row r="7076" spans="8:11" x14ac:dyDescent="0.3">
      <c r="H7076">
        <v>0.5</v>
      </c>
      <c r="I7076" s="11">
        <f t="shared" si="110"/>
        <v>0</v>
      </c>
      <c r="J7076" s="11">
        <f>1/(H7076*Utilities!$B$11)</f>
        <v>8</v>
      </c>
      <c r="K7076" s="11">
        <f>IF(B7076&lt;C7076,1,EXP(-1*(B7076-C7076)/(Utilities!$B$11*IterData!H7076)))</f>
        <v>1</v>
      </c>
    </row>
    <row r="7077" spans="8:11" x14ac:dyDescent="0.3">
      <c r="H7077">
        <v>0.5</v>
      </c>
      <c r="I7077" s="11">
        <f t="shared" si="110"/>
        <v>0</v>
      </c>
      <c r="J7077" s="11">
        <f>1/(H7077*Utilities!$B$11)</f>
        <v>8</v>
      </c>
      <c r="K7077" s="11">
        <f>IF(B7077&lt;C7077,1,EXP(-1*(B7077-C7077)/(Utilities!$B$11*IterData!H7077)))</f>
        <v>1</v>
      </c>
    </row>
    <row r="7078" spans="8:11" x14ac:dyDescent="0.3">
      <c r="H7078">
        <v>0.5</v>
      </c>
      <c r="I7078" s="11">
        <f t="shared" si="110"/>
        <v>0</v>
      </c>
      <c r="J7078" s="11">
        <f>1/(H7078*Utilities!$B$11)</f>
        <v>8</v>
      </c>
      <c r="K7078" s="11">
        <f>IF(B7078&lt;C7078,1,EXP(-1*(B7078-C7078)/(Utilities!$B$11*IterData!H7078)))</f>
        <v>1</v>
      </c>
    </row>
    <row r="7079" spans="8:11" x14ac:dyDescent="0.3">
      <c r="H7079">
        <v>0.5</v>
      </c>
      <c r="I7079" s="11">
        <f t="shared" si="110"/>
        <v>0</v>
      </c>
      <c r="J7079" s="11">
        <f>1/(H7079*Utilities!$B$11)</f>
        <v>8</v>
      </c>
      <c r="K7079" s="11">
        <f>IF(B7079&lt;C7079,1,EXP(-1*(B7079-C7079)/(Utilities!$B$11*IterData!H7079)))</f>
        <v>1</v>
      </c>
    </row>
    <row r="7080" spans="8:11" x14ac:dyDescent="0.3">
      <c r="H7080">
        <v>0.5</v>
      </c>
      <c r="I7080" s="11">
        <f t="shared" si="110"/>
        <v>0</v>
      </c>
      <c r="J7080" s="11">
        <f>1/(H7080*Utilities!$B$11)</f>
        <v>8</v>
      </c>
      <c r="K7080" s="11">
        <f>IF(B7080&lt;C7080,1,EXP(-1*(B7080-C7080)/(Utilities!$B$11*IterData!H7080)))</f>
        <v>1</v>
      </c>
    </row>
    <row r="7081" spans="8:11" x14ac:dyDescent="0.3">
      <c r="H7081">
        <v>0.5</v>
      </c>
      <c r="I7081" s="11">
        <f t="shared" si="110"/>
        <v>0</v>
      </c>
      <c r="J7081" s="11">
        <f>1/(H7081*Utilities!$B$11)</f>
        <v>8</v>
      </c>
      <c r="K7081" s="11">
        <f>IF(B7081&lt;C7081,1,EXP(-1*(B7081-C7081)/(Utilities!$B$11*IterData!H7081)))</f>
        <v>1</v>
      </c>
    </row>
    <row r="7082" spans="8:11" x14ac:dyDescent="0.3">
      <c r="H7082">
        <v>0.5</v>
      </c>
      <c r="I7082" s="11">
        <f t="shared" si="110"/>
        <v>0</v>
      </c>
      <c r="J7082" s="11">
        <f>1/(H7082*Utilities!$B$11)</f>
        <v>8</v>
      </c>
      <c r="K7082" s="11">
        <f>IF(B7082&lt;C7082,1,EXP(-1*(B7082-C7082)/(Utilities!$B$11*IterData!H7082)))</f>
        <v>1</v>
      </c>
    </row>
    <row r="7083" spans="8:11" x14ac:dyDescent="0.3">
      <c r="H7083">
        <v>0.5</v>
      </c>
      <c r="I7083" s="11">
        <f t="shared" si="110"/>
        <v>0</v>
      </c>
      <c r="J7083" s="11">
        <f>1/(H7083*Utilities!$B$11)</f>
        <v>8</v>
      </c>
      <c r="K7083" s="11">
        <f>IF(B7083&lt;C7083,1,EXP(-1*(B7083-C7083)/(Utilities!$B$11*IterData!H7083)))</f>
        <v>1</v>
      </c>
    </row>
    <row r="7084" spans="8:11" x14ac:dyDescent="0.3">
      <c r="H7084">
        <v>0.5</v>
      </c>
      <c r="I7084" s="11">
        <f t="shared" si="110"/>
        <v>0</v>
      </c>
      <c r="J7084" s="11">
        <f>1/(H7084*Utilities!$B$11)</f>
        <v>8</v>
      </c>
      <c r="K7084" s="11">
        <f>IF(B7084&lt;C7084,1,EXP(-1*(B7084-C7084)/(Utilities!$B$11*IterData!H7084)))</f>
        <v>1</v>
      </c>
    </row>
    <row r="7085" spans="8:11" x14ac:dyDescent="0.3">
      <c r="H7085">
        <v>0.5</v>
      </c>
      <c r="I7085" s="11">
        <f t="shared" si="110"/>
        <v>0</v>
      </c>
      <c r="J7085" s="11">
        <f>1/(H7085*Utilities!$B$11)</f>
        <v>8</v>
      </c>
      <c r="K7085" s="11">
        <f>IF(B7085&lt;C7085,1,EXP(-1*(B7085-C7085)/(Utilities!$B$11*IterData!H7085)))</f>
        <v>1</v>
      </c>
    </row>
    <row r="7086" spans="8:11" x14ac:dyDescent="0.3">
      <c r="H7086">
        <v>0.5</v>
      </c>
      <c r="I7086" s="11">
        <f t="shared" si="110"/>
        <v>0</v>
      </c>
      <c r="J7086" s="11">
        <f>1/(H7086*Utilities!$B$11)</f>
        <v>8</v>
      </c>
      <c r="K7086" s="11">
        <f>IF(B7086&lt;C7086,1,EXP(-1*(B7086-C7086)/(Utilities!$B$11*IterData!H7086)))</f>
        <v>1</v>
      </c>
    </row>
    <row r="7087" spans="8:11" x14ac:dyDescent="0.3">
      <c r="H7087">
        <v>0.5</v>
      </c>
      <c r="I7087" s="11">
        <f t="shared" si="110"/>
        <v>0</v>
      </c>
      <c r="J7087" s="11">
        <f>1/(H7087*Utilities!$B$11)</f>
        <v>8</v>
      </c>
      <c r="K7087" s="11">
        <f>IF(B7087&lt;C7087,1,EXP(-1*(B7087-C7087)/(Utilities!$B$11*IterData!H7087)))</f>
        <v>1</v>
      </c>
    </row>
    <row r="7088" spans="8:11" x14ac:dyDescent="0.3">
      <c r="H7088">
        <v>0.5</v>
      </c>
      <c r="I7088" s="11">
        <f t="shared" si="110"/>
        <v>0</v>
      </c>
      <c r="J7088" s="11">
        <f>1/(H7088*Utilities!$B$11)</f>
        <v>8</v>
      </c>
      <c r="K7088" s="11">
        <f>IF(B7088&lt;C7088,1,EXP(-1*(B7088-C7088)/(Utilities!$B$11*IterData!H7088)))</f>
        <v>1</v>
      </c>
    </row>
    <row r="7089" spans="8:11" x14ac:dyDescent="0.3">
      <c r="H7089">
        <v>0.5</v>
      </c>
      <c r="I7089" s="11">
        <f t="shared" si="110"/>
        <v>0</v>
      </c>
      <c r="J7089" s="11">
        <f>1/(H7089*Utilities!$B$11)</f>
        <v>8</v>
      </c>
      <c r="K7089" s="11">
        <f>IF(B7089&lt;C7089,1,EXP(-1*(B7089-C7089)/(Utilities!$B$11*IterData!H7089)))</f>
        <v>1</v>
      </c>
    </row>
    <row r="7090" spans="8:11" x14ac:dyDescent="0.3">
      <c r="H7090">
        <v>0.5</v>
      </c>
      <c r="I7090" s="11">
        <f t="shared" si="110"/>
        <v>0</v>
      </c>
      <c r="J7090" s="11">
        <f>1/(H7090*Utilities!$B$11)</f>
        <v>8</v>
      </c>
      <c r="K7090" s="11">
        <f>IF(B7090&lt;C7090,1,EXP(-1*(B7090-C7090)/(Utilities!$B$11*IterData!H7090)))</f>
        <v>1</v>
      </c>
    </row>
    <row r="7091" spans="8:11" x14ac:dyDescent="0.3">
      <c r="H7091">
        <v>0.5</v>
      </c>
      <c r="I7091" s="11">
        <f t="shared" si="110"/>
        <v>0</v>
      </c>
      <c r="J7091" s="11">
        <f>1/(H7091*Utilities!$B$11)</f>
        <v>8</v>
      </c>
      <c r="K7091" s="11">
        <f>IF(B7091&lt;C7091,1,EXP(-1*(B7091-C7091)/(Utilities!$B$11*IterData!H7091)))</f>
        <v>1</v>
      </c>
    </row>
    <row r="7092" spans="8:11" x14ac:dyDescent="0.3">
      <c r="H7092">
        <v>0.5</v>
      </c>
      <c r="I7092" s="11">
        <f t="shared" si="110"/>
        <v>0</v>
      </c>
      <c r="J7092" s="11">
        <f>1/(H7092*Utilities!$B$11)</f>
        <v>8</v>
      </c>
      <c r="K7092" s="11">
        <f>IF(B7092&lt;C7092,1,EXP(-1*(B7092-C7092)/(Utilities!$B$11*IterData!H7092)))</f>
        <v>1</v>
      </c>
    </row>
    <row r="7093" spans="8:11" x14ac:dyDescent="0.3">
      <c r="H7093">
        <v>0.5</v>
      </c>
      <c r="I7093" s="11">
        <f t="shared" si="110"/>
        <v>0</v>
      </c>
      <c r="J7093" s="11">
        <f>1/(H7093*Utilities!$B$11)</f>
        <v>8</v>
      </c>
      <c r="K7093" s="11">
        <f>IF(B7093&lt;C7093,1,EXP(-1*(B7093-C7093)/(Utilities!$B$11*IterData!H7093)))</f>
        <v>1</v>
      </c>
    </row>
    <row r="7094" spans="8:11" x14ac:dyDescent="0.3">
      <c r="H7094">
        <v>0.5</v>
      </c>
      <c r="I7094" s="11">
        <f t="shared" si="110"/>
        <v>0</v>
      </c>
      <c r="J7094" s="11">
        <f>1/(H7094*Utilities!$B$11)</f>
        <v>8</v>
      </c>
      <c r="K7094" s="11">
        <f>IF(B7094&lt;C7094,1,EXP(-1*(B7094-C7094)/(Utilities!$B$11*IterData!H7094)))</f>
        <v>1</v>
      </c>
    </row>
    <row r="7095" spans="8:11" x14ac:dyDescent="0.3">
      <c r="H7095">
        <v>0.5</v>
      </c>
      <c r="I7095" s="11">
        <f t="shared" si="110"/>
        <v>0</v>
      </c>
      <c r="J7095" s="11">
        <f>1/(H7095*Utilities!$B$11)</f>
        <v>8</v>
      </c>
      <c r="K7095" s="11">
        <f>IF(B7095&lt;C7095,1,EXP(-1*(B7095-C7095)/(Utilities!$B$11*IterData!H7095)))</f>
        <v>1</v>
      </c>
    </row>
    <row r="7096" spans="8:11" x14ac:dyDescent="0.3">
      <c r="H7096">
        <v>0.5</v>
      </c>
      <c r="I7096" s="11">
        <f t="shared" si="110"/>
        <v>0</v>
      </c>
      <c r="J7096" s="11">
        <f>1/(H7096*Utilities!$B$11)</f>
        <v>8</v>
      </c>
      <c r="K7096" s="11">
        <f>IF(B7096&lt;C7096,1,EXP(-1*(B7096-C7096)/(Utilities!$B$11*IterData!H7096)))</f>
        <v>1</v>
      </c>
    </row>
    <row r="7097" spans="8:11" x14ac:dyDescent="0.3">
      <c r="H7097">
        <v>0.5</v>
      </c>
      <c r="I7097" s="11">
        <f t="shared" si="110"/>
        <v>0</v>
      </c>
      <c r="J7097" s="11">
        <f>1/(H7097*Utilities!$B$11)</f>
        <v>8</v>
      </c>
      <c r="K7097" s="11">
        <f>IF(B7097&lt;C7097,1,EXP(-1*(B7097-C7097)/(Utilities!$B$11*IterData!H7097)))</f>
        <v>1</v>
      </c>
    </row>
    <row r="7098" spans="8:11" x14ac:dyDescent="0.3">
      <c r="H7098">
        <v>0.5</v>
      </c>
      <c r="I7098" s="11">
        <f t="shared" si="110"/>
        <v>0</v>
      </c>
      <c r="J7098" s="11">
        <f>1/(H7098*Utilities!$B$11)</f>
        <v>8</v>
      </c>
      <c r="K7098" s="11">
        <f>IF(B7098&lt;C7098,1,EXP(-1*(B7098-C7098)/(Utilities!$B$11*IterData!H7098)))</f>
        <v>1</v>
      </c>
    </row>
    <row r="7099" spans="8:11" x14ac:dyDescent="0.3">
      <c r="H7099">
        <v>0.5</v>
      </c>
      <c r="I7099" s="11">
        <f t="shared" si="110"/>
        <v>0</v>
      </c>
      <c r="J7099" s="11">
        <f>1/(H7099*Utilities!$B$11)</f>
        <v>8</v>
      </c>
      <c r="K7099" s="11">
        <f>IF(B7099&lt;C7099,1,EXP(-1*(B7099-C7099)/(Utilities!$B$11*IterData!H7099)))</f>
        <v>1</v>
      </c>
    </row>
    <row r="7100" spans="8:11" x14ac:dyDescent="0.3">
      <c r="H7100">
        <v>0.5</v>
      </c>
      <c r="I7100" s="11">
        <f t="shared" si="110"/>
        <v>0</v>
      </c>
      <c r="J7100" s="11">
        <f>1/(H7100*Utilities!$B$11)</f>
        <v>8</v>
      </c>
      <c r="K7100" s="11">
        <f>IF(B7100&lt;C7100,1,EXP(-1*(B7100-C7100)/(Utilities!$B$11*IterData!H7100)))</f>
        <v>1</v>
      </c>
    </row>
    <row r="7101" spans="8:11" x14ac:dyDescent="0.3">
      <c r="H7101">
        <v>0.5</v>
      </c>
      <c r="I7101" s="11">
        <f t="shared" si="110"/>
        <v>0</v>
      </c>
      <c r="J7101" s="11">
        <f>1/(H7101*Utilities!$B$11)</f>
        <v>8</v>
      </c>
      <c r="K7101" s="11">
        <f>IF(B7101&lt;C7101,1,EXP(-1*(B7101-C7101)/(Utilities!$B$11*IterData!H7101)))</f>
        <v>1</v>
      </c>
    </row>
    <row r="7102" spans="8:11" x14ac:dyDescent="0.3">
      <c r="H7102">
        <v>0.5</v>
      </c>
      <c r="I7102" s="11">
        <f t="shared" si="110"/>
        <v>0</v>
      </c>
      <c r="J7102" s="11">
        <f>1/(H7102*Utilities!$B$11)</f>
        <v>8</v>
      </c>
      <c r="K7102" s="11">
        <f>IF(B7102&lt;C7102,1,EXP(-1*(B7102-C7102)/(Utilities!$B$11*IterData!H7102)))</f>
        <v>1</v>
      </c>
    </row>
    <row r="7103" spans="8:11" x14ac:dyDescent="0.3">
      <c r="H7103">
        <v>0.5</v>
      </c>
      <c r="I7103" s="11">
        <f t="shared" si="110"/>
        <v>0</v>
      </c>
      <c r="J7103" s="11">
        <f>1/(H7103*Utilities!$B$11)</f>
        <v>8</v>
      </c>
      <c r="K7103" s="11">
        <f>IF(B7103&lt;C7103,1,EXP(-1*(B7103-C7103)/(Utilities!$B$11*IterData!H7103)))</f>
        <v>1</v>
      </c>
    </row>
    <row r="7104" spans="8:11" x14ac:dyDescent="0.3">
      <c r="H7104">
        <v>0.5</v>
      </c>
      <c r="I7104" s="11">
        <f t="shared" si="110"/>
        <v>0</v>
      </c>
      <c r="J7104" s="11">
        <f>1/(H7104*Utilities!$B$11)</f>
        <v>8</v>
      </c>
      <c r="K7104" s="11">
        <f>IF(B7104&lt;C7104,1,EXP(-1*(B7104-C7104)/(Utilities!$B$11*IterData!H7104)))</f>
        <v>1</v>
      </c>
    </row>
    <row r="7105" spans="8:11" x14ac:dyDescent="0.3">
      <c r="H7105">
        <v>0.5</v>
      </c>
      <c r="I7105" s="11">
        <f t="shared" si="110"/>
        <v>0</v>
      </c>
      <c r="J7105" s="11">
        <f>1/(H7105*Utilities!$B$11)</f>
        <v>8</v>
      </c>
      <c r="K7105" s="11">
        <f>IF(B7105&lt;C7105,1,EXP(-1*(B7105-C7105)/(Utilities!$B$11*IterData!H7105)))</f>
        <v>1</v>
      </c>
    </row>
    <row r="7106" spans="8:11" x14ac:dyDescent="0.3">
      <c r="H7106">
        <v>0.5</v>
      </c>
      <c r="I7106" s="11">
        <f t="shared" si="110"/>
        <v>0</v>
      </c>
      <c r="J7106" s="11">
        <f>1/(H7106*Utilities!$B$11)</f>
        <v>8</v>
      </c>
      <c r="K7106" s="11">
        <f>IF(B7106&lt;C7106,1,EXP(-1*(B7106-C7106)/(Utilities!$B$11*IterData!H7106)))</f>
        <v>1</v>
      </c>
    </row>
    <row r="7107" spans="8:11" x14ac:dyDescent="0.3">
      <c r="H7107">
        <v>0.5</v>
      </c>
      <c r="I7107" s="11">
        <f t="shared" ref="I7107:I7170" si="111">B7107-C7107</f>
        <v>0</v>
      </c>
      <c r="J7107" s="11">
        <f>1/(H7107*Utilities!$B$11)</f>
        <v>8</v>
      </c>
      <c r="K7107" s="11">
        <f>IF(B7107&lt;C7107,1,EXP(-1*(B7107-C7107)/(Utilities!$B$11*IterData!H7107)))</f>
        <v>1</v>
      </c>
    </row>
    <row r="7108" spans="8:11" x14ac:dyDescent="0.3">
      <c r="H7108">
        <v>0.5</v>
      </c>
      <c r="I7108" s="11">
        <f t="shared" si="111"/>
        <v>0</v>
      </c>
      <c r="J7108" s="11">
        <f>1/(H7108*Utilities!$B$11)</f>
        <v>8</v>
      </c>
      <c r="K7108" s="11">
        <f>IF(B7108&lt;C7108,1,EXP(-1*(B7108-C7108)/(Utilities!$B$11*IterData!H7108)))</f>
        <v>1</v>
      </c>
    </row>
    <row r="7109" spans="8:11" x14ac:dyDescent="0.3">
      <c r="H7109">
        <v>0.5</v>
      </c>
      <c r="I7109" s="11">
        <f t="shared" si="111"/>
        <v>0</v>
      </c>
      <c r="J7109" s="11">
        <f>1/(H7109*Utilities!$B$11)</f>
        <v>8</v>
      </c>
      <c r="K7109" s="11">
        <f>IF(B7109&lt;C7109,1,EXP(-1*(B7109-C7109)/(Utilities!$B$11*IterData!H7109)))</f>
        <v>1</v>
      </c>
    </row>
    <row r="7110" spans="8:11" x14ac:dyDescent="0.3">
      <c r="H7110">
        <v>0.5</v>
      </c>
      <c r="I7110" s="11">
        <f t="shared" si="111"/>
        <v>0</v>
      </c>
      <c r="J7110" s="11">
        <f>1/(H7110*Utilities!$B$11)</f>
        <v>8</v>
      </c>
      <c r="K7110" s="11">
        <f>IF(B7110&lt;C7110,1,EXP(-1*(B7110-C7110)/(Utilities!$B$11*IterData!H7110)))</f>
        <v>1</v>
      </c>
    </row>
    <row r="7111" spans="8:11" x14ac:dyDescent="0.3">
      <c r="H7111">
        <v>0.5</v>
      </c>
      <c r="I7111" s="11">
        <f t="shared" si="111"/>
        <v>0</v>
      </c>
      <c r="J7111" s="11">
        <f>1/(H7111*Utilities!$B$11)</f>
        <v>8</v>
      </c>
      <c r="K7111" s="11">
        <f>IF(B7111&lt;C7111,1,EXP(-1*(B7111-C7111)/(Utilities!$B$11*IterData!H7111)))</f>
        <v>1</v>
      </c>
    </row>
    <row r="7112" spans="8:11" x14ac:dyDescent="0.3">
      <c r="H7112">
        <v>0.5</v>
      </c>
      <c r="I7112" s="11">
        <f t="shared" si="111"/>
        <v>0</v>
      </c>
      <c r="J7112" s="11">
        <f>1/(H7112*Utilities!$B$11)</f>
        <v>8</v>
      </c>
      <c r="K7112" s="11">
        <f>IF(B7112&lt;C7112,1,EXP(-1*(B7112-C7112)/(Utilities!$B$11*IterData!H7112)))</f>
        <v>1</v>
      </c>
    </row>
    <row r="7113" spans="8:11" x14ac:dyDescent="0.3">
      <c r="H7113">
        <v>0.5</v>
      </c>
      <c r="I7113" s="11">
        <f t="shared" si="111"/>
        <v>0</v>
      </c>
      <c r="J7113" s="11">
        <f>1/(H7113*Utilities!$B$11)</f>
        <v>8</v>
      </c>
      <c r="K7113" s="11">
        <f>IF(B7113&lt;C7113,1,EXP(-1*(B7113-C7113)/(Utilities!$B$11*IterData!H7113)))</f>
        <v>1</v>
      </c>
    </row>
    <row r="7114" spans="8:11" x14ac:dyDescent="0.3">
      <c r="H7114">
        <v>0.5</v>
      </c>
      <c r="I7114" s="11">
        <f t="shared" si="111"/>
        <v>0</v>
      </c>
      <c r="J7114" s="11">
        <f>1/(H7114*Utilities!$B$11)</f>
        <v>8</v>
      </c>
      <c r="K7114" s="11">
        <f>IF(B7114&lt;C7114,1,EXP(-1*(B7114-C7114)/(Utilities!$B$11*IterData!H7114)))</f>
        <v>1</v>
      </c>
    </row>
    <row r="7115" spans="8:11" x14ac:dyDescent="0.3">
      <c r="H7115">
        <v>0.5</v>
      </c>
      <c r="I7115" s="11">
        <f t="shared" si="111"/>
        <v>0</v>
      </c>
      <c r="J7115" s="11">
        <f>1/(H7115*Utilities!$B$11)</f>
        <v>8</v>
      </c>
      <c r="K7115" s="11">
        <f>IF(B7115&lt;C7115,1,EXP(-1*(B7115-C7115)/(Utilities!$B$11*IterData!H7115)))</f>
        <v>1</v>
      </c>
    </row>
    <row r="7116" spans="8:11" x14ac:dyDescent="0.3">
      <c r="H7116">
        <v>0.5</v>
      </c>
      <c r="I7116" s="11">
        <f t="shared" si="111"/>
        <v>0</v>
      </c>
      <c r="J7116" s="11">
        <f>1/(H7116*Utilities!$B$11)</f>
        <v>8</v>
      </c>
      <c r="K7116" s="11">
        <f>IF(B7116&lt;C7116,1,EXP(-1*(B7116-C7116)/(Utilities!$B$11*IterData!H7116)))</f>
        <v>1</v>
      </c>
    </row>
    <row r="7117" spans="8:11" x14ac:dyDescent="0.3">
      <c r="H7117">
        <v>0.5</v>
      </c>
      <c r="I7117" s="11">
        <f t="shared" si="111"/>
        <v>0</v>
      </c>
      <c r="J7117" s="11">
        <f>1/(H7117*Utilities!$B$11)</f>
        <v>8</v>
      </c>
      <c r="K7117" s="11">
        <f>IF(B7117&lt;C7117,1,EXP(-1*(B7117-C7117)/(Utilities!$B$11*IterData!H7117)))</f>
        <v>1</v>
      </c>
    </row>
    <row r="7118" spans="8:11" x14ac:dyDescent="0.3">
      <c r="H7118">
        <v>0.5</v>
      </c>
      <c r="I7118" s="11">
        <f t="shared" si="111"/>
        <v>0</v>
      </c>
      <c r="J7118" s="11">
        <f>1/(H7118*Utilities!$B$11)</f>
        <v>8</v>
      </c>
      <c r="K7118" s="11">
        <f>IF(B7118&lt;C7118,1,EXP(-1*(B7118-C7118)/(Utilities!$B$11*IterData!H7118)))</f>
        <v>1</v>
      </c>
    </row>
    <row r="7119" spans="8:11" x14ac:dyDescent="0.3">
      <c r="H7119">
        <v>0.5</v>
      </c>
      <c r="I7119" s="11">
        <f t="shared" si="111"/>
        <v>0</v>
      </c>
      <c r="J7119" s="11">
        <f>1/(H7119*Utilities!$B$11)</f>
        <v>8</v>
      </c>
      <c r="K7119" s="11">
        <f>IF(B7119&lt;C7119,1,EXP(-1*(B7119-C7119)/(Utilities!$B$11*IterData!H7119)))</f>
        <v>1</v>
      </c>
    </row>
    <row r="7120" spans="8:11" x14ac:dyDescent="0.3">
      <c r="H7120">
        <v>0.5</v>
      </c>
      <c r="I7120" s="11">
        <f t="shared" si="111"/>
        <v>0</v>
      </c>
      <c r="J7120" s="11">
        <f>1/(H7120*Utilities!$B$11)</f>
        <v>8</v>
      </c>
      <c r="K7120" s="11">
        <f>IF(B7120&lt;C7120,1,EXP(-1*(B7120-C7120)/(Utilities!$B$11*IterData!H7120)))</f>
        <v>1</v>
      </c>
    </row>
    <row r="7121" spans="8:11" x14ac:dyDescent="0.3">
      <c r="H7121">
        <v>0.5</v>
      </c>
      <c r="I7121" s="11">
        <f t="shared" si="111"/>
        <v>0</v>
      </c>
      <c r="J7121" s="11">
        <f>1/(H7121*Utilities!$B$11)</f>
        <v>8</v>
      </c>
      <c r="K7121" s="11">
        <f>IF(B7121&lt;C7121,1,EXP(-1*(B7121-C7121)/(Utilities!$B$11*IterData!H7121)))</f>
        <v>1</v>
      </c>
    </row>
    <row r="7122" spans="8:11" x14ac:dyDescent="0.3">
      <c r="H7122">
        <v>0.5</v>
      </c>
      <c r="I7122" s="11">
        <f t="shared" si="111"/>
        <v>0</v>
      </c>
      <c r="J7122" s="11">
        <f>1/(H7122*Utilities!$B$11)</f>
        <v>8</v>
      </c>
      <c r="K7122" s="11">
        <f>IF(B7122&lt;C7122,1,EXP(-1*(B7122-C7122)/(Utilities!$B$11*IterData!H7122)))</f>
        <v>1</v>
      </c>
    </row>
    <row r="7123" spans="8:11" x14ac:dyDescent="0.3">
      <c r="H7123">
        <v>0.5</v>
      </c>
      <c r="I7123" s="11">
        <f t="shared" si="111"/>
        <v>0</v>
      </c>
      <c r="J7123" s="11">
        <f>1/(H7123*Utilities!$B$11)</f>
        <v>8</v>
      </c>
      <c r="K7123" s="11">
        <f>IF(B7123&lt;C7123,1,EXP(-1*(B7123-C7123)/(Utilities!$B$11*IterData!H7123)))</f>
        <v>1</v>
      </c>
    </row>
    <row r="7124" spans="8:11" x14ac:dyDescent="0.3">
      <c r="H7124">
        <v>0.5</v>
      </c>
      <c r="I7124" s="11">
        <f t="shared" si="111"/>
        <v>0</v>
      </c>
      <c r="J7124" s="11">
        <f>1/(H7124*Utilities!$B$11)</f>
        <v>8</v>
      </c>
      <c r="K7124" s="11">
        <f>IF(B7124&lt;C7124,1,EXP(-1*(B7124-C7124)/(Utilities!$B$11*IterData!H7124)))</f>
        <v>1</v>
      </c>
    </row>
    <row r="7125" spans="8:11" x14ac:dyDescent="0.3">
      <c r="H7125">
        <v>0.5</v>
      </c>
      <c r="I7125" s="11">
        <f t="shared" si="111"/>
        <v>0</v>
      </c>
      <c r="J7125" s="11">
        <f>1/(H7125*Utilities!$B$11)</f>
        <v>8</v>
      </c>
      <c r="K7125" s="11">
        <f>IF(B7125&lt;C7125,1,EXP(-1*(B7125-C7125)/(Utilities!$B$11*IterData!H7125)))</f>
        <v>1</v>
      </c>
    </row>
    <row r="7126" spans="8:11" x14ac:dyDescent="0.3">
      <c r="H7126">
        <v>0.5</v>
      </c>
      <c r="I7126" s="11">
        <f t="shared" si="111"/>
        <v>0</v>
      </c>
      <c r="J7126" s="11">
        <f>1/(H7126*Utilities!$B$11)</f>
        <v>8</v>
      </c>
      <c r="K7126" s="11">
        <f>IF(B7126&lt;C7126,1,EXP(-1*(B7126-C7126)/(Utilities!$B$11*IterData!H7126)))</f>
        <v>1</v>
      </c>
    </row>
    <row r="7127" spans="8:11" x14ac:dyDescent="0.3">
      <c r="H7127">
        <v>0.5</v>
      </c>
      <c r="I7127" s="11">
        <f t="shared" si="111"/>
        <v>0</v>
      </c>
      <c r="J7127" s="11">
        <f>1/(H7127*Utilities!$B$11)</f>
        <v>8</v>
      </c>
      <c r="K7127" s="11">
        <f>IF(B7127&lt;C7127,1,EXP(-1*(B7127-C7127)/(Utilities!$B$11*IterData!H7127)))</f>
        <v>1</v>
      </c>
    </row>
    <row r="7128" spans="8:11" x14ac:dyDescent="0.3">
      <c r="H7128">
        <v>0.5</v>
      </c>
      <c r="I7128" s="11">
        <f t="shared" si="111"/>
        <v>0</v>
      </c>
      <c r="J7128" s="11">
        <f>1/(H7128*Utilities!$B$11)</f>
        <v>8</v>
      </c>
      <c r="K7128" s="11">
        <f>IF(B7128&lt;C7128,1,EXP(-1*(B7128-C7128)/(Utilities!$B$11*IterData!H7128)))</f>
        <v>1</v>
      </c>
    </row>
    <row r="7129" spans="8:11" x14ac:dyDescent="0.3">
      <c r="H7129">
        <v>0.5</v>
      </c>
      <c r="I7129" s="11">
        <f t="shared" si="111"/>
        <v>0</v>
      </c>
      <c r="J7129" s="11">
        <f>1/(H7129*Utilities!$B$11)</f>
        <v>8</v>
      </c>
      <c r="K7129" s="11">
        <f>IF(B7129&lt;C7129,1,EXP(-1*(B7129-C7129)/(Utilities!$B$11*IterData!H7129)))</f>
        <v>1</v>
      </c>
    </row>
    <row r="7130" spans="8:11" x14ac:dyDescent="0.3">
      <c r="H7130">
        <v>0.5</v>
      </c>
      <c r="I7130" s="11">
        <f t="shared" si="111"/>
        <v>0</v>
      </c>
      <c r="J7130" s="11">
        <f>1/(H7130*Utilities!$B$11)</f>
        <v>8</v>
      </c>
      <c r="K7130" s="11">
        <f>IF(B7130&lt;C7130,1,EXP(-1*(B7130-C7130)/(Utilities!$B$11*IterData!H7130)))</f>
        <v>1</v>
      </c>
    </row>
    <row r="7131" spans="8:11" x14ac:dyDescent="0.3">
      <c r="H7131">
        <v>0.5</v>
      </c>
      <c r="I7131" s="11">
        <f t="shared" si="111"/>
        <v>0</v>
      </c>
      <c r="J7131" s="11">
        <f>1/(H7131*Utilities!$B$11)</f>
        <v>8</v>
      </c>
      <c r="K7131" s="11">
        <f>IF(B7131&lt;C7131,1,EXP(-1*(B7131-C7131)/(Utilities!$B$11*IterData!H7131)))</f>
        <v>1</v>
      </c>
    </row>
    <row r="7132" spans="8:11" x14ac:dyDescent="0.3">
      <c r="H7132">
        <v>0.5</v>
      </c>
      <c r="I7132" s="11">
        <f t="shared" si="111"/>
        <v>0</v>
      </c>
      <c r="J7132" s="11">
        <f>1/(H7132*Utilities!$B$11)</f>
        <v>8</v>
      </c>
      <c r="K7132" s="11">
        <f>IF(B7132&lt;C7132,1,EXP(-1*(B7132-C7132)/(Utilities!$B$11*IterData!H7132)))</f>
        <v>1</v>
      </c>
    </row>
    <row r="7133" spans="8:11" x14ac:dyDescent="0.3">
      <c r="H7133">
        <v>0.5</v>
      </c>
      <c r="I7133" s="11">
        <f t="shared" si="111"/>
        <v>0</v>
      </c>
      <c r="J7133" s="11">
        <f>1/(H7133*Utilities!$B$11)</f>
        <v>8</v>
      </c>
      <c r="K7133" s="11">
        <f>IF(B7133&lt;C7133,1,EXP(-1*(B7133-C7133)/(Utilities!$B$11*IterData!H7133)))</f>
        <v>1</v>
      </c>
    </row>
    <row r="7134" spans="8:11" x14ac:dyDescent="0.3">
      <c r="H7134">
        <v>0.5</v>
      </c>
      <c r="I7134" s="11">
        <f t="shared" si="111"/>
        <v>0</v>
      </c>
      <c r="J7134" s="11">
        <f>1/(H7134*Utilities!$B$11)</f>
        <v>8</v>
      </c>
      <c r="K7134" s="11">
        <f>IF(B7134&lt;C7134,1,EXP(-1*(B7134-C7134)/(Utilities!$B$11*IterData!H7134)))</f>
        <v>1</v>
      </c>
    </row>
    <row r="7135" spans="8:11" x14ac:dyDescent="0.3">
      <c r="H7135">
        <v>0.5</v>
      </c>
      <c r="I7135" s="11">
        <f t="shared" si="111"/>
        <v>0</v>
      </c>
      <c r="J7135" s="11">
        <f>1/(H7135*Utilities!$B$11)</f>
        <v>8</v>
      </c>
      <c r="K7135" s="11">
        <f>IF(B7135&lt;C7135,1,EXP(-1*(B7135-C7135)/(Utilities!$B$11*IterData!H7135)))</f>
        <v>1</v>
      </c>
    </row>
    <row r="7136" spans="8:11" x14ac:dyDescent="0.3">
      <c r="H7136">
        <v>0.5</v>
      </c>
      <c r="I7136" s="11">
        <f t="shared" si="111"/>
        <v>0</v>
      </c>
      <c r="J7136" s="11">
        <f>1/(H7136*Utilities!$B$11)</f>
        <v>8</v>
      </c>
      <c r="K7136" s="11">
        <f>IF(B7136&lt;C7136,1,EXP(-1*(B7136-C7136)/(Utilities!$B$11*IterData!H7136)))</f>
        <v>1</v>
      </c>
    </row>
    <row r="7137" spans="8:11" x14ac:dyDescent="0.3">
      <c r="H7137">
        <v>0.5</v>
      </c>
      <c r="I7137" s="11">
        <f t="shared" si="111"/>
        <v>0</v>
      </c>
      <c r="J7137" s="11">
        <f>1/(H7137*Utilities!$B$11)</f>
        <v>8</v>
      </c>
      <c r="K7137" s="11">
        <f>IF(B7137&lt;C7137,1,EXP(-1*(B7137-C7137)/(Utilities!$B$11*IterData!H7137)))</f>
        <v>1</v>
      </c>
    </row>
    <row r="7138" spans="8:11" x14ac:dyDescent="0.3">
      <c r="H7138">
        <v>0.5</v>
      </c>
      <c r="I7138" s="11">
        <f t="shared" si="111"/>
        <v>0</v>
      </c>
      <c r="J7138" s="11">
        <f>1/(H7138*Utilities!$B$11)</f>
        <v>8</v>
      </c>
      <c r="K7138" s="11">
        <f>IF(B7138&lt;C7138,1,EXP(-1*(B7138-C7138)/(Utilities!$B$11*IterData!H7138)))</f>
        <v>1</v>
      </c>
    </row>
    <row r="7139" spans="8:11" x14ac:dyDescent="0.3">
      <c r="H7139">
        <v>0.5</v>
      </c>
      <c r="I7139" s="11">
        <f t="shared" si="111"/>
        <v>0</v>
      </c>
      <c r="J7139" s="11">
        <f>1/(H7139*Utilities!$B$11)</f>
        <v>8</v>
      </c>
      <c r="K7139" s="11">
        <f>IF(B7139&lt;C7139,1,EXP(-1*(B7139-C7139)/(Utilities!$B$11*IterData!H7139)))</f>
        <v>1</v>
      </c>
    </row>
    <row r="7140" spans="8:11" x14ac:dyDescent="0.3">
      <c r="H7140">
        <v>0.5</v>
      </c>
      <c r="I7140" s="11">
        <f t="shared" si="111"/>
        <v>0</v>
      </c>
      <c r="J7140" s="11">
        <f>1/(H7140*Utilities!$B$11)</f>
        <v>8</v>
      </c>
      <c r="K7140" s="11">
        <f>IF(B7140&lt;C7140,1,EXP(-1*(B7140-C7140)/(Utilities!$B$11*IterData!H7140)))</f>
        <v>1</v>
      </c>
    </row>
    <row r="7141" spans="8:11" x14ac:dyDescent="0.3">
      <c r="H7141">
        <v>0.5</v>
      </c>
      <c r="I7141" s="11">
        <f t="shared" si="111"/>
        <v>0</v>
      </c>
      <c r="J7141" s="11">
        <f>1/(H7141*Utilities!$B$11)</f>
        <v>8</v>
      </c>
      <c r="K7141" s="11">
        <f>IF(B7141&lt;C7141,1,EXP(-1*(B7141-C7141)/(Utilities!$B$11*IterData!H7141)))</f>
        <v>1</v>
      </c>
    </row>
    <row r="7142" spans="8:11" x14ac:dyDescent="0.3">
      <c r="H7142">
        <v>0.5</v>
      </c>
      <c r="I7142" s="11">
        <f t="shared" si="111"/>
        <v>0</v>
      </c>
      <c r="J7142" s="11">
        <f>1/(H7142*Utilities!$B$11)</f>
        <v>8</v>
      </c>
      <c r="K7142" s="11">
        <f>IF(B7142&lt;C7142,1,EXP(-1*(B7142-C7142)/(Utilities!$B$11*IterData!H7142)))</f>
        <v>1</v>
      </c>
    </row>
    <row r="7143" spans="8:11" x14ac:dyDescent="0.3">
      <c r="H7143">
        <v>0.5</v>
      </c>
      <c r="I7143" s="11">
        <f t="shared" si="111"/>
        <v>0</v>
      </c>
      <c r="J7143" s="11">
        <f>1/(H7143*Utilities!$B$11)</f>
        <v>8</v>
      </c>
      <c r="K7143" s="11">
        <f>IF(B7143&lt;C7143,1,EXP(-1*(B7143-C7143)/(Utilities!$B$11*IterData!H7143)))</f>
        <v>1</v>
      </c>
    </row>
    <row r="7144" spans="8:11" x14ac:dyDescent="0.3">
      <c r="H7144">
        <v>0.5</v>
      </c>
      <c r="I7144" s="11">
        <f t="shared" si="111"/>
        <v>0</v>
      </c>
      <c r="J7144" s="11">
        <f>1/(H7144*Utilities!$B$11)</f>
        <v>8</v>
      </c>
      <c r="K7144" s="11">
        <f>IF(B7144&lt;C7144,1,EXP(-1*(B7144-C7144)/(Utilities!$B$11*IterData!H7144)))</f>
        <v>1</v>
      </c>
    </row>
    <row r="7145" spans="8:11" x14ac:dyDescent="0.3">
      <c r="H7145">
        <v>0.5</v>
      </c>
      <c r="I7145" s="11">
        <f t="shared" si="111"/>
        <v>0</v>
      </c>
      <c r="J7145" s="11">
        <f>1/(H7145*Utilities!$B$11)</f>
        <v>8</v>
      </c>
      <c r="K7145" s="11">
        <f>IF(B7145&lt;C7145,1,EXP(-1*(B7145-C7145)/(Utilities!$B$11*IterData!H7145)))</f>
        <v>1</v>
      </c>
    </row>
    <row r="7146" spans="8:11" x14ac:dyDescent="0.3">
      <c r="H7146">
        <v>0.5</v>
      </c>
      <c r="I7146" s="11">
        <f t="shared" si="111"/>
        <v>0</v>
      </c>
      <c r="J7146" s="11">
        <f>1/(H7146*Utilities!$B$11)</f>
        <v>8</v>
      </c>
      <c r="K7146" s="11">
        <f>IF(B7146&lt;C7146,1,EXP(-1*(B7146-C7146)/(Utilities!$B$11*IterData!H7146)))</f>
        <v>1</v>
      </c>
    </row>
    <row r="7147" spans="8:11" x14ac:dyDescent="0.3">
      <c r="H7147">
        <v>0.5</v>
      </c>
      <c r="I7147" s="11">
        <f t="shared" si="111"/>
        <v>0</v>
      </c>
      <c r="J7147" s="11">
        <f>1/(H7147*Utilities!$B$11)</f>
        <v>8</v>
      </c>
      <c r="K7147" s="11">
        <f>IF(B7147&lt;C7147,1,EXP(-1*(B7147-C7147)/(Utilities!$B$11*IterData!H7147)))</f>
        <v>1</v>
      </c>
    </row>
    <row r="7148" spans="8:11" x14ac:dyDescent="0.3">
      <c r="H7148">
        <v>0.5</v>
      </c>
      <c r="I7148" s="11">
        <f t="shared" si="111"/>
        <v>0</v>
      </c>
      <c r="J7148" s="11">
        <f>1/(H7148*Utilities!$B$11)</f>
        <v>8</v>
      </c>
      <c r="K7148" s="11">
        <f>IF(B7148&lt;C7148,1,EXP(-1*(B7148-C7148)/(Utilities!$B$11*IterData!H7148)))</f>
        <v>1</v>
      </c>
    </row>
    <row r="7149" spans="8:11" x14ac:dyDescent="0.3">
      <c r="H7149">
        <v>0.5</v>
      </c>
      <c r="I7149" s="11">
        <f t="shared" si="111"/>
        <v>0</v>
      </c>
      <c r="J7149" s="11">
        <f>1/(H7149*Utilities!$B$11)</f>
        <v>8</v>
      </c>
      <c r="K7149" s="11">
        <f>IF(B7149&lt;C7149,1,EXP(-1*(B7149-C7149)/(Utilities!$B$11*IterData!H7149)))</f>
        <v>1</v>
      </c>
    </row>
    <row r="7150" spans="8:11" x14ac:dyDescent="0.3">
      <c r="H7150">
        <v>0.5</v>
      </c>
      <c r="I7150" s="11">
        <f t="shared" si="111"/>
        <v>0</v>
      </c>
      <c r="J7150" s="11">
        <f>1/(H7150*Utilities!$B$11)</f>
        <v>8</v>
      </c>
      <c r="K7150" s="11">
        <f>IF(B7150&lt;C7150,1,EXP(-1*(B7150-C7150)/(Utilities!$B$11*IterData!H7150)))</f>
        <v>1</v>
      </c>
    </row>
    <row r="7151" spans="8:11" x14ac:dyDescent="0.3">
      <c r="H7151">
        <v>0.5</v>
      </c>
      <c r="I7151" s="11">
        <f t="shared" si="111"/>
        <v>0</v>
      </c>
      <c r="J7151" s="11">
        <f>1/(H7151*Utilities!$B$11)</f>
        <v>8</v>
      </c>
      <c r="K7151" s="11">
        <f>IF(B7151&lt;C7151,1,EXP(-1*(B7151-C7151)/(Utilities!$B$11*IterData!H7151)))</f>
        <v>1</v>
      </c>
    </row>
    <row r="7152" spans="8:11" x14ac:dyDescent="0.3">
      <c r="H7152">
        <v>0.5</v>
      </c>
      <c r="I7152" s="11">
        <f t="shared" si="111"/>
        <v>0</v>
      </c>
      <c r="J7152" s="11">
        <f>1/(H7152*Utilities!$B$11)</f>
        <v>8</v>
      </c>
      <c r="K7152" s="11">
        <f>IF(B7152&lt;C7152,1,EXP(-1*(B7152-C7152)/(Utilities!$B$11*IterData!H7152)))</f>
        <v>1</v>
      </c>
    </row>
    <row r="7153" spans="8:11" x14ac:dyDescent="0.3">
      <c r="H7153">
        <v>0.5</v>
      </c>
      <c r="I7153" s="11">
        <f t="shared" si="111"/>
        <v>0</v>
      </c>
      <c r="J7153" s="11">
        <f>1/(H7153*Utilities!$B$11)</f>
        <v>8</v>
      </c>
      <c r="K7153" s="11">
        <f>IF(B7153&lt;C7153,1,EXP(-1*(B7153-C7153)/(Utilities!$B$11*IterData!H7153)))</f>
        <v>1</v>
      </c>
    </row>
    <row r="7154" spans="8:11" x14ac:dyDescent="0.3">
      <c r="H7154">
        <v>0.5</v>
      </c>
      <c r="I7154" s="11">
        <f t="shared" si="111"/>
        <v>0</v>
      </c>
      <c r="J7154" s="11">
        <f>1/(H7154*Utilities!$B$11)</f>
        <v>8</v>
      </c>
      <c r="K7154" s="11">
        <f>IF(B7154&lt;C7154,1,EXP(-1*(B7154-C7154)/(Utilities!$B$11*IterData!H7154)))</f>
        <v>1</v>
      </c>
    </row>
    <row r="7155" spans="8:11" x14ac:dyDescent="0.3">
      <c r="H7155">
        <v>0.5</v>
      </c>
      <c r="I7155" s="11">
        <f t="shared" si="111"/>
        <v>0</v>
      </c>
      <c r="J7155" s="11">
        <f>1/(H7155*Utilities!$B$11)</f>
        <v>8</v>
      </c>
      <c r="K7155" s="11">
        <f>IF(B7155&lt;C7155,1,EXP(-1*(B7155-C7155)/(Utilities!$B$11*IterData!H7155)))</f>
        <v>1</v>
      </c>
    </row>
    <row r="7156" spans="8:11" x14ac:dyDescent="0.3">
      <c r="H7156">
        <v>0.5</v>
      </c>
      <c r="I7156" s="11">
        <f t="shared" si="111"/>
        <v>0</v>
      </c>
      <c r="J7156" s="11">
        <f>1/(H7156*Utilities!$B$11)</f>
        <v>8</v>
      </c>
      <c r="K7156" s="11">
        <f>IF(B7156&lt;C7156,1,EXP(-1*(B7156-C7156)/(Utilities!$B$11*IterData!H7156)))</f>
        <v>1</v>
      </c>
    </row>
    <row r="7157" spans="8:11" x14ac:dyDescent="0.3">
      <c r="H7157">
        <v>0.5</v>
      </c>
      <c r="I7157" s="11">
        <f t="shared" si="111"/>
        <v>0</v>
      </c>
      <c r="J7157" s="11">
        <f>1/(H7157*Utilities!$B$11)</f>
        <v>8</v>
      </c>
      <c r="K7157" s="11">
        <f>IF(B7157&lt;C7157,1,EXP(-1*(B7157-C7157)/(Utilities!$B$11*IterData!H7157)))</f>
        <v>1</v>
      </c>
    </row>
    <row r="7158" spans="8:11" x14ac:dyDescent="0.3">
      <c r="H7158">
        <v>0.5</v>
      </c>
      <c r="I7158" s="11">
        <f t="shared" si="111"/>
        <v>0</v>
      </c>
      <c r="J7158" s="11">
        <f>1/(H7158*Utilities!$B$11)</f>
        <v>8</v>
      </c>
      <c r="K7158" s="11">
        <f>IF(B7158&lt;C7158,1,EXP(-1*(B7158-C7158)/(Utilities!$B$11*IterData!H7158)))</f>
        <v>1</v>
      </c>
    </row>
    <row r="7159" spans="8:11" x14ac:dyDescent="0.3">
      <c r="H7159">
        <v>0.5</v>
      </c>
      <c r="I7159" s="11">
        <f t="shared" si="111"/>
        <v>0</v>
      </c>
      <c r="J7159" s="11">
        <f>1/(H7159*Utilities!$B$11)</f>
        <v>8</v>
      </c>
      <c r="K7159" s="11">
        <f>IF(B7159&lt;C7159,1,EXP(-1*(B7159-C7159)/(Utilities!$B$11*IterData!H7159)))</f>
        <v>1</v>
      </c>
    </row>
    <row r="7160" spans="8:11" x14ac:dyDescent="0.3">
      <c r="H7160">
        <v>0.5</v>
      </c>
      <c r="I7160" s="11">
        <f t="shared" si="111"/>
        <v>0</v>
      </c>
      <c r="J7160" s="11">
        <f>1/(H7160*Utilities!$B$11)</f>
        <v>8</v>
      </c>
      <c r="K7160" s="11">
        <f>IF(B7160&lt;C7160,1,EXP(-1*(B7160-C7160)/(Utilities!$B$11*IterData!H7160)))</f>
        <v>1</v>
      </c>
    </row>
    <row r="7161" spans="8:11" x14ac:dyDescent="0.3">
      <c r="H7161">
        <v>0.5</v>
      </c>
      <c r="I7161" s="11">
        <f t="shared" si="111"/>
        <v>0</v>
      </c>
      <c r="J7161" s="11">
        <f>1/(H7161*Utilities!$B$11)</f>
        <v>8</v>
      </c>
      <c r="K7161" s="11">
        <f>IF(B7161&lt;C7161,1,EXP(-1*(B7161-C7161)/(Utilities!$B$11*IterData!H7161)))</f>
        <v>1</v>
      </c>
    </row>
    <row r="7162" spans="8:11" x14ac:dyDescent="0.3">
      <c r="H7162">
        <v>0.5</v>
      </c>
      <c r="I7162" s="11">
        <f t="shared" si="111"/>
        <v>0</v>
      </c>
      <c r="J7162" s="11">
        <f>1/(H7162*Utilities!$B$11)</f>
        <v>8</v>
      </c>
      <c r="K7162" s="11">
        <f>IF(B7162&lt;C7162,1,EXP(-1*(B7162-C7162)/(Utilities!$B$11*IterData!H7162)))</f>
        <v>1</v>
      </c>
    </row>
    <row r="7163" spans="8:11" x14ac:dyDescent="0.3">
      <c r="H7163">
        <v>0.5</v>
      </c>
      <c r="I7163" s="11">
        <f t="shared" si="111"/>
        <v>0</v>
      </c>
      <c r="J7163" s="11">
        <f>1/(H7163*Utilities!$B$11)</f>
        <v>8</v>
      </c>
      <c r="K7163" s="11">
        <f>IF(B7163&lt;C7163,1,EXP(-1*(B7163-C7163)/(Utilities!$B$11*IterData!H7163)))</f>
        <v>1</v>
      </c>
    </row>
    <row r="7164" spans="8:11" x14ac:dyDescent="0.3">
      <c r="H7164">
        <v>0.5</v>
      </c>
      <c r="I7164" s="11">
        <f t="shared" si="111"/>
        <v>0</v>
      </c>
      <c r="J7164" s="11">
        <f>1/(H7164*Utilities!$B$11)</f>
        <v>8</v>
      </c>
      <c r="K7164" s="11">
        <f>IF(B7164&lt;C7164,1,EXP(-1*(B7164-C7164)/(Utilities!$B$11*IterData!H7164)))</f>
        <v>1</v>
      </c>
    </row>
    <row r="7165" spans="8:11" x14ac:dyDescent="0.3">
      <c r="H7165">
        <v>0.5</v>
      </c>
      <c r="I7165" s="11">
        <f t="shared" si="111"/>
        <v>0</v>
      </c>
      <c r="J7165" s="11">
        <f>1/(H7165*Utilities!$B$11)</f>
        <v>8</v>
      </c>
      <c r="K7165" s="11">
        <f>IF(B7165&lt;C7165,1,EXP(-1*(B7165-C7165)/(Utilities!$B$11*IterData!H7165)))</f>
        <v>1</v>
      </c>
    </row>
    <row r="7166" spans="8:11" x14ac:dyDescent="0.3">
      <c r="H7166">
        <v>0.5</v>
      </c>
      <c r="I7166" s="11">
        <f t="shared" si="111"/>
        <v>0</v>
      </c>
      <c r="J7166" s="11">
        <f>1/(H7166*Utilities!$B$11)</f>
        <v>8</v>
      </c>
      <c r="K7166" s="11">
        <f>IF(B7166&lt;C7166,1,EXP(-1*(B7166-C7166)/(Utilities!$B$11*IterData!H7166)))</f>
        <v>1</v>
      </c>
    </row>
    <row r="7167" spans="8:11" x14ac:dyDescent="0.3">
      <c r="H7167">
        <v>0.5</v>
      </c>
      <c r="I7167" s="11">
        <f t="shared" si="111"/>
        <v>0</v>
      </c>
      <c r="J7167" s="11">
        <f>1/(H7167*Utilities!$B$11)</f>
        <v>8</v>
      </c>
      <c r="K7167" s="11">
        <f>IF(B7167&lt;C7167,1,EXP(-1*(B7167-C7167)/(Utilities!$B$11*IterData!H7167)))</f>
        <v>1</v>
      </c>
    </row>
    <row r="7168" spans="8:11" x14ac:dyDescent="0.3">
      <c r="H7168">
        <v>0.5</v>
      </c>
      <c r="I7168" s="11">
        <f t="shared" si="111"/>
        <v>0</v>
      </c>
      <c r="J7168" s="11">
        <f>1/(H7168*Utilities!$B$11)</f>
        <v>8</v>
      </c>
      <c r="K7168" s="11">
        <f>IF(B7168&lt;C7168,1,EXP(-1*(B7168-C7168)/(Utilities!$B$11*IterData!H7168)))</f>
        <v>1</v>
      </c>
    </row>
    <row r="7169" spans="8:11" x14ac:dyDescent="0.3">
      <c r="H7169">
        <v>0.5</v>
      </c>
      <c r="I7169" s="11">
        <f t="shared" si="111"/>
        <v>0</v>
      </c>
      <c r="J7169" s="11">
        <f>1/(H7169*Utilities!$B$11)</f>
        <v>8</v>
      </c>
      <c r="K7169" s="11">
        <f>IF(B7169&lt;C7169,1,EXP(-1*(B7169-C7169)/(Utilities!$B$11*IterData!H7169)))</f>
        <v>1</v>
      </c>
    </row>
    <row r="7170" spans="8:11" x14ac:dyDescent="0.3">
      <c r="H7170">
        <v>0.5</v>
      </c>
      <c r="I7170" s="11">
        <f t="shared" si="111"/>
        <v>0</v>
      </c>
      <c r="J7170" s="11">
        <f>1/(H7170*Utilities!$B$11)</f>
        <v>8</v>
      </c>
      <c r="K7170" s="11">
        <f>IF(B7170&lt;C7170,1,EXP(-1*(B7170-C7170)/(Utilities!$B$11*IterData!H7170)))</f>
        <v>1</v>
      </c>
    </row>
    <row r="7171" spans="8:11" x14ac:dyDescent="0.3">
      <c r="H7171">
        <v>0.5</v>
      </c>
      <c r="I7171" s="11">
        <f t="shared" ref="I7171:I7234" si="112">B7171-C7171</f>
        <v>0</v>
      </c>
      <c r="J7171" s="11">
        <f>1/(H7171*Utilities!$B$11)</f>
        <v>8</v>
      </c>
      <c r="K7171" s="11">
        <f>IF(B7171&lt;C7171,1,EXP(-1*(B7171-C7171)/(Utilities!$B$11*IterData!H7171)))</f>
        <v>1</v>
      </c>
    </row>
    <row r="7172" spans="8:11" x14ac:dyDescent="0.3">
      <c r="H7172">
        <v>0.5</v>
      </c>
      <c r="I7172" s="11">
        <f t="shared" si="112"/>
        <v>0</v>
      </c>
      <c r="J7172" s="11">
        <f>1/(H7172*Utilities!$B$11)</f>
        <v>8</v>
      </c>
      <c r="K7172" s="11">
        <f>IF(B7172&lt;C7172,1,EXP(-1*(B7172-C7172)/(Utilities!$B$11*IterData!H7172)))</f>
        <v>1</v>
      </c>
    </row>
    <row r="7173" spans="8:11" x14ac:dyDescent="0.3">
      <c r="H7173">
        <v>0.5</v>
      </c>
      <c r="I7173" s="11">
        <f t="shared" si="112"/>
        <v>0</v>
      </c>
      <c r="J7173" s="11">
        <f>1/(H7173*Utilities!$B$11)</f>
        <v>8</v>
      </c>
      <c r="K7173" s="11">
        <f>IF(B7173&lt;C7173,1,EXP(-1*(B7173-C7173)/(Utilities!$B$11*IterData!H7173)))</f>
        <v>1</v>
      </c>
    </row>
    <row r="7174" spans="8:11" x14ac:dyDescent="0.3">
      <c r="H7174">
        <v>0.5</v>
      </c>
      <c r="I7174" s="11">
        <f t="shared" si="112"/>
        <v>0</v>
      </c>
      <c r="J7174" s="11">
        <f>1/(H7174*Utilities!$B$11)</f>
        <v>8</v>
      </c>
      <c r="K7174" s="11">
        <f>IF(B7174&lt;C7174,1,EXP(-1*(B7174-C7174)/(Utilities!$B$11*IterData!H7174)))</f>
        <v>1</v>
      </c>
    </row>
    <row r="7175" spans="8:11" x14ac:dyDescent="0.3">
      <c r="H7175">
        <v>0.5</v>
      </c>
      <c r="I7175" s="11">
        <f t="shared" si="112"/>
        <v>0</v>
      </c>
      <c r="J7175" s="11">
        <f>1/(H7175*Utilities!$B$11)</f>
        <v>8</v>
      </c>
      <c r="K7175" s="11">
        <f>IF(B7175&lt;C7175,1,EXP(-1*(B7175-C7175)/(Utilities!$B$11*IterData!H7175)))</f>
        <v>1</v>
      </c>
    </row>
    <row r="7176" spans="8:11" x14ac:dyDescent="0.3">
      <c r="H7176">
        <v>0.5</v>
      </c>
      <c r="I7176" s="11">
        <f t="shared" si="112"/>
        <v>0</v>
      </c>
      <c r="J7176" s="11">
        <f>1/(H7176*Utilities!$B$11)</f>
        <v>8</v>
      </c>
      <c r="K7176" s="11">
        <f>IF(B7176&lt;C7176,1,EXP(-1*(B7176-C7176)/(Utilities!$B$11*IterData!H7176)))</f>
        <v>1</v>
      </c>
    </row>
    <row r="7177" spans="8:11" x14ac:dyDescent="0.3">
      <c r="H7177">
        <v>0.5</v>
      </c>
      <c r="I7177" s="11">
        <f t="shared" si="112"/>
        <v>0</v>
      </c>
      <c r="J7177" s="11">
        <f>1/(H7177*Utilities!$B$11)</f>
        <v>8</v>
      </c>
      <c r="K7177" s="11">
        <f>IF(B7177&lt;C7177,1,EXP(-1*(B7177-C7177)/(Utilities!$B$11*IterData!H7177)))</f>
        <v>1</v>
      </c>
    </row>
    <row r="7178" spans="8:11" x14ac:dyDescent="0.3">
      <c r="H7178">
        <v>0.5</v>
      </c>
      <c r="I7178" s="11">
        <f t="shared" si="112"/>
        <v>0</v>
      </c>
      <c r="J7178" s="11">
        <f>1/(H7178*Utilities!$B$11)</f>
        <v>8</v>
      </c>
      <c r="K7178" s="11">
        <f>IF(B7178&lt;C7178,1,EXP(-1*(B7178-C7178)/(Utilities!$B$11*IterData!H7178)))</f>
        <v>1</v>
      </c>
    </row>
    <row r="7179" spans="8:11" x14ac:dyDescent="0.3">
      <c r="H7179">
        <v>0.5</v>
      </c>
      <c r="I7179" s="11">
        <f t="shared" si="112"/>
        <v>0</v>
      </c>
      <c r="J7179" s="11">
        <f>1/(H7179*Utilities!$B$11)</f>
        <v>8</v>
      </c>
      <c r="K7179" s="11">
        <f>IF(B7179&lt;C7179,1,EXP(-1*(B7179-C7179)/(Utilities!$B$11*IterData!H7179)))</f>
        <v>1</v>
      </c>
    </row>
    <row r="7180" spans="8:11" x14ac:dyDescent="0.3">
      <c r="H7180">
        <v>0.5</v>
      </c>
      <c r="I7180" s="11">
        <f t="shared" si="112"/>
        <v>0</v>
      </c>
      <c r="J7180" s="11">
        <f>1/(H7180*Utilities!$B$11)</f>
        <v>8</v>
      </c>
      <c r="K7180" s="11">
        <f>IF(B7180&lt;C7180,1,EXP(-1*(B7180-C7180)/(Utilities!$B$11*IterData!H7180)))</f>
        <v>1</v>
      </c>
    </row>
    <row r="7181" spans="8:11" x14ac:dyDescent="0.3">
      <c r="H7181">
        <v>0.5</v>
      </c>
      <c r="I7181" s="11">
        <f t="shared" si="112"/>
        <v>0</v>
      </c>
      <c r="J7181" s="11">
        <f>1/(H7181*Utilities!$B$11)</f>
        <v>8</v>
      </c>
      <c r="K7181" s="11">
        <f>IF(B7181&lt;C7181,1,EXP(-1*(B7181-C7181)/(Utilities!$B$11*IterData!H7181)))</f>
        <v>1</v>
      </c>
    </row>
    <row r="7182" spans="8:11" x14ac:dyDescent="0.3">
      <c r="H7182">
        <v>0.5</v>
      </c>
      <c r="I7182" s="11">
        <f t="shared" si="112"/>
        <v>0</v>
      </c>
      <c r="J7182" s="11">
        <f>1/(H7182*Utilities!$B$11)</f>
        <v>8</v>
      </c>
      <c r="K7182" s="11">
        <f>IF(B7182&lt;C7182,1,EXP(-1*(B7182-C7182)/(Utilities!$B$11*IterData!H7182)))</f>
        <v>1</v>
      </c>
    </row>
    <row r="7183" spans="8:11" x14ac:dyDescent="0.3">
      <c r="H7183">
        <v>0.5</v>
      </c>
      <c r="I7183" s="11">
        <f t="shared" si="112"/>
        <v>0</v>
      </c>
      <c r="J7183" s="11">
        <f>1/(H7183*Utilities!$B$11)</f>
        <v>8</v>
      </c>
      <c r="K7183" s="11">
        <f>IF(B7183&lt;C7183,1,EXP(-1*(B7183-C7183)/(Utilities!$B$11*IterData!H7183)))</f>
        <v>1</v>
      </c>
    </row>
    <row r="7184" spans="8:11" x14ac:dyDescent="0.3">
      <c r="H7184">
        <v>0.5</v>
      </c>
      <c r="I7184" s="11">
        <f t="shared" si="112"/>
        <v>0</v>
      </c>
      <c r="J7184" s="11">
        <f>1/(H7184*Utilities!$B$11)</f>
        <v>8</v>
      </c>
      <c r="K7184" s="11">
        <f>IF(B7184&lt;C7184,1,EXP(-1*(B7184-C7184)/(Utilities!$B$11*IterData!H7184)))</f>
        <v>1</v>
      </c>
    </row>
    <row r="7185" spans="8:11" x14ac:dyDescent="0.3">
      <c r="H7185">
        <v>0.5</v>
      </c>
      <c r="I7185" s="11">
        <f t="shared" si="112"/>
        <v>0</v>
      </c>
      <c r="J7185" s="11">
        <f>1/(H7185*Utilities!$B$11)</f>
        <v>8</v>
      </c>
      <c r="K7185" s="11">
        <f>IF(B7185&lt;C7185,1,EXP(-1*(B7185-C7185)/(Utilities!$B$11*IterData!H7185)))</f>
        <v>1</v>
      </c>
    </row>
    <row r="7186" spans="8:11" x14ac:dyDescent="0.3">
      <c r="H7186">
        <v>0.5</v>
      </c>
      <c r="I7186" s="11">
        <f t="shared" si="112"/>
        <v>0</v>
      </c>
      <c r="J7186" s="11">
        <f>1/(H7186*Utilities!$B$11)</f>
        <v>8</v>
      </c>
      <c r="K7186" s="11">
        <f>IF(B7186&lt;C7186,1,EXP(-1*(B7186-C7186)/(Utilities!$B$11*IterData!H7186)))</f>
        <v>1</v>
      </c>
    </row>
    <row r="7187" spans="8:11" x14ac:dyDescent="0.3">
      <c r="H7187">
        <v>0.5</v>
      </c>
      <c r="I7187" s="11">
        <f t="shared" si="112"/>
        <v>0</v>
      </c>
      <c r="J7187" s="11">
        <f>1/(H7187*Utilities!$B$11)</f>
        <v>8</v>
      </c>
      <c r="K7187" s="11">
        <f>IF(B7187&lt;C7187,1,EXP(-1*(B7187-C7187)/(Utilities!$B$11*IterData!H7187)))</f>
        <v>1</v>
      </c>
    </row>
    <row r="7188" spans="8:11" x14ac:dyDescent="0.3">
      <c r="H7188">
        <v>0.5</v>
      </c>
      <c r="I7188" s="11">
        <f t="shared" si="112"/>
        <v>0</v>
      </c>
      <c r="J7188" s="11">
        <f>1/(H7188*Utilities!$B$11)</f>
        <v>8</v>
      </c>
      <c r="K7188" s="11">
        <f>IF(B7188&lt;C7188,1,EXP(-1*(B7188-C7188)/(Utilities!$B$11*IterData!H7188)))</f>
        <v>1</v>
      </c>
    </row>
    <row r="7189" spans="8:11" x14ac:dyDescent="0.3">
      <c r="H7189">
        <v>0.5</v>
      </c>
      <c r="I7189" s="11">
        <f t="shared" si="112"/>
        <v>0</v>
      </c>
      <c r="J7189" s="11">
        <f>1/(H7189*Utilities!$B$11)</f>
        <v>8</v>
      </c>
      <c r="K7189" s="11">
        <f>IF(B7189&lt;C7189,1,EXP(-1*(B7189-C7189)/(Utilities!$B$11*IterData!H7189)))</f>
        <v>1</v>
      </c>
    </row>
    <row r="7190" spans="8:11" x14ac:dyDescent="0.3">
      <c r="H7190">
        <v>0.5</v>
      </c>
      <c r="I7190" s="11">
        <f t="shared" si="112"/>
        <v>0</v>
      </c>
      <c r="J7190" s="11">
        <f>1/(H7190*Utilities!$B$11)</f>
        <v>8</v>
      </c>
      <c r="K7190" s="11">
        <f>IF(B7190&lt;C7190,1,EXP(-1*(B7190-C7190)/(Utilities!$B$11*IterData!H7190)))</f>
        <v>1</v>
      </c>
    </row>
    <row r="7191" spans="8:11" x14ac:dyDescent="0.3">
      <c r="H7191">
        <v>0.5</v>
      </c>
      <c r="I7191" s="11">
        <f t="shared" si="112"/>
        <v>0</v>
      </c>
      <c r="J7191" s="11">
        <f>1/(H7191*Utilities!$B$11)</f>
        <v>8</v>
      </c>
      <c r="K7191" s="11">
        <f>IF(B7191&lt;C7191,1,EXP(-1*(B7191-C7191)/(Utilities!$B$11*IterData!H7191)))</f>
        <v>1</v>
      </c>
    </row>
    <row r="7192" spans="8:11" x14ac:dyDescent="0.3">
      <c r="H7192">
        <v>0.5</v>
      </c>
      <c r="I7192" s="11">
        <f t="shared" si="112"/>
        <v>0</v>
      </c>
      <c r="J7192" s="11">
        <f>1/(H7192*Utilities!$B$11)</f>
        <v>8</v>
      </c>
      <c r="K7192" s="11">
        <f>IF(B7192&lt;C7192,1,EXP(-1*(B7192-C7192)/(Utilities!$B$11*IterData!H7192)))</f>
        <v>1</v>
      </c>
    </row>
    <row r="7193" spans="8:11" x14ac:dyDescent="0.3">
      <c r="H7193">
        <v>0.5</v>
      </c>
      <c r="I7193" s="11">
        <f t="shared" si="112"/>
        <v>0</v>
      </c>
      <c r="J7193" s="11">
        <f>1/(H7193*Utilities!$B$11)</f>
        <v>8</v>
      </c>
      <c r="K7193" s="11">
        <f>IF(B7193&lt;C7193,1,EXP(-1*(B7193-C7193)/(Utilities!$B$11*IterData!H7193)))</f>
        <v>1</v>
      </c>
    </row>
    <row r="7194" spans="8:11" x14ac:dyDescent="0.3">
      <c r="H7194">
        <v>0.5</v>
      </c>
      <c r="I7194" s="11">
        <f t="shared" si="112"/>
        <v>0</v>
      </c>
      <c r="J7194" s="11">
        <f>1/(H7194*Utilities!$B$11)</f>
        <v>8</v>
      </c>
      <c r="K7194" s="11">
        <f>IF(B7194&lt;C7194,1,EXP(-1*(B7194-C7194)/(Utilities!$B$11*IterData!H7194)))</f>
        <v>1</v>
      </c>
    </row>
    <row r="7195" spans="8:11" x14ac:dyDescent="0.3">
      <c r="H7195">
        <v>0.5</v>
      </c>
      <c r="I7195" s="11">
        <f t="shared" si="112"/>
        <v>0</v>
      </c>
      <c r="J7195" s="11">
        <f>1/(H7195*Utilities!$B$11)</f>
        <v>8</v>
      </c>
      <c r="K7195" s="11">
        <f>IF(B7195&lt;C7195,1,EXP(-1*(B7195-C7195)/(Utilities!$B$11*IterData!H7195)))</f>
        <v>1</v>
      </c>
    </row>
    <row r="7196" spans="8:11" x14ac:dyDescent="0.3">
      <c r="H7196">
        <v>0.5</v>
      </c>
      <c r="I7196" s="11">
        <f t="shared" si="112"/>
        <v>0</v>
      </c>
      <c r="J7196" s="11">
        <f>1/(H7196*Utilities!$B$11)</f>
        <v>8</v>
      </c>
      <c r="K7196" s="11">
        <f>IF(B7196&lt;C7196,1,EXP(-1*(B7196-C7196)/(Utilities!$B$11*IterData!H7196)))</f>
        <v>1</v>
      </c>
    </row>
    <row r="7197" spans="8:11" x14ac:dyDescent="0.3">
      <c r="H7197">
        <v>0.5</v>
      </c>
      <c r="I7197" s="11">
        <f t="shared" si="112"/>
        <v>0</v>
      </c>
      <c r="J7197" s="11">
        <f>1/(H7197*Utilities!$B$11)</f>
        <v>8</v>
      </c>
      <c r="K7197" s="11">
        <f>IF(B7197&lt;C7197,1,EXP(-1*(B7197-C7197)/(Utilities!$B$11*IterData!H7197)))</f>
        <v>1</v>
      </c>
    </row>
    <row r="7198" spans="8:11" x14ac:dyDescent="0.3">
      <c r="H7198">
        <v>0.5</v>
      </c>
      <c r="I7198" s="11">
        <f t="shared" si="112"/>
        <v>0</v>
      </c>
      <c r="J7198" s="11">
        <f>1/(H7198*Utilities!$B$11)</f>
        <v>8</v>
      </c>
      <c r="K7198" s="11">
        <f>IF(B7198&lt;C7198,1,EXP(-1*(B7198-C7198)/(Utilities!$B$11*IterData!H7198)))</f>
        <v>1</v>
      </c>
    </row>
    <row r="7199" spans="8:11" x14ac:dyDescent="0.3">
      <c r="H7199">
        <v>0.5</v>
      </c>
      <c r="I7199" s="11">
        <f t="shared" si="112"/>
        <v>0</v>
      </c>
      <c r="J7199" s="11">
        <f>1/(H7199*Utilities!$B$11)</f>
        <v>8</v>
      </c>
      <c r="K7199" s="11">
        <f>IF(B7199&lt;C7199,1,EXP(-1*(B7199-C7199)/(Utilities!$B$11*IterData!H7199)))</f>
        <v>1</v>
      </c>
    </row>
    <row r="7200" spans="8:11" x14ac:dyDescent="0.3">
      <c r="H7200">
        <v>0.5</v>
      </c>
      <c r="I7200" s="11">
        <f t="shared" si="112"/>
        <v>0</v>
      </c>
      <c r="J7200" s="11">
        <f>1/(H7200*Utilities!$B$11)</f>
        <v>8</v>
      </c>
      <c r="K7200" s="11">
        <f>IF(B7200&lt;C7200,1,EXP(-1*(B7200-C7200)/(Utilities!$B$11*IterData!H7200)))</f>
        <v>1</v>
      </c>
    </row>
    <row r="7201" spans="8:11" x14ac:dyDescent="0.3">
      <c r="H7201">
        <v>0.5</v>
      </c>
      <c r="I7201" s="11">
        <f t="shared" si="112"/>
        <v>0</v>
      </c>
      <c r="J7201" s="11">
        <f>1/(H7201*Utilities!$B$11)</f>
        <v>8</v>
      </c>
      <c r="K7201" s="11">
        <f>IF(B7201&lt;C7201,1,EXP(-1*(B7201-C7201)/(Utilities!$B$11*IterData!H7201)))</f>
        <v>1</v>
      </c>
    </row>
    <row r="7202" spans="8:11" x14ac:dyDescent="0.3">
      <c r="H7202">
        <v>0.5</v>
      </c>
      <c r="I7202" s="11">
        <f t="shared" si="112"/>
        <v>0</v>
      </c>
      <c r="J7202" s="11">
        <f>1/(H7202*Utilities!$B$11)</f>
        <v>8</v>
      </c>
      <c r="K7202" s="11">
        <f>IF(B7202&lt;C7202,1,EXP(-1*(B7202-C7202)/(Utilities!$B$11*IterData!H7202)))</f>
        <v>1</v>
      </c>
    </row>
    <row r="7203" spans="8:11" x14ac:dyDescent="0.3">
      <c r="H7203">
        <v>0.5</v>
      </c>
      <c r="I7203" s="11">
        <f t="shared" si="112"/>
        <v>0</v>
      </c>
      <c r="J7203" s="11">
        <f>1/(H7203*Utilities!$B$11)</f>
        <v>8</v>
      </c>
      <c r="K7203" s="11">
        <f>IF(B7203&lt;C7203,1,EXP(-1*(B7203-C7203)/(Utilities!$B$11*IterData!H7203)))</f>
        <v>1</v>
      </c>
    </row>
    <row r="7204" spans="8:11" x14ac:dyDescent="0.3">
      <c r="H7204">
        <v>0.5</v>
      </c>
      <c r="I7204" s="11">
        <f t="shared" si="112"/>
        <v>0</v>
      </c>
      <c r="J7204" s="11">
        <f>1/(H7204*Utilities!$B$11)</f>
        <v>8</v>
      </c>
      <c r="K7204" s="11">
        <f>IF(B7204&lt;C7204,1,EXP(-1*(B7204-C7204)/(Utilities!$B$11*IterData!H7204)))</f>
        <v>1</v>
      </c>
    </row>
    <row r="7205" spans="8:11" x14ac:dyDescent="0.3">
      <c r="H7205">
        <v>0.5</v>
      </c>
      <c r="I7205" s="11">
        <f t="shared" si="112"/>
        <v>0</v>
      </c>
      <c r="J7205" s="11">
        <f>1/(H7205*Utilities!$B$11)</f>
        <v>8</v>
      </c>
      <c r="K7205" s="11">
        <f>IF(B7205&lt;C7205,1,EXP(-1*(B7205-C7205)/(Utilities!$B$11*IterData!H7205)))</f>
        <v>1</v>
      </c>
    </row>
    <row r="7206" spans="8:11" x14ac:dyDescent="0.3">
      <c r="H7206">
        <v>0.5</v>
      </c>
      <c r="I7206" s="11">
        <f t="shared" si="112"/>
        <v>0</v>
      </c>
      <c r="J7206" s="11">
        <f>1/(H7206*Utilities!$B$11)</f>
        <v>8</v>
      </c>
      <c r="K7206" s="11">
        <f>IF(B7206&lt;C7206,1,EXP(-1*(B7206-C7206)/(Utilities!$B$11*IterData!H7206)))</f>
        <v>1</v>
      </c>
    </row>
    <row r="7207" spans="8:11" x14ac:dyDescent="0.3">
      <c r="H7207">
        <v>0.5</v>
      </c>
      <c r="I7207" s="11">
        <f t="shared" si="112"/>
        <v>0</v>
      </c>
      <c r="J7207" s="11">
        <f>1/(H7207*Utilities!$B$11)</f>
        <v>8</v>
      </c>
      <c r="K7207" s="11">
        <f>IF(B7207&lt;C7207,1,EXP(-1*(B7207-C7207)/(Utilities!$B$11*IterData!H7207)))</f>
        <v>1</v>
      </c>
    </row>
    <row r="7208" spans="8:11" x14ac:dyDescent="0.3">
      <c r="H7208">
        <v>0.5</v>
      </c>
      <c r="I7208" s="11">
        <f t="shared" si="112"/>
        <v>0</v>
      </c>
      <c r="J7208" s="11">
        <f>1/(H7208*Utilities!$B$11)</f>
        <v>8</v>
      </c>
      <c r="K7208" s="11">
        <f>IF(B7208&lt;C7208,1,EXP(-1*(B7208-C7208)/(Utilities!$B$11*IterData!H7208)))</f>
        <v>1</v>
      </c>
    </row>
    <row r="7209" spans="8:11" x14ac:dyDescent="0.3">
      <c r="H7209">
        <v>0.5</v>
      </c>
      <c r="I7209" s="11">
        <f t="shared" si="112"/>
        <v>0</v>
      </c>
      <c r="J7209" s="11">
        <f>1/(H7209*Utilities!$B$11)</f>
        <v>8</v>
      </c>
      <c r="K7209" s="11">
        <f>IF(B7209&lt;C7209,1,EXP(-1*(B7209-C7209)/(Utilities!$B$11*IterData!H7209)))</f>
        <v>1</v>
      </c>
    </row>
    <row r="7210" spans="8:11" x14ac:dyDescent="0.3">
      <c r="H7210">
        <v>0.5</v>
      </c>
      <c r="I7210" s="11">
        <f t="shared" si="112"/>
        <v>0</v>
      </c>
      <c r="J7210" s="11">
        <f>1/(H7210*Utilities!$B$11)</f>
        <v>8</v>
      </c>
      <c r="K7210" s="11">
        <f>IF(B7210&lt;C7210,1,EXP(-1*(B7210-C7210)/(Utilities!$B$11*IterData!H7210)))</f>
        <v>1</v>
      </c>
    </row>
    <row r="7211" spans="8:11" x14ac:dyDescent="0.3">
      <c r="H7211">
        <v>0.5</v>
      </c>
      <c r="I7211" s="11">
        <f t="shared" si="112"/>
        <v>0</v>
      </c>
      <c r="J7211" s="11">
        <f>1/(H7211*Utilities!$B$11)</f>
        <v>8</v>
      </c>
      <c r="K7211" s="11">
        <f>IF(B7211&lt;C7211,1,EXP(-1*(B7211-C7211)/(Utilities!$B$11*IterData!H7211)))</f>
        <v>1</v>
      </c>
    </row>
    <row r="7212" spans="8:11" x14ac:dyDescent="0.3">
      <c r="H7212">
        <v>0.5</v>
      </c>
      <c r="I7212" s="11">
        <f t="shared" si="112"/>
        <v>0</v>
      </c>
      <c r="J7212" s="11">
        <f>1/(H7212*Utilities!$B$11)</f>
        <v>8</v>
      </c>
      <c r="K7212" s="11">
        <f>IF(B7212&lt;C7212,1,EXP(-1*(B7212-C7212)/(Utilities!$B$11*IterData!H7212)))</f>
        <v>1</v>
      </c>
    </row>
    <row r="7213" spans="8:11" x14ac:dyDescent="0.3">
      <c r="H7213">
        <v>0.5</v>
      </c>
      <c r="I7213" s="11">
        <f t="shared" si="112"/>
        <v>0</v>
      </c>
      <c r="J7213" s="11">
        <f>1/(H7213*Utilities!$B$11)</f>
        <v>8</v>
      </c>
      <c r="K7213" s="11">
        <f>IF(B7213&lt;C7213,1,EXP(-1*(B7213-C7213)/(Utilities!$B$11*IterData!H7213)))</f>
        <v>1</v>
      </c>
    </row>
    <row r="7214" spans="8:11" x14ac:dyDescent="0.3">
      <c r="H7214">
        <v>0.5</v>
      </c>
      <c r="I7214" s="11">
        <f t="shared" si="112"/>
        <v>0</v>
      </c>
      <c r="J7214" s="11">
        <f>1/(H7214*Utilities!$B$11)</f>
        <v>8</v>
      </c>
      <c r="K7214" s="11">
        <f>IF(B7214&lt;C7214,1,EXP(-1*(B7214-C7214)/(Utilities!$B$11*IterData!H7214)))</f>
        <v>1</v>
      </c>
    </row>
    <row r="7215" spans="8:11" x14ac:dyDescent="0.3">
      <c r="H7215">
        <v>0.5</v>
      </c>
      <c r="I7215" s="11">
        <f t="shared" si="112"/>
        <v>0</v>
      </c>
      <c r="J7215" s="11">
        <f>1/(H7215*Utilities!$B$11)</f>
        <v>8</v>
      </c>
      <c r="K7215" s="11">
        <f>IF(B7215&lt;C7215,1,EXP(-1*(B7215-C7215)/(Utilities!$B$11*IterData!H7215)))</f>
        <v>1</v>
      </c>
    </row>
    <row r="7216" spans="8:11" x14ac:dyDescent="0.3">
      <c r="H7216">
        <v>0.5</v>
      </c>
      <c r="I7216" s="11">
        <f t="shared" si="112"/>
        <v>0</v>
      </c>
      <c r="J7216" s="11">
        <f>1/(H7216*Utilities!$B$11)</f>
        <v>8</v>
      </c>
      <c r="K7216" s="11">
        <f>IF(B7216&lt;C7216,1,EXP(-1*(B7216-C7216)/(Utilities!$B$11*IterData!H7216)))</f>
        <v>1</v>
      </c>
    </row>
    <row r="7217" spans="8:11" x14ac:dyDescent="0.3">
      <c r="H7217">
        <v>0.5</v>
      </c>
      <c r="I7217" s="11">
        <f t="shared" si="112"/>
        <v>0</v>
      </c>
      <c r="J7217" s="11">
        <f>1/(H7217*Utilities!$B$11)</f>
        <v>8</v>
      </c>
      <c r="K7217" s="11">
        <f>IF(B7217&lt;C7217,1,EXP(-1*(B7217-C7217)/(Utilities!$B$11*IterData!H7217)))</f>
        <v>1</v>
      </c>
    </row>
    <row r="7218" spans="8:11" x14ac:dyDescent="0.3">
      <c r="H7218">
        <v>0.5</v>
      </c>
      <c r="I7218" s="11">
        <f t="shared" si="112"/>
        <v>0</v>
      </c>
      <c r="J7218" s="11">
        <f>1/(H7218*Utilities!$B$11)</f>
        <v>8</v>
      </c>
      <c r="K7218" s="11">
        <f>IF(B7218&lt;C7218,1,EXP(-1*(B7218-C7218)/(Utilities!$B$11*IterData!H7218)))</f>
        <v>1</v>
      </c>
    </row>
    <row r="7219" spans="8:11" x14ac:dyDescent="0.3">
      <c r="H7219">
        <v>0.5</v>
      </c>
      <c r="I7219" s="11">
        <f t="shared" si="112"/>
        <v>0</v>
      </c>
      <c r="J7219" s="11">
        <f>1/(H7219*Utilities!$B$11)</f>
        <v>8</v>
      </c>
      <c r="K7219" s="11">
        <f>IF(B7219&lt;C7219,1,EXP(-1*(B7219-C7219)/(Utilities!$B$11*IterData!H7219)))</f>
        <v>1</v>
      </c>
    </row>
    <row r="7220" spans="8:11" x14ac:dyDescent="0.3">
      <c r="H7220">
        <v>0.5</v>
      </c>
      <c r="I7220" s="11">
        <f t="shared" si="112"/>
        <v>0</v>
      </c>
      <c r="J7220" s="11">
        <f>1/(H7220*Utilities!$B$11)</f>
        <v>8</v>
      </c>
      <c r="K7220" s="11">
        <f>IF(B7220&lt;C7220,1,EXP(-1*(B7220-C7220)/(Utilities!$B$11*IterData!H7220)))</f>
        <v>1</v>
      </c>
    </row>
    <row r="7221" spans="8:11" x14ac:dyDescent="0.3">
      <c r="H7221">
        <v>0.5</v>
      </c>
      <c r="I7221" s="11">
        <f t="shared" si="112"/>
        <v>0</v>
      </c>
      <c r="J7221" s="11">
        <f>1/(H7221*Utilities!$B$11)</f>
        <v>8</v>
      </c>
      <c r="K7221" s="11">
        <f>IF(B7221&lt;C7221,1,EXP(-1*(B7221-C7221)/(Utilities!$B$11*IterData!H7221)))</f>
        <v>1</v>
      </c>
    </row>
    <row r="7222" spans="8:11" x14ac:dyDescent="0.3">
      <c r="H7222">
        <v>0.5</v>
      </c>
      <c r="I7222" s="11">
        <f t="shared" si="112"/>
        <v>0</v>
      </c>
      <c r="J7222" s="11">
        <f>1/(H7222*Utilities!$B$11)</f>
        <v>8</v>
      </c>
      <c r="K7222" s="11">
        <f>IF(B7222&lt;C7222,1,EXP(-1*(B7222-C7222)/(Utilities!$B$11*IterData!H7222)))</f>
        <v>1</v>
      </c>
    </row>
    <row r="7223" spans="8:11" x14ac:dyDescent="0.3">
      <c r="H7223">
        <v>0.5</v>
      </c>
      <c r="I7223" s="11">
        <f t="shared" si="112"/>
        <v>0</v>
      </c>
      <c r="J7223" s="11">
        <f>1/(H7223*Utilities!$B$11)</f>
        <v>8</v>
      </c>
      <c r="K7223" s="11">
        <f>IF(B7223&lt;C7223,1,EXP(-1*(B7223-C7223)/(Utilities!$B$11*IterData!H7223)))</f>
        <v>1</v>
      </c>
    </row>
    <row r="7224" spans="8:11" x14ac:dyDescent="0.3">
      <c r="H7224">
        <v>0.5</v>
      </c>
      <c r="I7224" s="11">
        <f t="shared" si="112"/>
        <v>0</v>
      </c>
      <c r="J7224" s="11">
        <f>1/(H7224*Utilities!$B$11)</f>
        <v>8</v>
      </c>
      <c r="K7224" s="11">
        <f>IF(B7224&lt;C7224,1,EXP(-1*(B7224-C7224)/(Utilities!$B$11*IterData!H7224)))</f>
        <v>1</v>
      </c>
    </row>
    <row r="7225" spans="8:11" x14ac:dyDescent="0.3">
      <c r="H7225">
        <v>0.5</v>
      </c>
      <c r="I7225" s="11">
        <f t="shared" si="112"/>
        <v>0</v>
      </c>
      <c r="J7225" s="11">
        <f>1/(H7225*Utilities!$B$11)</f>
        <v>8</v>
      </c>
      <c r="K7225" s="11">
        <f>IF(B7225&lt;C7225,1,EXP(-1*(B7225-C7225)/(Utilities!$B$11*IterData!H7225)))</f>
        <v>1</v>
      </c>
    </row>
    <row r="7226" spans="8:11" x14ac:dyDescent="0.3">
      <c r="H7226">
        <v>0.5</v>
      </c>
      <c r="I7226" s="11">
        <f t="shared" si="112"/>
        <v>0</v>
      </c>
      <c r="J7226" s="11">
        <f>1/(H7226*Utilities!$B$11)</f>
        <v>8</v>
      </c>
      <c r="K7226" s="11">
        <f>IF(B7226&lt;C7226,1,EXP(-1*(B7226-C7226)/(Utilities!$B$11*IterData!H7226)))</f>
        <v>1</v>
      </c>
    </row>
    <row r="7227" spans="8:11" x14ac:dyDescent="0.3">
      <c r="H7227">
        <v>0.5</v>
      </c>
      <c r="I7227" s="11">
        <f t="shared" si="112"/>
        <v>0</v>
      </c>
      <c r="J7227" s="11">
        <f>1/(H7227*Utilities!$B$11)</f>
        <v>8</v>
      </c>
      <c r="K7227" s="11">
        <f>IF(B7227&lt;C7227,1,EXP(-1*(B7227-C7227)/(Utilities!$B$11*IterData!H7227)))</f>
        <v>1</v>
      </c>
    </row>
    <row r="7228" spans="8:11" x14ac:dyDescent="0.3">
      <c r="H7228">
        <v>0.5</v>
      </c>
      <c r="I7228" s="11">
        <f t="shared" si="112"/>
        <v>0</v>
      </c>
      <c r="J7228" s="11">
        <f>1/(H7228*Utilities!$B$11)</f>
        <v>8</v>
      </c>
      <c r="K7228" s="11">
        <f>IF(B7228&lt;C7228,1,EXP(-1*(B7228-C7228)/(Utilities!$B$11*IterData!H7228)))</f>
        <v>1</v>
      </c>
    </row>
    <row r="7229" spans="8:11" x14ac:dyDescent="0.3">
      <c r="H7229">
        <v>0.5</v>
      </c>
      <c r="I7229" s="11">
        <f t="shared" si="112"/>
        <v>0</v>
      </c>
      <c r="J7229" s="11">
        <f>1/(H7229*Utilities!$B$11)</f>
        <v>8</v>
      </c>
      <c r="K7229" s="11">
        <f>IF(B7229&lt;C7229,1,EXP(-1*(B7229-C7229)/(Utilities!$B$11*IterData!H7229)))</f>
        <v>1</v>
      </c>
    </row>
    <row r="7230" spans="8:11" x14ac:dyDescent="0.3">
      <c r="H7230">
        <v>0.5</v>
      </c>
      <c r="I7230" s="11">
        <f t="shared" si="112"/>
        <v>0</v>
      </c>
      <c r="J7230" s="11">
        <f>1/(H7230*Utilities!$B$11)</f>
        <v>8</v>
      </c>
      <c r="K7230" s="11">
        <f>IF(B7230&lt;C7230,1,EXP(-1*(B7230-C7230)/(Utilities!$B$11*IterData!H7230)))</f>
        <v>1</v>
      </c>
    </row>
    <row r="7231" spans="8:11" x14ac:dyDescent="0.3">
      <c r="H7231">
        <v>0.5</v>
      </c>
      <c r="I7231" s="11">
        <f t="shared" si="112"/>
        <v>0</v>
      </c>
      <c r="J7231" s="11">
        <f>1/(H7231*Utilities!$B$11)</f>
        <v>8</v>
      </c>
      <c r="K7231" s="11">
        <f>IF(B7231&lt;C7231,1,EXP(-1*(B7231-C7231)/(Utilities!$B$11*IterData!H7231)))</f>
        <v>1</v>
      </c>
    </row>
    <row r="7232" spans="8:11" x14ac:dyDescent="0.3">
      <c r="H7232">
        <v>0.5</v>
      </c>
      <c r="I7232" s="11">
        <f t="shared" si="112"/>
        <v>0</v>
      </c>
      <c r="J7232" s="11">
        <f>1/(H7232*Utilities!$B$11)</f>
        <v>8</v>
      </c>
      <c r="K7232" s="11">
        <f>IF(B7232&lt;C7232,1,EXP(-1*(B7232-C7232)/(Utilities!$B$11*IterData!H7232)))</f>
        <v>1</v>
      </c>
    </row>
    <row r="7233" spans="8:11" x14ac:dyDescent="0.3">
      <c r="H7233">
        <v>0.5</v>
      </c>
      <c r="I7233" s="11">
        <f t="shared" si="112"/>
        <v>0</v>
      </c>
      <c r="J7233" s="11">
        <f>1/(H7233*Utilities!$B$11)</f>
        <v>8</v>
      </c>
      <c r="K7233" s="11">
        <f>IF(B7233&lt;C7233,1,EXP(-1*(B7233-C7233)/(Utilities!$B$11*IterData!H7233)))</f>
        <v>1</v>
      </c>
    </row>
    <row r="7234" spans="8:11" x14ac:dyDescent="0.3">
      <c r="H7234">
        <v>0.5</v>
      </c>
      <c r="I7234" s="11">
        <f t="shared" si="112"/>
        <v>0</v>
      </c>
      <c r="J7234" s="11">
        <f>1/(H7234*Utilities!$B$11)</f>
        <v>8</v>
      </c>
      <c r="K7234" s="11">
        <f>IF(B7234&lt;C7234,1,EXP(-1*(B7234-C7234)/(Utilities!$B$11*IterData!H7234)))</f>
        <v>1</v>
      </c>
    </row>
    <row r="7235" spans="8:11" x14ac:dyDescent="0.3">
      <c r="H7235">
        <v>0.5</v>
      </c>
      <c r="I7235" s="11">
        <f t="shared" ref="I7235:I7298" si="113">B7235-C7235</f>
        <v>0</v>
      </c>
      <c r="J7235" s="11">
        <f>1/(H7235*Utilities!$B$11)</f>
        <v>8</v>
      </c>
      <c r="K7235" s="11">
        <f>IF(B7235&lt;C7235,1,EXP(-1*(B7235-C7235)/(Utilities!$B$11*IterData!H7235)))</f>
        <v>1</v>
      </c>
    </row>
    <row r="7236" spans="8:11" x14ac:dyDescent="0.3">
      <c r="H7236">
        <v>0.5</v>
      </c>
      <c r="I7236" s="11">
        <f t="shared" si="113"/>
        <v>0</v>
      </c>
      <c r="J7236" s="11">
        <f>1/(H7236*Utilities!$B$11)</f>
        <v>8</v>
      </c>
      <c r="K7236" s="11">
        <f>IF(B7236&lt;C7236,1,EXP(-1*(B7236-C7236)/(Utilities!$B$11*IterData!H7236)))</f>
        <v>1</v>
      </c>
    </row>
    <row r="7237" spans="8:11" x14ac:dyDescent="0.3">
      <c r="H7237">
        <v>0.5</v>
      </c>
      <c r="I7237" s="11">
        <f t="shared" si="113"/>
        <v>0</v>
      </c>
      <c r="J7237" s="11">
        <f>1/(H7237*Utilities!$B$11)</f>
        <v>8</v>
      </c>
      <c r="K7237" s="11">
        <f>IF(B7237&lt;C7237,1,EXP(-1*(B7237-C7237)/(Utilities!$B$11*IterData!H7237)))</f>
        <v>1</v>
      </c>
    </row>
    <row r="7238" spans="8:11" x14ac:dyDescent="0.3">
      <c r="H7238">
        <v>0.5</v>
      </c>
      <c r="I7238" s="11">
        <f t="shared" si="113"/>
        <v>0</v>
      </c>
      <c r="J7238" s="11">
        <f>1/(H7238*Utilities!$B$11)</f>
        <v>8</v>
      </c>
      <c r="K7238" s="11">
        <f>IF(B7238&lt;C7238,1,EXP(-1*(B7238-C7238)/(Utilities!$B$11*IterData!H7238)))</f>
        <v>1</v>
      </c>
    </row>
    <row r="7239" spans="8:11" x14ac:dyDescent="0.3">
      <c r="H7239">
        <v>0.5</v>
      </c>
      <c r="I7239" s="11">
        <f t="shared" si="113"/>
        <v>0</v>
      </c>
      <c r="J7239" s="11">
        <f>1/(H7239*Utilities!$B$11)</f>
        <v>8</v>
      </c>
      <c r="K7239" s="11">
        <f>IF(B7239&lt;C7239,1,EXP(-1*(B7239-C7239)/(Utilities!$B$11*IterData!H7239)))</f>
        <v>1</v>
      </c>
    </row>
    <row r="7240" spans="8:11" x14ac:dyDescent="0.3">
      <c r="H7240">
        <v>0.5</v>
      </c>
      <c r="I7240" s="11">
        <f t="shared" si="113"/>
        <v>0</v>
      </c>
      <c r="J7240" s="11">
        <f>1/(H7240*Utilities!$B$11)</f>
        <v>8</v>
      </c>
      <c r="K7240" s="11">
        <f>IF(B7240&lt;C7240,1,EXP(-1*(B7240-C7240)/(Utilities!$B$11*IterData!H7240)))</f>
        <v>1</v>
      </c>
    </row>
    <row r="7241" spans="8:11" x14ac:dyDescent="0.3">
      <c r="H7241">
        <v>0.5</v>
      </c>
      <c r="I7241" s="11">
        <f t="shared" si="113"/>
        <v>0</v>
      </c>
      <c r="J7241" s="11">
        <f>1/(H7241*Utilities!$B$11)</f>
        <v>8</v>
      </c>
      <c r="K7241" s="11">
        <f>IF(B7241&lt;C7241,1,EXP(-1*(B7241-C7241)/(Utilities!$B$11*IterData!H7241)))</f>
        <v>1</v>
      </c>
    </row>
    <row r="7242" spans="8:11" x14ac:dyDescent="0.3">
      <c r="H7242">
        <v>0.5</v>
      </c>
      <c r="I7242" s="11">
        <f t="shared" si="113"/>
        <v>0</v>
      </c>
      <c r="J7242" s="11">
        <f>1/(H7242*Utilities!$B$11)</f>
        <v>8</v>
      </c>
      <c r="K7242" s="11">
        <f>IF(B7242&lt;C7242,1,EXP(-1*(B7242-C7242)/(Utilities!$B$11*IterData!H7242)))</f>
        <v>1</v>
      </c>
    </row>
    <row r="7243" spans="8:11" x14ac:dyDescent="0.3">
      <c r="H7243">
        <v>0.5</v>
      </c>
      <c r="I7243" s="11">
        <f t="shared" si="113"/>
        <v>0</v>
      </c>
      <c r="J7243" s="11">
        <f>1/(H7243*Utilities!$B$11)</f>
        <v>8</v>
      </c>
      <c r="K7243" s="11">
        <f>IF(B7243&lt;C7243,1,EXP(-1*(B7243-C7243)/(Utilities!$B$11*IterData!H7243)))</f>
        <v>1</v>
      </c>
    </row>
    <row r="7244" spans="8:11" x14ac:dyDescent="0.3">
      <c r="H7244">
        <v>0.5</v>
      </c>
      <c r="I7244" s="11">
        <f t="shared" si="113"/>
        <v>0</v>
      </c>
      <c r="J7244" s="11">
        <f>1/(H7244*Utilities!$B$11)</f>
        <v>8</v>
      </c>
      <c r="K7244" s="11">
        <f>IF(B7244&lt;C7244,1,EXP(-1*(B7244-C7244)/(Utilities!$B$11*IterData!H7244)))</f>
        <v>1</v>
      </c>
    </row>
    <row r="7245" spans="8:11" x14ac:dyDescent="0.3">
      <c r="H7245">
        <v>0.5</v>
      </c>
      <c r="I7245" s="11">
        <f t="shared" si="113"/>
        <v>0</v>
      </c>
      <c r="J7245" s="11">
        <f>1/(H7245*Utilities!$B$11)</f>
        <v>8</v>
      </c>
      <c r="K7245" s="11">
        <f>IF(B7245&lt;C7245,1,EXP(-1*(B7245-C7245)/(Utilities!$B$11*IterData!H7245)))</f>
        <v>1</v>
      </c>
    </row>
    <row r="7246" spans="8:11" x14ac:dyDescent="0.3">
      <c r="H7246">
        <v>0.5</v>
      </c>
      <c r="I7246" s="11">
        <f t="shared" si="113"/>
        <v>0</v>
      </c>
      <c r="J7246" s="11">
        <f>1/(H7246*Utilities!$B$11)</f>
        <v>8</v>
      </c>
      <c r="K7246" s="11">
        <f>IF(B7246&lt;C7246,1,EXP(-1*(B7246-C7246)/(Utilities!$B$11*IterData!H7246)))</f>
        <v>1</v>
      </c>
    </row>
    <row r="7247" spans="8:11" x14ac:dyDescent="0.3">
      <c r="H7247">
        <v>0.5</v>
      </c>
      <c r="I7247" s="11">
        <f t="shared" si="113"/>
        <v>0</v>
      </c>
      <c r="J7247" s="11">
        <f>1/(H7247*Utilities!$B$11)</f>
        <v>8</v>
      </c>
      <c r="K7247" s="11">
        <f>IF(B7247&lt;C7247,1,EXP(-1*(B7247-C7247)/(Utilities!$B$11*IterData!H7247)))</f>
        <v>1</v>
      </c>
    </row>
    <row r="7248" spans="8:11" x14ac:dyDescent="0.3">
      <c r="H7248">
        <v>0.5</v>
      </c>
      <c r="I7248" s="11">
        <f t="shared" si="113"/>
        <v>0</v>
      </c>
      <c r="J7248" s="11">
        <f>1/(H7248*Utilities!$B$11)</f>
        <v>8</v>
      </c>
      <c r="K7248" s="11">
        <f>IF(B7248&lt;C7248,1,EXP(-1*(B7248-C7248)/(Utilities!$B$11*IterData!H7248)))</f>
        <v>1</v>
      </c>
    </row>
    <row r="7249" spans="8:11" x14ac:dyDescent="0.3">
      <c r="H7249">
        <v>0.5</v>
      </c>
      <c r="I7249" s="11">
        <f t="shared" si="113"/>
        <v>0</v>
      </c>
      <c r="J7249" s="11">
        <f>1/(H7249*Utilities!$B$11)</f>
        <v>8</v>
      </c>
      <c r="K7249" s="11">
        <f>IF(B7249&lt;C7249,1,EXP(-1*(B7249-C7249)/(Utilities!$B$11*IterData!H7249)))</f>
        <v>1</v>
      </c>
    </row>
    <row r="7250" spans="8:11" x14ac:dyDescent="0.3">
      <c r="H7250">
        <v>0.5</v>
      </c>
      <c r="I7250" s="11">
        <f t="shared" si="113"/>
        <v>0</v>
      </c>
      <c r="J7250" s="11">
        <f>1/(H7250*Utilities!$B$11)</f>
        <v>8</v>
      </c>
      <c r="K7250" s="11">
        <f>IF(B7250&lt;C7250,1,EXP(-1*(B7250-C7250)/(Utilities!$B$11*IterData!H7250)))</f>
        <v>1</v>
      </c>
    </row>
    <row r="7251" spans="8:11" x14ac:dyDescent="0.3">
      <c r="H7251">
        <v>0.5</v>
      </c>
      <c r="I7251" s="11">
        <f t="shared" si="113"/>
        <v>0</v>
      </c>
      <c r="J7251" s="11">
        <f>1/(H7251*Utilities!$B$11)</f>
        <v>8</v>
      </c>
      <c r="K7251" s="11">
        <f>IF(B7251&lt;C7251,1,EXP(-1*(B7251-C7251)/(Utilities!$B$11*IterData!H7251)))</f>
        <v>1</v>
      </c>
    </row>
    <row r="7252" spans="8:11" x14ac:dyDescent="0.3">
      <c r="H7252">
        <v>0.5</v>
      </c>
      <c r="I7252" s="11">
        <f t="shared" si="113"/>
        <v>0</v>
      </c>
      <c r="J7252" s="11">
        <f>1/(H7252*Utilities!$B$11)</f>
        <v>8</v>
      </c>
      <c r="K7252" s="11">
        <f>IF(B7252&lt;C7252,1,EXP(-1*(B7252-C7252)/(Utilities!$B$11*IterData!H7252)))</f>
        <v>1</v>
      </c>
    </row>
    <row r="7253" spans="8:11" x14ac:dyDescent="0.3">
      <c r="H7253">
        <v>0.5</v>
      </c>
      <c r="I7253" s="11">
        <f t="shared" si="113"/>
        <v>0</v>
      </c>
      <c r="J7253" s="11">
        <f>1/(H7253*Utilities!$B$11)</f>
        <v>8</v>
      </c>
      <c r="K7253" s="11">
        <f>IF(B7253&lt;C7253,1,EXP(-1*(B7253-C7253)/(Utilities!$B$11*IterData!H7253)))</f>
        <v>1</v>
      </c>
    </row>
    <row r="7254" spans="8:11" x14ac:dyDescent="0.3">
      <c r="H7254">
        <v>0.5</v>
      </c>
      <c r="I7254" s="11">
        <f t="shared" si="113"/>
        <v>0</v>
      </c>
      <c r="J7254" s="11">
        <f>1/(H7254*Utilities!$B$11)</f>
        <v>8</v>
      </c>
      <c r="K7254" s="11">
        <f>IF(B7254&lt;C7254,1,EXP(-1*(B7254-C7254)/(Utilities!$B$11*IterData!H7254)))</f>
        <v>1</v>
      </c>
    </row>
    <row r="7255" spans="8:11" x14ac:dyDescent="0.3">
      <c r="H7255">
        <v>0.5</v>
      </c>
      <c r="I7255" s="11">
        <f t="shared" si="113"/>
        <v>0</v>
      </c>
      <c r="J7255" s="11">
        <f>1/(H7255*Utilities!$B$11)</f>
        <v>8</v>
      </c>
      <c r="K7255" s="11">
        <f>IF(B7255&lt;C7255,1,EXP(-1*(B7255-C7255)/(Utilities!$B$11*IterData!H7255)))</f>
        <v>1</v>
      </c>
    </row>
    <row r="7256" spans="8:11" x14ac:dyDescent="0.3">
      <c r="H7256">
        <v>0.5</v>
      </c>
      <c r="I7256" s="11">
        <f t="shared" si="113"/>
        <v>0</v>
      </c>
      <c r="J7256" s="11">
        <f>1/(H7256*Utilities!$B$11)</f>
        <v>8</v>
      </c>
      <c r="K7256" s="11">
        <f>IF(B7256&lt;C7256,1,EXP(-1*(B7256-C7256)/(Utilities!$B$11*IterData!H7256)))</f>
        <v>1</v>
      </c>
    </row>
    <row r="7257" spans="8:11" x14ac:dyDescent="0.3">
      <c r="H7257">
        <v>0.5</v>
      </c>
      <c r="I7257" s="11">
        <f t="shared" si="113"/>
        <v>0</v>
      </c>
      <c r="J7257" s="11">
        <f>1/(H7257*Utilities!$B$11)</f>
        <v>8</v>
      </c>
      <c r="K7257" s="11">
        <f>IF(B7257&lt;C7257,1,EXP(-1*(B7257-C7257)/(Utilities!$B$11*IterData!H7257)))</f>
        <v>1</v>
      </c>
    </row>
    <row r="7258" spans="8:11" x14ac:dyDescent="0.3">
      <c r="H7258">
        <v>0.5</v>
      </c>
      <c r="I7258" s="11">
        <f t="shared" si="113"/>
        <v>0</v>
      </c>
      <c r="J7258" s="11">
        <f>1/(H7258*Utilities!$B$11)</f>
        <v>8</v>
      </c>
      <c r="K7258" s="11">
        <f>IF(B7258&lt;C7258,1,EXP(-1*(B7258-C7258)/(Utilities!$B$11*IterData!H7258)))</f>
        <v>1</v>
      </c>
    </row>
    <row r="7259" spans="8:11" x14ac:dyDescent="0.3">
      <c r="H7259">
        <v>0.5</v>
      </c>
      <c r="I7259" s="11">
        <f t="shared" si="113"/>
        <v>0</v>
      </c>
      <c r="J7259" s="11">
        <f>1/(H7259*Utilities!$B$11)</f>
        <v>8</v>
      </c>
      <c r="K7259" s="11">
        <f>IF(B7259&lt;C7259,1,EXP(-1*(B7259-C7259)/(Utilities!$B$11*IterData!H7259)))</f>
        <v>1</v>
      </c>
    </row>
    <row r="7260" spans="8:11" x14ac:dyDescent="0.3">
      <c r="H7260">
        <v>0.5</v>
      </c>
      <c r="I7260" s="11">
        <f t="shared" si="113"/>
        <v>0</v>
      </c>
      <c r="J7260" s="11">
        <f>1/(H7260*Utilities!$B$11)</f>
        <v>8</v>
      </c>
      <c r="K7260" s="11">
        <f>IF(B7260&lt;C7260,1,EXP(-1*(B7260-C7260)/(Utilities!$B$11*IterData!H7260)))</f>
        <v>1</v>
      </c>
    </row>
    <row r="7261" spans="8:11" x14ac:dyDescent="0.3">
      <c r="H7261">
        <v>0.5</v>
      </c>
      <c r="I7261" s="11">
        <f t="shared" si="113"/>
        <v>0</v>
      </c>
      <c r="J7261" s="11">
        <f>1/(H7261*Utilities!$B$11)</f>
        <v>8</v>
      </c>
      <c r="K7261" s="11">
        <f>IF(B7261&lt;C7261,1,EXP(-1*(B7261-C7261)/(Utilities!$B$11*IterData!H7261)))</f>
        <v>1</v>
      </c>
    </row>
    <row r="7262" spans="8:11" x14ac:dyDescent="0.3">
      <c r="H7262">
        <v>0.5</v>
      </c>
      <c r="I7262" s="11">
        <f t="shared" si="113"/>
        <v>0</v>
      </c>
      <c r="J7262" s="11">
        <f>1/(H7262*Utilities!$B$11)</f>
        <v>8</v>
      </c>
      <c r="K7262" s="11">
        <f>IF(B7262&lt;C7262,1,EXP(-1*(B7262-C7262)/(Utilities!$B$11*IterData!H7262)))</f>
        <v>1</v>
      </c>
    </row>
    <row r="7263" spans="8:11" x14ac:dyDescent="0.3">
      <c r="H7263">
        <v>0.5</v>
      </c>
      <c r="I7263" s="11">
        <f t="shared" si="113"/>
        <v>0</v>
      </c>
      <c r="J7263" s="11">
        <f>1/(H7263*Utilities!$B$11)</f>
        <v>8</v>
      </c>
      <c r="K7263" s="11">
        <f>IF(B7263&lt;C7263,1,EXP(-1*(B7263-C7263)/(Utilities!$B$11*IterData!H7263)))</f>
        <v>1</v>
      </c>
    </row>
    <row r="7264" spans="8:11" x14ac:dyDescent="0.3">
      <c r="H7264">
        <v>0.5</v>
      </c>
      <c r="I7264" s="11">
        <f t="shared" si="113"/>
        <v>0</v>
      </c>
      <c r="J7264" s="11">
        <f>1/(H7264*Utilities!$B$11)</f>
        <v>8</v>
      </c>
      <c r="K7264" s="11">
        <f>IF(B7264&lt;C7264,1,EXP(-1*(B7264-C7264)/(Utilities!$B$11*IterData!H7264)))</f>
        <v>1</v>
      </c>
    </row>
    <row r="7265" spans="8:11" x14ac:dyDescent="0.3">
      <c r="H7265">
        <v>0.5</v>
      </c>
      <c r="I7265" s="11">
        <f t="shared" si="113"/>
        <v>0</v>
      </c>
      <c r="J7265" s="11">
        <f>1/(H7265*Utilities!$B$11)</f>
        <v>8</v>
      </c>
      <c r="K7265" s="11">
        <f>IF(B7265&lt;C7265,1,EXP(-1*(B7265-C7265)/(Utilities!$B$11*IterData!H7265)))</f>
        <v>1</v>
      </c>
    </row>
    <row r="7266" spans="8:11" x14ac:dyDescent="0.3">
      <c r="H7266">
        <v>0.5</v>
      </c>
      <c r="I7266" s="11">
        <f t="shared" si="113"/>
        <v>0</v>
      </c>
      <c r="J7266" s="11">
        <f>1/(H7266*Utilities!$B$11)</f>
        <v>8</v>
      </c>
      <c r="K7266" s="11">
        <f>IF(B7266&lt;C7266,1,EXP(-1*(B7266-C7266)/(Utilities!$B$11*IterData!H7266)))</f>
        <v>1</v>
      </c>
    </row>
    <row r="7267" spans="8:11" x14ac:dyDescent="0.3">
      <c r="H7267">
        <v>0.5</v>
      </c>
      <c r="I7267" s="11">
        <f t="shared" si="113"/>
        <v>0</v>
      </c>
      <c r="J7267" s="11">
        <f>1/(H7267*Utilities!$B$11)</f>
        <v>8</v>
      </c>
      <c r="K7267" s="11">
        <f>IF(B7267&lt;C7267,1,EXP(-1*(B7267-C7267)/(Utilities!$B$11*IterData!H7267)))</f>
        <v>1</v>
      </c>
    </row>
    <row r="7268" spans="8:11" x14ac:dyDescent="0.3">
      <c r="H7268">
        <v>0.5</v>
      </c>
      <c r="I7268" s="11">
        <f t="shared" si="113"/>
        <v>0</v>
      </c>
      <c r="J7268" s="11">
        <f>1/(H7268*Utilities!$B$11)</f>
        <v>8</v>
      </c>
      <c r="K7268" s="11">
        <f>IF(B7268&lt;C7268,1,EXP(-1*(B7268-C7268)/(Utilities!$B$11*IterData!H7268)))</f>
        <v>1</v>
      </c>
    </row>
    <row r="7269" spans="8:11" x14ac:dyDescent="0.3">
      <c r="H7269">
        <v>0.5</v>
      </c>
      <c r="I7269" s="11">
        <f t="shared" si="113"/>
        <v>0</v>
      </c>
      <c r="J7269" s="11">
        <f>1/(H7269*Utilities!$B$11)</f>
        <v>8</v>
      </c>
      <c r="K7269" s="11">
        <f>IF(B7269&lt;C7269,1,EXP(-1*(B7269-C7269)/(Utilities!$B$11*IterData!H7269)))</f>
        <v>1</v>
      </c>
    </row>
    <row r="7270" spans="8:11" x14ac:dyDescent="0.3">
      <c r="H7270">
        <v>0.5</v>
      </c>
      <c r="I7270" s="11">
        <f t="shared" si="113"/>
        <v>0</v>
      </c>
      <c r="J7270" s="11">
        <f>1/(H7270*Utilities!$B$11)</f>
        <v>8</v>
      </c>
      <c r="K7270" s="11">
        <f>IF(B7270&lt;C7270,1,EXP(-1*(B7270-C7270)/(Utilities!$B$11*IterData!H7270)))</f>
        <v>1</v>
      </c>
    </row>
    <row r="7271" spans="8:11" x14ac:dyDescent="0.3">
      <c r="H7271">
        <v>0.5</v>
      </c>
      <c r="I7271" s="11">
        <f t="shared" si="113"/>
        <v>0</v>
      </c>
      <c r="J7271" s="11">
        <f>1/(H7271*Utilities!$B$11)</f>
        <v>8</v>
      </c>
      <c r="K7271" s="11">
        <f>IF(B7271&lt;C7271,1,EXP(-1*(B7271-C7271)/(Utilities!$B$11*IterData!H7271)))</f>
        <v>1</v>
      </c>
    </row>
    <row r="7272" spans="8:11" x14ac:dyDescent="0.3">
      <c r="H7272">
        <v>0.5</v>
      </c>
      <c r="I7272" s="11">
        <f t="shared" si="113"/>
        <v>0</v>
      </c>
      <c r="J7272" s="11">
        <f>1/(H7272*Utilities!$B$11)</f>
        <v>8</v>
      </c>
      <c r="K7272" s="11">
        <f>IF(B7272&lt;C7272,1,EXP(-1*(B7272-C7272)/(Utilities!$B$11*IterData!H7272)))</f>
        <v>1</v>
      </c>
    </row>
    <row r="7273" spans="8:11" x14ac:dyDescent="0.3">
      <c r="H7273">
        <v>0.5</v>
      </c>
      <c r="I7273" s="11">
        <f t="shared" si="113"/>
        <v>0</v>
      </c>
      <c r="J7273" s="11">
        <f>1/(H7273*Utilities!$B$11)</f>
        <v>8</v>
      </c>
      <c r="K7273" s="11">
        <f>IF(B7273&lt;C7273,1,EXP(-1*(B7273-C7273)/(Utilities!$B$11*IterData!H7273)))</f>
        <v>1</v>
      </c>
    </row>
    <row r="7274" spans="8:11" x14ac:dyDescent="0.3">
      <c r="H7274">
        <v>0.5</v>
      </c>
      <c r="I7274" s="11">
        <f t="shared" si="113"/>
        <v>0</v>
      </c>
      <c r="J7274" s="11">
        <f>1/(H7274*Utilities!$B$11)</f>
        <v>8</v>
      </c>
      <c r="K7274" s="11">
        <f>IF(B7274&lt;C7274,1,EXP(-1*(B7274-C7274)/(Utilities!$B$11*IterData!H7274)))</f>
        <v>1</v>
      </c>
    </row>
    <row r="7275" spans="8:11" x14ac:dyDescent="0.3">
      <c r="H7275">
        <v>0.5</v>
      </c>
      <c r="I7275" s="11">
        <f t="shared" si="113"/>
        <v>0</v>
      </c>
      <c r="J7275" s="11">
        <f>1/(H7275*Utilities!$B$11)</f>
        <v>8</v>
      </c>
      <c r="K7275" s="11">
        <f>IF(B7275&lt;C7275,1,EXP(-1*(B7275-C7275)/(Utilities!$B$11*IterData!H7275)))</f>
        <v>1</v>
      </c>
    </row>
    <row r="7276" spans="8:11" x14ac:dyDescent="0.3">
      <c r="H7276">
        <v>0.5</v>
      </c>
      <c r="I7276" s="11">
        <f t="shared" si="113"/>
        <v>0</v>
      </c>
      <c r="J7276" s="11">
        <f>1/(H7276*Utilities!$B$11)</f>
        <v>8</v>
      </c>
      <c r="K7276" s="11">
        <f>IF(B7276&lt;C7276,1,EXP(-1*(B7276-C7276)/(Utilities!$B$11*IterData!H7276)))</f>
        <v>1</v>
      </c>
    </row>
    <row r="7277" spans="8:11" x14ac:dyDescent="0.3">
      <c r="H7277">
        <v>0.5</v>
      </c>
      <c r="I7277" s="11">
        <f t="shared" si="113"/>
        <v>0</v>
      </c>
      <c r="J7277" s="11">
        <f>1/(H7277*Utilities!$B$11)</f>
        <v>8</v>
      </c>
      <c r="K7277" s="11">
        <f>IF(B7277&lt;C7277,1,EXP(-1*(B7277-C7277)/(Utilities!$B$11*IterData!H7277)))</f>
        <v>1</v>
      </c>
    </row>
    <row r="7278" spans="8:11" x14ac:dyDescent="0.3">
      <c r="H7278">
        <v>0.5</v>
      </c>
      <c r="I7278" s="11">
        <f t="shared" si="113"/>
        <v>0</v>
      </c>
      <c r="J7278" s="11">
        <f>1/(H7278*Utilities!$B$11)</f>
        <v>8</v>
      </c>
      <c r="K7278" s="11">
        <f>IF(B7278&lt;C7278,1,EXP(-1*(B7278-C7278)/(Utilities!$B$11*IterData!H7278)))</f>
        <v>1</v>
      </c>
    </row>
    <row r="7279" spans="8:11" x14ac:dyDescent="0.3">
      <c r="H7279">
        <v>0.5</v>
      </c>
      <c r="I7279" s="11">
        <f t="shared" si="113"/>
        <v>0</v>
      </c>
      <c r="J7279" s="11">
        <f>1/(H7279*Utilities!$B$11)</f>
        <v>8</v>
      </c>
      <c r="K7279" s="11">
        <f>IF(B7279&lt;C7279,1,EXP(-1*(B7279-C7279)/(Utilities!$B$11*IterData!H7279)))</f>
        <v>1</v>
      </c>
    </row>
    <row r="7280" spans="8:11" x14ac:dyDescent="0.3">
      <c r="H7280">
        <v>0.5</v>
      </c>
      <c r="I7280" s="11">
        <f t="shared" si="113"/>
        <v>0</v>
      </c>
      <c r="J7280" s="11">
        <f>1/(H7280*Utilities!$B$11)</f>
        <v>8</v>
      </c>
      <c r="K7280" s="11">
        <f>IF(B7280&lt;C7280,1,EXP(-1*(B7280-C7280)/(Utilities!$B$11*IterData!H7280)))</f>
        <v>1</v>
      </c>
    </row>
    <row r="7281" spans="8:11" x14ac:dyDescent="0.3">
      <c r="H7281">
        <v>0.5</v>
      </c>
      <c r="I7281" s="11">
        <f t="shared" si="113"/>
        <v>0</v>
      </c>
      <c r="J7281" s="11">
        <f>1/(H7281*Utilities!$B$11)</f>
        <v>8</v>
      </c>
      <c r="K7281" s="11">
        <f>IF(B7281&lt;C7281,1,EXP(-1*(B7281-C7281)/(Utilities!$B$11*IterData!H7281)))</f>
        <v>1</v>
      </c>
    </row>
    <row r="7282" spans="8:11" x14ac:dyDescent="0.3">
      <c r="H7282">
        <v>0.5</v>
      </c>
      <c r="I7282" s="11">
        <f t="shared" si="113"/>
        <v>0</v>
      </c>
      <c r="J7282" s="11">
        <f>1/(H7282*Utilities!$B$11)</f>
        <v>8</v>
      </c>
      <c r="K7282" s="11">
        <f>IF(B7282&lt;C7282,1,EXP(-1*(B7282-C7282)/(Utilities!$B$11*IterData!H7282)))</f>
        <v>1</v>
      </c>
    </row>
    <row r="7283" spans="8:11" x14ac:dyDescent="0.3">
      <c r="H7283">
        <v>0.5</v>
      </c>
      <c r="I7283" s="11">
        <f t="shared" si="113"/>
        <v>0</v>
      </c>
      <c r="J7283" s="11">
        <f>1/(H7283*Utilities!$B$11)</f>
        <v>8</v>
      </c>
      <c r="K7283" s="11">
        <f>IF(B7283&lt;C7283,1,EXP(-1*(B7283-C7283)/(Utilities!$B$11*IterData!H7283)))</f>
        <v>1</v>
      </c>
    </row>
    <row r="7284" spans="8:11" x14ac:dyDescent="0.3">
      <c r="H7284">
        <v>0.5</v>
      </c>
      <c r="I7284" s="11">
        <f t="shared" si="113"/>
        <v>0</v>
      </c>
      <c r="J7284" s="11">
        <f>1/(H7284*Utilities!$B$11)</f>
        <v>8</v>
      </c>
      <c r="K7284" s="11">
        <f>IF(B7284&lt;C7284,1,EXP(-1*(B7284-C7284)/(Utilities!$B$11*IterData!H7284)))</f>
        <v>1</v>
      </c>
    </row>
    <row r="7285" spans="8:11" x14ac:dyDescent="0.3">
      <c r="H7285">
        <v>0.5</v>
      </c>
      <c r="I7285" s="11">
        <f t="shared" si="113"/>
        <v>0</v>
      </c>
      <c r="J7285" s="11">
        <f>1/(H7285*Utilities!$B$11)</f>
        <v>8</v>
      </c>
      <c r="K7285" s="11">
        <f>IF(B7285&lt;C7285,1,EXP(-1*(B7285-C7285)/(Utilities!$B$11*IterData!H7285)))</f>
        <v>1</v>
      </c>
    </row>
    <row r="7286" spans="8:11" x14ac:dyDescent="0.3">
      <c r="H7286">
        <v>0.5</v>
      </c>
      <c r="I7286" s="11">
        <f t="shared" si="113"/>
        <v>0</v>
      </c>
      <c r="J7286" s="11">
        <f>1/(H7286*Utilities!$B$11)</f>
        <v>8</v>
      </c>
      <c r="K7286" s="11">
        <f>IF(B7286&lt;C7286,1,EXP(-1*(B7286-C7286)/(Utilities!$B$11*IterData!H7286)))</f>
        <v>1</v>
      </c>
    </row>
    <row r="7287" spans="8:11" x14ac:dyDescent="0.3">
      <c r="H7287">
        <v>0.5</v>
      </c>
      <c r="I7287" s="11">
        <f t="shared" si="113"/>
        <v>0</v>
      </c>
      <c r="J7287" s="11">
        <f>1/(H7287*Utilities!$B$11)</f>
        <v>8</v>
      </c>
      <c r="K7287" s="11">
        <f>IF(B7287&lt;C7287,1,EXP(-1*(B7287-C7287)/(Utilities!$B$11*IterData!H7287)))</f>
        <v>1</v>
      </c>
    </row>
    <row r="7288" spans="8:11" x14ac:dyDescent="0.3">
      <c r="H7288">
        <v>0.5</v>
      </c>
      <c r="I7288" s="11">
        <f t="shared" si="113"/>
        <v>0</v>
      </c>
      <c r="J7288" s="11">
        <f>1/(H7288*Utilities!$B$11)</f>
        <v>8</v>
      </c>
      <c r="K7288" s="11">
        <f>IF(B7288&lt;C7288,1,EXP(-1*(B7288-C7288)/(Utilities!$B$11*IterData!H7288)))</f>
        <v>1</v>
      </c>
    </row>
    <row r="7289" spans="8:11" x14ac:dyDescent="0.3">
      <c r="H7289">
        <v>0.5</v>
      </c>
      <c r="I7289" s="11">
        <f t="shared" si="113"/>
        <v>0</v>
      </c>
      <c r="J7289" s="11">
        <f>1/(H7289*Utilities!$B$11)</f>
        <v>8</v>
      </c>
      <c r="K7289" s="11">
        <f>IF(B7289&lt;C7289,1,EXP(-1*(B7289-C7289)/(Utilities!$B$11*IterData!H7289)))</f>
        <v>1</v>
      </c>
    </row>
    <row r="7290" spans="8:11" x14ac:dyDescent="0.3">
      <c r="H7290">
        <v>0.5</v>
      </c>
      <c r="I7290" s="11">
        <f t="shared" si="113"/>
        <v>0</v>
      </c>
      <c r="J7290" s="11">
        <f>1/(H7290*Utilities!$B$11)</f>
        <v>8</v>
      </c>
      <c r="K7290" s="11">
        <f>IF(B7290&lt;C7290,1,EXP(-1*(B7290-C7290)/(Utilities!$B$11*IterData!H7290)))</f>
        <v>1</v>
      </c>
    </row>
    <row r="7291" spans="8:11" x14ac:dyDescent="0.3">
      <c r="H7291">
        <v>0.5</v>
      </c>
      <c r="I7291" s="11">
        <f t="shared" si="113"/>
        <v>0</v>
      </c>
      <c r="J7291" s="11">
        <f>1/(H7291*Utilities!$B$11)</f>
        <v>8</v>
      </c>
      <c r="K7291" s="11">
        <f>IF(B7291&lt;C7291,1,EXP(-1*(B7291-C7291)/(Utilities!$B$11*IterData!H7291)))</f>
        <v>1</v>
      </c>
    </row>
    <row r="7292" spans="8:11" x14ac:dyDescent="0.3">
      <c r="H7292">
        <v>0.5</v>
      </c>
      <c r="I7292" s="11">
        <f t="shared" si="113"/>
        <v>0</v>
      </c>
      <c r="J7292" s="11">
        <f>1/(H7292*Utilities!$B$11)</f>
        <v>8</v>
      </c>
      <c r="K7292" s="11">
        <f>IF(B7292&lt;C7292,1,EXP(-1*(B7292-C7292)/(Utilities!$B$11*IterData!H7292)))</f>
        <v>1</v>
      </c>
    </row>
    <row r="7293" spans="8:11" x14ac:dyDescent="0.3">
      <c r="H7293">
        <v>0.5</v>
      </c>
      <c r="I7293" s="11">
        <f t="shared" si="113"/>
        <v>0</v>
      </c>
      <c r="J7293" s="11">
        <f>1/(H7293*Utilities!$B$11)</f>
        <v>8</v>
      </c>
      <c r="K7293" s="11">
        <f>IF(B7293&lt;C7293,1,EXP(-1*(B7293-C7293)/(Utilities!$B$11*IterData!H7293)))</f>
        <v>1</v>
      </c>
    </row>
    <row r="7294" spans="8:11" x14ac:dyDescent="0.3">
      <c r="H7294">
        <v>0.5</v>
      </c>
      <c r="I7294" s="11">
        <f t="shared" si="113"/>
        <v>0</v>
      </c>
      <c r="J7294" s="11">
        <f>1/(H7294*Utilities!$B$11)</f>
        <v>8</v>
      </c>
      <c r="K7294" s="11">
        <f>IF(B7294&lt;C7294,1,EXP(-1*(B7294-C7294)/(Utilities!$B$11*IterData!H7294)))</f>
        <v>1</v>
      </c>
    </row>
    <row r="7295" spans="8:11" x14ac:dyDescent="0.3">
      <c r="H7295">
        <v>0.5</v>
      </c>
      <c r="I7295" s="11">
        <f t="shared" si="113"/>
        <v>0</v>
      </c>
      <c r="J7295" s="11">
        <f>1/(H7295*Utilities!$B$11)</f>
        <v>8</v>
      </c>
      <c r="K7295" s="11">
        <f>IF(B7295&lt;C7295,1,EXP(-1*(B7295-C7295)/(Utilities!$B$11*IterData!H7295)))</f>
        <v>1</v>
      </c>
    </row>
    <row r="7296" spans="8:11" x14ac:dyDescent="0.3">
      <c r="H7296">
        <v>0.5</v>
      </c>
      <c r="I7296" s="11">
        <f t="shared" si="113"/>
        <v>0</v>
      </c>
      <c r="J7296" s="11">
        <f>1/(H7296*Utilities!$B$11)</f>
        <v>8</v>
      </c>
      <c r="K7296" s="11">
        <f>IF(B7296&lt;C7296,1,EXP(-1*(B7296-C7296)/(Utilities!$B$11*IterData!H7296)))</f>
        <v>1</v>
      </c>
    </row>
    <row r="7297" spans="8:11" x14ac:dyDescent="0.3">
      <c r="H7297">
        <v>0.5</v>
      </c>
      <c r="I7297" s="11">
        <f t="shared" si="113"/>
        <v>0</v>
      </c>
      <c r="J7297" s="11">
        <f>1/(H7297*Utilities!$B$11)</f>
        <v>8</v>
      </c>
      <c r="K7297" s="11">
        <f>IF(B7297&lt;C7297,1,EXP(-1*(B7297-C7297)/(Utilities!$B$11*IterData!H7297)))</f>
        <v>1</v>
      </c>
    </row>
    <row r="7298" spans="8:11" x14ac:dyDescent="0.3">
      <c r="H7298">
        <v>0.5</v>
      </c>
      <c r="I7298" s="11">
        <f t="shared" si="113"/>
        <v>0</v>
      </c>
      <c r="J7298" s="11">
        <f>1/(H7298*Utilities!$B$11)</f>
        <v>8</v>
      </c>
      <c r="K7298" s="11">
        <f>IF(B7298&lt;C7298,1,EXP(-1*(B7298-C7298)/(Utilities!$B$11*IterData!H7298)))</f>
        <v>1</v>
      </c>
    </row>
    <row r="7299" spans="8:11" x14ac:dyDescent="0.3">
      <c r="H7299">
        <v>0.5</v>
      </c>
      <c r="I7299" s="11">
        <f t="shared" ref="I7299:I7362" si="114">B7299-C7299</f>
        <v>0</v>
      </c>
      <c r="J7299" s="11">
        <f>1/(H7299*Utilities!$B$11)</f>
        <v>8</v>
      </c>
      <c r="K7299" s="11">
        <f>IF(B7299&lt;C7299,1,EXP(-1*(B7299-C7299)/(Utilities!$B$11*IterData!H7299)))</f>
        <v>1</v>
      </c>
    </row>
    <row r="7300" spans="8:11" x14ac:dyDescent="0.3">
      <c r="H7300">
        <v>0.5</v>
      </c>
      <c r="I7300" s="11">
        <f t="shared" si="114"/>
        <v>0</v>
      </c>
      <c r="J7300" s="11">
        <f>1/(H7300*Utilities!$B$11)</f>
        <v>8</v>
      </c>
      <c r="K7300" s="11">
        <f>IF(B7300&lt;C7300,1,EXP(-1*(B7300-C7300)/(Utilities!$B$11*IterData!H7300)))</f>
        <v>1</v>
      </c>
    </row>
    <row r="7301" spans="8:11" x14ac:dyDescent="0.3">
      <c r="H7301">
        <v>0.5</v>
      </c>
      <c r="I7301" s="11">
        <f t="shared" si="114"/>
        <v>0</v>
      </c>
      <c r="J7301" s="11">
        <f>1/(H7301*Utilities!$B$11)</f>
        <v>8</v>
      </c>
      <c r="K7301" s="11">
        <f>IF(B7301&lt;C7301,1,EXP(-1*(B7301-C7301)/(Utilities!$B$11*IterData!H7301)))</f>
        <v>1</v>
      </c>
    </row>
    <row r="7302" spans="8:11" x14ac:dyDescent="0.3">
      <c r="H7302">
        <v>0.5</v>
      </c>
      <c r="I7302" s="11">
        <f t="shared" si="114"/>
        <v>0</v>
      </c>
      <c r="J7302" s="11">
        <f>1/(H7302*Utilities!$B$11)</f>
        <v>8</v>
      </c>
      <c r="K7302" s="11">
        <f>IF(B7302&lt;C7302,1,EXP(-1*(B7302-C7302)/(Utilities!$B$11*IterData!H7302)))</f>
        <v>1</v>
      </c>
    </row>
    <row r="7303" spans="8:11" x14ac:dyDescent="0.3">
      <c r="H7303">
        <v>0.5</v>
      </c>
      <c r="I7303" s="11">
        <f t="shared" si="114"/>
        <v>0</v>
      </c>
      <c r="J7303" s="11">
        <f>1/(H7303*Utilities!$B$11)</f>
        <v>8</v>
      </c>
      <c r="K7303" s="11">
        <f>IF(B7303&lt;C7303,1,EXP(-1*(B7303-C7303)/(Utilities!$B$11*IterData!H7303)))</f>
        <v>1</v>
      </c>
    </row>
    <row r="7304" spans="8:11" x14ac:dyDescent="0.3">
      <c r="H7304">
        <v>0.5</v>
      </c>
      <c r="I7304" s="11">
        <f t="shared" si="114"/>
        <v>0</v>
      </c>
      <c r="J7304" s="11">
        <f>1/(H7304*Utilities!$B$11)</f>
        <v>8</v>
      </c>
      <c r="K7304" s="11">
        <f>IF(B7304&lt;C7304,1,EXP(-1*(B7304-C7304)/(Utilities!$B$11*IterData!H7304)))</f>
        <v>1</v>
      </c>
    </row>
    <row r="7305" spans="8:11" x14ac:dyDescent="0.3">
      <c r="H7305">
        <v>0.5</v>
      </c>
      <c r="I7305" s="11">
        <f t="shared" si="114"/>
        <v>0</v>
      </c>
      <c r="J7305" s="11">
        <f>1/(H7305*Utilities!$B$11)</f>
        <v>8</v>
      </c>
      <c r="K7305" s="11">
        <f>IF(B7305&lt;C7305,1,EXP(-1*(B7305-C7305)/(Utilities!$B$11*IterData!H7305)))</f>
        <v>1</v>
      </c>
    </row>
    <row r="7306" spans="8:11" x14ac:dyDescent="0.3">
      <c r="H7306">
        <v>0.5</v>
      </c>
      <c r="I7306" s="11">
        <f t="shared" si="114"/>
        <v>0</v>
      </c>
      <c r="J7306" s="11">
        <f>1/(H7306*Utilities!$B$11)</f>
        <v>8</v>
      </c>
      <c r="K7306" s="11">
        <f>IF(B7306&lt;C7306,1,EXP(-1*(B7306-C7306)/(Utilities!$B$11*IterData!H7306)))</f>
        <v>1</v>
      </c>
    </row>
    <row r="7307" spans="8:11" x14ac:dyDescent="0.3">
      <c r="H7307">
        <v>0.5</v>
      </c>
      <c r="I7307" s="11">
        <f t="shared" si="114"/>
        <v>0</v>
      </c>
      <c r="J7307" s="11">
        <f>1/(H7307*Utilities!$B$11)</f>
        <v>8</v>
      </c>
      <c r="K7307" s="11">
        <f>IF(B7307&lt;C7307,1,EXP(-1*(B7307-C7307)/(Utilities!$B$11*IterData!H7307)))</f>
        <v>1</v>
      </c>
    </row>
    <row r="7308" spans="8:11" x14ac:dyDescent="0.3">
      <c r="H7308">
        <v>0.5</v>
      </c>
      <c r="I7308" s="11">
        <f t="shared" si="114"/>
        <v>0</v>
      </c>
      <c r="J7308" s="11">
        <f>1/(H7308*Utilities!$B$11)</f>
        <v>8</v>
      </c>
      <c r="K7308" s="11">
        <f>IF(B7308&lt;C7308,1,EXP(-1*(B7308-C7308)/(Utilities!$B$11*IterData!H7308)))</f>
        <v>1</v>
      </c>
    </row>
    <row r="7309" spans="8:11" x14ac:dyDescent="0.3">
      <c r="H7309">
        <v>0.5</v>
      </c>
      <c r="I7309" s="11">
        <f t="shared" si="114"/>
        <v>0</v>
      </c>
      <c r="J7309" s="11">
        <f>1/(H7309*Utilities!$B$11)</f>
        <v>8</v>
      </c>
      <c r="K7309" s="11">
        <f>IF(B7309&lt;C7309,1,EXP(-1*(B7309-C7309)/(Utilities!$B$11*IterData!H7309)))</f>
        <v>1</v>
      </c>
    </row>
    <row r="7310" spans="8:11" x14ac:dyDescent="0.3">
      <c r="H7310">
        <v>0.5</v>
      </c>
      <c r="I7310" s="11">
        <f t="shared" si="114"/>
        <v>0</v>
      </c>
      <c r="J7310" s="11">
        <f>1/(H7310*Utilities!$B$11)</f>
        <v>8</v>
      </c>
      <c r="K7310" s="11">
        <f>IF(B7310&lt;C7310,1,EXP(-1*(B7310-C7310)/(Utilities!$B$11*IterData!H7310)))</f>
        <v>1</v>
      </c>
    </row>
    <row r="7311" spans="8:11" x14ac:dyDescent="0.3">
      <c r="H7311">
        <v>0.5</v>
      </c>
      <c r="I7311" s="11">
        <f t="shared" si="114"/>
        <v>0</v>
      </c>
      <c r="J7311" s="11">
        <f>1/(H7311*Utilities!$B$11)</f>
        <v>8</v>
      </c>
      <c r="K7311" s="11">
        <f>IF(B7311&lt;C7311,1,EXP(-1*(B7311-C7311)/(Utilities!$B$11*IterData!H7311)))</f>
        <v>1</v>
      </c>
    </row>
    <row r="7312" spans="8:11" x14ac:dyDescent="0.3">
      <c r="H7312">
        <v>0.5</v>
      </c>
      <c r="I7312" s="11">
        <f t="shared" si="114"/>
        <v>0</v>
      </c>
      <c r="J7312" s="11">
        <f>1/(H7312*Utilities!$B$11)</f>
        <v>8</v>
      </c>
      <c r="K7312" s="11">
        <f>IF(B7312&lt;C7312,1,EXP(-1*(B7312-C7312)/(Utilities!$B$11*IterData!H7312)))</f>
        <v>1</v>
      </c>
    </row>
    <row r="7313" spans="8:11" x14ac:dyDescent="0.3">
      <c r="H7313">
        <v>0.5</v>
      </c>
      <c r="I7313" s="11">
        <f t="shared" si="114"/>
        <v>0</v>
      </c>
      <c r="J7313" s="11">
        <f>1/(H7313*Utilities!$B$11)</f>
        <v>8</v>
      </c>
      <c r="K7313" s="11">
        <f>IF(B7313&lt;C7313,1,EXP(-1*(B7313-C7313)/(Utilities!$B$11*IterData!H7313)))</f>
        <v>1</v>
      </c>
    </row>
    <row r="7314" spans="8:11" x14ac:dyDescent="0.3">
      <c r="H7314">
        <v>0.5</v>
      </c>
      <c r="I7314" s="11">
        <f t="shared" si="114"/>
        <v>0</v>
      </c>
      <c r="J7314" s="11">
        <f>1/(H7314*Utilities!$B$11)</f>
        <v>8</v>
      </c>
      <c r="K7314" s="11">
        <f>IF(B7314&lt;C7314,1,EXP(-1*(B7314-C7314)/(Utilities!$B$11*IterData!H7314)))</f>
        <v>1</v>
      </c>
    </row>
    <row r="7315" spans="8:11" x14ac:dyDescent="0.3">
      <c r="H7315">
        <v>0.5</v>
      </c>
      <c r="I7315" s="11">
        <f t="shared" si="114"/>
        <v>0</v>
      </c>
      <c r="J7315" s="11">
        <f>1/(H7315*Utilities!$B$11)</f>
        <v>8</v>
      </c>
      <c r="K7315" s="11">
        <f>IF(B7315&lt;C7315,1,EXP(-1*(B7315-C7315)/(Utilities!$B$11*IterData!H7315)))</f>
        <v>1</v>
      </c>
    </row>
    <row r="7316" spans="8:11" x14ac:dyDescent="0.3">
      <c r="H7316">
        <v>0.5</v>
      </c>
      <c r="I7316" s="11">
        <f t="shared" si="114"/>
        <v>0</v>
      </c>
      <c r="J7316" s="11">
        <f>1/(H7316*Utilities!$B$11)</f>
        <v>8</v>
      </c>
      <c r="K7316" s="11">
        <f>IF(B7316&lt;C7316,1,EXP(-1*(B7316-C7316)/(Utilities!$B$11*IterData!H7316)))</f>
        <v>1</v>
      </c>
    </row>
    <row r="7317" spans="8:11" x14ac:dyDescent="0.3">
      <c r="H7317">
        <v>0.5</v>
      </c>
      <c r="I7317" s="11">
        <f t="shared" si="114"/>
        <v>0</v>
      </c>
      <c r="J7317" s="11">
        <f>1/(H7317*Utilities!$B$11)</f>
        <v>8</v>
      </c>
      <c r="K7317" s="11">
        <f>IF(B7317&lt;C7317,1,EXP(-1*(B7317-C7317)/(Utilities!$B$11*IterData!H7317)))</f>
        <v>1</v>
      </c>
    </row>
    <row r="7318" spans="8:11" x14ac:dyDescent="0.3">
      <c r="H7318">
        <v>0.5</v>
      </c>
      <c r="I7318" s="11">
        <f t="shared" si="114"/>
        <v>0</v>
      </c>
      <c r="J7318" s="11">
        <f>1/(H7318*Utilities!$B$11)</f>
        <v>8</v>
      </c>
      <c r="K7318" s="11">
        <f>IF(B7318&lt;C7318,1,EXP(-1*(B7318-C7318)/(Utilities!$B$11*IterData!H7318)))</f>
        <v>1</v>
      </c>
    </row>
    <row r="7319" spans="8:11" x14ac:dyDescent="0.3">
      <c r="H7319">
        <v>0.5</v>
      </c>
      <c r="I7319" s="11">
        <f t="shared" si="114"/>
        <v>0</v>
      </c>
      <c r="J7319" s="11">
        <f>1/(H7319*Utilities!$B$11)</f>
        <v>8</v>
      </c>
      <c r="K7319" s="11">
        <f>IF(B7319&lt;C7319,1,EXP(-1*(B7319-C7319)/(Utilities!$B$11*IterData!H7319)))</f>
        <v>1</v>
      </c>
    </row>
    <row r="7320" spans="8:11" x14ac:dyDescent="0.3">
      <c r="H7320">
        <v>0.5</v>
      </c>
      <c r="I7320" s="11">
        <f t="shared" si="114"/>
        <v>0</v>
      </c>
      <c r="J7320" s="11">
        <f>1/(H7320*Utilities!$B$11)</f>
        <v>8</v>
      </c>
      <c r="K7320" s="11">
        <f>IF(B7320&lt;C7320,1,EXP(-1*(B7320-C7320)/(Utilities!$B$11*IterData!H7320)))</f>
        <v>1</v>
      </c>
    </row>
    <row r="7321" spans="8:11" x14ac:dyDescent="0.3">
      <c r="H7321">
        <v>0.5</v>
      </c>
      <c r="I7321" s="11">
        <f t="shared" si="114"/>
        <v>0</v>
      </c>
      <c r="J7321" s="11">
        <f>1/(H7321*Utilities!$B$11)</f>
        <v>8</v>
      </c>
      <c r="K7321" s="11">
        <f>IF(B7321&lt;C7321,1,EXP(-1*(B7321-C7321)/(Utilities!$B$11*IterData!H7321)))</f>
        <v>1</v>
      </c>
    </row>
    <row r="7322" spans="8:11" x14ac:dyDescent="0.3">
      <c r="H7322">
        <v>0.5</v>
      </c>
      <c r="I7322" s="11">
        <f t="shared" si="114"/>
        <v>0</v>
      </c>
      <c r="J7322" s="11">
        <f>1/(H7322*Utilities!$B$11)</f>
        <v>8</v>
      </c>
      <c r="K7322" s="11">
        <f>IF(B7322&lt;C7322,1,EXP(-1*(B7322-C7322)/(Utilities!$B$11*IterData!H7322)))</f>
        <v>1</v>
      </c>
    </row>
    <row r="7323" spans="8:11" x14ac:dyDescent="0.3">
      <c r="H7323">
        <v>0.5</v>
      </c>
      <c r="I7323" s="11">
        <f t="shared" si="114"/>
        <v>0</v>
      </c>
      <c r="J7323" s="11">
        <f>1/(H7323*Utilities!$B$11)</f>
        <v>8</v>
      </c>
      <c r="K7323" s="11">
        <f>IF(B7323&lt;C7323,1,EXP(-1*(B7323-C7323)/(Utilities!$B$11*IterData!H7323)))</f>
        <v>1</v>
      </c>
    </row>
    <row r="7324" spans="8:11" x14ac:dyDescent="0.3">
      <c r="H7324">
        <v>0.5</v>
      </c>
      <c r="I7324" s="11">
        <f t="shared" si="114"/>
        <v>0</v>
      </c>
      <c r="J7324" s="11">
        <f>1/(H7324*Utilities!$B$11)</f>
        <v>8</v>
      </c>
      <c r="K7324" s="11">
        <f>IF(B7324&lt;C7324,1,EXP(-1*(B7324-C7324)/(Utilities!$B$11*IterData!H7324)))</f>
        <v>1</v>
      </c>
    </row>
    <row r="7325" spans="8:11" x14ac:dyDescent="0.3">
      <c r="H7325">
        <v>0.5</v>
      </c>
      <c r="I7325" s="11">
        <f t="shared" si="114"/>
        <v>0</v>
      </c>
      <c r="J7325" s="11">
        <f>1/(H7325*Utilities!$B$11)</f>
        <v>8</v>
      </c>
      <c r="K7325" s="11">
        <f>IF(B7325&lt;C7325,1,EXP(-1*(B7325-C7325)/(Utilities!$B$11*IterData!H7325)))</f>
        <v>1</v>
      </c>
    </row>
    <row r="7326" spans="8:11" x14ac:dyDescent="0.3">
      <c r="H7326">
        <v>0.5</v>
      </c>
      <c r="I7326" s="11">
        <f t="shared" si="114"/>
        <v>0</v>
      </c>
      <c r="J7326" s="11">
        <f>1/(H7326*Utilities!$B$11)</f>
        <v>8</v>
      </c>
      <c r="K7326" s="11">
        <f>IF(B7326&lt;C7326,1,EXP(-1*(B7326-C7326)/(Utilities!$B$11*IterData!H7326)))</f>
        <v>1</v>
      </c>
    </row>
    <row r="7327" spans="8:11" x14ac:dyDescent="0.3">
      <c r="H7327">
        <v>0.5</v>
      </c>
      <c r="I7327" s="11">
        <f t="shared" si="114"/>
        <v>0</v>
      </c>
      <c r="J7327" s="11">
        <f>1/(H7327*Utilities!$B$11)</f>
        <v>8</v>
      </c>
      <c r="K7327" s="11">
        <f>IF(B7327&lt;C7327,1,EXP(-1*(B7327-C7327)/(Utilities!$B$11*IterData!H7327)))</f>
        <v>1</v>
      </c>
    </row>
    <row r="7328" spans="8:11" x14ac:dyDescent="0.3">
      <c r="H7328">
        <v>0.5</v>
      </c>
      <c r="I7328" s="11">
        <f t="shared" si="114"/>
        <v>0</v>
      </c>
      <c r="J7328" s="11">
        <f>1/(H7328*Utilities!$B$11)</f>
        <v>8</v>
      </c>
      <c r="K7328" s="11">
        <f>IF(B7328&lt;C7328,1,EXP(-1*(B7328-C7328)/(Utilities!$B$11*IterData!H7328)))</f>
        <v>1</v>
      </c>
    </row>
    <row r="7329" spans="8:11" x14ac:dyDescent="0.3">
      <c r="H7329">
        <v>0.5</v>
      </c>
      <c r="I7329" s="11">
        <f t="shared" si="114"/>
        <v>0</v>
      </c>
      <c r="J7329" s="11">
        <f>1/(H7329*Utilities!$B$11)</f>
        <v>8</v>
      </c>
      <c r="K7329" s="11">
        <f>IF(B7329&lt;C7329,1,EXP(-1*(B7329-C7329)/(Utilities!$B$11*IterData!H7329)))</f>
        <v>1</v>
      </c>
    </row>
    <row r="7330" spans="8:11" x14ac:dyDescent="0.3">
      <c r="H7330">
        <v>0.5</v>
      </c>
      <c r="I7330" s="11">
        <f t="shared" si="114"/>
        <v>0</v>
      </c>
      <c r="J7330" s="11">
        <f>1/(H7330*Utilities!$B$11)</f>
        <v>8</v>
      </c>
      <c r="K7330" s="11">
        <f>IF(B7330&lt;C7330,1,EXP(-1*(B7330-C7330)/(Utilities!$B$11*IterData!H7330)))</f>
        <v>1</v>
      </c>
    </row>
    <row r="7331" spans="8:11" x14ac:dyDescent="0.3">
      <c r="H7331">
        <v>0.5</v>
      </c>
      <c r="I7331" s="11">
        <f t="shared" si="114"/>
        <v>0</v>
      </c>
      <c r="J7331" s="11">
        <f>1/(H7331*Utilities!$B$11)</f>
        <v>8</v>
      </c>
      <c r="K7331" s="11">
        <f>IF(B7331&lt;C7331,1,EXP(-1*(B7331-C7331)/(Utilities!$B$11*IterData!H7331)))</f>
        <v>1</v>
      </c>
    </row>
    <row r="7332" spans="8:11" x14ac:dyDescent="0.3">
      <c r="H7332">
        <v>0.5</v>
      </c>
      <c r="I7332" s="11">
        <f t="shared" si="114"/>
        <v>0</v>
      </c>
      <c r="J7332" s="11">
        <f>1/(H7332*Utilities!$B$11)</f>
        <v>8</v>
      </c>
      <c r="K7332" s="11">
        <f>IF(B7332&lt;C7332,1,EXP(-1*(B7332-C7332)/(Utilities!$B$11*IterData!H7332)))</f>
        <v>1</v>
      </c>
    </row>
    <row r="7333" spans="8:11" x14ac:dyDescent="0.3">
      <c r="H7333">
        <v>0.5</v>
      </c>
      <c r="I7333" s="11">
        <f t="shared" si="114"/>
        <v>0</v>
      </c>
      <c r="J7333" s="11">
        <f>1/(H7333*Utilities!$B$11)</f>
        <v>8</v>
      </c>
      <c r="K7333" s="11">
        <f>IF(B7333&lt;C7333,1,EXP(-1*(B7333-C7333)/(Utilities!$B$11*IterData!H7333)))</f>
        <v>1</v>
      </c>
    </row>
    <row r="7334" spans="8:11" x14ac:dyDescent="0.3">
      <c r="H7334">
        <v>0.5</v>
      </c>
      <c r="I7334" s="11">
        <f t="shared" si="114"/>
        <v>0</v>
      </c>
      <c r="J7334" s="11">
        <f>1/(H7334*Utilities!$B$11)</f>
        <v>8</v>
      </c>
      <c r="K7334" s="11">
        <f>IF(B7334&lt;C7334,1,EXP(-1*(B7334-C7334)/(Utilities!$B$11*IterData!H7334)))</f>
        <v>1</v>
      </c>
    </row>
    <row r="7335" spans="8:11" x14ac:dyDescent="0.3">
      <c r="H7335">
        <v>0.5</v>
      </c>
      <c r="I7335" s="11">
        <f t="shared" si="114"/>
        <v>0</v>
      </c>
      <c r="J7335" s="11">
        <f>1/(H7335*Utilities!$B$11)</f>
        <v>8</v>
      </c>
      <c r="K7335" s="11">
        <f>IF(B7335&lt;C7335,1,EXP(-1*(B7335-C7335)/(Utilities!$B$11*IterData!H7335)))</f>
        <v>1</v>
      </c>
    </row>
    <row r="7336" spans="8:11" x14ac:dyDescent="0.3">
      <c r="H7336">
        <v>0.5</v>
      </c>
      <c r="I7336" s="11">
        <f t="shared" si="114"/>
        <v>0</v>
      </c>
      <c r="J7336" s="11">
        <f>1/(H7336*Utilities!$B$11)</f>
        <v>8</v>
      </c>
      <c r="K7336" s="11">
        <f>IF(B7336&lt;C7336,1,EXP(-1*(B7336-C7336)/(Utilities!$B$11*IterData!H7336)))</f>
        <v>1</v>
      </c>
    </row>
    <row r="7337" spans="8:11" x14ac:dyDescent="0.3">
      <c r="H7337">
        <v>0.5</v>
      </c>
      <c r="I7337" s="11">
        <f t="shared" si="114"/>
        <v>0</v>
      </c>
      <c r="J7337" s="11">
        <f>1/(H7337*Utilities!$B$11)</f>
        <v>8</v>
      </c>
      <c r="K7337" s="11">
        <f>IF(B7337&lt;C7337,1,EXP(-1*(B7337-C7337)/(Utilities!$B$11*IterData!H7337)))</f>
        <v>1</v>
      </c>
    </row>
    <row r="7338" spans="8:11" x14ac:dyDescent="0.3">
      <c r="H7338">
        <v>0.5</v>
      </c>
      <c r="I7338" s="11">
        <f t="shared" si="114"/>
        <v>0</v>
      </c>
      <c r="J7338" s="11">
        <f>1/(H7338*Utilities!$B$11)</f>
        <v>8</v>
      </c>
      <c r="K7338" s="11">
        <f>IF(B7338&lt;C7338,1,EXP(-1*(B7338-C7338)/(Utilities!$B$11*IterData!H7338)))</f>
        <v>1</v>
      </c>
    </row>
    <row r="7339" spans="8:11" x14ac:dyDescent="0.3">
      <c r="H7339">
        <v>0.5</v>
      </c>
      <c r="I7339" s="11">
        <f t="shared" si="114"/>
        <v>0</v>
      </c>
      <c r="J7339" s="11">
        <f>1/(H7339*Utilities!$B$11)</f>
        <v>8</v>
      </c>
      <c r="K7339" s="11">
        <f>IF(B7339&lt;C7339,1,EXP(-1*(B7339-C7339)/(Utilities!$B$11*IterData!H7339)))</f>
        <v>1</v>
      </c>
    </row>
    <row r="7340" spans="8:11" x14ac:dyDescent="0.3">
      <c r="H7340">
        <v>0.5</v>
      </c>
      <c r="I7340" s="11">
        <f t="shared" si="114"/>
        <v>0</v>
      </c>
      <c r="J7340" s="11">
        <f>1/(H7340*Utilities!$B$11)</f>
        <v>8</v>
      </c>
      <c r="K7340" s="11">
        <f>IF(B7340&lt;C7340,1,EXP(-1*(B7340-C7340)/(Utilities!$B$11*IterData!H7340)))</f>
        <v>1</v>
      </c>
    </row>
    <row r="7341" spans="8:11" x14ac:dyDescent="0.3">
      <c r="H7341">
        <v>0.5</v>
      </c>
      <c r="I7341" s="11">
        <f t="shared" si="114"/>
        <v>0</v>
      </c>
      <c r="J7341" s="11">
        <f>1/(H7341*Utilities!$B$11)</f>
        <v>8</v>
      </c>
      <c r="K7341" s="11">
        <f>IF(B7341&lt;C7341,1,EXP(-1*(B7341-C7341)/(Utilities!$B$11*IterData!H7341)))</f>
        <v>1</v>
      </c>
    </row>
    <row r="7342" spans="8:11" x14ac:dyDescent="0.3">
      <c r="H7342">
        <v>0.5</v>
      </c>
      <c r="I7342" s="11">
        <f t="shared" si="114"/>
        <v>0</v>
      </c>
      <c r="J7342" s="11">
        <f>1/(H7342*Utilities!$B$11)</f>
        <v>8</v>
      </c>
      <c r="K7342" s="11">
        <f>IF(B7342&lt;C7342,1,EXP(-1*(B7342-C7342)/(Utilities!$B$11*IterData!H7342)))</f>
        <v>1</v>
      </c>
    </row>
    <row r="7343" spans="8:11" x14ac:dyDescent="0.3">
      <c r="H7343">
        <v>0.5</v>
      </c>
      <c r="I7343" s="11">
        <f t="shared" si="114"/>
        <v>0</v>
      </c>
      <c r="J7343" s="11">
        <f>1/(H7343*Utilities!$B$11)</f>
        <v>8</v>
      </c>
      <c r="K7343" s="11">
        <f>IF(B7343&lt;C7343,1,EXP(-1*(B7343-C7343)/(Utilities!$B$11*IterData!H7343)))</f>
        <v>1</v>
      </c>
    </row>
    <row r="7344" spans="8:11" x14ac:dyDescent="0.3">
      <c r="H7344">
        <v>0.5</v>
      </c>
      <c r="I7344" s="11">
        <f t="shared" si="114"/>
        <v>0</v>
      </c>
      <c r="J7344" s="11">
        <f>1/(H7344*Utilities!$B$11)</f>
        <v>8</v>
      </c>
      <c r="K7344" s="11">
        <f>IF(B7344&lt;C7344,1,EXP(-1*(B7344-C7344)/(Utilities!$B$11*IterData!H7344)))</f>
        <v>1</v>
      </c>
    </row>
    <row r="7345" spans="8:11" x14ac:dyDescent="0.3">
      <c r="H7345">
        <v>0.5</v>
      </c>
      <c r="I7345" s="11">
        <f t="shared" si="114"/>
        <v>0</v>
      </c>
      <c r="J7345" s="11">
        <f>1/(H7345*Utilities!$B$11)</f>
        <v>8</v>
      </c>
      <c r="K7345" s="11">
        <f>IF(B7345&lt;C7345,1,EXP(-1*(B7345-C7345)/(Utilities!$B$11*IterData!H7345)))</f>
        <v>1</v>
      </c>
    </row>
    <row r="7346" spans="8:11" x14ac:dyDescent="0.3">
      <c r="H7346">
        <v>0.5</v>
      </c>
      <c r="I7346" s="11">
        <f t="shared" si="114"/>
        <v>0</v>
      </c>
      <c r="J7346" s="11">
        <f>1/(H7346*Utilities!$B$11)</f>
        <v>8</v>
      </c>
      <c r="K7346" s="11">
        <f>IF(B7346&lt;C7346,1,EXP(-1*(B7346-C7346)/(Utilities!$B$11*IterData!H7346)))</f>
        <v>1</v>
      </c>
    </row>
    <row r="7347" spans="8:11" x14ac:dyDescent="0.3">
      <c r="H7347">
        <v>0.5</v>
      </c>
      <c r="I7347" s="11">
        <f t="shared" si="114"/>
        <v>0</v>
      </c>
      <c r="J7347" s="11">
        <f>1/(H7347*Utilities!$B$11)</f>
        <v>8</v>
      </c>
      <c r="K7347" s="11">
        <f>IF(B7347&lt;C7347,1,EXP(-1*(B7347-C7347)/(Utilities!$B$11*IterData!H7347)))</f>
        <v>1</v>
      </c>
    </row>
    <row r="7348" spans="8:11" x14ac:dyDescent="0.3">
      <c r="H7348">
        <v>0.5</v>
      </c>
      <c r="I7348" s="11">
        <f t="shared" si="114"/>
        <v>0</v>
      </c>
      <c r="J7348" s="11">
        <f>1/(H7348*Utilities!$B$11)</f>
        <v>8</v>
      </c>
      <c r="K7348" s="11">
        <f>IF(B7348&lt;C7348,1,EXP(-1*(B7348-C7348)/(Utilities!$B$11*IterData!H7348)))</f>
        <v>1</v>
      </c>
    </row>
    <row r="7349" spans="8:11" x14ac:dyDescent="0.3">
      <c r="H7349">
        <v>0.5</v>
      </c>
      <c r="I7349" s="11">
        <f t="shared" si="114"/>
        <v>0</v>
      </c>
      <c r="J7349" s="11">
        <f>1/(H7349*Utilities!$B$11)</f>
        <v>8</v>
      </c>
      <c r="K7349" s="11">
        <f>IF(B7349&lt;C7349,1,EXP(-1*(B7349-C7349)/(Utilities!$B$11*IterData!H7349)))</f>
        <v>1</v>
      </c>
    </row>
    <row r="7350" spans="8:11" x14ac:dyDescent="0.3">
      <c r="H7350">
        <v>0.5</v>
      </c>
      <c r="I7350" s="11">
        <f t="shared" si="114"/>
        <v>0</v>
      </c>
      <c r="J7350" s="11">
        <f>1/(H7350*Utilities!$B$11)</f>
        <v>8</v>
      </c>
      <c r="K7350" s="11">
        <f>IF(B7350&lt;C7350,1,EXP(-1*(B7350-C7350)/(Utilities!$B$11*IterData!H7350)))</f>
        <v>1</v>
      </c>
    </row>
    <row r="7351" spans="8:11" x14ac:dyDescent="0.3">
      <c r="H7351">
        <v>0.5</v>
      </c>
      <c r="I7351" s="11">
        <f t="shared" si="114"/>
        <v>0</v>
      </c>
      <c r="J7351" s="11">
        <f>1/(H7351*Utilities!$B$11)</f>
        <v>8</v>
      </c>
      <c r="K7351" s="11">
        <f>IF(B7351&lt;C7351,1,EXP(-1*(B7351-C7351)/(Utilities!$B$11*IterData!H7351)))</f>
        <v>1</v>
      </c>
    </row>
    <row r="7352" spans="8:11" x14ac:dyDescent="0.3">
      <c r="H7352">
        <v>0.5</v>
      </c>
      <c r="I7352" s="11">
        <f t="shared" si="114"/>
        <v>0</v>
      </c>
      <c r="J7352" s="11">
        <f>1/(H7352*Utilities!$B$11)</f>
        <v>8</v>
      </c>
      <c r="K7352" s="11">
        <f>IF(B7352&lt;C7352,1,EXP(-1*(B7352-C7352)/(Utilities!$B$11*IterData!H7352)))</f>
        <v>1</v>
      </c>
    </row>
    <row r="7353" spans="8:11" x14ac:dyDescent="0.3">
      <c r="H7353">
        <v>0.5</v>
      </c>
      <c r="I7353" s="11">
        <f t="shared" si="114"/>
        <v>0</v>
      </c>
      <c r="J7353" s="11">
        <f>1/(H7353*Utilities!$B$11)</f>
        <v>8</v>
      </c>
      <c r="K7353" s="11">
        <f>IF(B7353&lt;C7353,1,EXP(-1*(B7353-C7353)/(Utilities!$B$11*IterData!H7353)))</f>
        <v>1</v>
      </c>
    </row>
    <row r="7354" spans="8:11" x14ac:dyDescent="0.3">
      <c r="H7354">
        <v>0.5</v>
      </c>
      <c r="I7354" s="11">
        <f t="shared" si="114"/>
        <v>0</v>
      </c>
      <c r="J7354" s="11">
        <f>1/(H7354*Utilities!$B$11)</f>
        <v>8</v>
      </c>
      <c r="K7354" s="11">
        <f>IF(B7354&lt;C7354,1,EXP(-1*(B7354-C7354)/(Utilities!$B$11*IterData!H7354)))</f>
        <v>1</v>
      </c>
    </row>
    <row r="7355" spans="8:11" x14ac:dyDescent="0.3">
      <c r="H7355">
        <v>0.5</v>
      </c>
      <c r="I7355" s="11">
        <f t="shared" si="114"/>
        <v>0</v>
      </c>
      <c r="J7355" s="11">
        <f>1/(H7355*Utilities!$B$11)</f>
        <v>8</v>
      </c>
      <c r="K7355" s="11">
        <f>IF(B7355&lt;C7355,1,EXP(-1*(B7355-C7355)/(Utilities!$B$11*IterData!H7355)))</f>
        <v>1</v>
      </c>
    </row>
    <row r="7356" spans="8:11" x14ac:dyDescent="0.3">
      <c r="H7356">
        <v>0.5</v>
      </c>
      <c r="I7356" s="11">
        <f t="shared" si="114"/>
        <v>0</v>
      </c>
      <c r="J7356" s="11">
        <f>1/(H7356*Utilities!$B$11)</f>
        <v>8</v>
      </c>
      <c r="K7356" s="11">
        <f>IF(B7356&lt;C7356,1,EXP(-1*(B7356-C7356)/(Utilities!$B$11*IterData!H7356)))</f>
        <v>1</v>
      </c>
    </row>
    <row r="7357" spans="8:11" x14ac:dyDescent="0.3">
      <c r="H7357">
        <v>0.5</v>
      </c>
      <c r="I7357" s="11">
        <f t="shared" si="114"/>
        <v>0</v>
      </c>
      <c r="J7357" s="11">
        <f>1/(H7357*Utilities!$B$11)</f>
        <v>8</v>
      </c>
      <c r="K7357" s="11">
        <f>IF(B7357&lt;C7357,1,EXP(-1*(B7357-C7357)/(Utilities!$B$11*IterData!H7357)))</f>
        <v>1</v>
      </c>
    </row>
    <row r="7358" spans="8:11" x14ac:dyDescent="0.3">
      <c r="H7358">
        <v>0.5</v>
      </c>
      <c r="I7358" s="11">
        <f t="shared" si="114"/>
        <v>0</v>
      </c>
      <c r="J7358" s="11">
        <f>1/(H7358*Utilities!$B$11)</f>
        <v>8</v>
      </c>
      <c r="K7358" s="11">
        <f>IF(B7358&lt;C7358,1,EXP(-1*(B7358-C7358)/(Utilities!$B$11*IterData!H7358)))</f>
        <v>1</v>
      </c>
    </row>
    <row r="7359" spans="8:11" x14ac:dyDescent="0.3">
      <c r="H7359">
        <v>0.5</v>
      </c>
      <c r="I7359" s="11">
        <f t="shared" si="114"/>
        <v>0</v>
      </c>
      <c r="J7359" s="11">
        <f>1/(H7359*Utilities!$B$11)</f>
        <v>8</v>
      </c>
      <c r="K7359" s="11">
        <f>IF(B7359&lt;C7359,1,EXP(-1*(B7359-C7359)/(Utilities!$B$11*IterData!H7359)))</f>
        <v>1</v>
      </c>
    </row>
    <row r="7360" spans="8:11" x14ac:dyDescent="0.3">
      <c r="H7360">
        <v>0.5</v>
      </c>
      <c r="I7360" s="11">
        <f t="shared" si="114"/>
        <v>0</v>
      </c>
      <c r="J7360" s="11">
        <f>1/(H7360*Utilities!$B$11)</f>
        <v>8</v>
      </c>
      <c r="K7360" s="11">
        <f>IF(B7360&lt;C7360,1,EXP(-1*(B7360-C7360)/(Utilities!$B$11*IterData!H7360)))</f>
        <v>1</v>
      </c>
    </row>
    <row r="7361" spans="8:11" x14ac:dyDescent="0.3">
      <c r="H7361">
        <v>0.5</v>
      </c>
      <c r="I7361" s="11">
        <f t="shared" si="114"/>
        <v>0</v>
      </c>
      <c r="J7361" s="11">
        <f>1/(H7361*Utilities!$B$11)</f>
        <v>8</v>
      </c>
      <c r="K7361" s="11">
        <f>IF(B7361&lt;C7361,1,EXP(-1*(B7361-C7361)/(Utilities!$B$11*IterData!H7361)))</f>
        <v>1</v>
      </c>
    </row>
    <row r="7362" spans="8:11" x14ac:dyDescent="0.3">
      <c r="H7362">
        <v>0.5</v>
      </c>
      <c r="I7362" s="11">
        <f t="shared" si="114"/>
        <v>0</v>
      </c>
      <c r="J7362" s="11">
        <f>1/(H7362*Utilities!$B$11)</f>
        <v>8</v>
      </c>
      <c r="K7362" s="11">
        <f>IF(B7362&lt;C7362,1,EXP(-1*(B7362-C7362)/(Utilities!$B$11*IterData!H7362)))</f>
        <v>1</v>
      </c>
    </row>
    <row r="7363" spans="8:11" x14ac:dyDescent="0.3">
      <c r="H7363">
        <v>0.5</v>
      </c>
      <c r="I7363" s="11">
        <f t="shared" ref="I7363:I7426" si="115">B7363-C7363</f>
        <v>0</v>
      </c>
      <c r="J7363" s="11">
        <f>1/(H7363*Utilities!$B$11)</f>
        <v>8</v>
      </c>
      <c r="K7363" s="11">
        <f>IF(B7363&lt;C7363,1,EXP(-1*(B7363-C7363)/(Utilities!$B$11*IterData!H7363)))</f>
        <v>1</v>
      </c>
    </row>
    <row r="7364" spans="8:11" x14ac:dyDescent="0.3">
      <c r="H7364">
        <v>0.5</v>
      </c>
      <c r="I7364" s="11">
        <f t="shared" si="115"/>
        <v>0</v>
      </c>
      <c r="J7364" s="11">
        <f>1/(H7364*Utilities!$B$11)</f>
        <v>8</v>
      </c>
      <c r="K7364" s="11">
        <f>IF(B7364&lt;C7364,1,EXP(-1*(B7364-C7364)/(Utilities!$B$11*IterData!H7364)))</f>
        <v>1</v>
      </c>
    </row>
    <row r="7365" spans="8:11" x14ac:dyDescent="0.3">
      <c r="H7365">
        <v>0.5</v>
      </c>
      <c r="I7365" s="11">
        <f t="shared" si="115"/>
        <v>0</v>
      </c>
      <c r="J7365" s="11">
        <f>1/(H7365*Utilities!$B$11)</f>
        <v>8</v>
      </c>
      <c r="K7365" s="11">
        <f>IF(B7365&lt;C7365,1,EXP(-1*(B7365-C7365)/(Utilities!$B$11*IterData!H7365)))</f>
        <v>1</v>
      </c>
    </row>
    <row r="7366" spans="8:11" x14ac:dyDescent="0.3">
      <c r="H7366">
        <v>0.5</v>
      </c>
      <c r="I7366" s="11">
        <f t="shared" si="115"/>
        <v>0</v>
      </c>
      <c r="J7366" s="11">
        <f>1/(H7366*Utilities!$B$11)</f>
        <v>8</v>
      </c>
      <c r="K7366" s="11">
        <f>IF(B7366&lt;C7366,1,EXP(-1*(B7366-C7366)/(Utilities!$B$11*IterData!H7366)))</f>
        <v>1</v>
      </c>
    </row>
    <row r="7367" spans="8:11" x14ac:dyDescent="0.3">
      <c r="H7367">
        <v>0.5</v>
      </c>
      <c r="I7367" s="11">
        <f t="shared" si="115"/>
        <v>0</v>
      </c>
      <c r="J7367" s="11">
        <f>1/(H7367*Utilities!$B$11)</f>
        <v>8</v>
      </c>
      <c r="K7367" s="11">
        <f>IF(B7367&lt;C7367,1,EXP(-1*(B7367-C7367)/(Utilities!$B$11*IterData!H7367)))</f>
        <v>1</v>
      </c>
    </row>
    <row r="7368" spans="8:11" x14ac:dyDescent="0.3">
      <c r="H7368">
        <v>0.5</v>
      </c>
      <c r="I7368" s="11">
        <f t="shared" si="115"/>
        <v>0</v>
      </c>
      <c r="J7368" s="11">
        <f>1/(H7368*Utilities!$B$11)</f>
        <v>8</v>
      </c>
      <c r="K7368" s="11">
        <f>IF(B7368&lt;C7368,1,EXP(-1*(B7368-C7368)/(Utilities!$B$11*IterData!H7368)))</f>
        <v>1</v>
      </c>
    </row>
    <row r="7369" spans="8:11" x14ac:dyDescent="0.3">
      <c r="H7369">
        <v>0.5</v>
      </c>
      <c r="I7369" s="11">
        <f t="shared" si="115"/>
        <v>0</v>
      </c>
      <c r="J7369" s="11">
        <f>1/(H7369*Utilities!$B$11)</f>
        <v>8</v>
      </c>
      <c r="K7369" s="11">
        <f>IF(B7369&lt;C7369,1,EXP(-1*(B7369-C7369)/(Utilities!$B$11*IterData!H7369)))</f>
        <v>1</v>
      </c>
    </row>
    <row r="7370" spans="8:11" x14ac:dyDescent="0.3">
      <c r="H7370">
        <v>0.5</v>
      </c>
      <c r="I7370" s="11">
        <f t="shared" si="115"/>
        <v>0</v>
      </c>
      <c r="J7370" s="11">
        <f>1/(H7370*Utilities!$B$11)</f>
        <v>8</v>
      </c>
      <c r="K7370" s="11">
        <f>IF(B7370&lt;C7370,1,EXP(-1*(B7370-C7370)/(Utilities!$B$11*IterData!H7370)))</f>
        <v>1</v>
      </c>
    </row>
    <row r="7371" spans="8:11" x14ac:dyDescent="0.3">
      <c r="H7371">
        <v>0.5</v>
      </c>
      <c r="I7371" s="11">
        <f t="shared" si="115"/>
        <v>0</v>
      </c>
      <c r="J7371" s="11">
        <f>1/(H7371*Utilities!$B$11)</f>
        <v>8</v>
      </c>
      <c r="K7371" s="11">
        <f>IF(B7371&lt;C7371,1,EXP(-1*(B7371-C7371)/(Utilities!$B$11*IterData!H7371)))</f>
        <v>1</v>
      </c>
    </row>
    <row r="7372" spans="8:11" x14ac:dyDescent="0.3">
      <c r="H7372">
        <v>0.5</v>
      </c>
      <c r="I7372" s="11">
        <f t="shared" si="115"/>
        <v>0</v>
      </c>
      <c r="J7372" s="11">
        <f>1/(H7372*Utilities!$B$11)</f>
        <v>8</v>
      </c>
      <c r="K7372" s="11">
        <f>IF(B7372&lt;C7372,1,EXP(-1*(B7372-C7372)/(Utilities!$B$11*IterData!H7372)))</f>
        <v>1</v>
      </c>
    </row>
    <row r="7373" spans="8:11" x14ac:dyDescent="0.3">
      <c r="H7373">
        <v>0.5</v>
      </c>
      <c r="I7373" s="11">
        <f t="shared" si="115"/>
        <v>0</v>
      </c>
      <c r="J7373" s="11">
        <f>1/(H7373*Utilities!$B$11)</f>
        <v>8</v>
      </c>
      <c r="K7373" s="11">
        <f>IF(B7373&lt;C7373,1,EXP(-1*(B7373-C7373)/(Utilities!$B$11*IterData!H7373)))</f>
        <v>1</v>
      </c>
    </row>
    <row r="7374" spans="8:11" x14ac:dyDescent="0.3">
      <c r="H7374">
        <v>0.5</v>
      </c>
      <c r="I7374" s="11">
        <f t="shared" si="115"/>
        <v>0</v>
      </c>
      <c r="J7374" s="11">
        <f>1/(H7374*Utilities!$B$11)</f>
        <v>8</v>
      </c>
      <c r="K7374" s="11">
        <f>IF(B7374&lt;C7374,1,EXP(-1*(B7374-C7374)/(Utilities!$B$11*IterData!H7374)))</f>
        <v>1</v>
      </c>
    </row>
    <row r="7375" spans="8:11" x14ac:dyDescent="0.3">
      <c r="H7375">
        <v>0.5</v>
      </c>
      <c r="I7375" s="11">
        <f t="shared" si="115"/>
        <v>0</v>
      </c>
      <c r="J7375" s="11">
        <f>1/(H7375*Utilities!$B$11)</f>
        <v>8</v>
      </c>
      <c r="K7375" s="11">
        <f>IF(B7375&lt;C7375,1,EXP(-1*(B7375-C7375)/(Utilities!$B$11*IterData!H7375)))</f>
        <v>1</v>
      </c>
    </row>
    <row r="7376" spans="8:11" x14ac:dyDescent="0.3">
      <c r="H7376">
        <v>0.5</v>
      </c>
      <c r="I7376" s="11">
        <f t="shared" si="115"/>
        <v>0</v>
      </c>
      <c r="J7376" s="11">
        <f>1/(H7376*Utilities!$B$11)</f>
        <v>8</v>
      </c>
      <c r="K7376" s="11">
        <f>IF(B7376&lt;C7376,1,EXP(-1*(B7376-C7376)/(Utilities!$B$11*IterData!H7376)))</f>
        <v>1</v>
      </c>
    </row>
    <row r="7377" spans="8:11" x14ac:dyDescent="0.3">
      <c r="H7377">
        <v>0.5</v>
      </c>
      <c r="I7377" s="11">
        <f t="shared" si="115"/>
        <v>0</v>
      </c>
      <c r="J7377" s="11">
        <f>1/(H7377*Utilities!$B$11)</f>
        <v>8</v>
      </c>
      <c r="K7377" s="11">
        <f>IF(B7377&lt;C7377,1,EXP(-1*(B7377-C7377)/(Utilities!$B$11*IterData!H7377)))</f>
        <v>1</v>
      </c>
    </row>
    <row r="7378" spans="8:11" x14ac:dyDescent="0.3">
      <c r="H7378">
        <v>0.5</v>
      </c>
      <c r="I7378" s="11">
        <f t="shared" si="115"/>
        <v>0</v>
      </c>
      <c r="J7378" s="11">
        <f>1/(H7378*Utilities!$B$11)</f>
        <v>8</v>
      </c>
      <c r="K7378" s="11">
        <f>IF(B7378&lt;C7378,1,EXP(-1*(B7378-C7378)/(Utilities!$B$11*IterData!H7378)))</f>
        <v>1</v>
      </c>
    </row>
    <row r="7379" spans="8:11" x14ac:dyDescent="0.3">
      <c r="H7379">
        <v>0.5</v>
      </c>
      <c r="I7379" s="11">
        <f t="shared" si="115"/>
        <v>0</v>
      </c>
      <c r="J7379" s="11">
        <f>1/(H7379*Utilities!$B$11)</f>
        <v>8</v>
      </c>
      <c r="K7379" s="11">
        <f>IF(B7379&lt;C7379,1,EXP(-1*(B7379-C7379)/(Utilities!$B$11*IterData!H7379)))</f>
        <v>1</v>
      </c>
    </row>
    <row r="7380" spans="8:11" x14ac:dyDescent="0.3">
      <c r="H7380">
        <v>0.5</v>
      </c>
      <c r="I7380" s="11">
        <f t="shared" si="115"/>
        <v>0</v>
      </c>
      <c r="J7380" s="11">
        <f>1/(H7380*Utilities!$B$11)</f>
        <v>8</v>
      </c>
      <c r="K7380" s="11">
        <f>IF(B7380&lt;C7380,1,EXP(-1*(B7380-C7380)/(Utilities!$B$11*IterData!H7380)))</f>
        <v>1</v>
      </c>
    </row>
    <row r="7381" spans="8:11" x14ac:dyDescent="0.3">
      <c r="H7381">
        <v>0.5</v>
      </c>
      <c r="I7381" s="11">
        <f t="shared" si="115"/>
        <v>0</v>
      </c>
      <c r="J7381" s="11">
        <f>1/(H7381*Utilities!$B$11)</f>
        <v>8</v>
      </c>
      <c r="K7381" s="11">
        <f>IF(B7381&lt;C7381,1,EXP(-1*(B7381-C7381)/(Utilities!$B$11*IterData!H7381)))</f>
        <v>1</v>
      </c>
    </row>
    <row r="7382" spans="8:11" x14ac:dyDescent="0.3">
      <c r="H7382">
        <v>0.5</v>
      </c>
      <c r="I7382" s="11">
        <f t="shared" si="115"/>
        <v>0</v>
      </c>
      <c r="J7382" s="11">
        <f>1/(H7382*Utilities!$B$11)</f>
        <v>8</v>
      </c>
      <c r="K7382" s="11">
        <f>IF(B7382&lt;C7382,1,EXP(-1*(B7382-C7382)/(Utilities!$B$11*IterData!H7382)))</f>
        <v>1</v>
      </c>
    </row>
    <row r="7383" spans="8:11" x14ac:dyDescent="0.3">
      <c r="H7383">
        <v>0.5</v>
      </c>
      <c r="I7383" s="11">
        <f t="shared" si="115"/>
        <v>0</v>
      </c>
      <c r="J7383" s="11">
        <f>1/(H7383*Utilities!$B$11)</f>
        <v>8</v>
      </c>
      <c r="K7383" s="11">
        <f>IF(B7383&lt;C7383,1,EXP(-1*(B7383-C7383)/(Utilities!$B$11*IterData!H7383)))</f>
        <v>1</v>
      </c>
    </row>
    <row r="7384" spans="8:11" x14ac:dyDescent="0.3">
      <c r="H7384">
        <v>0.5</v>
      </c>
      <c r="I7384" s="11">
        <f t="shared" si="115"/>
        <v>0</v>
      </c>
      <c r="J7384" s="11">
        <f>1/(H7384*Utilities!$B$11)</f>
        <v>8</v>
      </c>
      <c r="K7384" s="11">
        <f>IF(B7384&lt;C7384,1,EXP(-1*(B7384-C7384)/(Utilities!$B$11*IterData!H7384)))</f>
        <v>1</v>
      </c>
    </row>
    <row r="7385" spans="8:11" x14ac:dyDescent="0.3">
      <c r="H7385">
        <v>0.5</v>
      </c>
      <c r="I7385" s="11">
        <f t="shared" si="115"/>
        <v>0</v>
      </c>
      <c r="J7385" s="11">
        <f>1/(H7385*Utilities!$B$11)</f>
        <v>8</v>
      </c>
      <c r="K7385" s="11">
        <f>IF(B7385&lt;C7385,1,EXP(-1*(B7385-C7385)/(Utilities!$B$11*IterData!H7385)))</f>
        <v>1</v>
      </c>
    </row>
    <row r="7386" spans="8:11" x14ac:dyDescent="0.3">
      <c r="H7386">
        <v>0.5</v>
      </c>
      <c r="I7386" s="11">
        <f t="shared" si="115"/>
        <v>0</v>
      </c>
      <c r="J7386" s="11">
        <f>1/(H7386*Utilities!$B$11)</f>
        <v>8</v>
      </c>
      <c r="K7386" s="11">
        <f>IF(B7386&lt;C7386,1,EXP(-1*(B7386-C7386)/(Utilities!$B$11*IterData!H7386)))</f>
        <v>1</v>
      </c>
    </row>
    <row r="7387" spans="8:11" x14ac:dyDescent="0.3">
      <c r="H7387">
        <v>0.5</v>
      </c>
      <c r="I7387" s="11">
        <f t="shared" si="115"/>
        <v>0</v>
      </c>
      <c r="J7387" s="11">
        <f>1/(H7387*Utilities!$B$11)</f>
        <v>8</v>
      </c>
      <c r="K7387" s="11">
        <f>IF(B7387&lt;C7387,1,EXP(-1*(B7387-C7387)/(Utilities!$B$11*IterData!H7387)))</f>
        <v>1</v>
      </c>
    </row>
    <row r="7388" spans="8:11" x14ac:dyDescent="0.3">
      <c r="H7388">
        <v>0.5</v>
      </c>
      <c r="I7388" s="11">
        <f t="shared" si="115"/>
        <v>0</v>
      </c>
      <c r="J7388" s="11">
        <f>1/(H7388*Utilities!$B$11)</f>
        <v>8</v>
      </c>
      <c r="K7388" s="11">
        <f>IF(B7388&lt;C7388,1,EXP(-1*(B7388-C7388)/(Utilities!$B$11*IterData!H7388)))</f>
        <v>1</v>
      </c>
    </row>
    <row r="7389" spans="8:11" x14ac:dyDescent="0.3">
      <c r="H7389">
        <v>0.5</v>
      </c>
      <c r="I7389" s="11">
        <f t="shared" si="115"/>
        <v>0</v>
      </c>
      <c r="J7389" s="11">
        <f>1/(H7389*Utilities!$B$11)</f>
        <v>8</v>
      </c>
      <c r="K7389" s="11">
        <f>IF(B7389&lt;C7389,1,EXP(-1*(B7389-C7389)/(Utilities!$B$11*IterData!H7389)))</f>
        <v>1</v>
      </c>
    </row>
    <row r="7390" spans="8:11" x14ac:dyDescent="0.3">
      <c r="H7390">
        <v>0.5</v>
      </c>
      <c r="I7390" s="11">
        <f t="shared" si="115"/>
        <v>0</v>
      </c>
      <c r="J7390" s="11">
        <f>1/(H7390*Utilities!$B$11)</f>
        <v>8</v>
      </c>
      <c r="K7390" s="11">
        <f>IF(B7390&lt;C7390,1,EXP(-1*(B7390-C7390)/(Utilities!$B$11*IterData!H7390)))</f>
        <v>1</v>
      </c>
    </row>
    <row r="7391" spans="8:11" x14ac:dyDescent="0.3">
      <c r="H7391">
        <v>0.5</v>
      </c>
      <c r="I7391" s="11">
        <f t="shared" si="115"/>
        <v>0</v>
      </c>
      <c r="J7391" s="11">
        <f>1/(H7391*Utilities!$B$11)</f>
        <v>8</v>
      </c>
      <c r="K7391" s="11">
        <f>IF(B7391&lt;C7391,1,EXP(-1*(B7391-C7391)/(Utilities!$B$11*IterData!H7391)))</f>
        <v>1</v>
      </c>
    </row>
    <row r="7392" spans="8:11" x14ac:dyDescent="0.3">
      <c r="H7392">
        <v>0.5</v>
      </c>
      <c r="I7392" s="11">
        <f t="shared" si="115"/>
        <v>0</v>
      </c>
      <c r="J7392" s="11">
        <f>1/(H7392*Utilities!$B$11)</f>
        <v>8</v>
      </c>
      <c r="K7392" s="11">
        <f>IF(B7392&lt;C7392,1,EXP(-1*(B7392-C7392)/(Utilities!$B$11*IterData!H7392)))</f>
        <v>1</v>
      </c>
    </row>
    <row r="7393" spans="8:11" x14ac:dyDescent="0.3">
      <c r="H7393">
        <v>0.5</v>
      </c>
      <c r="I7393" s="11">
        <f t="shared" si="115"/>
        <v>0</v>
      </c>
      <c r="J7393" s="11">
        <f>1/(H7393*Utilities!$B$11)</f>
        <v>8</v>
      </c>
      <c r="K7393" s="11">
        <f>IF(B7393&lt;C7393,1,EXP(-1*(B7393-C7393)/(Utilities!$B$11*IterData!H7393)))</f>
        <v>1</v>
      </c>
    </row>
    <row r="7394" spans="8:11" x14ac:dyDescent="0.3">
      <c r="H7394">
        <v>0.5</v>
      </c>
      <c r="I7394" s="11">
        <f t="shared" si="115"/>
        <v>0</v>
      </c>
      <c r="J7394" s="11">
        <f>1/(H7394*Utilities!$B$11)</f>
        <v>8</v>
      </c>
      <c r="K7394" s="11">
        <f>IF(B7394&lt;C7394,1,EXP(-1*(B7394-C7394)/(Utilities!$B$11*IterData!H7394)))</f>
        <v>1</v>
      </c>
    </row>
    <row r="7395" spans="8:11" x14ac:dyDescent="0.3">
      <c r="H7395">
        <v>0.5</v>
      </c>
      <c r="I7395" s="11">
        <f t="shared" si="115"/>
        <v>0</v>
      </c>
      <c r="J7395" s="11">
        <f>1/(H7395*Utilities!$B$11)</f>
        <v>8</v>
      </c>
      <c r="K7395" s="11">
        <f>IF(B7395&lt;C7395,1,EXP(-1*(B7395-C7395)/(Utilities!$B$11*IterData!H7395)))</f>
        <v>1</v>
      </c>
    </row>
    <row r="7396" spans="8:11" x14ac:dyDescent="0.3">
      <c r="H7396">
        <v>0.5</v>
      </c>
      <c r="I7396" s="11">
        <f t="shared" si="115"/>
        <v>0</v>
      </c>
      <c r="J7396" s="11">
        <f>1/(H7396*Utilities!$B$11)</f>
        <v>8</v>
      </c>
      <c r="K7396" s="11">
        <f>IF(B7396&lt;C7396,1,EXP(-1*(B7396-C7396)/(Utilities!$B$11*IterData!H7396)))</f>
        <v>1</v>
      </c>
    </row>
    <row r="7397" spans="8:11" x14ac:dyDescent="0.3">
      <c r="H7397">
        <v>0.5</v>
      </c>
      <c r="I7397" s="11">
        <f t="shared" si="115"/>
        <v>0</v>
      </c>
      <c r="J7397" s="11">
        <f>1/(H7397*Utilities!$B$11)</f>
        <v>8</v>
      </c>
      <c r="K7397" s="11">
        <f>IF(B7397&lt;C7397,1,EXP(-1*(B7397-C7397)/(Utilities!$B$11*IterData!H7397)))</f>
        <v>1</v>
      </c>
    </row>
    <row r="7398" spans="8:11" x14ac:dyDescent="0.3">
      <c r="H7398">
        <v>0.5</v>
      </c>
      <c r="I7398" s="11">
        <f t="shared" si="115"/>
        <v>0</v>
      </c>
      <c r="J7398" s="11">
        <f>1/(H7398*Utilities!$B$11)</f>
        <v>8</v>
      </c>
      <c r="K7398" s="11">
        <f>IF(B7398&lt;C7398,1,EXP(-1*(B7398-C7398)/(Utilities!$B$11*IterData!H7398)))</f>
        <v>1</v>
      </c>
    </row>
    <row r="7399" spans="8:11" x14ac:dyDescent="0.3">
      <c r="H7399">
        <v>0.5</v>
      </c>
      <c r="I7399" s="11">
        <f t="shared" si="115"/>
        <v>0</v>
      </c>
      <c r="J7399" s="11">
        <f>1/(H7399*Utilities!$B$11)</f>
        <v>8</v>
      </c>
      <c r="K7399" s="11">
        <f>IF(B7399&lt;C7399,1,EXP(-1*(B7399-C7399)/(Utilities!$B$11*IterData!H7399)))</f>
        <v>1</v>
      </c>
    </row>
    <row r="7400" spans="8:11" x14ac:dyDescent="0.3">
      <c r="H7400">
        <v>0.5</v>
      </c>
      <c r="I7400" s="11">
        <f t="shared" si="115"/>
        <v>0</v>
      </c>
      <c r="J7400" s="11">
        <f>1/(H7400*Utilities!$B$11)</f>
        <v>8</v>
      </c>
      <c r="K7400" s="11">
        <f>IF(B7400&lt;C7400,1,EXP(-1*(B7400-C7400)/(Utilities!$B$11*IterData!H7400)))</f>
        <v>1</v>
      </c>
    </row>
    <row r="7401" spans="8:11" x14ac:dyDescent="0.3">
      <c r="H7401">
        <v>0.5</v>
      </c>
      <c r="I7401" s="11">
        <f t="shared" si="115"/>
        <v>0</v>
      </c>
      <c r="J7401" s="11">
        <f>1/(H7401*Utilities!$B$11)</f>
        <v>8</v>
      </c>
      <c r="K7401" s="11">
        <f>IF(B7401&lt;C7401,1,EXP(-1*(B7401-C7401)/(Utilities!$B$11*IterData!H7401)))</f>
        <v>1</v>
      </c>
    </row>
    <row r="7402" spans="8:11" x14ac:dyDescent="0.3">
      <c r="H7402">
        <v>0.5</v>
      </c>
      <c r="I7402" s="11">
        <f t="shared" si="115"/>
        <v>0</v>
      </c>
      <c r="J7402" s="11">
        <f>1/(H7402*Utilities!$B$11)</f>
        <v>8</v>
      </c>
      <c r="K7402" s="11">
        <f>IF(B7402&lt;C7402,1,EXP(-1*(B7402-C7402)/(Utilities!$B$11*IterData!H7402)))</f>
        <v>1</v>
      </c>
    </row>
    <row r="7403" spans="8:11" x14ac:dyDescent="0.3">
      <c r="H7403">
        <v>0.5</v>
      </c>
      <c r="I7403" s="11">
        <f t="shared" si="115"/>
        <v>0</v>
      </c>
      <c r="J7403" s="11">
        <f>1/(H7403*Utilities!$B$11)</f>
        <v>8</v>
      </c>
      <c r="K7403" s="11">
        <f>IF(B7403&lt;C7403,1,EXP(-1*(B7403-C7403)/(Utilities!$B$11*IterData!H7403)))</f>
        <v>1</v>
      </c>
    </row>
    <row r="7404" spans="8:11" x14ac:dyDescent="0.3">
      <c r="H7404">
        <v>0.5</v>
      </c>
      <c r="I7404" s="11">
        <f t="shared" si="115"/>
        <v>0</v>
      </c>
      <c r="J7404" s="11">
        <f>1/(H7404*Utilities!$B$11)</f>
        <v>8</v>
      </c>
      <c r="K7404" s="11">
        <f>IF(B7404&lt;C7404,1,EXP(-1*(B7404-C7404)/(Utilities!$B$11*IterData!H7404)))</f>
        <v>1</v>
      </c>
    </row>
    <row r="7405" spans="8:11" x14ac:dyDescent="0.3">
      <c r="H7405">
        <v>0.5</v>
      </c>
      <c r="I7405" s="11">
        <f t="shared" si="115"/>
        <v>0</v>
      </c>
      <c r="J7405" s="11">
        <f>1/(H7405*Utilities!$B$11)</f>
        <v>8</v>
      </c>
      <c r="K7405" s="11">
        <f>IF(B7405&lt;C7405,1,EXP(-1*(B7405-C7405)/(Utilities!$B$11*IterData!H7405)))</f>
        <v>1</v>
      </c>
    </row>
    <row r="7406" spans="8:11" x14ac:dyDescent="0.3">
      <c r="H7406">
        <v>0.5</v>
      </c>
      <c r="I7406" s="11">
        <f t="shared" si="115"/>
        <v>0</v>
      </c>
      <c r="J7406" s="11">
        <f>1/(H7406*Utilities!$B$11)</f>
        <v>8</v>
      </c>
      <c r="K7406" s="11">
        <f>IF(B7406&lt;C7406,1,EXP(-1*(B7406-C7406)/(Utilities!$B$11*IterData!H7406)))</f>
        <v>1</v>
      </c>
    </row>
    <row r="7407" spans="8:11" x14ac:dyDescent="0.3">
      <c r="H7407">
        <v>0.5</v>
      </c>
      <c r="I7407" s="11">
        <f t="shared" si="115"/>
        <v>0</v>
      </c>
      <c r="J7407" s="11">
        <f>1/(H7407*Utilities!$B$11)</f>
        <v>8</v>
      </c>
      <c r="K7407" s="11">
        <f>IF(B7407&lt;C7407,1,EXP(-1*(B7407-C7407)/(Utilities!$B$11*IterData!H7407)))</f>
        <v>1</v>
      </c>
    </row>
    <row r="7408" spans="8:11" x14ac:dyDescent="0.3">
      <c r="H7408">
        <v>0.5</v>
      </c>
      <c r="I7408" s="11">
        <f t="shared" si="115"/>
        <v>0</v>
      </c>
      <c r="J7408" s="11">
        <f>1/(H7408*Utilities!$B$11)</f>
        <v>8</v>
      </c>
      <c r="K7408" s="11">
        <f>IF(B7408&lt;C7408,1,EXP(-1*(B7408-C7408)/(Utilities!$B$11*IterData!H7408)))</f>
        <v>1</v>
      </c>
    </row>
    <row r="7409" spans="8:11" x14ac:dyDescent="0.3">
      <c r="H7409">
        <v>0.5</v>
      </c>
      <c r="I7409" s="11">
        <f t="shared" si="115"/>
        <v>0</v>
      </c>
      <c r="J7409" s="11">
        <f>1/(H7409*Utilities!$B$11)</f>
        <v>8</v>
      </c>
      <c r="K7409" s="11">
        <f>IF(B7409&lt;C7409,1,EXP(-1*(B7409-C7409)/(Utilities!$B$11*IterData!H7409)))</f>
        <v>1</v>
      </c>
    </row>
    <row r="7410" spans="8:11" x14ac:dyDescent="0.3">
      <c r="H7410">
        <v>0.5</v>
      </c>
      <c r="I7410" s="11">
        <f t="shared" si="115"/>
        <v>0</v>
      </c>
      <c r="J7410" s="11">
        <f>1/(H7410*Utilities!$B$11)</f>
        <v>8</v>
      </c>
      <c r="K7410" s="11">
        <f>IF(B7410&lt;C7410,1,EXP(-1*(B7410-C7410)/(Utilities!$B$11*IterData!H7410)))</f>
        <v>1</v>
      </c>
    </row>
    <row r="7411" spans="8:11" x14ac:dyDescent="0.3">
      <c r="H7411">
        <v>0.5</v>
      </c>
      <c r="I7411" s="11">
        <f t="shared" si="115"/>
        <v>0</v>
      </c>
      <c r="J7411" s="11">
        <f>1/(H7411*Utilities!$B$11)</f>
        <v>8</v>
      </c>
      <c r="K7411" s="11">
        <f>IF(B7411&lt;C7411,1,EXP(-1*(B7411-C7411)/(Utilities!$B$11*IterData!H7411)))</f>
        <v>1</v>
      </c>
    </row>
    <row r="7412" spans="8:11" x14ac:dyDescent="0.3">
      <c r="H7412">
        <v>0.5</v>
      </c>
      <c r="I7412" s="11">
        <f t="shared" si="115"/>
        <v>0</v>
      </c>
      <c r="J7412" s="11">
        <f>1/(H7412*Utilities!$B$11)</f>
        <v>8</v>
      </c>
      <c r="K7412" s="11">
        <f>IF(B7412&lt;C7412,1,EXP(-1*(B7412-C7412)/(Utilities!$B$11*IterData!H7412)))</f>
        <v>1</v>
      </c>
    </row>
    <row r="7413" spans="8:11" x14ac:dyDescent="0.3">
      <c r="H7413">
        <v>0.5</v>
      </c>
      <c r="I7413" s="11">
        <f t="shared" si="115"/>
        <v>0</v>
      </c>
      <c r="J7413" s="11">
        <f>1/(H7413*Utilities!$B$11)</f>
        <v>8</v>
      </c>
      <c r="K7413" s="11">
        <f>IF(B7413&lt;C7413,1,EXP(-1*(B7413-C7413)/(Utilities!$B$11*IterData!H7413)))</f>
        <v>1</v>
      </c>
    </row>
    <row r="7414" spans="8:11" x14ac:dyDescent="0.3">
      <c r="H7414">
        <v>0.5</v>
      </c>
      <c r="I7414" s="11">
        <f t="shared" si="115"/>
        <v>0</v>
      </c>
      <c r="J7414" s="11">
        <f>1/(H7414*Utilities!$B$11)</f>
        <v>8</v>
      </c>
      <c r="K7414" s="11">
        <f>IF(B7414&lt;C7414,1,EXP(-1*(B7414-C7414)/(Utilities!$B$11*IterData!H7414)))</f>
        <v>1</v>
      </c>
    </row>
    <row r="7415" spans="8:11" x14ac:dyDescent="0.3">
      <c r="H7415">
        <v>0.5</v>
      </c>
      <c r="I7415" s="11">
        <f t="shared" si="115"/>
        <v>0</v>
      </c>
      <c r="J7415" s="11">
        <f>1/(H7415*Utilities!$B$11)</f>
        <v>8</v>
      </c>
      <c r="K7415" s="11">
        <f>IF(B7415&lt;C7415,1,EXP(-1*(B7415-C7415)/(Utilities!$B$11*IterData!H7415)))</f>
        <v>1</v>
      </c>
    </row>
    <row r="7416" spans="8:11" x14ac:dyDescent="0.3">
      <c r="H7416">
        <v>0.5</v>
      </c>
      <c r="I7416" s="11">
        <f t="shared" si="115"/>
        <v>0</v>
      </c>
      <c r="J7416" s="11">
        <f>1/(H7416*Utilities!$B$11)</f>
        <v>8</v>
      </c>
      <c r="K7416" s="11">
        <f>IF(B7416&lt;C7416,1,EXP(-1*(B7416-C7416)/(Utilities!$B$11*IterData!H7416)))</f>
        <v>1</v>
      </c>
    </row>
    <row r="7417" spans="8:11" x14ac:dyDescent="0.3">
      <c r="H7417">
        <v>0.5</v>
      </c>
      <c r="I7417" s="11">
        <f t="shared" si="115"/>
        <v>0</v>
      </c>
      <c r="J7417" s="11">
        <f>1/(H7417*Utilities!$B$11)</f>
        <v>8</v>
      </c>
      <c r="K7417" s="11">
        <f>IF(B7417&lt;C7417,1,EXP(-1*(B7417-C7417)/(Utilities!$B$11*IterData!H7417)))</f>
        <v>1</v>
      </c>
    </row>
    <row r="7418" spans="8:11" x14ac:dyDescent="0.3">
      <c r="H7418">
        <v>0.5</v>
      </c>
      <c r="I7418" s="11">
        <f t="shared" si="115"/>
        <v>0</v>
      </c>
      <c r="J7418" s="11">
        <f>1/(H7418*Utilities!$B$11)</f>
        <v>8</v>
      </c>
      <c r="K7418" s="11">
        <f>IF(B7418&lt;C7418,1,EXP(-1*(B7418-C7418)/(Utilities!$B$11*IterData!H7418)))</f>
        <v>1</v>
      </c>
    </row>
    <row r="7419" spans="8:11" x14ac:dyDescent="0.3">
      <c r="H7419">
        <v>0.5</v>
      </c>
      <c r="I7419" s="11">
        <f t="shared" si="115"/>
        <v>0</v>
      </c>
      <c r="J7419" s="11">
        <f>1/(H7419*Utilities!$B$11)</f>
        <v>8</v>
      </c>
      <c r="K7419" s="11">
        <f>IF(B7419&lt;C7419,1,EXP(-1*(B7419-C7419)/(Utilities!$B$11*IterData!H7419)))</f>
        <v>1</v>
      </c>
    </row>
    <row r="7420" spans="8:11" x14ac:dyDescent="0.3">
      <c r="H7420">
        <v>0.5</v>
      </c>
      <c r="I7420" s="11">
        <f t="shared" si="115"/>
        <v>0</v>
      </c>
      <c r="J7420" s="11">
        <f>1/(H7420*Utilities!$B$11)</f>
        <v>8</v>
      </c>
      <c r="K7420" s="11">
        <f>IF(B7420&lt;C7420,1,EXP(-1*(B7420-C7420)/(Utilities!$B$11*IterData!H7420)))</f>
        <v>1</v>
      </c>
    </row>
    <row r="7421" spans="8:11" x14ac:dyDescent="0.3">
      <c r="H7421">
        <v>0.5</v>
      </c>
      <c r="I7421" s="11">
        <f t="shared" si="115"/>
        <v>0</v>
      </c>
      <c r="J7421" s="11">
        <f>1/(H7421*Utilities!$B$11)</f>
        <v>8</v>
      </c>
      <c r="K7421" s="11">
        <f>IF(B7421&lt;C7421,1,EXP(-1*(B7421-C7421)/(Utilities!$B$11*IterData!H7421)))</f>
        <v>1</v>
      </c>
    </row>
    <row r="7422" spans="8:11" x14ac:dyDescent="0.3">
      <c r="H7422">
        <v>0.5</v>
      </c>
      <c r="I7422" s="11">
        <f t="shared" si="115"/>
        <v>0</v>
      </c>
      <c r="J7422" s="11">
        <f>1/(H7422*Utilities!$B$11)</f>
        <v>8</v>
      </c>
      <c r="K7422" s="11">
        <f>IF(B7422&lt;C7422,1,EXP(-1*(B7422-C7422)/(Utilities!$B$11*IterData!H7422)))</f>
        <v>1</v>
      </c>
    </row>
    <row r="7423" spans="8:11" x14ac:dyDescent="0.3">
      <c r="H7423">
        <v>0.5</v>
      </c>
      <c r="I7423" s="11">
        <f t="shared" si="115"/>
        <v>0</v>
      </c>
      <c r="J7423" s="11">
        <f>1/(H7423*Utilities!$B$11)</f>
        <v>8</v>
      </c>
      <c r="K7423" s="11">
        <f>IF(B7423&lt;C7423,1,EXP(-1*(B7423-C7423)/(Utilities!$B$11*IterData!H7423)))</f>
        <v>1</v>
      </c>
    </row>
    <row r="7424" spans="8:11" x14ac:dyDescent="0.3">
      <c r="H7424">
        <v>0.5</v>
      </c>
      <c r="I7424" s="11">
        <f t="shared" si="115"/>
        <v>0</v>
      </c>
      <c r="J7424" s="11">
        <f>1/(H7424*Utilities!$B$11)</f>
        <v>8</v>
      </c>
      <c r="K7424" s="11">
        <f>IF(B7424&lt;C7424,1,EXP(-1*(B7424-C7424)/(Utilities!$B$11*IterData!H7424)))</f>
        <v>1</v>
      </c>
    </row>
    <row r="7425" spans="8:11" x14ac:dyDescent="0.3">
      <c r="H7425">
        <v>0.5</v>
      </c>
      <c r="I7425" s="11">
        <f t="shared" si="115"/>
        <v>0</v>
      </c>
      <c r="J7425" s="11">
        <f>1/(H7425*Utilities!$B$11)</f>
        <v>8</v>
      </c>
      <c r="K7425" s="11">
        <f>IF(B7425&lt;C7425,1,EXP(-1*(B7425-C7425)/(Utilities!$B$11*IterData!H7425)))</f>
        <v>1</v>
      </c>
    </row>
    <row r="7426" spans="8:11" x14ac:dyDescent="0.3">
      <c r="H7426">
        <v>0.5</v>
      </c>
      <c r="I7426" s="11">
        <f t="shared" si="115"/>
        <v>0</v>
      </c>
      <c r="J7426" s="11">
        <f>1/(H7426*Utilities!$B$11)</f>
        <v>8</v>
      </c>
      <c r="K7426" s="11">
        <f>IF(B7426&lt;C7426,1,EXP(-1*(B7426-C7426)/(Utilities!$B$11*IterData!H7426)))</f>
        <v>1</v>
      </c>
    </row>
    <row r="7427" spans="8:11" x14ac:dyDescent="0.3">
      <c r="H7427">
        <v>0.5</v>
      </c>
      <c r="I7427" s="11">
        <f t="shared" ref="I7427:I7490" si="116">B7427-C7427</f>
        <v>0</v>
      </c>
      <c r="J7427" s="11">
        <f>1/(H7427*Utilities!$B$11)</f>
        <v>8</v>
      </c>
      <c r="K7427" s="11">
        <f>IF(B7427&lt;C7427,1,EXP(-1*(B7427-C7427)/(Utilities!$B$11*IterData!H7427)))</f>
        <v>1</v>
      </c>
    </row>
    <row r="7428" spans="8:11" x14ac:dyDescent="0.3">
      <c r="H7428">
        <v>0.5</v>
      </c>
      <c r="I7428" s="11">
        <f t="shared" si="116"/>
        <v>0</v>
      </c>
      <c r="J7428" s="11">
        <f>1/(H7428*Utilities!$B$11)</f>
        <v>8</v>
      </c>
      <c r="K7428" s="11">
        <f>IF(B7428&lt;C7428,1,EXP(-1*(B7428-C7428)/(Utilities!$B$11*IterData!H7428)))</f>
        <v>1</v>
      </c>
    </row>
    <row r="7429" spans="8:11" x14ac:dyDescent="0.3">
      <c r="H7429">
        <v>0.5</v>
      </c>
      <c r="I7429" s="11">
        <f t="shared" si="116"/>
        <v>0</v>
      </c>
      <c r="J7429" s="11">
        <f>1/(H7429*Utilities!$B$11)</f>
        <v>8</v>
      </c>
      <c r="K7429" s="11">
        <f>IF(B7429&lt;C7429,1,EXP(-1*(B7429-C7429)/(Utilities!$B$11*IterData!H7429)))</f>
        <v>1</v>
      </c>
    </row>
    <row r="7430" spans="8:11" x14ac:dyDescent="0.3">
      <c r="H7430">
        <v>0.5</v>
      </c>
      <c r="I7430" s="11">
        <f t="shared" si="116"/>
        <v>0</v>
      </c>
      <c r="J7430" s="11">
        <f>1/(H7430*Utilities!$B$11)</f>
        <v>8</v>
      </c>
      <c r="K7430" s="11">
        <f>IF(B7430&lt;C7430,1,EXP(-1*(B7430-C7430)/(Utilities!$B$11*IterData!H7430)))</f>
        <v>1</v>
      </c>
    </row>
    <row r="7431" spans="8:11" x14ac:dyDescent="0.3">
      <c r="H7431">
        <v>0.5</v>
      </c>
      <c r="I7431" s="11">
        <f t="shared" si="116"/>
        <v>0</v>
      </c>
      <c r="J7431" s="11">
        <f>1/(H7431*Utilities!$B$11)</f>
        <v>8</v>
      </c>
      <c r="K7431" s="11">
        <f>IF(B7431&lt;C7431,1,EXP(-1*(B7431-C7431)/(Utilities!$B$11*IterData!H7431)))</f>
        <v>1</v>
      </c>
    </row>
    <row r="7432" spans="8:11" x14ac:dyDescent="0.3">
      <c r="H7432">
        <v>0.5</v>
      </c>
      <c r="I7432" s="11">
        <f t="shared" si="116"/>
        <v>0</v>
      </c>
      <c r="J7432" s="11">
        <f>1/(H7432*Utilities!$B$11)</f>
        <v>8</v>
      </c>
      <c r="K7432" s="11">
        <f>IF(B7432&lt;C7432,1,EXP(-1*(B7432-C7432)/(Utilities!$B$11*IterData!H7432)))</f>
        <v>1</v>
      </c>
    </row>
    <row r="7433" spans="8:11" x14ac:dyDescent="0.3">
      <c r="H7433">
        <v>0.5</v>
      </c>
      <c r="I7433" s="11">
        <f t="shared" si="116"/>
        <v>0</v>
      </c>
      <c r="J7433" s="11">
        <f>1/(H7433*Utilities!$B$11)</f>
        <v>8</v>
      </c>
      <c r="K7433" s="11">
        <f>IF(B7433&lt;C7433,1,EXP(-1*(B7433-C7433)/(Utilities!$B$11*IterData!H7433)))</f>
        <v>1</v>
      </c>
    </row>
    <row r="7434" spans="8:11" x14ac:dyDescent="0.3">
      <c r="H7434">
        <v>0.5</v>
      </c>
      <c r="I7434" s="11">
        <f t="shared" si="116"/>
        <v>0</v>
      </c>
      <c r="J7434" s="11">
        <f>1/(H7434*Utilities!$B$11)</f>
        <v>8</v>
      </c>
      <c r="K7434" s="11">
        <f>IF(B7434&lt;C7434,1,EXP(-1*(B7434-C7434)/(Utilities!$B$11*IterData!H7434)))</f>
        <v>1</v>
      </c>
    </row>
    <row r="7435" spans="8:11" x14ac:dyDescent="0.3">
      <c r="H7435">
        <v>0.5</v>
      </c>
      <c r="I7435" s="11">
        <f t="shared" si="116"/>
        <v>0</v>
      </c>
      <c r="J7435" s="11">
        <f>1/(H7435*Utilities!$B$11)</f>
        <v>8</v>
      </c>
      <c r="K7435" s="11">
        <f>IF(B7435&lt;C7435,1,EXP(-1*(B7435-C7435)/(Utilities!$B$11*IterData!H7435)))</f>
        <v>1</v>
      </c>
    </row>
    <row r="7436" spans="8:11" x14ac:dyDescent="0.3">
      <c r="H7436">
        <v>0.5</v>
      </c>
      <c r="I7436" s="11">
        <f t="shared" si="116"/>
        <v>0</v>
      </c>
      <c r="J7436" s="11">
        <f>1/(H7436*Utilities!$B$11)</f>
        <v>8</v>
      </c>
      <c r="K7436" s="11">
        <f>IF(B7436&lt;C7436,1,EXP(-1*(B7436-C7436)/(Utilities!$B$11*IterData!H7436)))</f>
        <v>1</v>
      </c>
    </row>
    <row r="7437" spans="8:11" x14ac:dyDescent="0.3">
      <c r="H7437">
        <v>0.5</v>
      </c>
      <c r="I7437" s="11">
        <f t="shared" si="116"/>
        <v>0</v>
      </c>
      <c r="J7437" s="11">
        <f>1/(H7437*Utilities!$B$11)</f>
        <v>8</v>
      </c>
      <c r="K7437" s="11">
        <f>IF(B7437&lt;C7437,1,EXP(-1*(B7437-C7437)/(Utilities!$B$11*IterData!H7437)))</f>
        <v>1</v>
      </c>
    </row>
    <row r="7438" spans="8:11" x14ac:dyDescent="0.3">
      <c r="H7438">
        <v>0.5</v>
      </c>
      <c r="I7438" s="11">
        <f t="shared" si="116"/>
        <v>0</v>
      </c>
      <c r="J7438" s="11">
        <f>1/(H7438*Utilities!$B$11)</f>
        <v>8</v>
      </c>
      <c r="K7438" s="11">
        <f>IF(B7438&lt;C7438,1,EXP(-1*(B7438-C7438)/(Utilities!$B$11*IterData!H7438)))</f>
        <v>1</v>
      </c>
    </row>
    <row r="7439" spans="8:11" x14ac:dyDescent="0.3">
      <c r="H7439">
        <v>0.5</v>
      </c>
      <c r="I7439" s="11">
        <f t="shared" si="116"/>
        <v>0</v>
      </c>
      <c r="J7439" s="11">
        <f>1/(H7439*Utilities!$B$11)</f>
        <v>8</v>
      </c>
      <c r="K7439" s="11">
        <f>IF(B7439&lt;C7439,1,EXP(-1*(B7439-C7439)/(Utilities!$B$11*IterData!H7439)))</f>
        <v>1</v>
      </c>
    </row>
    <row r="7440" spans="8:11" x14ac:dyDescent="0.3">
      <c r="H7440">
        <v>0.5</v>
      </c>
      <c r="I7440" s="11">
        <f t="shared" si="116"/>
        <v>0</v>
      </c>
      <c r="J7440" s="11">
        <f>1/(H7440*Utilities!$B$11)</f>
        <v>8</v>
      </c>
      <c r="K7440" s="11">
        <f>IF(B7440&lt;C7440,1,EXP(-1*(B7440-C7440)/(Utilities!$B$11*IterData!H7440)))</f>
        <v>1</v>
      </c>
    </row>
    <row r="7441" spans="8:11" x14ac:dyDescent="0.3">
      <c r="H7441">
        <v>0.5</v>
      </c>
      <c r="I7441" s="11">
        <f t="shared" si="116"/>
        <v>0</v>
      </c>
      <c r="J7441" s="11">
        <f>1/(H7441*Utilities!$B$11)</f>
        <v>8</v>
      </c>
      <c r="K7441" s="11">
        <f>IF(B7441&lt;C7441,1,EXP(-1*(B7441-C7441)/(Utilities!$B$11*IterData!H7441)))</f>
        <v>1</v>
      </c>
    </row>
    <row r="7442" spans="8:11" x14ac:dyDescent="0.3">
      <c r="H7442">
        <v>0.5</v>
      </c>
      <c r="I7442" s="11">
        <f t="shared" si="116"/>
        <v>0</v>
      </c>
      <c r="J7442" s="11">
        <f>1/(H7442*Utilities!$B$11)</f>
        <v>8</v>
      </c>
      <c r="K7442" s="11">
        <f>IF(B7442&lt;C7442,1,EXP(-1*(B7442-C7442)/(Utilities!$B$11*IterData!H7442)))</f>
        <v>1</v>
      </c>
    </row>
    <row r="7443" spans="8:11" x14ac:dyDescent="0.3">
      <c r="H7443">
        <v>0.5</v>
      </c>
      <c r="I7443" s="11">
        <f t="shared" si="116"/>
        <v>0</v>
      </c>
      <c r="J7443" s="11">
        <f>1/(H7443*Utilities!$B$11)</f>
        <v>8</v>
      </c>
      <c r="K7443" s="11">
        <f>IF(B7443&lt;C7443,1,EXP(-1*(B7443-C7443)/(Utilities!$B$11*IterData!H7443)))</f>
        <v>1</v>
      </c>
    </row>
    <row r="7444" spans="8:11" x14ac:dyDescent="0.3">
      <c r="H7444">
        <v>0.5</v>
      </c>
      <c r="I7444" s="11">
        <f t="shared" si="116"/>
        <v>0</v>
      </c>
      <c r="J7444" s="11">
        <f>1/(H7444*Utilities!$B$11)</f>
        <v>8</v>
      </c>
      <c r="K7444" s="11">
        <f>IF(B7444&lt;C7444,1,EXP(-1*(B7444-C7444)/(Utilities!$B$11*IterData!H7444)))</f>
        <v>1</v>
      </c>
    </row>
    <row r="7445" spans="8:11" x14ac:dyDescent="0.3">
      <c r="H7445">
        <v>0.5</v>
      </c>
      <c r="I7445" s="11">
        <f t="shared" si="116"/>
        <v>0</v>
      </c>
      <c r="J7445" s="11">
        <f>1/(H7445*Utilities!$B$11)</f>
        <v>8</v>
      </c>
      <c r="K7445" s="11">
        <f>IF(B7445&lt;C7445,1,EXP(-1*(B7445-C7445)/(Utilities!$B$11*IterData!H7445)))</f>
        <v>1</v>
      </c>
    </row>
    <row r="7446" spans="8:11" x14ac:dyDescent="0.3">
      <c r="H7446">
        <v>0.5</v>
      </c>
      <c r="I7446" s="11">
        <f t="shared" si="116"/>
        <v>0</v>
      </c>
      <c r="J7446" s="11">
        <f>1/(H7446*Utilities!$B$11)</f>
        <v>8</v>
      </c>
      <c r="K7446" s="11">
        <f>IF(B7446&lt;C7446,1,EXP(-1*(B7446-C7446)/(Utilities!$B$11*IterData!H7446)))</f>
        <v>1</v>
      </c>
    </row>
    <row r="7447" spans="8:11" x14ac:dyDescent="0.3">
      <c r="H7447">
        <v>0.5</v>
      </c>
      <c r="I7447" s="11">
        <f t="shared" si="116"/>
        <v>0</v>
      </c>
      <c r="J7447" s="11">
        <f>1/(H7447*Utilities!$B$11)</f>
        <v>8</v>
      </c>
      <c r="K7447" s="11">
        <f>IF(B7447&lt;C7447,1,EXP(-1*(B7447-C7447)/(Utilities!$B$11*IterData!H7447)))</f>
        <v>1</v>
      </c>
    </row>
    <row r="7448" spans="8:11" x14ac:dyDescent="0.3">
      <c r="H7448">
        <v>0.5</v>
      </c>
      <c r="I7448" s="11">
        <f t="shared" si="116"/>
        <v>0</v>
      </c>
      <c r="J7448" s="11">
        <f>1/(H7448*Utilities!$B$11)</f>
        <v>8</v>
      </c>
      <c r="K7448" s="11">
        <f>IF(B7448&lt;C7448,1,EXP(-1*(B7448-C7448)/(Utilities!$B$11*IterData!H7448)))</f>
        <v>1</v>
      </c>
    </row>
    <row r="7449" spans="8:11" x14ac:dyDescent="0.3">
      <c r="H7449">
        <v>0.5</v>
      </c>
      <c r="I7449" s="11">
        <f t="shared" si="116"/>
        <v>0</v>
      </c>
      <c r="J7449" s="11">
        <f>1/(H7449*Utilities!$B$11)</f>
        <v>8</v>
      </c>
      <c r="K7449" s="11">
        <f>IF(B7449&lt;C7449,1,EXP(-1*(B7449-C7449)/(Utilities!$B$11*IterData!H7449)))</f>
        <v>1</v>
      </c>
    </row>
    <row r="7450" spans="8:11" x14ac:dyDescent="0.3">
      <c r="H7450">
        <v>0.5</v>
      </c>
      <c r="I7450" s="11">
        <f t="shared" si="116"/>
        <v>0</v>
      </c>
      <c r="J7450" s="11">
        <f>1/(H7450*Utilities!$B$11)</f>
        <v>8</v>
      </c>
      <c r="K7450" s="11">
        <f>IF(B7450&lt;C7450,1,EXP(-1*(B7450-C7450)/(Utilities!$B$11*IterData!H7450)))</f>
        <v>1</v>
      </c>
    </row>
    <row r="7451" spans="8:11" x14ac:dyDescent="0.3">
      <c r="H7451">
        <v>0.5</v>
      </c>
      <c r="I7451" s="11">
        <f t="shared" si="116"/>
        <v>0</v>
      </c>
      <c r="J7451" s="11">
        <f>1/(H7451*Utilities!$B$11)</f>
        <v>8</v>
      </c>
      <c r="K7451" s="11">
        <f>IF(B7451&lt;C7451,1,EXP(-1*(B7451-C7451)/(Utilities!$B$11*IterData!H7451)))</f>
        <v>1</v>
      </c>
    </row>
    <row r="7452" spans="8:11" x14ac:dyDescent="0.3">
      <c r="H7452">
        <v>0.5</v>
      </c>
      <c r="I7452" s="11">
        <f t="shared" si="116"/>
        <v>0</v>
      </c>
      <c r="J7452" s="11">
        <f>1/(H7452*Utilities!$B$11)</f>
        <v>8</v>
      </c>
      <c r="K7452" s="11">
        <f>IF(B7452&lt;C7452,1,EXP(-1*(B7452-C7452)/(Utilities!$B$11*IterData!H7452)))</f>
        <v>1</v>
      </c>
    </row>
    <row r="7453" spans="8:11" x14ac:dyDescent="0.3">
      <c r="H7453">
        <v>0.5</v>
      </c>
      <c r="I7453" s="11">
        <f t="shared" si="116"/>
        <v>0</v>
      </c>
      <c r="J7453" s="11">
        <f>1/(H7453*Utilities!$B$11)</f>
        <v>8</v>
      </c>
      <c r="K7453" s="11">
        <f>IF(B7453&lt;C7453,1,EXP(-1*(B7453-C7453)/(Utilities!$B$11*IterData!H7453)))</f>
        <v>1</v>
      </c>
    </row>
    <row r="7454" spans="8:11" x14ac:dyDescent="0.3">
      <c r="H7454">
        <v>0.5</v>
      </c>
      <c r="I7454" s="11">
        <f t="shared" si="116"/>
        <v>0</v>
      </c>
      <c r="J7454" s="11">
        <f>1/(H7454*Utilities!$B$11)</f>
        <v>8</v>
      </c>
      <c r="K7454" s="11">
        <f>IF(B7454&lt;C7454,1,EXP(-1*(B7454-C7454)/(Utilities!$B$11*IterData!H7454)))</f>
        <v>1</v>
      </c>
    </row>
    <row r="7455" spans="8:11" x14ac:dyDescent="0.3">
      <c r="H7455">
        <v>0.5</v>
      </c>
      <c r="I7455" s="11">
        <f t="shared" si="116"/>
        <v>0</v>
      </c>
      <c r="J7455" s="11">
        <f>1/(H7455*Utilities!$B$11)</f>
        <v>8</v>
      </c>
      <c r="K7455" s="11">
        <f>IF(B7455&lt;C7455,1,EXP(-1*(B7455-C7455)/(Utilities!$B$11*IterData!H7455)))</f>
        <v>1</v>
      </c>
    </row>
    <row r="7456" spans="8:11" x14ac:dyDescent="0.3">
      <c r="H7456">
        <v>0.5</v>
      </c>
      <c r="I7456" s="11">
        <f t="shared" si="116"/>
        <v>0</v>
      </c>
      <c r="J7456" s="11">
        <f>1/(H7456*Utilities!$B$11)</f>
        <v>8</v>
      </c>
      <c r="K7456" s="11">
        <f>IF(B7456&lt;C7456,1,EXP(-1*(B7456-C7456)/(Utilities!$B$11*IterData!H7456)))</f>
        <v>1</v>
      </c>
    </row>
    <row r="7457" spans="8:11" x14ac:dyDescent="0.3">
      <c r="H7457">
        <v>0.5</v>
      </c>
      <c r="I7457" s="11">
        <f t="shared" si="116"/>
        <v>0</v>
      </c>
      <c r="J7457" s="11">
        <f>1/(H7457*Utilities!$B$11)</f>
        <v>8</v>
      </c>
      <c r="K7457" s="11">
        <f>IF(B7457&lt;C7457,1,EXP(-1*(B7457-C7457)/(Utilities!$B$11*IterData!H7457)))</f>
        <v>1</v>
      </c>
    </row>
    <row r="7458" spans="8:11" x14ac:dyDescent="0.3">
      <c r="H7458">
        <v>0.5</v>
      </c>
      <c r="I7458" s="11">
        <f t="shared" si="116"/>
        <v>0</v>
      </c>
      <c r="J7458" s="11">
        <f>1/(H7458*Utilities!$B$11)</f>
        <v>8</v>
      </c>
      <c r="K7458" s="11">
        <f>IF(B7458&lt;C7458,1,EXP(-1*(B7458-C7458)/(Utilities!$B$11*IterData!H7458)))</f>
        <v>1</v>
      </c>
    </row>
    <row r="7459" spans="8:11" x14ac:dyDescent="0.3">
      <c r="H7459">
        <v>0.5</v>
      </c>
      <c r="I7459" s="11">
        <f t="shared" si="116"/>
        <v>0</v>
      </c>
      <c r="J7459" s="11">
        <f>1/(H7459*Utilities!$B$11)</f>
        <v>8</v>
      </c>
      <c r="K7459" s="11">
        <f>IF(B7459&lt;C7459,1,EXP(-1*(B7459-C7459)/(Utilities!$B$11*IterData!H7459)))</f>
        <v>1</v>
      </c>
    </row>
    <row r="7460" spans="8:11" x14ac:dyDescent="0.3">
      <c r="H7460">
        <v>0.5</v>
      </c>
      <c r="I7460" s="11">
        <f t="shared" si="116"/>
        <v>0</v>
      </c>
      <c r="J7460" s="11">
        <f>1/(H7460*Utilities!$B$11)</f>
        <v>8</v>
      </c>
      <c r="K7460" s="11">
        <f>IF(B7460&lt;C7460,1,EXP(-1*(B7460-C7460)/(Utilities!$B$11*IterData!H7460)))</f>
        <v>1</v>
      </c>
    </row>
    <row r="7461" spans="8:11" x14ac:dyDescent="0.3">
      <c r="H7461">
        <v>0.5</v>
      </c>
      <c r="I7461" s="11">
        <f t="shared" si="116"/>
        <v>0</v>
      </c>
      <c r="J7461" s="11">
        <f>1/(H7461*Utilities!$B$11)</f>
        <v>8</v>
      </c>
      <c r="K7461" s="11">
        <f>IF(B7461&lt;C7461,1,EXP(-1*(B7461-C7461)/(Utilities!$B$11*IterData!H7461)))</f>
        <v>1</v>
      </c>
    </row>
    <row r="7462" spans="8:11" x14ac:dyDescent="0.3">
      <c r="H7462">
        <v>0.5</v>
      </c>
      <c r="I7462" s="11">
        <f t="shared" si="116"/>
        <v>0</v>
      </c>
      <c r="J7462" s="11">
        <f>1/(H7462*Utilities!$B$11)</f>
        <v>8</v>
      </c>
      <c r="K7462" s="11">
        <f>IF(B7462&lt;C7462,1,EXP(-1*(B7462-C7462)/(Utilities!$B$11*IterData!H7462)))</f>
        <v>1</v>
      </c>
    </row>
    <row r="7463" spans="8:11" x14ac:dyDescent="0.3">
      <c r="H7463">
        <v>0.5</v>
      </c>
      <c r="I7463" s="11">
        <f t="shared" si="116"/>
        <v>0</v>
      </c>
      <c r="J7463" s="11">
        <f>1/(H7463*Utilities!$B$11)</f>
        <v>8</v>
      </c>
      <c r="K7463" s="11">
        <f>IF(B7463&lt;C7463,1,EXP(-1*(B7463-C7463)/(Utilities!$B$11*IterData!H7463)))</f>
        <v>1</v>
      </c>
    </row>
    <row r="7464" spans="8:11" x14ac:dyDescent="0.3">
      <c r="H7464">
        <v>0.5</v>
      </c>
      <c r="I7464" s="11">
        <f t="shared" si="116"/>
        <v>0</v>
      </c>
      <c r="J7464" s="11">
        <f>1/(H7464*Utilities!$B$11)</f>
        <v>8</v>
      </c>
      <c r="K7464" s="11">
        <f>IF(B7464&lt;C7464,1,EXP(-1*(B7464-C7464)/(Utilities!$B$11*IterData!H7464)))</f>
        <v>1</v>
      </c>
    </row>
    <row r="7465" spans="8:11" x14ac:dyDescent="0.3">
      <c r="H7465">
        <v>0.5</v>
      </c>
      <c r="I7465" s="11">
        <f t="shared" si="116"/>
        <v>0</v>
      </c>
      <c r="J7465" s="11">
        <f>1/(H7465*Utilities!$B$11)</f>
        <v>8</v>
      </c>
      <c r="K7465" s="11">
        <f>IF(B7465&lt;C7465,1,EXP(-1*(B7465-C7465)/(Utilities!$B$11*IterData!H7465)))</f>
        <v>1</v>
      </c>
    </row>
    <row r="7466" spans="8:11" x14ac:dyDescent="0.3">
      <c r="H7466">
        <v>0.5</v>
      </c>
      <c r="I7466" s="11">
        <f t="shared" si="116"/>
        <v>0</v>
      </c>
      <c r="J7466" s="11">
        <f>1/(H7466*Utilities!$B$11)</f>
        <v>8</v>
      </c>
      <c r="K7466" s="11">
        <f>IF(B7466&lt;C7466,1,EXP(-1*(B7466-C7466)/(Utilities!$B$11*IterData!H7466)))</f>
        <v>1</v>
      </c>
    </row>
    <row r="7467" spans="8:11" x14ac:dyDescent="0.3">
      <c r="H7467">
        <v>0.5</v>
      </c>
      <c r="I7467" s="11">
        <f t="shared" si="116"/>
        <v>0</v>
      </c>
      <c r="J7467" s="11">
        <f>1/(H7467*Utilities!$B$11)</f>
        <v>8</v>
      </c>
      <c r="K7467" s="11">
        <f>IF(B7467&lt;C7467,1,EXP(-1*(B7467-C7467)/(Utilities!$B$11*IterData!H7467)))</f>
        <v>1</v>
      </c>
    </row>
    <row r="7468" spans="8:11" x14ac:dyDescent="0.3">
      <c r="H7468">
        <v>0.5</v>
      </c>
      <c r="I7468" s="11">
        <f t="shared" si="116"/>
        <v>0</v>
      </c>
      <c r="J7468" s="11">
        <f>1/(H7468*Utilities!$B$11)</f>
        <v>8</v>
      </c>
      <c r="K7468" s="11">
        <f>IF(B7468&lt;C7468,1,EXP(-1*(B7468-C7468)/(Utilities!$B$11*IterData!H7468)))</f>
        <v>1</v>
      </c>
    </row>
    <row r="7469" spans="8:11" x14ac:dyDescent="0.3">
      <c r="H7469">
        <v>0.5</v>
      </c>
      <c r="I7469" s="11">
        <f t="shared" si="116"/>
        <v>0</v>
      </c>
      <c r="J7469" s="11">
        <f>1/(H7469*Utilities!$B$11)</f>
        <v>8</v>
      </c>
      <c r="K7469" s="11">
        <f>IF(B7469&lt;C7469,1,EXP(-1*(B7469-C7469)/(Utilities!$B$11*IterData!H7469)))</f>
        <v>1</v>
      </c>
    </row>
    <row r="7470" spans="8:11" x14ac:dyDescent="0.3">
      <c r="H7470">
        <v>0.5</v>
      </c>
      <c r="I7470" s="11">
        <f t="shared" si="116"/>
        <v>0</v>
      </c>
      <c r="J7470" s="11">
        <f>1/(H7470*Utilities!$B$11)</f>
        <v>8</v>
      </c>
      <c r="K7470" s="11">
        <f>IF(B7470&lt;C7470,1,EXP(-1*(B7470-C7470)/(Utilities!$B$11*IterData!H7470)))</f>
        <v>1</v>
      </c>
    </row>
    <row r="7471" spans="8:11" x14ac:dyDescent="0.3">
      <c r="H7471">
        <v>0.5</v>
      </c>
      <c r="I7471" s="11">
        <f t="shared" si="116"/>
        <v>0</v>
      </c>
      <c r="J7471" s="11">
        <f>1/(H7471*Utilities!$B$11)</f>
        <v>8</v>
      </c>
      <c r="K7471" s="11">
        <f>IF(B7471&lt;C7471,1,EXP(-1*(B7471-C7471)/(Utilities!$B$11*IterData!H7471)))</f>
        <v>1</v>
      </c>
    </row>
    <row r="7472" spans="8:11" x14ac:dyDescent="0.3">
      <c r="H7472">
        <v>0.5</v>
      </c>
      <c r="I7472" s="11">
        <f t="shared" si="116"/>
        <v>0</v>
      </c>
      <c r="J7472" s="11">
        <f>1/(H7472*Utilities!$B$11)</f>
        <v>8</v>
      </c>
      <c r="K7472" s="11">
        <f>IF(B7472&lt;C7472,1,EXP(-1*(B7472-C7472)/(Utilities!$B$11*IterData!H7472)))</f>
        <v>1</v>
      </c>
    </row>
    <row r="7473" spans="8:11" x14ac:dyDescent="0.3">
      <c r="H7473">
        <v>0.5</v>
      </c>
      <c r="I7473" s="11">
        <f t="shared" si="116"/>
        <v>0</v>
      </c>
      <c r="J7473" s="11">
        <f>1/(H7473*Utilities!$B$11)</f>
        <v>8</v>
      </c>
      <c r="K7473" s="11">
        <f>IF(B7473&lt;C7473,1,EXP(-1*(B7473-C7473)/(Utilities!$B$11*IterData!H7473)))</f>
        <v>1</v>
      </c>
    </row>
    <row r="7474" spans="8:11" x14ac:dyDescent="0.3">
      <c r="H7474">
        <v>0.5</v>
      </c>
      <c r="I7474" s="11">
        <f t="shared" si="116"/>
        <v>0</v>
      </c>
      <c r="J7474" s="11">
        <f>1/(H7474*Utilities!$B$11)</f>
        <v>8</v>
      </c>
      <c r="K7474" s="11">
        <f>IF(B7474&lt;C7474,1,EXP(-1*(B7474-C7474)/(Utilities!$B$11*IterData!H7474)))</f>
        <v>1</v>
      </c>
    </row>
    <row r="7475" spans="8:11" x14ac:dyDescent="0.3">
      <c r="H7475">
        <v>0.5</v>
      </c>
      <c r="I7475" s="11">
        <f t="shared" si="116"/>
        <v>0</v>
      </c>
      <c r="J7475" s="11">
        <f>1/(H7475*Utilities!$B$11)</f>
        <v>8</v>
      </c>
      <c r="K7475" s="11">
        <f>IF(B7475&lt;C7475,1,EXP(-1*(B7475-C7475)/(Utilities!$B$11*IterData!H7475)))</f>
        <v>1</v>
      </c>
    </row>
    <row r="7476" spans="8:11" x14ac:dyDescent="0.3">
      <c r="H7476">
        <v>0.5</v>
      </c>
      <c r="I7476" s="11">
        <f t="shared" si="116"/>
        <v>0</v>
      </c>
      <c r="J7476" s="11">
        <f>1/(H7476*Utilities!$B$11)</f>
        <v>8</v>
      </c>
      <c r="K7476" s="11">
        <f>IF(B7476&lt;C7476,1,EXP(-1*(B7476-C7476)/(Utilities!$B$11*IterData!H7476)))</f>
        <v>1</v>
      </c>
    </row>
    <row r="7477" spans="8:11" x14ac:dyDescent="0.3">
      <c r="H7477">
        <v>0.5</v>
      </c>
      <c r="I7477" s="11">
        <f t="shared" si="116"/>
        <v>0</v>
      </c>
      <c r="J7477" s="11">
        <f>1/(H7477*Utilities!$B$11)</f>
        <v>8</v>
      </c>
      <c r="K7477" s="11">
        <f>IF(B7477&lt;C7477,1,EXP(-1*(B7477-C7477)/(Utilities!$B$11*IterData!H7477)))</f>
        <v>1</v>
      </c>
    </row>
    <row r="7478" spans="8:11" x14ac:dyDescent="0.3">
      <c r="H7478">
        <v>0.5</v>
      </c>
      <c r="I7478" s="11">
        <f t="shared" si="116"/>
        <v>0</v>
      </c>
      <c r="J7478" s="11">
        <f>1/(H7478*Utilities!$B$11)</f>
        <v>8</v>
      </c>
      <c r="K7478" s="11">
        <f>IF(B7478&lt;C7478,1,EXP(-1*(B7478-C7478)/(Utilities!$B$11*IterData!H7478)))</f>
        <v>1</v>
      </c>
    </row>
    <row r="7479" spans="8:11" x14ac:dyDescent="0.3">
      <c r="H7479">
        <v>0.5</v>
      </c>
      <c r="I7479" s="11">
        <f t="shared" si="116"/>
        <v>0</v>
      </c>
      <c r="J7479" s="11">
        <f>1/(H7479*Utilities!$B$11)</f>
        <v>8</v>
      </c>
      <c r="K7479" s="11">
        <f>IF(B7479&lt;C7479,1,EXP(-1*(B7479-C7479)/(Utilities!$B$11*IterData!H7479)))</f>
        <v>1</v>
      </c>
    </row>
    <row r="7480" spans="8:11" x14ac:dyDescent="0.3">
      <c r="H7480">
        <v>0.5</v>
      </c>
      <c r="I7480" s="11">
        <f t="shared" si="116"/>
        <v>0</v>
      </c>
      <c r="J7480" s="11">
        <f>1/(H7480*Utilities!$B$11)</f>
        <v>8</v>
      </c>
      <c r="K7480" s="11">
        <f>IF(B7480&lt;C7480,1,EXP(-1*(B7480-C7480)/(Utilities!$B$11*IterData!H7480)))</f>
        <v>1</v>
      </c>
    </row>
    <row r="7481" spans="8:11" x14ac:dyDescent="0.3">
      <c r="H7481">
        <v>0.5</v>
      </c>
      <c r="I7481" s="11">
        <f t="shared" si="116"/>
        <v>0</v>
      </c>
      <c r="J7481" s="11">
        <f>1/(H7481*Utilities!$B$11)</f>
        <v>8</v>
      </c>
      <c r="K7481" s="11">
        <f>IF(B7481&lt;C7481,1,EXP(-1*(B7481-C7481)/(Utilities!$B$11*IterData!H7481)))</f>
        <v>1</v>
      </c>
    </row>
    <row r="7482" spans="8:11" x14ac:dyDescent="0.3">
      <c r="H7482">
        <v>0.5</v>
      </c>
      <c r="I7482" s="11">
        <f t="shared" si="116"/>
        <v>0</v>
      </c>
      <c r="J7482" s="11">
        <f>1/(H7482*Utilities!$B$11)</f>
        <v>8</v>
      </c>
      <c r="K7482" s="11">
        <f>IF(B7482&lt;C7482,1,EXP(-1*(B7482-C7482)/(Utilities!$B$11*IterData!H7482)))</f>
        <v>1</v>
      </c>
    </row>
    <row r="7483" spans="8:11" x14ac:dyDescent="0.3">
      <c r="H7483">
        <v>0.5</v>
      </c>
      <c r="I7483" s="11">
        <f t="shared" si="116"/>
        <v>0</v>
      </c>
      <c r="J7483" s="11">
        <f>1/(H7483*Utilities!$B$11)</f>
        <v>8</v>
      </c>
      <c r="K7483" s="11">
        <f>IF(B7483&lt;C7483,1,EXP(-1*(B7483-C7483)/(Utilities!$B$11*IterData!H7483)))</f>
        <v>1</v>
      </c>
    </row>
    <row r="7484" spans="8:11" x14ac:dyDescent="0.3">
      <c r="H7484">
        <v>0.5</v>
      </c>
      <c r="I7484" s="11">
        <f t="shared" si="116"/>
        <v>0</v>
      </c>
      <c r="J7484" s="11">
        <f>1/(H7484*Utilities!$B$11)</f>
        <v>8</v>
      </c>
      <c r="K7484" s="11">
        <f>IF(B7484&lt;C7484,1,EXP(-1*(B7484-C7484)/(Utilities!$B$11*IterData!H7484)))</f>
        <v>1</v>
      </c>
    </row>
    <row r="7485" spans="8:11" x14ac:dyDescent="0.3">
      <c r="H7485">
        <v>0.5</v>
      </c>
      <c r="I7485" s="11">
        <f t="shared" si="116"/>
        <v>0</v>
      </c>
      <c r="J7485" s="11">
        <f>1/(H7485*Utilities!$B$11)</f>
        <v>8</v>
      </c>
      <c r="K7485" s="11">
        <f>IF(B7485&lt;C7485,1,EXP(-1*(B7485-C7485)/(Utilities!$B$11*IterData!H7485)))</f>
        <v>1</v>
      </c>
    </row>
    <row r="7486" spans="8:11" x14ac:dyDescent="0.3">
      <c r="H7486">
        <v>0.5</v>
      </c>
      <c r="I7486" s="11">
        <f t="shared" si="116"/>
        <v>0</v>
      </c>
      <c r="J7486" s="11">
        <f>1/(H7486*Utilities!$B$11)</f>
        <v>8</v>
      </c>
      <c r="K7486" s="11">
        <f>IF(B7486&lt;C7486,1,EXP(-1*(B7486-C7486)/(Utilities!$B$11*IterData!H7486)))</f>
        <v>1</v>
      </c>
    </row>
    <row r="7487" spans="8:11" x14ac:dyDescent="0.3">
      <c r="H7487">
        <v>0.5</v>
      </c>
      <c r="I7487" s="11">
        <f t="shared" si="116"/>
        <v>0</v>
      </c>
      <c r="J7487" s="11">
        <f>1/(H7487*Utilities!$B$11)</f>
        <v>8</v>
      </c>
      <c r="K7487" s="11">
        <f>IF(B7487&lt;C7487,1,EXP(-1*(B7487-C7487)/(Utilities!$B$11*IterData!H7487)))</f>
        <v>1</v>
      </c>
    </row>
    <row r="7488" spans="8:11" x14ac:dyDescent="0.3">
      <c r="H7488">
        <v>0.5</v>
      </c>
      <c r="I7488" s="11">
        <f t="shared" si="116"/>
        <v>0</v>
      </c>
      <c r="J7488" s="11">
        <f>1/(H7488*Utilities!$B$11)</f>
        <v>8</v>
      </c>
      <c r="K7488" s="11">
        <f>IF(B7488&lt;C7488,1,EXP(-1*(B7488-C7488)/(Utilities!$B$11*IterData!H7488)))</f>
        <v>1</v>
      </c>
    </row>
    <row r="7489" spans="8:11" x14ac:dyDescent="0.3">
      <c r="H7489">
        <v>0.5</v>
      </c>
      <c r="I7489" s="11">
        <f t="shared" si="116"/>
        <v>0</v>
      </c>
      <c r="J7489" s="11">
        <f>1/(H7489*Utilities!$B$11)</f>
        <v>8</v>
      </c>
      <c r="K7489" s="11">
        <f>IF(B7489&lt;C7489,1,EXP(-1*(B7489-C7489)/(Utilities!$B$11*IterData!H7489)))</f>
        <v>1</v>
      </c>
    </row>
    <row r="7490" spans="8:11" x14ac:dyDescent="0.3">
      <c r="H7490">
        <v>0.5</v>
      </c>
      <c r="I7490" s="11">
        <f t="shared" si="116"/>
        <v>0</v>
      </c>
      <c r="J7490" s="11">
        <f>1/(H7490*Utilities!$B$11)</f>
        <v>8</v>
      </c>
      <c r="K7490" s="11">
        <f>IF(B7490&lt;C7490,1,EXP(-1*(B7490-C7490)/(Utilities!$B$11*IterData!H7490)))</f>
        <v>1</v>
      </c>
    </row>
    <row r="7491" spans="8:11" x14ac:dyDescent="0.3">
      <c r="H7491">
        <v>0.5</v>
      </c>
      <c r="I7491" s="11">
        <f t="shared" ref="I7491:I7554" si="117">B7491-C7491</f>
        <v>0</v>
      </c>
      <c r="J7491" s="11">
        <f>1/(H7491*Utilities!$B$11)</f>
        <v>8</v>
      </c>
      <c r="K7491" s="11">
        <f>IF(B7491&lt;C7491,1,EXP(-1*(B7491-C7491)/(Utilities!$B$11*IterData!H7491)))</f>
        <v>1</v>
      </c>
    </row>
    <row r="7492" spans="8:11" x14ac:dyDescent="0.3">
      <c r="H7492">
        <v>0.5</v>
      </c>
      <c r="I7492" s="11">
        <f t="shared" si="117"/>
        <v>0</v>
      </c>
      <c r="J7492" s="11">
        <f>1/(H7492*Utilities!$B$11)</f>
        <v>8</v>
      </c>
      <c r="K7492" s="11">
        <f>IF(B7492&lt;C7492,1,EXP(-1*(B7492-C7492)/(Utilities!$B$11*IterData!H7492)))</f>
        <v>1</v>
      </c>
    </row>
    <row r="7493" spans="8:11" x14ac:dyDescent="0.3">
      <c r="H7493">
        <v>0.5</v>
      </c>
      <c r="I7493" s="11">
        <f t="shared" si="117"/>
        <v>0</v>
      </c>
      <c r="J7493" s="11">
        <f>1/(H7493*Utilities!$B$11)</f>
        <v>8</v>
      </c>
      <c r="K7493" s="11">
        <f>IF(B7493&lt;C7493,1,EXP(-1*(B7493-C7493)/(Utilities!$B$11*IterData!H7493)))</f>
        <v>1</v>
      </c>
    </row>
    <row r="7494" spans="8:11" x14ac:dyDescent="0.3">
      <c r="H7494">
        <v>0.5</v>
      </c>
      <c r="I7494" s="11">
        <f t="shared" si="117"/>
        <v>0</v>
      </c>
      <c r="J7494" s="11">
        <f>1/(H7494*Utilities!$B$11)</f>
        <v>8</v>
      </c>
      <c r="K7494" s="11">
        <f>IF(B7494&lt;C7494,1,EXP(-1*(B7494-C7494)/(Utilities!$B$11*IterData!H7494)))</f>
        <v>1</v>
      </c>
    </row>
    <row r="7495" spans="8:11" x14ac:dyDescent="0.3">
      <c r="H7495">
        <v>0.5</v>
      </c>
      <c r="I7495" s="11">
        <f t="shared" si="117"/>
        <v>0</v>
      </c>
      <c r="J7495" s="11">
        <f>1/(H7495*Utilities!$B$11)</f>
        <v>8</v>
      </c>
      <c r="K7495" s="11">
        <f>IF(B7495&lt;C7495,1,EXP(-1*(B7495-C7495)/(Utilities!$B$11*IterData!H7495)))</f>
        <v>1</v>
      </c>
    </row>
    <row r="7496" spans="8:11" x14ac:dyDescent="0.3">
      <c r="H7496">
        <v>0.5</v>
      </c>
      <c r="I7496" s="11">
        <f t="shared" si="117"/>
        <v>0</v>
      </c>
      <c r="J7496" s="11">
        <f>1/(H7496*Utilities!$B$11)</f>
        <v>8</v>
      </c>
      <c r="K7496" s="11">
        <f>IF(B7496&lt;C7496,1,EXP(-1*(B7496-C7496)/(Utilities!$B$11*IterData!H7496)))</f>
        <v>1</v>
      </c>
    </row>
    <row r="7497" spans="8:11" x14ac:dyDescent="0.3">
      <c r="H7497">
        <v>0.5</v>
      </c>
      <c r="I7497" s="11">
        <f t="shared" si="117"/>
        <v>0</v>
      </c>
      <c r="J7497" s="11">
        <f>1/(H7497*Utilities!$B$11)</f>
        <v>8</v>
      </c>
      <c r="K7497" s="11">
        <f>IF(B7497&lt;C7497,1,EXP(-1*(B7497-C7497)/(Utilities!$B$11*IterData!H7497)))</f>
        <v>1</v>
      </c>
    </row>
    <row r="7498" spans="8:11" x14ac:dyDescent="0.3">
      <c r="H7498">
        <v>0.5</v>
      </c>
      <c r="I7498" s="11">
        <f t="shared" si="117"/>
        <v>0</v>
      </c>
      <c r="J7498" s="11">
        <f>1/(H7498*Utilities!$B$11)</f>
        <v>8</v>
      </c>
      <c r="K7498" s="11">
        <f>IF(B7498&lt;C7498,1,EXP(-1*(B7498-C7498)/(Utilities!$B$11*IterData!H7498)))</f>
        <v>1</v>
      </c>
    </row>
    <row r="7499" spans="8:11" x14ac:dyDescent="0.3">
      <c r="H7499">
        <v>0.5</v>
      </c>
      <c r="I7499" s="11">
        <f t="shared" si="117"/>
        <v>0</v>
      </c>
      <c r="J7499" s="11">
        <f>1/(H7499*Utilities!$B$11)</f>
        <v>8</v>
      </c>
      <c r="K7499" s="11">
        <f>IF(B7499&lt;C7499,1,EXP(-1*(B7499-C7499)/(Utilities!$B$11*IterData!H7499)))</f>
        <v>1</v>
      </c>
    </row>
    <row r="7500" spans="8:11" x14ac:dyDescent="0.3">
      <c r="H7500">
        <v>0.5</v>
      </c>
      <c r="I7500" s="11">
        <f t="shared" si="117"/>
        <v>0</v>
      </c>
      <c r="J7500" s="11">
        <f>1/(H7500*Utilities!$B$11)</f>
        <v>8</v>
      </c>
      <c r="K7500" s="11">
        <f>IF(B7500&lt;C7500,1,EXP(-1*(B7500-C7500)/(Utilities!$B$11*IterData!H7500)))</f>
        <v>1</v>
      </c>
    </row>
    <row r="7501" spans="8:11" x14ac:dyDescent="0.3">
      <c r="H7501">
        <v>0.5</v>
      </c>
      <c r="I7501" s="11">
        <f t="shared" si="117"/>
        <v>0</v>
      </c>
      <c r="J7501" s="11">
        <f>1/(H7501*Utilities!$B$11)</f>
        <v>8</v>
      </c>
      <c r="K7501" s="11">
        <f>IF(B7501&lt;C7501,1,EXP(-1*(B7501-C7501)/(Utilities!$B$11*IterData!H7501)))</f>
        <v>1</v>
      </c>
    </row>
    <row r="7502" spans="8:11" x14ac:dyDescent="0.3">
      <c r="H7502">
        <v>0.5</v>
      </c>
      <c r="I7502" s="11">
        <f t="shared" si="117"/>
        <v>0</v>
      </c>
      <c r="J7502" s="11">
        <f>1/(H7502*Utilities!$B$11)</f>
        <v>8</v>
      </c>
      <c r="K7502" s="11">
        <f>IF(B7502&lt;C7502,1,EXP(-1*(B7502-C7502)/(Utilities!$B$11*IterData!H7502)))</f>
        <v>1</v>
      </c>
    </row>
    <row r="7503" spans="8:11" x14ac:dyDescent="0.3">
      <c r="H7503">
        <v>0.5</v>
      </c>
      <c r="I7503" s="11">
        <f t="shared" si="117"/>
        <v>0</v>
      </c>
      <c r="J7503" s="11">
        <f>1/(H7503*Utilities!$B$11)</f>
        <v>8</v>
      </c>
      <c r="K7503" s="11">
        <f>IF(B7503&lt;C7503,1,EXP(-1*(B7503-C7503)/(Utilities!$B$11*IterData!H7503)))</f>
        <v>1</v>
      </c>
    </row>
    <row r="7504" spans="8:11" x14ac:dyDescent="0.3">
      <c r="H7504">
        <v>0.5</v>
      </c>
      <c r="I7504" s="11">
        <f t="shared" si="117"/>
        <v>0</v>
      </c>
      <c r="J7504" s="11">
        <f>1/(H7504*Utilities!$B$11)</f>
        <v>8</v>
      </c>
      <c r="K7504" s="11">
        <f>IF(B7504&lt;C7504,1,EXP(-1*(B7504-C7504)/(Utilities!$B$11*IterData!H7504)))</f>
        <v>1</v>
      </c>
    </row>
    <row r="7505" spans="8:11" x14ac:dyDescent="0.3">
      <c r="H7505">
        <v>0.5</v>
      </c>
      <c r="I7505" s="11">
        <f t="shared" si="117"/>
        <v>0</v>
      </c>
      <c r="J7505" s="11">
        <f>1/(H7505*Utilities!$B$11)</f>
        <v>8</v>
      </c>
      <c r="K7505" s="11">
        <f>IF(B7505&lt;C7505,1,EXP(-1*(B7505-C7505)/(Utilities!$B$11*IterData!H7505)))</f>
        <v>1</v>
      </c>
    </row>
    <row r="7506" spans="8:11" x14ac:dyDescent="0.3">
      <c r="H7506">
        <v>0.5</v>
      </c>
      <c r="I7506" s="11">
        <f t="shared" si="117"/>
        <v>0</v>
      </c>
      <c r="J7506" s="11">
        <f>1/(H7506*Utilities!$B$11)</f>
        <v>8</v>
      </c>
      <c r="K7506" s="11">
        <f>IF(B7506&lt;C7506,1,EXP(-1*(B7506-C7506)/(Utilities!$B$11*IterData!H7506)))</f>
        <v>1</v>
      </c>
    </row>
    <row r="7507" spans="8:11" x14ac:dyDescent="0.3">
      <c r="H7507">
        <v>0.5</v>
      </c>
      <c r="I7507" s="11">
        <f t="shared" si="117"/>
        <v>0</v>
      </c>
      <c r="J7507" s="11">
        <f>1/(H7507*Utilities!$B$11)</f>
        <v>8</v>
      </c>
      <c r="K7507" s="11">
        <f>IF(B7507&lt;C7507,1,EXP(-1*(B7507-C7507)/(Utilities!$B$11*IterData!H7507)))</f>
        <v>1</v>
      </c>
    </row>
    <row r="7508" spans="8:11" x14ac:dyDescent="0.3">
      <c r="H7508">
        <v>0.5</v>
      </c>
      <c r="I7508" s="11">
        <f t="shared" si="117"/>
        <v>0</v>
      </c>
      <c r="J7508" s="11">
        <f>1/(H7508*Utilities!$B$11)</f>
        <v>8</v>
      </c>
      <c r="K7508" s="11">
        <f>IF(B7508&lt;C7508,1,EXP(-1*(B7508-C7508)/(Utilities!$B$11*IterData!H7508)))</f>
        <v>1</v>
      </c>
    </row>
    <row r="7509" spans="8:11" x14ac:dyDescent="0.3">
      <c r="H7509">
        <v>0.5</v>
      </c>
      <c r="I7509" s="11">
        <f t="shared" si="117"/>
        <v>0</v>
      </c>
      <c r="J7509" s="11">
        <f>1/(H7509*Utilities!$B$11)</f>
        <v>8</v>
      </c>
      <c r="K7509" s="11">
        <f>IF(B7509&lt;C7509,1,EXP(-1*(B7509-C7509)/(Utilities!$B$11*IterData!H7509)))</f>
        <v>1</v>
      </c>
    </row>
    <row r="7510" spans="8:11" x14ac:dyDescent="0.3">
      <c r="H7510">
        <v>0.5</v>
      </c>
      <c r="I7510" s="11">
        <f t="shared" si="117"/>
        <v>0</v>
      </c>
      <c r="J7510" s="11">
        <f>1/(H7510*Utilities!$B$11)</f>
        <v>8</v>
      </c>
      <c r="K7510" s="11">
        <f>IF(B7510&lt;C7510,1,EXP(-1*(B7510-C7510)/(Utilities!$B$11*IterData!H7510)))</f>
        <v>1</v>
      </c>
    </row>
    <row r="7511" spans="8:11" x14ac:dyDescent="0.3">
      <c r="H7511">
        <v>0.5</v>
      </c>
      <c r="I7511" s="11">
        <f t="shared" si="117"/>
        <v>0</v>
      </c>
      <c r="J7511" s="11">
        <f>1/(H7511*Utilities!$B$11)</f>
        <v>8</v>
      </c>
      <c r="K7511" s="11">
        <f>IF(B7511&lt;C7511,1,EXP(-1*(B7511-C7511)/(Utilities!$B$11*IterData!H7511)))</f>
        <v>1</v>
      </c>
    </row>
    <row r="7512" spans="8:11" x14ac:dyDescent="0.3">
      <c r="H7512">
        <v>0.5</v>
      </c>
      <c r="I7512" s="11">
        <f t="shared" si="117"/>
        <v>0</v>
      </c>
      <c r="J7512" s="11">
        <f>1/(H7512*Utilities!$B$11)</f>
        <v>8</v>
      </c>
      <c r="K7512" s="11">
        <f>IF(B7512&lt;C7512,1,EXP(-1*(B7512-C7512)/(Utilities!$B$11*IterData!H7512)))</f>
        <v>1</v>
      </c>
    </row>
    <row r="7513" spans="8:11" x14ac:dyDescent="0.3">
      <c r="H7513">
        <v>0.5</v>
      </c>
      <c r="I7513" s="11">
        <f t="shared" si="117"/>
        <v>0</v>
      </c>
      <c r="J7513" s="11">
        <f>1/(H7513*Utilities!$B$11)</f>
        <v>8</v>
      </c>
      <c r="K7513" s="11">
        <f>IF(B7513&lt;C7513,1,EXP(-1*(B7513-C7513)/(Utilities!$B$11*IterData!H7513)))</f>
        <v>1</v>
      </c>
    </row>
    <row r="7514" spans="8:11" x14ac:dyDescent="0.3">
      <c r="H7514">
        <v>0.5</v>
      </c>
      <c r="I7514" s="11">
        <f t="shared" si="117"/>
        <v>0</v>
      </c>
      <c r="J7514" s="11">
        <f>1/(H7514*Utilities!$B$11)</f>
        <v>8</v>
      </c>
      <c r="K7514" s="11">
        <f>IF(B7514&lt;C7514,1,EXP(-1*(B7514-C7514)/(Utilities!$B$11*IterData!H7514)))</f>
        <v>1</v>
      </c>
    </row>
    <row r="7515" spans="8:11" x14ac:dyDescent="0.3">
      <c r="H7515">
        <v>0.5</v>
      </c>
      <c r="I7515" s="11">
        <f t="shared" si="117"/>
        <v>0</v>
      </c>
      <c r="J7515" s="11">
        <f>1/(H7515*Utilities!$B$11)</f>
        <v>8</v>
      </c>
      <c r="K7515" s="11">
        <f>IF(B7515&lt;C7515,1,EXP(-1*(B7515-C7515)/(Utilities!$B$11*IterData!H7515)))</f>
        <v>1</v>
      </c>
    </row>
    <row r="7516" spans="8:11" x14ac:dyDescent="0.3">
      <c r="H7516">
        <v>0.5</v>
      </c>
      <c r="I7516" s="11">
        <f t="shared" si="117"/>
        <v>0</v>
      </c>
      <c r="J7516" s="11">
        <f>1/(H7516*Utilities!$B$11)</f>
        <v>8</v>
      </c>
      <c r="K7516" s="11">
        <f>IF(B7516&lt;C7516,1,EXP(-1*(B7516-C7516)/(Utilities!$B$11*IterData!H7516)))</f>
        <v>1</v>
      </c>
    </row>
    <row r="7517" spans="8:11" x14ac:dyDescent="0.3">
      <c r="H7517">
        <v>0.5</v>
      </c>
      <c r="I7517" s="11">
        <f t="shared" si="117"/>
        <v>0</v>
      </c>
      <c r="J7517" s="11">
        <f>1/(H7517*Utilities!$B$11)</f>
        <v>8</v>
      </c>
      <c r="K7517" s="11">
        <f>IF(B7517&lt;C7517,1,EXP(-1*(B7517-C7517)/(Utilities!$B$11*IterData!H7517)))</f>
        <v>1</v>
      </c>
    </row>
    <row r="7518" spans="8:11" x14ac:dyDescent="0.3">
      <c r="H7518">
        <v>0.5</v>
      </c>
      <c r="I7518" s="11">
        <f t="shared" si="117"/>
        <v>0</v>
      </c>
      <c r="J7518" s="11">
        <f>1/(H7518*Utilities!$B$11)</f>
        <v>8</v>
      </c>
      <c r="K7518" s="11">
        <f>IF(B7518&lt;C7518,1,EXP(-1*(B7518-C7518)/(Utilities!$B$11*IterData!H7518)))</f>
        <v>1</v>
      </c>
    </row>
    <row r="7519" spans="8:11" x14ac:dyDescent="0.3">
      <c r="H7519">
        <v>0.5</v>
      </c>
      <c r="I7519" s="11">
        <f t="shared" si="117"/>
        <v>0</v>
      </c>
      <c r="J7519" s="11">
        <f>1/(H7519*Utilities!$B$11)</f>
        <v>8</v>
      </c>
      <c r="K7519" s="11">
        <f>IF(B7519&lt;C7519,1,EXP(-1*(B7519-C7519)/(Utilities!$B$11*IterData!H7519)))</f>
        <v>1</v>
      </c>
    </row>
    <row r="7520" spans="8:11" x14ac:dyDescent="0.3">
      <c r="H7520">
        <v>0.5</v>
      </c>
      <c r="I7520" s="11">
        <f t="shared" si="117"/>
        <v>0</v>
      </c>
      <c r="J7520" s="11">
        <f>1/(H7520*Utilities!$B$11)</f>
        <v>8</v>
      </c>
      <c r="K7520" s="11">
        <f>IF(B7520&lt;C7520,1,EXP(-1*(B7520-C7520)/(Utilities!$B$11*IterData!H7520)))</f>
        <v>1</v>
      </c>
    </row>
    <row r="7521" spans="8:11" x14ac:dyDescent="0.3">
      <c r="H7521">
        <v>0.5</v>
      </c>
      <c r="I7521" s="11">
        <f t="shared" si="117"/>
        <v>0</v>
      </c>
      <c r="J7521" s="11">
        <f>1/(H7521*Utilities!$B$11)</f>
        <v>8</v>
      </c>
      <c r="K7521" s="11">
        <f>IF(B7521&lt;C7521,1,EXP(-1*(B7521-C7521)/(Utilities!$B$11*IterData!H7521)))</f>
        <v>1</v>
      </c>
    </row>
    <row r="7522" spans="8:11" x14ac:dyDescent="0.3">
      <c r="H7522">
        <v>0.5</v>
      </c>
      <c r="I7522" s="11">
        <f t="shared" si="117"/>
        <v>0</v>
      </c>
      <c r="J7522" s="11">
        <f>1/(H7522*Utilities!$B$11)</f>
        <v>8</v>
      </c>
      <c r="K7522" s="11">
        <f>IF(B7522&lt;C7522,1,EXP(-1*(B7522-C7522)/(Utilities!$B$11*IterData!H7522)))</f>
        <v>1</v>
      </c>
    </row>
    <row r="7523" spans="8:11" x14ac:dyDescent="0.3">
      <c r="H7523">
        <v>0.5</v>
      </c>
      <c r="I7523" s="11">
        <f t="shared" si="117"/>
        <v>0</v>
      </c>
      <c r="J7523" s="11">
        <f>1/(H7523*Utilities!$B$11)</f>
        <v>8</v>
      </c>
      <c r="K7523" s="11">
        <f>IF(B7523&lt;C7523,1,EXP(-1*(B7523-C7523)/(Utilities!$B$11*IterData!H7523)))</f>
        <v>1</v>
      </c>
    </row>
    <row r="7524" spans="8:11" x14ac:dyDescent="0.3">
      <c r="H7524">
        <v>0.5</v>
      </c>
      <c r="I7524" s="11">
        <f t="shared" si="117"/>
        <v>0</v>
      </c>
      <c r="J7524" s="11">
        <f>1/(H7524*Utilities!$B$11)</f>
        <v>8</v>
      </c>
      <c r="K7524" s="11">
        <f>IF(B7524&lt;C7524,1,EXP(-1*(B7524-C7524)/(Utilities!$B$11*IterData!H7524)))</f>
        <v>1</v>
      </c>
    </row>
    <row r="7525" spans="8:11" x14ac:dyDescent="0.3">
      <c r="H7525">
        <v>0.5</v>
      </c>
      <c r="I7525" s="11">
        <f t="shared" si="117"/>
        <v>0</v>
      </c>
      <c r="J7525" s="11">
        <f>1/(H7525*Utilities!$B$11)</f>
        <v>8</v>
      </c>
      <c r="K7525" s="11">
        <f>IF(B7525&lt;C7525,1,EXP(-1*(B7525-C7525)/(Utilities!$B$11*IterData!H7525)))</f>
        <v>1</v>
      </c>
    </row>
    <row r="7526" spans="8:11" x14ac:dyDescent="0.3">
      <c r="H7526">
        <v>0.5</v>
      </c>
      <c r="I7526" s="11">
        <f t="shared" si="117"/>
        <v>0</v>
      </c>
      <c r="J7526" s="11">
        <f>1/(H7526*Utilities!$B$11)</f>
        <v>8</v>
      </c>
      <c r="K7526" s="11">
        <f>IF(B7526&lt;C7526,1,EXP(-1*(B7526-C7526)/(Utilities!$B$11*IterData!H7526)))</f>
        <v>1</v>
      </c>
    </row>
    <row r="7527" spans="8:11" x14ac:dyDescent="0.3">
      <c r="H7527">
        <v>0.5</v>
      </c>
      <c r="I7527" s="11">
        <f t="shared" si="117"/>
        <v>0</v>
      </c>
      <c r="J7527" s="11">
        <f>1/(H7527*Utilities!$B$11)</f>
        <v>8</v>
      </c>
      <c r="K7527" s="11">
        <f>IF(B7527&lt;C7527,1,EXP(-1*(B7527-C7527)/(Utilities!$B$11*IterData!H7527)))</f>
        <v>1</v>
      </c>
    </row>
    <row r="7528" spans="8:11" x14ac:dyDescent="0.3">
      <c r="H7528">
        <v>0.5</v>
      </c>
      <c r="I7528" s="11">
        <f t="shared" si="117"/>
        <v>0</v>
      </c>
      <c r="J7528" s="11">
        <f>1/(H7528*Utilities!$B$11)</f>
        <v>8</v>
      </c>
      <c r="K7528" s="11">
        <f>IF(B7528&lt;C7528,1,EXP(-1*(B7528-C7528)/(Utilities!$B$11*IterData!H7528)))</f>
        <v>1</v>
      </c>
    </row>
    <row r="7529" spans="8:11" x14ac:dyDescent="0.3">
      <c r="H7529">
        <v>0.5</v>
      </c>
      <c r="I7529" s="11">
        <f t="shared" si="117"/>
        <v>0</v>
      </c>
      <c r="J7529" s="11">
        <f>1/(H7529*Utilities!$B$11)</f>
        <v>8</v>
      </c>
      <c r="K7529" s="11">
        <f>IF(B7529&lt;C7529,1,EXP(-1*(B7529-C7529)/(Utilities!$B$11*IterData!H7529)))</f>
        <v>1</v>
      </c>
    </row>
    <row r="7530" spans="8:11" x14ac:dyDescent="0.3">
      <c r="H7530">
        <v>0.5</v>
      </c>
      <c r="I7530" s="11">
        <f t="shared" si="117"/>
        <v>0</v>
      </c>
      <c r="J7530" s="11">
        <f>1/(H7530*Utilities!$B$11)</f>
        <v>8</v>
      </c>
      <c r="K7530" s="11">
        <f>IF(B7530&lt;C7530,1,EXP(-1*(B7530-C7530)/(Utilities!$B$11*IterData!H7530)))</f>
        <v>1</v>
      </c>
    </row>
    <row r="7531" spans="8:11" x14ac:dyDescent="0.3">
      <c r="H7531">
        <v>0.5</v>
      </c>
      <c r="I7531" s="11">
        <f t="shared" si="117"/>
        <v>0</v>
      </c>
      <c r="J7531" s="11">
        <f>1/(H7531*Utilities!$B$11)</f>
        <v>8</v>
      </c>
      <c r="K7531" s="11">
        <f>IF(B7531&lt;C7531,1,EXP(-1*(B7531-C7531)/(Utilities!$B$11*IterData!H7531)))</f>
        <v>1</v>
      </c>
    </row>
    <row r="7532" spans="8:11" x14ac:dyDescent="0.3">
      <c r="H7532">
        <v>0.5</v>
      </c>
      <c r="I7532" s="11">
        <f t="shared" si="117"/>
        <v>0</v>
      </c>
      <c r="J7532" s="11">
        <f>1/(H7532*Utilities!$B$11)</f>
        <v>8</v>
      </c>
      <c r="K7532" s="11">
        <f>IF(B7532&lt;C7532,1,EXP(-1*(B7532-C7532)/(Utilities!$B$11*IterData!H7532)))</f>
        <v>1</v>
      </c>
    </row>
    <row r="7533" spans="8:11" x14ac:dyDescent="0.3">
      <c r="H7533">
        <v>0.5</v>
      </c>
      <c r="I7533" s="11">
        <f t="shared" si="117"/>
        <v>0</v>
      </c>
      <c r="J7533" s="11">
        <f>1/(H7533*Utilities!$B$11)</f>
        <v>8</v>
      </c>
      <c r="K7533" s="11">
        <f>IF(B7533&lt;C7533,1,EXP(-1*(B7533-C7533)/(Utilities!$B$11*IterData!H7533)))</f>
        <v>1</v>
      </c>
    </row>
    <row r="7534" spans="8:11" x14ac:dyDescent="0.3">
      <c r="H7534">
        <v>0.5</v>
      </c>
      <c r="I7534" s="11">
        <f t="shared" si="117"/>
        <v>0</v>
      </c>
      <c r="J7534" s="11">
        <f>1/(H7534*Utilities!$B$11)</f>
        <v>8</v>
      </c>
      <c r="K7534" s="11">
        <f>IF(B7534&lt;C7534,1,EXP(-1*(B7534-C7534)/(Utilities!$B$11*IterData!H7534)))</f>
        <v>1</v>
      </c>
    </row>
    <row r="7535" spans="8:11" x14ac:dyDescent="0.3">
      <c r="H7535">
        <v>0.5</v>
      </c>
      <c r="I7535" s="11">
        <f t="shared" si="117"/>
        <v>0</v>
      </c>
      <c r="J7535" s="11">
        <f>1/(H7535*Utilities!$B$11)</f>
        <v>8</v>
      </c>
      <c r="K7535" s="11">
        <f>IF(B7535&lt;C7535,1,EXP(-1*(B7535-C7535)/(Utilities!$B$11*IterData!H7535)))</f>
        <v>1</v>
      </c>
    </row>
    <row r="7536" spans="8:11" x14ac:dyDescent="0.3">
      <c r="H7536">
        <v>0.5</v>
      </c>
      <c r="I7536" s="11">
        <f t="shared" si="117"/>
        <v>0</v>
      </c>
      <c r="J7536" s="11">
        <f>1/(H7536*Utilities!$B$11)</f>
        <v>8</v>
      </c>
      <c r="K7536" s="11">
        <f>IF(B7536&lt;C7536,1,EXP(-1*(B7536-C7536)/(Utilities!$B$11*IterData!H7536)))</f>
        <v>1</v>
      </c>
    </row>
    <row r="7537" spans="8:11" x14ac:dyDescent="0.3">
      <c r="H7537">
        <v>0.5</v>
      </c>
      <c r="I7537" s="11">
        <f t="shared" si="117"/>
        <v>0</v>
      </c>
      <c r="J7537" s="11">
        <f>1/(H7537*Utilities!$B$11)</f>
        <v>8</v>
      </c>
      <c r="K7537" s="11">
        <f>IF(B7537&lt;C7537,1,EXP(-1*(B7537-C7537)/(Utilities!$B$11*IterData!H7537)))</f>
        <v>1</v>
      </c>
    </row>
    <row r="7538" spans="8:11" x14ac:dyDescent="0.3">
      <c r="H7538">
        <v>0.5</v>
      </c>
      <c r="I7538" s="11">
        <f t="shared" si="117"/>
        <v>0</v>
      </c>
      <c r="J7538" s="11">
        <f>1/(H7538*Utilities!$B$11)</f>
        <v>8</v>
      </c>
      <c r="K7538" s="11">
        <f>IF(B7538&lt;C7538,1,EXP(-1*(B7538-C7538)/(Utilities!$B$11*IterData!H7538)))</f>
        <v>1</v>
      </c>
    </row>
    <row r="7539" spans="8:11" x14ac:dyDescent="0.3">
      <c r="H7539">
        <v>0.5</v>
      </c>
      <c r="I7539" s="11">
        <f t="shared" si="117"/>
        <v>0</v>
      </c>
      <c r="J7539" s="11">
        <f>1/(H7539*Utilities!$B$11)</f>
        <v>8</v>
      </c>
      <c r="K7539" s="11">
        <f>IF(B7539&lt;C7539,1,EXP(-1*(B7539-C7539)/(Utilities!$B$11*IterData!H7539)))</f>
        <v>1</v>
      </c>
    </row>
    <row r="7540" spans="8:11" x14ac:dyDescent="0.3">
      <c r="H7540">
        <v>0.5</v>
      </c>
      <c r="I7540" s="11">
        <f t="shared" si="117"/>
        <v>0</v>
      </c>
      <c r="J7540" s="11">
        <f>1/(H7540*Utilities!$B$11)</f>
        <v>8</v>
      </c>
      <c r="K7540" s="11">
        <f>IF(B7540&lt;C7540,1,EXP(-1*(B7540-C7540)/(Utilities!$B$11*IterData!H7540)))</f>
        <v>1</v>
      </c>
    </row>
    <row r="7541" spans="8:11" x14ac:dyDescent="0.3">
      <c r="H7541">
        <v>0.5</v>
      </c>
      <c r="I7541" s="11">
        <f t="shared" si="117"/>
        <v>0</v>
      </c>
      <c r="J7541" s="11">
        <f>1/(H7541*Utilities!$B$11)</f>
        <v>8</v>
      </c>
      <c r="K7541" s="11">
        <f>IF(B7541&lt;C7541,1,EXP(-1*(B7541-C7541)/(Utilities!$B$11*IterData!H7541)))</f>
        <v>1</v>
      </c>
    </row>
    <row r="7542" spans="8:11" x14ac:dyDescent="0.3">
      <c r="H7542">
        <v>0.5</v>
      </c>
      <c r="I7542" s="11">
        <f t="shared" si="117"/>
        <v>0</v>
      </c>
      <c r="J7542" s="11">
        <f>1/(H7542*Utilities!$B$11)</f>
        <v>8</v>
      </c>
      <c r="K7542" s="11">
        <f>IF(B7542&lt;C7542,1,EXP(-1*(B7542-C7542)/(Utilities!$B$11*IterData!H7542)))</f>
        <v>1</v>
      </c>
    </row>
    <row r="7543" spans="8:11" x14ac:dyDescent="0.3">
      <c r="H7543">
        <v>0.5</v>
      </c>
      <c r="I7543" s="11">
        <f t="shared" si="117"/>
        <v>0</v>
      </c>
      <c r="J7543" s="11">
        <f>1/(H7543*Utilities!$B$11)</f>
        <v>8</v>
      </c>
      <c r="K7543" s="11">
        <f>IF(B7543&lt;C7543,1,EXP(-1*(B7543-C7543)/(Utilities!$B$11*IterData!H7543)))</f>
        <v>1</v>
      </c>
    </row>
    <row r="7544" spans="8:11" x14ac:dyDescent="0.3">
      <c r="H7544">
        <v>0.5</v>
      </c>
      <c r="I7544" s="11">
        <f t="shared" si="117"/>
        <v>0</v>
      </c>
      <c r="J7544" s="11">
        <f>1/(H7544*Utilities!$B$11)</f>
        <v>8</v>
      </c>
      <c r="K7544" s="11">
        <f>IF(B7544&lt;C7544,1,EXP(-1*(B7544-C7544)/(Utilities!$B$11*IterData!H7544)))</f>
        <v>1</v>
      </c>
    </row>
    <row r="7545" spans="8:11" x14ac:dyDescent="0.3">
      <c r="H7545">
        <v>0.5</v>
      </c>
      <c r="I7545" s="11">
        <f t="shared" si="117"/>
        <v>0</v>
      </c>
      <c r="J7545" s="11">
        <f>1/(H7545*Utilities!$B$11)</f>
        <v>8</v>
      </c>
      <c r="K7545" s="11">
        <f>IF(B7545&lt;C7545,1,EXP(-1*(B7545-C7545)/(Utilities!$B$11*IterData!H7545)))</f>
        <v>1</v>
      </c>
    </row>
    <row r="7546" spans="8:11" x14ac:dyDescent="0.3">
      <c r="H7546">
        <v>0.5</v>
      </c>
      <c r="I7546" s="11">
        <f t="shared" si="117"/>
        <v>0</v>
      </c>
      <c r="J7546" s="11">
        <f>1/(H7546*Utilities!$B$11)</f>
        <v>8</v>
      </c>
      <c r="K7546" s="11">
        <f>IF(B7546&lt;C7546,1,EXP(-1*(B7546-C7546)/(Utilities!$B$11*IterData!H7546)))</f>
        <v>1</v>
      </c>
    </row>
    <row r="7547" spans="8:11" x14ac:dyDescent="0.3">
      <c r="H7547">
        <v>0.5</v>
      </c>
      <c r="I7547" s="11">
        <f t="shared" si="117"/>
        <v>0</v>
      </c>
      <c r="J7547" s="11">
        <f>1/(H7547*Utilities!$B$11)</f>
        <v>8</v>
      </c>
      <c r="K7547" s="11">
        <f>IF(B7547&lt;C7547,1,EXP(-1*(B7547-C7547)/(Utilities!$B$11*IterData!H7547)))</f>
        <v>1</v>
      </c>
    </row>
    <row r="7548" spans="8:11" x14ac:dyDescent="0.3">
      <c r="H7548">
        <v>0.5</v>
      </c>
      <c r="I7548" s="11">
        <f t="shared" si="117"/>
        <v>0</v>
      </c>
      <c r="J7548" s="11">
        <f>1/(H7548*Utilities!$B$11)</f>
        <v>8</v>
      </c>
      <c r="K7548" s="11">
        <f>IF(B7548&lt;C7548,1,EXP(-1*(B7548-C7548)/(Utilities!$B$11*IterData!H7548)))</f>
        <v>1</v>
      </c>
    </row>
    <row r="7549" spans="8:11" x14ac:dyDescent="0.3">
      <c r="H7549">
        <v>0.5</v>
      </c>
      <c r="I7549" s="11">
        <f t="shared" si="117"/>
        <v>0</v>
      </c>
      <c r="J7549" s="11">
        <f>1/(H7549*Utilities!$B$11)</f>
        <v>8</v>
      </c>
      <c r="K7549" s="11">
        <f>IF(B7549&lt;C7549,1,EXP(-1*(B7549-C7549)/(Utilities!$B$11*IterData!H7549)))</f>
        <v>1</v>
      </c>
    </row>
    <row r="7550" spans="8:11" x14ac:dyDescent="0.3">
      <c r="H7550">
        <v>0.5</v>
      </c>
      <c r="I7550" s="11">
        <f t="shared" si="117"/>
        <v>0</v>
      </c>
      <c r="J7550" s="11">
        <f>1/(H7550*Utilities!$B$11)</f>
        <v>8</v>
      </c>
      <c r="K7550" s="11">
        <f>IF(B7550&lt;C7550,1,EXP(-1*(B7550-C7550)/(Utilities!$B$11*IterData!H7550)))</f>
        <v>1</v>
      </c>
    </row>
    <row r="7551" spans="8:11" x14ac:dyDescent="0.3">
      <c r="H7551">
        <v>0.5</v>
      </c>
      <c r="I7551" s="11">
        <f t="shared" si="117"/>
        <v>0</v>
      </c>
      <c r="J7551" s="11">
        <f>1/(H7551*Utilities!$B$11)</f>
        <v>8</v>
      </c>
      <c r="K7551" s="11">
        <f>IF(B7551&lt;C7551,1,EXP(-1*(B7551-C7551)/(Utilities!$B$11*IterData!H7551)))</f>
        <v>1</v>
      </c>
    </row>
    <row r="7552" spans="8:11" x14ac:dyDescent="0.3">
      <c r="H7552">
        <v>0.5</v>
      </c>
      <c r="I7552" s="11">
        <f t="shared" si="117"/>
        <v>0</v>
      </c>
      <c r="J7552" s="11">
        <f>1/(H7552*Utilities!$B$11)</f>
        <v>8</v>
      </c>
      <c r="K7552" s="11">
        <f>IF(B7552&lt;C7552,1,EXP(-1*(B7552-C7552)/(Utilities!$B$11*IterData!H7552)))</f>
        <v>1</v>
      </c>
    </row>
    <row r="7553" spans="8:11" x14ac:dyDescent="0.3">
      <c r="H7553">
        <v>0.5</v>
      </c>
      <c r="I7553" s="11">
        <f t="shared" si="117"/>
        <v>0</v>
      </c>
      <c r="J7553" s="11">
        <f>1/(H7553*Utilities!$B$11)</f>
        <v>8</v>
      </c>
      <c r="K7553" s="11">
        <f>IF(B7553&lt;C7553,1,EXP(-1*(B7553-C7553)/(Utilities!$B$11*IterData!H7553)))</f>
        <v>1</v>
      </c>
    </row>
    <row r="7554" spans="8:11" x14ac:dyDescent="0.3">
      <c r="H7554">
        <v>0.5</v>
      </c>
      <c r="I7554" s="11">
        <f t="shared" si="117"/>
        <v>0</v>
      </c>
      <c r="J7554" s="11">
        <f>1/(H7554*Utilities!$B$11)</f>
        <v>8</v>
      </c>
      <c r="K7554" s="11">
        <f>IF(B7554&lt;C7554,1,EXP(-1*(B7554-C7554)/(Utilities!$B$11*IterData!H7554)))</f>
        <v>1</v>
      </c>
    </row>
    <row r="7555" spans="8:11" x14ac:dyDescent="0.3">
      <c r="H7555">
        <v>0.5</v>
      </c>
      <c r="I7555" s="11">
        <f t="shared" ref="I7555:I7618" si="118">B7555-C7555</f>
        <v>0</v>
      </c>
      <c r="J7555" s="11">
        <f>1/(H7555*Utilities!$B$11)</f>
        <v>8</v>
      </c>
      <c r="K7555" s="11">
        <f>IF(B7555&lt;C7555,1,EXP(-1*(B7555-C7555)/(Utilities!$B$11*IterData!H7555)))</f>
        <v>1</v>
      </c>
    </row>
    <row r="7556" spans="8:11" x14ac:dyDescent="0.3">
      <c r="H7556">
        <v>0.5</v>
      </c>
      <c r="I7556" s="11">
        <f t="shared" si="118"/>
        <v>0</v>
      </c>
      <c r="J7556" s="11">
        <f>1/(H7556*Utilities!$B$11)</f>
        <v>8</v>
      </c>
      <c r="K7556" s="11">
        <f>IF(B7556&lt;C7556,1,EXP(-1*(B7556-C7556)/(Utilities!$B$11*IterData!H7556)))</f>
        <v>1</v>
      </c>
    </row>
    <row r="7557" spans="8:11" x14ac:dyDescent="0.3">
      <c r="H7557">
        <v>0.5</v>
      </c>
      <c r="I7557" s="11">
        <f t="shared" si="118"/>
        <v>0</v>
      </c>
      <c r="J7557" s="11">
        <f>1/(H7557*Utilities!$B$11)</f>
        <v>8</v>
      </c>
      <c r="K7557" s="11">
        <f>IF(B7557&lt;C7557,1,EXP(-1*(B7557-C7557)/(Utilities!$B$11*IterData!H7557)))</f>
        <v>1</v>
      </c>
    </row>
    <row r="7558" spans="8:11" x14ac:dyDescent="0.3">
      <c r="H7558">
        <v>0.5</v>
      </c>
      <c r="I7558" s="11">
        <f t="shared" si="118"/>
        <v>0</v>
      </c>
      <c r="J7558" s="11">
        <f>1/(H7558*Utilities!$B$11)</f>
        <v>8</v>
      </c>
      <c r="K7558" s="11">
        <f>IF(B7558&lt;C7558,1,EXP(-1*(B7558-C7558)/(Utilities!$B$11*IterData!H7558)))</f>
        <v>1</v>
      </c>
    </row>
    <row r="7559" spans="8:11" x14ac:dyDescent="0.3">
      <c r="H7559">
        <v>0.5</v>
      </c>
      <c r="I7559" s="11">
        <f t="shared" si="118"/>
        <v>0</v>
      </c>
      <c r="J7559" s="11">
        <f>1/(H7559*Utilities!$B$11)</f>
        <v>8</v>
      </c>
      <c r="K7559" s="11">
        <f>IF(B7559&lt;C7559,1,EXP(-1*(B7559-C7559)/(Utilities!$B$11*IterData!H7559)))</f>
        <v>1</v>
      </c>
    </row>
    <row r="7560" spans="8:11" x14ac:dyDescent="0.3">
      <c r="H7560">
        <v>0.5</v>
      </c>
      <c r="I7560" s="11">
        <f t="shared" si="118"/>
        <v>0</v>
      </c>
      <c r="J7560" s="11">
        <f>1/(H7560*Utilities!$B$11)</f>
        <v>8</v>
      </c>
      <c r="K7560" s="11">
        <f>IF(B7560&lt;C7560,1,EXP(-1*(B7560-C7560)/(Utilities!$B$11*IterData!H7560)))</f>
        <v>1</v>
      </c>
    </row>
    <row r="7561" spans="8:11" x14ac:dyDescent="0.3">
      <c r="H7561">
        <v>0.5</v>
      </c>
      <c r="I7561" s="11">
        <f t="shared" si="118"/>
        <v>0</v>
      </c>
      <c r="J7561" s="11">
        <f>1/(H7561*Utilities!$B$11)</f>
        <v>8</v>
      </c>
      <c r="K7561" s="11">
        <f>IF(B7561&lt;C7561,1,EXP(-1*(B7561-C7561)/(Utilities!$B$11*IterData!H7561)))</f>
        <v>1</v>
      </c>
    </row>
    <row r="7562" spans="8:11" x14ac:dyDescent="0.3">
      <c r="H7562">
        <v>0.5</v>
      </c>
      <c r="I7562" s="11">
        <f t="shared" si="118"/>
        <v>0</v>
      </c>
      <c r="J7562" s="11">
        <f>1/(H7562*Utilities!$B$11)</f>
        <v>8</v>
      </c>
      <c r="K7562" s="11">
        <f>IF(B7562&lt;C7562,1,EXP(-1*(B7562-C7562)/(Utilities!$B$11*IterData!H7562)))</f>
        <v>1</v>
      </c>
    </row>
    <row r="7563" spans="8:11" x14ac:dyDescent="0.3">
      <c r="H7563">
        <v>0.5</v>
      </c>
      <c r="I7563" s="11">
        <f t="shared" si="118"/>
        <v>0</v>
      </c>
      <c r="J7563" s="11">
        <f>1/(H7563*Utilities!$B$11)</f>
        <v>8</v>
      </c>
      <c r="K7563" s="11">
        <f>IF(B7563&lt;C7563,1,EXP(-1*(B7563-C7563)/(Utilities!$B$11*IterData!H7563)))</f>
        <v>1</v>
      </c>
    </row>
    <row r="7564" spans="8:11" x14ac:dyDescent="0.3">
      <c r="H7564">
        <v>0.5</v>
      </c>
      <c r="I7564" s="11">
        <f t="shared" si="118"/>
        <v>0</v>
      </c>
      <c r="J7564" s="11">
        <f>1/(H7564*Utilities!$B$11)</f>
        <v>8</v>
      </c>
      <c r="K7564" s="11">
        <f>IF(B7564&lt;C7564,1,EXP(-1*(B7564-C7564)/(Utilities!$B$11*IterData!H7564)))</f>
        <v>1</v>
      </c>
    </row>
    <row r="7565" spans="8:11" x14ac:dyDescent="0.3">
      <c r="H7565">
        <v>0.5</v>
      </c>
      <c r="I7565" s="11">
        <f t="shared" si="118"/>
        <v>0</v>
      </c>
      <c r="J7565" s="11">
        <f>1/(H7565*Utilities!$B$11)</f>
        <v>8</v>
      </c>
      <c r="K7565" s="11">
        <f>IF(B7565&lt;C7565,1,EXP(-1*(B7565-C7565)/(Utilities!$B$11*IterData!H7565)))</f>
        <v>1</v>
      </c>
    </row>
    <row r="7566" spans="8:11" x14ac:dyDescent="0.3">
      <c r="H7566">
        <v>0.5</v>
      </c>
      <c r="I7566" s="11">
        <f t="shared" si="118"/>
        <v>0</v>
      </c>
      <c r="J7566" s="11">
        <f>1/(H7566*Utilities!$B$11)</f>
        <v>8</v>
      </c>
      <c r="K7566" s="11">
        <f>IF(B7566&lt;C7566,1,EXP(-1*(B7566-C7566)/(Utilities!$B$11*IterData!H7566)))</f>
        <v>1</v>
      </c>
    </row>
    <row r="7567" spans="8:11" x14ac:dyDescent="0.3">
      <c r="H7567">
        <v>0.5</v>
      </c>
      <c r="I7567" s="11">
        <f t="shared" si="118"/>
        <v>0</v>
      </c>
      <c r="J7567" s="11">
        <f>1/(H7567*Utilities!$B$11)</f>
        <v>8</v>
      </c>
      <c r="K7567" s="11">
        <f>IF(B7567&lt;C7567,1,EXP(-1*(B7567-C7567)/(Utilities!$B$11*IterData!H7567)))</f>
        <v>1</v>
      </c>
    </row>
    <row r="7568" spans="8:11" x14ac:dyDescent="0.3">
      <c r="H7568">
        <v>0.5</v>
      </c>
      <c r="I7568" s="11">
        <f t="shared" si="118"/>
        <v>0</v>
      </c>
      <c r="J7568" s="11">
        <f>1/(H7568*Utilities!$B$11)</f>
        <v>8</v>
      </c>
      <c r="K7568" s="11">
        <f>IF(B7568&lt;C7568,1,EXP(-1*(B7568-C7568)/(Utilities!$B$11*IterData!H7568)))</f>
        <v>1</v>
      </c>
    </row>
    <row r="7569" spans="8:11" x14ac:dyDescent="0.3">
      <c r="H7569">
        <v>0.5</v>
      </c>
      <c r="I7569" s="11">
        <f t="shared" si="118"/>
        <v>0</v>
      </c>
      <c r="J7569" s="11">
        <f>1/(H7569*Utilities!$B$11)</f>
        <v>8</v>
      </c>
      <c r="K7569" s="11">
        <f>IF(B7569&lt;C7569,1,EXP(-1*(B7569-C7569)/(Utilities!$B$11*IterData!H7569)))</f>
        <v>1</v>
      </c>
    </row>
    <row r="7570" spans="8:11" x14ac:dyDescent="0.3">
      <c r="H7570">
        <v>0.5</v>
      </c>
      <c r="I7570" s="11">
        <f t="shared" si="118"/>
        <v>0</v>
      </c>
      <c r="J7570" s="11">
        <f>1/(H7570*Utilities!$B$11)</f>
        <v>8</v>
      </c>
      <c r="K7570" s="11">
        <f>IF(B7570&lt;C7570,1,EXP(-1*(B7570-C7570)/(Utilities!$B$11*IterData!H7570)))</f>
        <v>1</v>
      </c>
    </row>
    <row r="7571" spans="8:11" x14ac:dyDescent="0.3">
      <c r="H7571">
        <v>0.5</v>
      </c>
      <c r="I7571" s="11">
        <f t="shared" si="118"/>
        <v>0</v>
      </c>
      <c r="J7571" s="11">
        <f>1/(H7571*Utilities!$B$11)</f>
        <v>8</v>
      </c>
      <c r="K7571" s="11">
        <f>IF(B7571&lt;C7571,1,EXP(-1*(B7571-C7571)/(Utilities!$B$11*IterData!H7571)))</f>
        <v>1</v>
      </c>
    </row>
    <row r="7572" spans="8:11" x14ac:dyDescent="0.3">
      <c r="H7572">
        <v>0.5</v>
      </c>
      <c r="I7572" s="11">
        <f t="shared" si="118"/>
        <v>0</v>
      </c>
      <c r="J7572" s="11">
        <f>1/(H7572*Utilities!$B$11)</f>
        <v>8</v>
      </c>
      <c r="K7572" s="11">
        <f>IF(B7572&lt;C7572,1,EXP(-1*(B7572-C7572)/(Utilities!$B$11*IterData!H7572)))</f>
        <v>1</v>
      </c>
    </row>
    <row r="7573" spans="8:11" x14ac:dyDescent="0.3">
      <c r="H7573">
        <v>0.5</v>
      </c>
      <c r="I7573" s="11">
        <f t="shared" si="118"/>
        <v>0</v>
      </c>
      <c r="J7573" s="11">
        <f>1/(H7573*Utilities!$B$11)</f>
        <v>8</v>
      </c>
      <c r="K7573" s="11">
        <f>IF(B7573&lt;C7573,1,EXP(-1*(B7573-C7573)/(Utilities!$B$11*IterData!H7573)))</f>
        <v>1</v>
      </c>
    </row>
    <row r="7574" spans="8:11" x14ac:dyDescent="0.3">
      <c r="H7574">
        <v>0.5</v>
      </c>
      <c r="I7574" s="11">
        <f t="shared" si="118"/>
        <v>0</v>
      </c>
      <c r="J7574" s="11">
        <f>1/(H7574*Utilities!$B$11)</f>
        <v>8</v>
      </c>
      <c r="K7574" s="11">
        <f>IF(B7574&lt;C7574,1,EXP(-1*(B7574-C7574)/(Utilities!$B$11*IterData!H7574)))</f>
        <v>1</v>
      </c>
    </row>
    <row r="7575" spans="8:11" x14ac:dyDescent="0.3">
      <c r="H7575">
        <v>0.5</v>
      </c>
      <c r="I7575" s="11">
        <f t="shared" si="118"/>
        <v>0</v>
      </c>
      <c r="J7575" s="11">
        <f>1/(H7575*Utilities!$B$11)</f>
        <v>8</v>
      </c>
      <c r="K7575" s="11">
        <f>IF(B7575&lt;C7575,1,EXP(-1*(B7575-C7575)/(Utilities!$B$11*IterData!H7575)))</f>
        <v>1</v>
      </c>
    </row>
    <row r="7576" spans="8:11" x14ac:dyDescent="0.3">
      <c r="H7576">
        <v>0.5</v>
      </c>
      <c r="I7576" s="11">
        <f t="shared" si="118"/>
        <v>0</v>
      </c>
      <c r="J7576" s="11">
        <f>1/(H7576*Utilities!$B$11)</f>
        <v>8</v>
      </c>
      <c r="K7576" s="11">
        <f>IF(B7576&lt;C7576,1,EXP(-1*(B7576-C7576)/(Utilities!$B$11*IterData!H7576)))</f>
        <v>1</v>
      </c>
    </row>
    <row r="7577" spans="8:11" x14ac:dyDescent="0.3">
      <c r="H7577">
        <v>0.5</v>
      </c>
      <c r="I7577" s="11">
        <f t="shared" si="118"/>
        <v>0</v>
      </c>
      <c r="J7577" s="11">
        <f>1/(H7577*Utilities!$B$11)</f>
        <v>8</v>
      </c>
      <c r="K7577" s="11">
        <f>IF(B7577&lt;C7577,1,EXP(-1*(B7577-C7577)/(Utilities!$B$11*IterData!H7577)))</f>
        <v>1</v>
      </c>
    </row>
    <row r="7578" spans="8:11" x14ac:dyDescent="0.3">
      <c r="H7578">
        <v>0.5</v>
      </c>
      <c r="I7578" s="11">
        <f t="shared" si="118"/>
        <v>0</v>
      </c>
      <c r="J7578" s="11">
        <f>1/(H7578*Utilities!$B$11)</f>
        <v>8</v>
      </c>
      <c r="K7578" s="11">
        <f>IF(B7578&lt;C7578,1,EXP(-1*(B7578-C7578)/(Utilities!$B$11*IterData!H7578)))</f>
        <v>1</v>
      </c>
    </row>
    <row r="7579" spans="8:11" x14ac:dyDescent="0.3">
      <c r="H7579">
        <v>0.5</v>
      </c>
      <c r="I7579" s="11">
        <f t="shared" si="118"/>
        <v>0</v>
      </c>
      <c r="J7579" s="11">
        <f>1/(H7579*Utilities!$B$11)</f>
        <v>8</v>
      </c>
      <c r="K7579" s="11">
        <f>IF(B7579&lt;C7579,1,EXP(-1*(B7579-C7579)/(Utilities!$B$11*IterData!H7579)))</f>
        <v>1</v>
      </c>
    </row>
    <row r="7580" spans="8:11" x14ac:dyDescent="0.3">
      <c r="H7580">
        <v>0.5</v>
      </c>
      <c r="I7580" s="11">
        <f t="shared" si="118"/>
        <v>0</v>
      </c>
      <c r="J7580" s="11">
        <f>1/(H7580*Utilities!$B$11)</f>
        <v>8</v>
      </c>
      <c r="K7580" s="11">
        <f>IF(B7580&lt;C7580,1,EXP(-1*(B7580-C7580)/(Utilities!$B$11*IterData!H7580)))</f>
        <v>1</v>
      </c>
    </row>
    <row r="7581" spans="8:11" x14ac:dyDescent="0.3">
      <c r="H7581">
        <v>0.5</v>
      </c>
      <c r="I7581" s="11">
        <f t="shared" si="118"/>
        <v>0</v>
      </c>
      <c r="J7581" s="11">
        <f>1/(H7581*Utilities!$B$11)</f>
        <v>8</v>
      </c>
      <c r="K7581" s="11">
        <f>IF(B7581&lt;C7581,1,EXP(-1*(B7581-C7581)/(Utilities!$B$11*IterData!H7581)))</f>
        <v>1</v>
      </c>
    </row>
    <row r="7582" spans="8:11" x14ac:dyDescent="0.3">
      <c r="H7582">
        <v>0.5</v>
      </c>
      <c r="I7582" s="11">
        <f t="shared" si="118"/>
        <v>0</v>
      </c>
      <c r="J7582" s="11">
        <f>1/(H7582*Utilities!$B$11)</f>
        <v>8</v>
      </c>
      <c r="K7582" s="11">
        <f>IF(B7582&lt;C7582,1,EXP(-1*(B7582-C7582)/(Utilities!$B$11*IterData!H7582)))</f>
        <v>1</v>
      </c>
    </row>
    <row r="7583" spans="8:11" x14ac:dyDescent="0.3">
      <c r="H7583">
        <v>0.5</v>
      </c>
      <c r="I7583" s="11">
        <f t="shared" si="118"/>
        <v>0</v>
      </c>
      <c r="J7583" s="11">
        <f>1/(H7583*Utilities!$B$11)</f>
        <v>8</v>
      </c>
      <c r="K7583" s="11">
        <f>IF(B7583&lt;C7583,1,EXP(-1*(B7583-C7583)/(Utilities!$B$11*IterData!H7583)))</f>
        <v>1</v>
      </c>
    </row>
    <row r="7584" spans="8:11" x14ac:dyDescent="0.3">
      <c r="H7584">
        <v>0.5</v>
      </c>
      <c r="I7584" s="11">
        <f t="shared" si="118"/>
        <v>0</v>
      </c>
      <c r="J7584" s="11">
        <f>1/(H7584*Utilities!$B$11)</f>
        <v>8</v>
      </c>
      <c r="K7584" s="11">
        <f>IF(B7584&lt;C7584,1,EXP(-1*(B7584-C7584)/(Utilities!$B$11*IterData!H7584)))</f>
        <v>1</v>
      </c>
    </row>
    <row r="7585" spans="8:11" x14ac:dyDescent="0.3">
      <c r="H7585">
        <v>0.5</v>
      </c>
      <c r="I7585" s="11">
        <f t="shared" si="118"/>
        <v>0</v>
      </c>
      <c r="J7585" s="11">
        <f>1/(H7585*Utilities!$B$11)</f>
        <v>8</v>
      </c>
      <c r="K7585" s="11">
        <f>IF(B7585&lt;C7585,1,EXP(-1*(B7585-C7585)/(Utilities!$B$11*IterData!H7585)))</f>
        <v>1</v>
      </c>
    </row>
    <row r="7586" spans="8:11" x14ac:dyDescent="0.3">
      <c r="H7586">
        <v>0.5</v>
      </c>
      <c r="I7586" s="11">
        <f t="shared" si="118"/>
        <v>0</v>
      </c>
      <c r="J7586" s="11">
        <f>1/(H7586*Utilities!$B$11)</f>
        <v>8</v>
      </c>
      <c r="K7586" s="11">
        <f>IF(B7586&lt;C7586,1,EXP(-1*(B7586-C7586)/(Utilities!$B$11*IterData!H7586)))</f>
        <v>1</v>
      </c>
    </row>
    <row r="7587" spans="8:11" x14ac:dyDescent="0.3">
      <c r="H7587">
        <v>0.5</v>
      </c>
      <c r="I7587" s="11">
        <f t="shared" si="118"/>
        <v>0</v>
      </c>
      <c r="J7587" s="11">
        <f>1/(H7587*Utilities!$B$11)</f>
        <v>8</v>
      </c>
      <c r="K7587" s="11">
        <f>IF(B7587&lt;C7587,1,EXP(-1*(B7587-C7587)/(Utilities!$B$11*IterData!H7587)))</f>
        <v>1</v>
      </c>
    </row>
    <row r="7588" spans="8:11" x14ac:dyDescent="0.3">
      <c r="H7588">
        <v>0.5</v>
      </c>
      <c r="I7588" s="11">
        <f t="shared" si="118"/>
        <v>0</v>
      </c>
      <c r="J7588" s="11">
        <f>1/(H7588*Utilities!$B$11)</f>
        <v>8</v>
      </c>
      <c r="K7588" s="11">
        <f>IF(B7588&lt;C7588,1,EXP(-1*(B7588-C7588)/(Utilities!$B$11*IterData!H7588)))</f>
        <v>1</v>
      </c>
    </row>
    <row r="7589" spans="8:11" x14ac:dyDescent="0.3">
      <c r="H7589">
        <v>0.5</v>
      </c>
      <c r="I7589" s="11">
        <f t="shared" si="118"/>
        <v>0</v>
      </c>
      <c r="J7589" s="11">
        <f>1/(H7589*Utilities!$B$11)</f>
        <v>8</v>
      </c>
      <c r="K7589" s="11">
        <f>IF(B7589&lt;C7589,1,EXP(-1*(B7589-C7589)/(Utilities!$B$11*IterData!H7589)))</f>
        <v>1</v>
      </c>
    </row>
    <row r="7590" spans="8:11" x14ac:dyDescent="0.3">
      <c r="H7590">
        <v>0.5</v>
      </c>
      <c r="I7590" s="11">
        <f t="shared" si="118"/>
        <v>0</v>
      </c>
      <c r="J7590" s="11">
        <f>1/(H7590*Utilities!$B$11)</f>
        <v>8</v>
      </c>
      <c r="K7590" s="11">
        <f>IF(B7590&lt;C7590,1,EXP(-1*(B7590-C7590)/(Utilities!$B$11*IterData!H7590)))</f>
        <v>1</v>
      </c>
    </row>
    <row r="7591" spans="8:11" x14ac:dyDescent="0.3">
      <c r="H7591">
        <v>0.5</v>
      </c>
      <c r="I7591" s="11">
        <f t="shared" si="118"/>
        <v>0</v>
      </c>
      <c r="J7591" s="11">
        <f>1/(H7591*Utilities!$B$11)</f>
        <v>8</v>
      </c>
      <c r="K7591" s="11">
        <f>IF(B7591&lt;C7591,1,EXP(-1*(B7591-C7591)/(Utilities!$B$11*IterData!H7591)))</f>
        <v>1</v>
      </c>
    </row>
    <row r="7592" spans="8:11" x14ac:dyDescent="0.3">
      <c r="H7592">
        <v>0.5</v>
      </c>
      <c r="I7592" s="11">
        <f t="shared" si="118"/>
        <v>0</v>
      </c>
      <c r="J7592" s="11">
        <f>1/(H7592*Utilities!$B$11)</f>
        <v>8</v>
      </c>
      <c r="K7592" s="11">
        <f>IF(B7592&lt;C7592,1,EXP(-1*(B7592-C7592)/(Utilities!$B$11*IterData!H7592)))</f>
        <v>1</v>
      </c>
    </row>
    <row r="7593" spans="8:11" x14ac:dyDescent="0.3">
      <c r="H7593">
        <v>0.5</v>
      </c>
      <c r="I7593" s="11">
        <f t="shared" si="118"/>
        <v>0</v>
      </c>
      <c r="J7593" s="11">
        <f>1/(H7593*Utilities!$B$11)</f>
        <v>8</v>
      </c>
      <c r="K7593" s="11">
        <f>IF(B7593&lt;C7593,1,EXP(-1*(B7593-C7593)/(Utilities!$B$11*IterData!H7593)))</f>
        <v>1</v>
      </c>
    </row>
    <row r="7594" spans="8:11" x14ac:dyDescent="0.3">
      <c r="H7594">
        <v>0.5</v>
      </c>
      <c r="I7594" s="11">
        <f t="shared" si="118"/>
        <v>0</v>
      </c>
      <c r="J7594" s="11">
        <f>1/(H7594*Utilities!$B$11)</f>
        <v>8</v>
      </c>
      <c r="K7594" s="11">
        <f>IF(B7594&lt;C7594,1,EXP(-1*(B7594-C7594)/(Utilities!$B$11*IterData!H7594)))</f>
        <v>1</v>
      </c>
    </row>
    <row r="7595" spans="8:11" x14ac:dyDescent="0.3">
      <c r="H7595">
        <v>0.5</v>
      </c>
      <c r="I7595" s="11">
        <f t="shared" si="118"/>
        <v>0</v>
      </c>
      <c r="J7595" s="11">
        <f>1/(H7595*Utilities!$B$11)</f>
        <v>8</v>
      </c>
      <c r="K7595" s="11">
        <f>IF(B7595&lt;C7595,1,EXP(-1*(B7595-C7595)/(Utilities!$B$11*IterData!H7595)))</f>
        <v>1</v>
      </c>
    </row>
    <row r="7596" spans="8:11" x14ac:dyDescent="0.3">
      <c r="H7596">
        <v>0.5</v>
      </c>
      <c r="I7596" s="11">
        <f t="shared" si="118"/>
        <v>0</v>
      </c>
      <c r="J7596" s="11">
        <f>1/(H7596*Utilities!$B$11)</f>
        <v>8</v>
      </c>
      <c r="K7596" s="11">
        <f>IF(B7596&lt;C7596,1,EXP(-1*(B7596-C7596)/(Utilities!$B$11*IterData!H7596)))</f>
        <v>1</v>
      </c>
    </row>
    <row r="7597" spans="8:11" x14ac:dyDescent="0.3">
      <c r="H7597">
        <v>0.5</v>
      </c>
      <c r="I7597" s="11">
        <f t="shared" si="118"/>
        <v>0</v>
      </c>
      <c r="J7597" s="11">
        <f>1/(H7597*Utilities!$B$11)</f>
        <v>8</v>
      </c>
      <c r="K7597" s="11">
        <f>IF(B7597&lt;C7597,1,EXP(-1*(B7597-C7597)/(Utilities!$B$11*IterData!H7597)))</f>
        <v>1</v>
      </c>
    </row>
    <row r="7598" spans="8:11" x14ac:dyDescent="0.3">
      <c r="H7598">
        <v>0.5</v>
      </c>
      <c r="I7598" s="11">
        <f t="shared" si="118"/>
        <v>0</v>
      </c>
      <c r="J7598" s="11">
        <f>1/(H7598*Utilities!$B$11)</f>
        <v>8</v>
      </c>
      <c r="K7598" s="11">
        <f>IF(B7598&lt;C7598,1,EXP(-1*(B7598-C7598)/(Utilities!$B$11*IterData!H7598)))</f>
        <v>1</v>
      </c>
    </row>
    <row r="7599" spans="8:11" x14ac:dyDescent="0.3">
      <c r="H7599">
        <v>0.5</v>
      </c>
      <c r="I7599" s="11">
        <f t="shared" si="118"/>
        <v>0</v>
      </c>
      <c r="J7599" s="11">
        <f>1/(H7599*Utilities!$B$11)</f>
        <v>8</v>
      </c>
      <c r="K7599" s="11">
        <f>IF(B7599&lt;C7599,1,EXP(-1*(B7599-C7599)/(Utilities!$B$11*IterData!H7599)))</f>
        <v>1</v>
      </c>
    </row>
    <row r="7600" spans="8:11" x14ac:dyDescent="0.3">
      <c r="H7600">
        <v>0.5</v>
      </c>
      <c r="I7600" s="11">
        <f t="shared" si="118"/>
        <v>0</v>
      </c>
      <c r="J7600" s="11">
        <f>1/(H7600*Utilities!$B$11)</f>
        <v>8</v>
      </c>
      <c r="K7600" s="11">
        <f>IF(B7600&lt;C7600,1,EXP(-1*(B7600-C7600)/(Utilities!$B$11*IterData!H7600)))</f>
        <v>1</v>
      </c>
    </row>
    <row r="7601" spans="8:11" x14ac:dyDescent="0.3">
      <c r="H7601">
        <v>0.5</v>
      </c>
      <c r="I7601" s="11">
        <f t="shared" si="118"/>
        <v>0</v>
      </c>
      <c r="J7601" s="11">
        <f>1/(H7601*Utilities!$B$11)</f>
        <v>8</v>
      </c>
      <c r="K7601" s="11">
        <f>IF(B7601&lt;C7601,1,EXP(-1*(B7601-C7601)/(Utilities!$B$11*IterData!H7601)))</f>
        <v>1</v>
      </c>
    </row>
    <row r="7602" spans="8:11" x14ac:dyDescent="0.3">
      <c r="H7602">
        <v>0.5</v>
      </c>
      <c r="I7602" s="11">
        <f t="shared" si="118"/>
        <v>0</v>
      </c>
      <c r="J7602" s="11">
        <f>1/(H7602*Utilities!$B$11)</f>
        <v>8</v>
      </c>
      <c r="K7602" s="11">
        <f>IF(B7602&lt;C7602,1,EXP(-1*(B7602-C7602)/(Utilities!$B$11*IterData!H7602)))</f>
        <v>1</v>
      </c>
    </row>
    <row r="7603" spans="8:11" x14ac:dyDescent="0.3">
      <c r="H7603">
        <v>0.5</v>
      </c>
      <c r="I7603" s="11">
        <f t="shared" si="118"/>
        <v>0</v>
      </c>
      <c r="J7603" s="11">
        <f>1/(H7603*Utilities!$B$11)</f>
        <v>8</v>
      </c>
      <c r="K7603" s="11">
        <f>IF(B7603&lt;C7603,1,EXP(-1*(B7603-C7603)/(Utilities!$B$11*IterData!H7603)))</f>
        <v>1</v>
      </c>
    </row>
    <row r="7604" spans="8:11" x14ac:dyDescent="0.3">
      <c r="H7604">
        <v>0.5</v>
      </c>
      <c r="I7604" s="11">
        <f t="shared" si="118"/>
        <v>0</v>
      </c>
      <c r="J7604" s="11">
        <f>1/(H7604*Utilities!$B$11)</f>
        <v>8</v>
      </c>
      <c r="K7604" s="11">
        <f>IF(B7604&lt;C7604,1,EXP(-1*(B7604-C7604)/(Utilities!$B$11*IterData!H7604)))</f>
        <v>1</v>
      </c>
    </row>
    <row r="7605" spans="8:11" x14ac:dyDescent="0.3">
      <c r="H7605">
        <v>0.5</v>
      </c>
      <c r="I7605" s="11">
        <f t="shared" si="118"/>
        <v>0</v>
      </c>
      <c r="J7605" s="11">
        <f>1/(H7605*Utilities!$B$11)</f>
        <v>8</v>
      </c>
      <c r="K7605" s="11">
        <f>IF(B7605&lt;C7605,1,EXP(-1*(B7605-C7605)/(Utilities!$B$11*IterData!H7605)))</f>
        <v>1</v>
      </c>
    </row>
    <row r="7606" spans="8:11" x14ac:dyDescent="0.3">
      <c r="H7606">
        <v>0.5</v>
      </c>
      <c r="I7606" s="11">
        <f t="shared" si="118"/>
        <v>0</v>
      </c>
      <c r="J7606" s="11">
        <f>1/(H7606*Utilities!$B$11)</f>
        <v>8</v>
      </c>
      <c r="K7606" s="11">
        <f>IF(B7606&lt;C7606,1,EXP(-1*(B7606-C7606)/(Utilities!$B$11*IterData!H7606)))</f>
        <v>1</v>
      </c>
    </row>
    <row r="7607" spans="8:11" x14ac:dyDescent="0.3">
      <c r="H7607">
        <v>0.5</v>
      </c>
      <c r="I7607" s="11">
        <f t="shared" si="118"/>
        <v>0</v>
      </c>
      <c r="J7607" s="11">
        <f>1/(H7607*Utilities!$B$11)</f>
        <v>8</v>
      </c>
      <c r="K7607" s="11">
        <f>IF(B7607&lt;C7607,1,EXP(-1*(B7607-C7607)/(Utilities!$B$11*IterData!H7607)))</f>
        <v>1</v>
      </c>
    </row>
    <row r="7608" spans="8:11" x14ac:dyDescent="0.3">
      <c r="H7608">
        <v>0.5</v>
      </c>
      <c r="I7608" s="11">
        <f t="shared" si="118"/>
        <v>0</v>
      </c>
      <c r="J7608" s="11">
        <f>1/(H7608*Utilities!$B$11)</f>
        <v>8</v>
      </c>
      <c r="K7608" s="11">
        <f>IF(B7608&lt;C7608,1,EXP(-1*(B7608-C7608)/(Utilities!$B$11*IterData!H7608)))</f>
        <v>1</v>
      </c>
    </row>
    <row r="7609" spans="8:11" x14ac:dyDescent="0.3">
      <c r="H7609">
        <v>0.5</v>
      </c>
      <c r="I7609" s="11">
        <f t="shared" si="118"/>
        <v>0</v>
      </c>
      <c r="J7609" s="11">
        <f>1/(H7609*Utilities!$B$11)</f>
        <v>8</v>
      </c>
      <c r="K7609" s="11">
        <f>IF(B7609&lt;C7609,1,EXP(-1*(B7609-C7609)/(Utilities!$B$11*IterData!H7609)))</f>
        <v>1</v>
      </c>
    </row>
    <row r="7610" spans="8:11" x14ac:dyDescent="0.3">
      <c r="H7610">
        <v>0.5</v>
      </c>
      <c r="I7610" s="11">
        <f t="shared" si="118"/>
        <v>0</v>
      </c>
      <c r="J7610" s="11">
        <f>1/(H7610*Utilities!$B$11)</f>
        <v>8</v>
      </c>
      <c r="K7610" s="11">
        <f>IF(B7610&lt;C7610,1,EXP(-1*(B7610-C7610)/(Utilities!$B$11*IterData!H7610)))</f>
        <v>1</v>
      </c>
    </row>
    <row r="7611" spans="8:11" x14ac:dyDescent="0.3">
      <c r="H7611">
        <v>0.5</v>
      </c>
      <c r="I7611" s="11">
        <f t="shared" si="118"/>
        <v>0</v>
      </c>
      <c r="J7611" s="11">
        <f>1/(H7611*Utilities!$B$11)</f>
        <v>8</v>
      </c>
      <c r="K7611" s="11">
        <f>IF(B7611&lt;C7611,1,EXP(-1*(B7611-C7611)/(Utilities!$B$11*IterData!H7611)))</f>
        <v>1</v>
      </c>
    </row>
    <row r="7612" spans="8:11" x14ac:dyDescent="0.3">
      <c r="H7612">
        <v>0.5</v>
      </c>
      <c r="I7612" s="11">
        <f t="shared" si="118"/>
        <v>0</v>
      </c>
      <c r="J7612" s="11">
        <f>1/(H7612*Utilities!$B$11)</f>
        <v>8</v>
      </c>
      <c r="K7612" s="11">
        <f>IF(B7612&lt;C7612,1,EXP(-1*(B7612-C7612)/(Utilities!$B$11*IterData!H7612)))</f>
        <v>1</v>
      </c>
    </row>
    <row r="7613" spans="8:11" x14ac:dyDescent="0.3">
      <c r="H7613">
        <v>0.5</v>
      </c>
      <c r="I7613" s="11">
        <f t="shared" si="118"/>
        <v>0</v>
      </c>
      <c r="J7613" s="11">
        <f>1/(H7613*Utilities!$B$11)</f>
        <v>8</v>
      </c>
      <c r="K7613" s="11">
        <f>IF(B7613&lt;C7613,1,EXP(-1*(B7613-C7613)/(Utilities!$B$11*IterData!H7613)))</f>
        <v>1</v>
      </c>
    </row>
    <row r="7614" spans="8:11" x14ac:dyDescent="0.3">
      <c r="H7614">
        <v>0.5</v>
      </c>
      <c r="I7614" s="11">
        <f t="shared" si="118"/>
        <v>0</v>
      </c>
      <c r="J7614" s="11">
        <f>1/(H7614*Utilities!$B$11)</f>
        <v>8</v>
      </c>
      <c r="K7614" s="11">
        <f>IF(B7614&lt;C7614,1,EXP(-1*(B7614-C7614)/(Utilities!$B$11*IterData!H7614)))</f>
        <v>1</v>
      </c>
    </row>
    <row r="7615" spans="8:11" x14ac:dyDescent="0.3">
      <c r="H7615">
        <v>0.5</v>
      </c>
      <c r="I7615" s="11">
        <f t="shared" si="118"/>
        <v>0</v>
      </c>
      <c r="J7615" s="11">
        <f>1/(H7615*Utilities!$B$11)</f>
        <v>8</v>
      </c>
      <c r="K7615" s="11">
        <f>IF(B7615&lt;C7615,1,EXP(-1*(B7615-C7615)/(Utilities!$B$11*IterData!H7615)))</f>
        <v>1</v>
      </c>
    </row>
    <row r="7616" spans="8:11" x14ac:dyDescent="0.3">
      <c r="H7616">
        <v>0.5</v>
      </c>
      <c r="I7616" s="11">
        <f t="shared" si="118"/>
        <v>0</v>
      </c>
      <c r="J7616" s="11">
        <f>1/(H7616*Utilities!$B$11)</f>
        <v>8</v>
      </c>
      <c r="K7616" s="11">
        <f>IF(B7616&lt;C7616,1,EXP(-1*(B7616-C7616)/(Utilities!$B$11*IterData!H7616)))</f>
        <v>1</v>
      </c>
    </row>
    <row r="7617" spans="8:11" x14ac:dyDescent="0.3">
      <c r="H7617">
        <v>0.5</v>
      </c>
      <c r="I7617" s="11">
        <f t="shared" si="118"/>
        <v>0</v>
      </c>
      <c r="J7617" s="11">
        <f>1/(H7617*Utilities!$B$11)</f>
        <v>8</v>
      </c>
      <c r="K7617" s="11">
        <f>IF(B7617&lt;C7617,1,EXP(-1*(B7617-C7617)/(Utilities!$B$11*IterData!H7617)))</f>
        <v>1</v>
      </c>
    </row>
    <row r="7618" spans="8:11" x14ac:dyDescent="0.3">
      <c r="H7618">
        <v>0.5</v>
      </c>
      <c r="I7618" s="11">
        <f t="shared" si="118"/>
        <v>0</v>
      </c>
      <c r="J7618" s="11">
        <f>1/(H7618*Utilities!$B$11)</f>
        <v>8</v>
      </c>
      <c r="K7618" s="11">
        <f>IF(B7618&lt;C7618,1,EXP(-1*(B7618-C7618)/(Utilities!$B$11*IterData!H7618)))</f>
        <v>1</v>
      </c>
    </row>
    <row r="7619" spans="8:11" x14ac:dyDescent="0.3">
      <c r="H7619">
        <v>0.5</v>
      </c>
      <c r="I7619" s="11">
        <f t="shared" ref="I7619:I7682" si="119">B7619-C7619</f>
        <v>0</v>
      </c>
      <c r="J7619" s="11">
        <f>1/(H7619*Utilities!$B$11)</f>
        <v>8</v>
      </c>
      <c r="K7619" s="11">
        <f>IF(B7619&lt;C7619,1,EXP(-1*(B7619-C7619)/(Utilities!$B$11*IterData!H7619)))</f>
        <v>1</v>
      </c>
    </row>
    <row r="7620" spans="8:11" x14ac:dyDescent="0.3">
      <c r="H7620">
        <v>0.5</v>
      </c>
      <c r="I7620" s="11">
        <f t="shared" si="119"/>
        <v>0</v>
      </c>
      <c r="J7620" s="11">
        <f>1/(H7620*Utilities!$B$11)</f>
        <v>8</v>
      </c>
      <c r="K7620" s="11">
        <f>IF(B7620&lt;C7620,1,EXP(-1*(B7620-C7620)/(Utilities!$B$11*IterData!H7620)))</f>
        <v>1</v>
      </c>
    </row>
    <row r="7621" spans="8:11" x14ac:dyDescent="0.3">
      <c r="H7621">
        <v>0.5</v>
      </c>
      <c r="I7621" s="11">
        <f t="shared" si="119"/>
        <v>0</v>
      </c>
      <c r="J7621" s="11">
        <f>1/(H7621*Utilities!$B$11)</f>
        <v>8</v>
      </c>
      <c r="K7621" s="11">
        <f>IF(B7621&lt;C7621,1,EXP(-1*(B7621-C7621)/(Utilities!$B$11*IterData!H7621)))</f>
        <v>1</v>
      </c>
    </row>
    <row r="7622" spans="8:11" x14ac:dyDescent="0.3">
      <c r="H7622">
        <v>0.5</v>
      </c>
      <c r="I7622" s="11">
        <f t="shared" si="119"/>
        <v>0</v>
      </c>
      <c r="J7622" s="11">
        <f>1/(H7622*Utilities!$B$11)</f>
        <v>8</v>
      </c>
      <c r="K7622" s="11">
        <f>IF(B7622&lt;C7622,1,EXP(-1*(B7622-C7622)/(Utilities!$B$11*IterData!H7622)))</f>
        <v>1</v>
      </c>
    </row>
    <row r="7623" spans="8:11" x14ac:dyDescent="0.3">
      <c r="H7623">
        <v>0.5</v>
      </c>
      <c r="I7623" s="11">
        <f t="shared" si="119"/>
        <v>0</v>
      </c>
      <c r="J7623" s="11">
        <f>1/(H7623*Utilities!$B$11)</f>
        <v>8</v>
      </c>
      <c r="K7623" s="11">
        <f>IF(B7623&lt;C7623,1,EXP(-1*(B7623-C7623)/(Utilities!$B$11*IterData!H7623)))</f>
        <v>1</v>
      </c>
    </row>
    <row r="7624" spans="8:11" x14ac:dyDescent="0.3">
      <c r="H7624">
        <v>0.5</v>
      </c>
      <c r="I7624" s="11">
        <f t="shared" si="119"/>
        <v>0</v>
      </c>
      <c r="J7624" s="11">
        <f>1/(H7624*Utilities!$B$11)</f>
        <v>8</v>
      </c>
      <c r="K7624" s="11">
        <f>IF(B7624&lt;C7624,1,EXP(-1*(B7624-C7624)/(Utilities!$B$11*IterData!H7624)))</f>
        <v>1</v>
      </c>
    </row>
    <row r="7625" spans="8:11" x14ac:dyDescent="0.3">
      <c r="H7625">
        <v>0.5</v>
      </c>
      <c r="I7625" s="11">
        <f t="shared" si="119"/>
        <v>0</v>
      </c>
      <c r="J7625" s="11">
        <f>1/(H7625*Utilities!$B$11)</f>
        <v>8</v>
      </c>
      <c r="K7625" s="11">
        <f>IF(B7625&lt;C7625,1,EXP(-1*(B7625-C7625)/(Utilities!$B$11*IterData!H7625)))</f>
        <v>1</v>
      </c>
    </row>
    <row r="7626" spans="8:11" x14ac:dyDescent="0.3">
      <c r="H7626">
        <v>0.5</v>
      </c>
      <c r="I7626" s="11">
        <f t="shared" si="119"/>
        <v>0</v>
      </c>
      <c r="J7626" s="11">
        <f>1/(H7626*Utilities!$B$11)</f>
        <v>8</v>
      </c>
      <c r="K7626" s="11">
        <f>IF(B7626&lt;C7626,1,EXP(-1*(B7626-C7626)/(Utilities!$B$11*IterData!H7626)))</f>
        <v>1</v>
      </c>
    </row>
    <row r="7627" spans="8:11" x14ac:dyDescent="0.3">
      <c r="H7627">
        <v>0.5</v>
      </c>
      <c r="I7627" s="11">
        <f t="shared" si="119"/>
        <v>0</v>
      </c>
      <c r="J7627" s="11">
        <f>1/(H7627*Utilities!$B$11)</f>
        <v>8</v>
      </c>
      <c r="K7627" s="11">
        <f>IF(B7627&lt;C7627,1,EXP(-1*(B7627-C7627)/(Utilities!$B$11*IterData!H7627)))</f>
        <v>1</v>
      </c>
    </row>
    <row r="7628" spans="8:11" x14ac:dyDescent="0.3">
      <c r="H7628">
        <v>0.5</v>
      </c>
      <c r="I7628" s="11">
        <f t="shared" si="119"/>
        <v>0</v>
      </c>
      <c r="J7628" s="11">
        <f>1/(H7628*Utilities!$B$11)</f>
        <v>8</v>
      </c>
      <c r="K7628" s="11">
        <f>IF(B7628&lt;C7628,1,EXP(-1*(B7628-C7628)/(Utilities!$B$11*IterData!H7628)))</f>
        <v>1</v>
      </c>
    </row>
    <row r="7629" spans="8:11" x14ac:dyDescent="0.3">
      <c r="H7629">
        <v>0.5</v>
      </c>
      <c r="I7629" s="11">
        <f t="shared" si="119"/>
        <v>0</v>
      </c>
      <c r="J7629" s="11">
        <f>1/(H7629*Utilities!$B$11)</f>
        <v>8</v>
      </c>
      <c r="K7629" s="11">
        <f>IF(B7629&lt;C7629,1,EXP(-1*(B7629-C7629)/(Utilities!$B$11*IterData!H7629)))</f>
        <v>1</v>
      </c>
    </row>
    <row r="7630" spans="8:11" x14ac:dyDescent="0.3">
      <c r="H7630">
        <v>0.5</v>
      </c>
      <c r="I7630" s="11">
        <f t="shared" si="119"/>
        <v>0</v>
      </c>
      <c r="J7630" s="11">
        <f>1/(H7630*Utilities!$B$11)</f>
        <v>8</v>
      </c>
      <c r="K7630" s="11">
        <f>IF(B7630&lt;C7630,1,EXP(-1*(B7630-C7630)/(Utilities!$B$11*IterData!H7630)))</f>
        <v>1</v>
      </c>
    </row>
    <row r="7631" spans="8:11" x14ac:dyDescent="0.3">
      <c r="H7631">
        <v>0.5</v>
      </c>
      <c r="I7631" s="11">
        <f t="shared" si="119"/>
        <v>0</v>
      </c>
      <c r="J7631" s="11">
        <f>1/(H7631*Utilities!$B$11)</f>
        <v>8</v>
      </c>
      <c r="K7631" s="11">
        <f>IF(B7631&lt;C7631,1,EXP(-1*(B7631-C7631)/(Utilities!$B$11*IterData!H7631)))</f>
        <v>1</v>
      </c>
    </row>
    <row r="7632" spans="8:11" x14ac:dyDescent="0.3">
      <c r="H7632">
        <v>0.5</v>
      </c>
      <c r="I7632" s="11">
        <f t="shared" si="119"/>
        <v>0</v>
      </c>
      <c r="J7632" s="11">
        <f>1/(H7632*Utilities!$B$11)</f>
        <v>8</v>
      </c>
      <c r="K7632" s="11">
        <f>IF(B7632&lt;C7632,1,EXP(-1*(B7632-C7632)/(Utilities!$B$11*IterData!H7632)))</f>
        <v>1</v>
      </c>
    </row>
    <row r="7633" spans="8:11" x14ac:dyDescent="0.3">
      <c r="H7633">
        <v>0.5</v>
      </c>
      <c r="I7633" s="11">
        <f t="shared" si="119"/>
        <v>0</v>
      </c>
      <c r="J7633" s="11">
        <f>1/(H7633*Utilities!$B$11)</f>
        <v>8</v>
      </c>
      <c r="K7633" s="11">
        <f>IF(B7633&lt;C7633,1,EXP(-1*(B7633-C7633)/(Utilities!$B$11*IterData!H7633)))</f>
        <v>1</v>
      </c>
    </row>
    <row r="7634" spans="8:11" x14ac:dyDescent="0.3">
      <c r="H7634">
        <v>0.5</v>
      </c>
      <c r="I7634" s="11">
        <f t="shared" si="119"/>
        <v>0</v>
      </c>
      <c r="J7634" s="11">
        <f>1/(H7634*Utilities!$B$11)</f>
        <v>8</v>
      </c>
      <c r="K7634" s="11">
        <f>IF(B7634&lt;C7634,1,EXP(-1*(B7634-C7634)/(Utilities!$B$11*IterData!H7634)))</f>
        <v>1</v>
      </c>
    </row>
    <row r="7635" spans="8:11" x14ac:dyDescent="0.3">
      <c r="H7635">
        <v>0.5</v>
      </c>
      <c r="I7635" s="11">
        <f t="shared" si="119"/>
        <v>0</v>
      </c>
      <c r="J7635" s="11">
        <f>1/(H7635*Utilities!$B$11)</f>
        <v>8</v>
      </c>
      <c r="K7635" s="11">
        <f>IF(B7635&lt;C7635,1,EXP(-1*(B7635-C7635)/(Utilities!$B$11*IterData!H7635)))</f>
        <v>1</v>
      </c>
    </row>
    <row r="7636" spans="8:11" x14ac:dyDescent="0.3">
      <c r="H7636">
        <v>0.5</v>
      </c>
      <c r="I7636" s="11">
        <f t="shared" si="119"/>
        <v>0</v>
      </c>
      <c r="J7636" s="11">
        <f>1/(H7636*Utilities!$B$11)</f>
        <v>8</v>
      </c>
      <c r="K7636" s="11">
        <f>IF(B7636&lt;C7636,1,EXP(-1*(B7636-C7636)/(Utilities!$B$11*IterData!H7636)))</f>
        <v>1</v>
      </c>
    </row>
    <row r="7637" spans="8:11" x14ac:dyDescent="0.3">
      <c r="H7637">
        <v>0.5</v>
      </c>
      <c r="I7637" s="11">
        <f t="shared" si="119"/>
        <v>0</v>
      </c>
      <c r="J7637" s="11">
        <f>1/(H7637*Utilities!$B$11)</f>
        <v>8</v>
      </c>
      <c r="K7637" s="11">
        <f>IF(B7637&lt;C7637,1,EXP(-1*(B7637-C7637)/(Utilities!$B$11*IterData!H7637)))</f>
        <v>1</v>
      </c>
    </row>
    <row r="7638" spans="8:11" x14ac:dyDescent="0.3">
      <c r="H7638">
        <v>0.5</v>
      </c>
      <c r="I7638" s="11">
        <f t="shared" si="119"/>
        <v>0</v>
      </c>
      <c r="J7638" s="11">
        <f>1/(H7638*Utilities!$B$11)</f>
        <v>8</v>
      </c>
      <c r="K7638" s="11">
        <f>IF(B7638&lt;C7638,1,EXP(-1*(B7638-C7638)/(Utilities!$B$11*IterData!H7638)))</f>
        <v>1</v>
      </c>
    </row>
    <row r="7639" spans="8:11" x14ac:dyDescent="0.3">
      <c r="H7639">
        <v>0.5</v>
      </c>
      <c r="I7639" s="11">
        <f t="shared" si="119"/>
        <v>0</v>
      </c>
      <c r="J7639" s="11">
        <f>1/(H7639*Utilities!$B$11)</f>
        <v>8</v>
      </c>
      <c r="K7639" s="11">
        <f>IF(B7639&lt;C7639,1,EXP(-1*(B7639-C7639)/(Utilities!$B$11*IterData!H7639)))</f>
        <v>1</v>
      </c>
    </row>
    <row r="7640" spans="8:11" x14ac:dyDescent="0.3">
      <c r="H7640">
        <v>0.5</v>
      </c>
      <c r="I7640" s="11">
        <f t="shared" si="119"/>
        <v>0</v>
      </c>
      <c r="J7640" s="11">
        <f>1/(H7640*Utilities!$B$11)</f>
        <v>8</v>
      </c>
      <c r="K7640" s="11">
        <f>IF(B7640&lt;C7640,1,EXP(-1*(B7640-C7640)/(Utilities!$B$11*IterData!H7640)))</f>
        <v>1</v>
      </c>
    </row>
    <row r="7641" spans="8:11" x14ac:dyDescent="0.3">
      <c r="H7641">
        <v>0.5</v>
      </c>
      <c r="I7641" s="11">
        <f t="shared" si="119"/>
        <v>0</v>
      </c>
      <c r="J7641" s="11">
        <f>1/(H7641*Utilities!$B$11)</f>
        <v>8</v>
      </c>
      <c r="K7641" s="11">
        <f>IF(B7641&lt;C7641,1,EXP(-1*(B7641-C7641)/(Utilities!$B$11*IterData!H7641)))</f>
        <v>1</v>
      </c>
    </row>
    <row r="7642" spans="8:11" x14ac:dyDescent="0.3">
      <c r="H7642">
        <v>0.5</v>
      </c>
      <c r="I7642" s="11">
        <f t="shared" si="119"/>
        <v>0</v>
      </c>
      <c r="J7642" s="11">
        <f>1/(H7642*Utilities!$B$11)</f>
        <v>8</v>
      </c>
      <c r="K7642" s="11">
        <f>IF(B7642&lt;C7642,1,EXP(-1*(B7642-C7642)/(Utilities!$B$11*IterData!H7642)))</f>
        <v>1</v>
      </c>
    </row>
    <row r="7643" spans="8:11" x14ac:dyDescent="0.3">
      <c r="H7643">
        <v>0.5</v>
      </c>
      <c r="I7643" s="11">
        <f t="shared" si="119"/>
        <v>0</v>
      </c>
      <c r="J7643" s="11">
        <f>1/(H7643*Utilities!$B$11)</f>
        <v>8</v>
      </c>
      <c r="K7643" s="11">
        <f>IF(B7643&lt;C7643,1,EXP(-1*(B7643-C7643)/(Utilities!$B$11*IterData!H7643)))</f>
        <v>1</v>
      </c>
    </row>
    <row r="7644" spans="8:11" x14ac:dyDescent="0.3">
      <c r="H7644">
        <v>0.5</v>
      </c>
      <c r="I7644" s="11">
        <f t="shared" si="119"/>
        <v>0</v>
      </c>
      <c r="J7644" s="11">
        <f>1/(H7644*Utilities!$B$11)</f>
        <v>8</v>
      </c>
      <c r="K7644" s="11">
        <f>IF(B7644&lt;C7644,1,EXP(-1*(B7644-C7644)/(Utilities!$B$11*IterData!H7644)))</f>
        <v>1</v>
      </c>
    </row>
    <row r="7645" spans="8:11" x14ac:dyDescent="0.3">
      <c r="H7645">
        <v>0.5</v>
      </c>
      <c r="I7645" s="11">
        <f t="shared" si="119"/>
        <v>0</v>
      </c>
      <c r="J7645" s="11">
        <f>1/(H7645*Utilities!$B$11)</f>
        <v>8</v>
      </c>
      <c r="K7645" s="11">
        <f>IF(B7645&lt;C7645,1,EXP(-1*(B7645-C7645)/(Utilities!$B$11*IterData!H7645)))</f>
        <v>1</v>
      </c>
    </row>
    <row r="7646" spans="8:11" x14ac:dyDescent="0.3">
      <c r="H7646">
        <v>0.5</v>
      </c>
      <c r="I7646" s="11">
        <f t="shared" si="119"/>
        <v>0</v>
      </c>
      <c r="J7646" s="11">
        <f>1/(H7646*Utilities!$B$11)</f>
        <v>8</v>
      </c>
      <c r="K7646" s="11">
        <f>IF(B7646&lt;C7646,1,EXP(-1*(B7646-C7646)/(Utilities!$B$11*IterData!H7646)))</f>
        <v>1</v>
      </c>
    </row>
    <row r="7647" spans="8:11" x14ac:dyDescent="0.3">
      <c r="H7647">
        <v>0.5</v>
      </c>
      <c r="I7647" s="11">
        <f t="shared" si="119"/>
        <v>0</v>
      </c>
      <c r="J7647" s="11">
        <f>1/(H7647*Utilities!$B$11)</f>
        <v>8</v>
      </c>
      <c r="K7647" s="11">
        <f>IF(B7647&lt;C7647,1,EXP(-1*(B7647-C7647)/(Utilities!$B$11*IterData!H7647)))</f>
        <v>1</v>
      </c>
    </row>
    <row r="7648" spans="8:11" x14ac:dyDescent="0.3">
      <c r="H7648">
        <v>0.5</v>
      </c>
      <c r="I7648" s="11">
        <f t="shared" si="119"/>
        <v>0</v>
      </c>
      <c r="J7648" s="11">
        <f>1/(H7648*Utilities!$B$11)</f>
        <v>8</v>
      </c>
      <c r="K7648" s="11">
        <f>IF(B7648&lt;C7648,1,EXP(-1*(B7648-C7648)/(Utilities!$B$11*IterData!H7648)))</f>
        <v>1</v>
      </c>
    </row>
    <row r="7649" spans="8:11" x14ac:dyDescent="0.3">
      <c r="H7649">
        <v>0.5</v>
      </c>
      <c r="I7649" s="11">
        <f t="shared" si="119"/>
        <v>0</v>
      </c>
      <c r="J7649" s="11">
        <f>1/(H7649*Utilities!$B$11)</f>
        <v>8</v>
      </c>
      <c r="K7649" s="11">
        <f>IF(B7649&lt;C7649,1,EXP(-1*(B7649-C7649)/(Utilities!$B$11*IterData!H7649)))</f>
        <v>1</v>
      </c>
    </row>
    <row r="7650" spans="8:11" x14ac:dyDescent="0.3">
      <c r="H7650">
        <v>0.5</v>
      </c>
      <c r="I7650" s="11">
        <f t="shared" si="119"/>
        <v>0</v>
      </c>
      <c r="J7650" s="11">
        <f>1/(H7650*Utilities!$B$11)</f>
        <v>8</v>
      </c>
      <c r="K7650" s="11">
        <f>IF(B7650&lt;C7650,1,EXP(-1*(B7650-C7650)/(Utilities!$B$11*IterData!H7650)))</f>
        <v>1</v>
      </c>
    </row>
    <row r="7651" spans="8:11" x14ac:dyDescent="0.3">
      <c r="H7651">
        <v>0.5</v>
      </c>
      <c r="I7651" s="11">
        <f t="shared" si="119"/>
        <v>0</v>
      </c>
      <c r="J7651" s="11">
        <f>1/(H7651*Utilities!$B$11)</f>
        <v>8</v>
      </c>
      <c r="K7651" s="11">
        <f>IF(B7651&lt;C7651,1,EXP(-1*(B7651-C7651)/(Utilities!$B$11*IterData!H7651)))</f>
        <v>1</v>
      </c>
    </row>
    <row r="7652" spans="8:11" x14ac:dyDescent="0.3">
      <c r="H7652">
        <v>0.5</v>
      </c>
      <c r="I7652" s="11">
        <f t="shared" si="119"/>
        <v>0</v>
      </c>
      <c r="J7652" s="11">
        <f>1/(H7652*Utilities!$B$11)</f>
        <v>8</v>
      </c>
      <c r="K7652" s="11">
        <f>IF(B7652&lt;C7652,1,EXP(-1*(B7652-C7652)/(Utilities!$B$11*IterData!H7652)))</f>
        <v>1</v>
      </c>
    </row>
    <row r="7653" spans="8:11" x14ac:dyDescent="0.3">
      <c r="H7653">
        <v>0.5</v>
      </c>
      <c r="I7653" s="11">
        <f t="shared" si="119"/>
        <v>0</v>
      </c>
      <c r="J7653" s="11">
        <f>1/(H7653*Utilities!$B$11)</f>
        <v>8</v>
      </c>
      <c r="K7653" s="11">
        <f>IF(B7653&lt;C7653,1,EXP(-1*(B7653-C7653)/(Utilities!$B$11*IterData!H7653)))</f>
        <v>1</v>
      </c>
    </row>
    <row r="7654" spans="8:11" x14ac:dyDescent="0.3">
      <c r="H7654">
        <v>0.5</v>
      </c>
      <c r="I7654" s="11">
        <f t="shared" si="119"/>
        <v>0</v>
      </c>
      <c r="J7654" s="11">
        <f>1/(H7654*Utilities!$B$11)</f>
        <v>8</v>
      </c>
      <c r="K7654" s="11">
        <f>IF(B7654&lt;C7654,1,EXP(-1*(B7654-C7654)/(Utilities!$B$11*IterData!H7654)))</f>
        <v>1</v>
      </c>
    </row>
    <row r="7655" spans="8:11" x14ac:dyDescent="0.3">
      <c r="H7655">
        <v>0.5</v>
      </c>
      <c r="I7655" s="11">
        <f t="shared" si="119"/>
        <v>0</v>
      </c>
      <c r="J7655" s="11">
        <f>1/(H7655*Utilities!$B$11)</f>
        <v>8</v>
      </c>
      <c r="K7655" s="11">
        <f>IF(B7655&lt;C7655,1,EXP(-1*(B7655-C7655)/(Utilities!$B$11*IterData!H7655)))</f>
        <v>1</v>
      </c>
    </row>
    <row r="7656" spans="8:11" x14ac:dyDescent="0.3">
      <c r="H7656">
        <v>0.5</v>
      </c>
      <c r="I7656" s="11">
        <f t="shared" si="119"/>
        <v>0</v>
      </c>
      <c r="J7656" s="11">
        <f>1/(H7656*Utilities!$B$11)</f>
        <v>8</v>
      </c>
      <c r="K7656" s="11">
        <f>IF(B7656&lt;C7656,1,EXP(-1*(B7656-C7656)/(Utilities!$B$11*IterData!H7656)))</f>
        <v>1</v>
      </c>
    </row>
    <row r="7657" spans="8:11" x14ac:dyDescent="0.3">
      <c r="H7657">
        <v>0.5</v>
      </c>
      <c r="I7657" s="11">
        <f t="shared" si="119"/>
        <v>0</v>
      </c>
      <c r="J7657" s="11">
        <f>1/(H7657*Utilities!$B$11)</f>
        <v>8</v>
      </c>
      <c r="K7657" s="11">
        <f>IF(B7657&lt;C7657,1,EXP(-1*(B7657-C7657)/(Utilities!$B$11*IterData!H7657)))</f>
        <v>1</v>
      </c>
    </row>
    <row r="7658" spans="8:11" x14ac:dyDescent="0.3">
      <c r="H7658">
        <v>0.5</v>
      </c>
      <c r="I7658" s="11">
        <f t="shared" si="119"/>
        <v>0</v>
      </c>
      <c r="J7658" s="11">
        <f>1/(H7658*Utilities!$B$11)</f>
        <v>8</v>
      </c>
      <c r="K7658" s="11">
        <f>IF(B7658&lt;C7658,1,EXP(-1*(B7658-C7658)/(Utilities!$B$11*IterData!H7658)))</f>
        <v>1</v>
      </c>
    </row>
    <row r="7659" spans="8:11" x14ac:dyDescent="0.3">
      <c r="H7659">
        <v>0.5</v>
      </c>
      <c r="I7659" s="11">
        <f t="shared" si="119"/>
        <v>0</v>
      </c>
      <c r="J7659" s="11">
        <f>1/(H7659*Utilities!$B$11)</f>
        <v>8</v>
      </c>
      <c r="K7659" s="11">
        <f>IF(B7659&lt;C7659,1,EXP(-1*(B7659-C7659)/(Utilities!$B$11*IterData!H7659)))</f>
        <v>1</v>
      </c>
    </row>
    <row r="7660" spans="8:11" x14ac:dyDescent="0.3">
      <c r="H7660">
        <v>0.5</v>
      </c>
      <c r="I7660" s="11">
        <f t="shared" si="119"/>
        <v>0</v>
      </c>
      <c r="J7660" s="11">
        <f>1/(H7660*Utilities!$B$11)</f>
        <v>8</v>
      </c>
      <c r="K7660" s="11">
        <f>IF(B7660&lt;C7660,1,EXP(-1*(B7660-C7660)/(Utilities!$B$11*IterData!H7660)))</f>
        <v>1</v>
      </c>
    </row>
    <row r="7661" spans="8:11" x14ac:dyDescent="0.3">
      <c r="H7661">
        <v>0.5</v>
      </c>
      <c r="I7661" s="11">
        <f t="shared" si="119"/>
        <v>0</v>
      </c>
      <c r="J7661" s="11">
        <f>1/(H7661*Utilities!$B$11)</f>
        <v>8</v>
      </c>
      <c r="K7661" s="11">
        <f>IF(B7661&lt;C7661,1,EXP(-1*(B7661-C7661)/(Utilities!$B$11*IterData!H7661)))</f>
        <v>1</v>
      </c>
    </row>
    <row r="7662" spans="8:11" x14ac:dyDescent="0.3">
      <c r="H7662">
        <v>0.5</v>
      </c>
      <c r="I7662" s="11">
        <f t="shared" si="119"/>
        <v>0</v>
      </c>
      <c r="J7662" s="11">
        <f>1/(H7662*Utilities!$B$11)</f>
        <v>8</v>
      </c>
      <c r="K7662" s="11">
        <f>IF(B7662&lt;C7662,1,EXP(-1*(B7662-C7662)/(Utilities!$B$11*IterData!H7662)))</f>
        <v>1</v>
      </c>
    </row>
    <row r="7663" spans="8:11" x14ac:dyDescent="0.3">
      <c r="H7663">
        <v>0.5</v>
      </c>
      <c r="I7663" s="11">
        <f t="shared" si="119"/>
        <v>0</v>
      </c>
      <c r="J7663" s="11">
        <f>1/(H7663*Utilities!$B$11)</f>
        <v>8</v>
      </c>
      <c r="K7663" s="11">
        <f>IF(B7663&lt;C7663,1,EXP(-1*(B7663-C7663)/(Utilities!$B$11*IterData!H7663)))</f>
        <v>1</v>
      </c>
    </row>
    <row r="7664" spans="8:11" x14ac:dyDescent="0.3">
      <c r="H7664">
        <v>0.5</v>
      </c>
      <c r="I7664" s="11">
        <f t="shared" si="119"/>
        <v>0</v>
      </c>
      <c r="J7664" s="11">
        <f>1/(H7664*Utilities!$B$11)</f>
        <v>8</v>
      </c>
      <c r="K7664" s="11">
        <f>IF(B7664&lt;C7664,1,EXP(-1*(B7664-C7664)/(Utilities!$B$11*IterData!H7664)))</f>
        <v>1</v>
      </c>
    </row>
    <row r="7665" spans="8:11" x14ac:dyDescent="0.3">
      <c r="H7665">
        <v>0.5</v>
      </c>
      <c r="I7665" s="11">
        <f t="shared" si="119"/>
        <v>0</v>
      </c>
      <c r="J7665" s="11">
        <f>1/(H7665*Utilities!$B$11)</f>
        <v>8</v>
      </c>
      <c r="K7665" s="11">
        <f>IF(B7665&lt;C7665,1,EXP(-1*(B7665-C7665)/(Utilities!$B$11*IterData!H7665)))</f>
        <v>1</v>
      </c>
    </row>
    <row r="7666" spans="8:11" x14ac:dyDescent="0.3">
      <c r="H7666">
        <v>0.5</v>
      </c>
      <c r="I7666" s="11">
        <f t="shared" si="119"/>
        <v>0</v>
      </c>
      <c r="J7666" s="11">
        <f>1/(H7666*Utilities!$B$11)</f>
        <v>8</v>
      </c>
      <c r="K7666" s="11">
        <f>IF(B7666&lt;C7666,1,EXP(-1*(B7666-C7666)/(Utilities!$B$11*IterData!H7666)))</f>
        <v>1</v>
      </c>
    </row>
    <row r="7667" spans="8:11" x14ac:dyDescent="0.3">
      <c r="H7667">
        <v>0.5</v>
      </c>
      <c r="I7667" s="11">
        <f t="shared" si="119"/>
        <v>0</v>
      </c>
      <c r="J7667" s="11">
        <f>1/(H7667*Utilities!$B$11)</f>
        <v>8</v>
      </c>
      <c r="K7667" s="11">
        <f>IF(B7667&lt;C7667,1,EXP(-1*(B7667-C7667)/(Utilities!$B$11*IterData!H7667)))</f>
        <v>1</v>
      </c>
    </row>
    <row r="7668" spans="8:11" x14ac:dyDescent="0.3">
      <c r="H7668">
        <v>0.5</v>
      </c>
      <c r="I7668" s="11">
        <f t="shared" si="119"/>
        <v>0</v>
      </c>
      <c r="J7668" s="11">
        <f>1/(H7668*Utilities!$B$11)</f>
        <v>8</v>
      </c>
      <c r="K7668" s="11">
        <f>IF(B7668&lt;C7668,1,EXP(-1*(B7668-C7668)/(Utilities!$B$11*IterData!H7668)))</f>
        <v>1</v>
      </c>
    </row>
    <row r="7669" spans="8:11" x14ac:dyDescent="0.3">
      <c r="H7669">
        <v>0.5</v>
      </c>
      <c r="I7669" s="11">
        <f t="shared" si="119"/>
        <v>0</v>
      </c>
      <c r="J7669" s="11">
        <f>1/(H7669*Utilities!$B$11)</f>
        <v>8</v>
      </c>
      <c r="K7669" s="11">
        <f>IF(B7669&lt;C7669,1,EXP(-1*(B7669-C7669)/(Utilities!$B$11*IterData!H7669)))</f>
        <v>1</v>
      </c>
    </row>
    <row r="7670" spans="8:11" x14ac:dyDescent="0.3">
      <c r="H7670">
        <v>0.5</v>
      </c>
      <c r="I7670" s="11">
        <f t="shared" si="119"/>
        <v>0</v>
      </c>
      <c r="J7670" s="11">
        <f>1/(H7670*Utilities!$B$11)</f>
        <v>8</v>
      </c>
      <c r="K7670" s="11">
        <f>IF(B7670&lt;C7670,1,EXP(-1*(B7670-C7670)/(Utilities!$B$11*IterData!H7670)))</f>
        <v>1</v>
      </c>
    </row>
    <row r="7671" spans="8:11" x14ac:dyDescent="0.3">
      <c r="H7671">
        <v>0.5</v>
      </c>
      <c r="I7671" s="11">
        <f t="shared" si="119"/>
        <v>0</v>
      </c>
      <c r="J7671" s="11">
        <f>1/(H7671*Utilities!$B$11)</f>
        <v>8</v>
      </c>
      <c r="K7671" s="11">
        <f>IF(B7671&lt;C7671,1,EXP(-1*(B7671-C7671)/(Utilities!$B$11*IterData!H7671)))</f>
        <v>1</v>
      </c>
    </row>
    <row r="7672" spans="8:11" x14ac:dyDescent="0.3">
      <c r="H7672">
        <v>0.5</v>
      </c>
      <c r="I7672" s="11">
        <f t="shared" si="119"/>
        <v>0</v>
      </c>
      <c r="J7672" s="11">
        <f>1/(H7672*Utilities!$B$11)</f>
        <v>8</v>
      </c>
      <c r="K7672" s="11">
        <f>IF(B7672&lt;C7672,1,EXP(-1*(B7672-C7672)/(Utilities!$B$11*IterData!H7672)))</f>
        <v>1</v>
      </c>
    </row>
    <row r="7673" spans="8:11" x14ac:dyDescent="0.3">
      <c r="H7673">
        <v>0.5</v>
      </c>
      <c r="I7673" s="11">
        <f t="shared" si="119"/>
        <v>0</v>
      </c>
      <c r="J7673" s="11">
        <f>1/(H7673*Utilities!$B$11)</f>
        <v>8</v>
      </c>
      <c r="K7673" s="11">
        <f>IF(B7673&lt;C7673,1,EXP(-1*(B7673-C7673)/(Utilities!$B$11*IterData!H7673)))</f>
        <v>1</v>
      </c>
    </row>
    <row r="7674" spans="8:11" x14ac:dyDescent="0.3">
      <c r="H7674">
        <v>0.5</v>
      </c>
      <c r="I7674" s="11">
        <f t="shared" si="119"/>
        <v>0</v>
      </c>
      <c r="J7674" s="11">
        <f>1/(H7674*Utilities!$B$11)</f>
        <v>8</v>
      </c>
      <c r="K7674" s="11">
        <f>IF(B7674&lt;C7674,1,EXP(-1*(B7674-C7674)/(Utilities!$B$11*IterData!H7674)))</f>
        <v>1</v>
      </c>
    </row>
    <row r="7675" spans="8:11" x14ac:dyDescent="0.3">
      <c r="H7675">
        <v>0.5</v>
      </c>
      <c r="I7675" s="11">
        <f t="shared" si="119"/>
        <v>0</v>
      </c>
      <c r="J7675" s="11">
        <f>1/(H7675*Utilities!$B$11)</f>
        <v>8</v>
      </c>
      <c r="K7675" s="11">
        <f>IF(B7675&lt;C7675,1,EXP(-1*(B7675-C7675)/(Utilities!$B$11*IterData!H7675)))</f>
        <v>1</v>
      </c>
    </row>
    <row r="7676" spans="8:11" x14ac:dyDescent="0.3">
      <c r="H7676">
        <v>0.5</v>
      </c>
      <c r="I7676" s="11">
        <f t="shared" si="119"/>
        <v>0</v>
      </c>
      <c r="J7676" s="11">
        <f>1/(H7676*Utilities!$B$11)</f>
        <v>8</v>
      </c>
      <c r="K7676" s="11">
        <f>IF(B7676&lt;C7676,1,EXP(-1*(B7676-C7676)/(Utilities!$B$11*IterData!H7676)))</f>
        <v>1</v>
      </c>
    </row>
    <row r="7677" spans="8:11" x14ac:dyDescent="0.3">
      <c r="H7677">
        <v>0.5</v>
      </c>
      <c r="I7677" s="11">
        <f t="shared" si="119"/>
        <v>0</v>
      </c>
      <c r="J7677" s="11">
        <f>1/(H7677*Utilities!$B$11)</f>
        <v>8</v>
      </c>
      <c r="K7677" s="11">
        <f>IF(B7677&lt;C7677,1,EXP(-1*(B7677-C7677)/(Utilities!$B$11*IterData!H7677)))</f>
        <v>1</v>
      </c>
    </row>
    <row r="7678" spans="8:11" x14ac:dyDescent="0.3">
      <c r="H7678">
        <v>0.5</v>
      </c>
      <c r="I7678" s="11">
        <f t="shared" si="119"/>
        <v>0</v>
      </c>
      <c r="J7678" s="11">
        <f>1/(H7678*Utilities!$B$11)</f>
        <v>8</v>
      </c>
      <c r="K7678" s="11">
        <f>IF(B7678&lt;C7678,1,EXP(-1*(B7678-C7678)/(Utilities!$B$11*IterData!H7678)))</f>
        <v>1</v>
      </c>
    </row>
    <row r="7679" spans="8:11" x14ac:dyDescent="0.3">
      <c r="H7679">
        <v>0.5</v>
      </c>
      <c r="I7679" s="11">
        <f t="shared" si="119"/>
        <v>0</v>
      </c>
      <c r="J7679" s="11">
        <f>1/(H7679*Utilities!$B$11)</f>
        <v>8</v>
      </c>
      <c r="K7679" s="11">
        <f>IF(B7679&lt;C7679,1,EXP(-1*(B7679-C7679)/(Utilities!$B$11*IterData!H7679)))</f>
        <v>1</v>
      </c>
    </row>
    <row r="7680" spans="8:11" x14ac:dyDescent="0.3">
      <c r="H7680">
        <v>0.5</v>
      </c>
      <c r="I7680" s="11">
        <f t="shared" si="119"/>
        <v>0</v>
      </c>
      <c r="J7680" s="11">
        <f>1/(H7680*Utilities!$B$11)</f>
        <v>8</v>
      </c>
      <c r="K7680" s="11">
        <f>IF(B7680&lt;C7680,1,EXP(-1*(B7680-C7680)/(Utilities!$B$11*IterData!H7680)))</f>
        <v>1</v>
      </c>
    </row>
    <row r="7681" spans="8:11" x14ac:dyDescent="0.3">
      <c r="H7681">
        <v>0.5</v>
      </c>
      <c r="I7681" s="11">
        <f t="shared" si="119"/>
        <v>0</v>
      </c>
      <c r="J7681" s="11">
        <f>1/(H7681*Utilities!$B$11)</f>
        <v>8</v>
      </c>
      <c r="K7681" s="11">
        <f>IF(B7681&lt;C7681,1,EXP(-1*(B7681-C7681)/(Utilities!$B$11*IterData!H7681)))</f>
        <v>1</v>
      </c>
    </row>
    <row r="7682" spans="8:11" x14ac:dyDescent="0.3">
      <c r="H7682">
        <v>0.5</v>
      </c>
      <c r="I7682" s="11">
        <f t="shared" si="119"/>
        <v>0</v>
      </c>
      <c r="J7682" s="11">
        <f>1/(H7682*Utilities!$B$11)</f>
        <v>8</v>
      </c>
      <c r="K7682" s="11">
        <f>IF(B7682&lt;C7682,1,EXP(-1*(B7682-C7682)/(Utilities!$B$11*IterData!H7682)))</f>
        <v>1</v>
      </c>
    </row>
    <row r="7683" spans="8:11" x14ac:dyDescent="0.3">
      <c r="H7683">
        <v>0.5</v>
      </c>
      <c r="I7683" s="11">
        <f t="shared" ref="I7683:I7746" si="120">B7683-C7683</f>
        <v>0</v>
      </c>
      <c r="J7683" s="11">
        <f>1/(H7683*Utilities!$B$11)</f>
        <v>8</v>
      </c>
      <c r="K7683" s="11">
        <f>IF(B7683&lt;C7683,1,EXP(-1*(B7683-C7683)/(Utilities!$B$11*IterData!H7683)))</f>
        <v>1</v>
      </c>
    </row>
    <row r="7684" spans="8:11" x14ac:dyDescent="0.3">
      <c r="H7684">
        <v>0.5</v>
      </c>
      <c r="I7684" s="11">
        <f t="shared" si="120"/>
        <v>0</v>
      </c>
      <c r="J7684" s="11">
        <f>1/(H7684*Utilities!$B$11)</f>
        <v>8</v>
      </c>
      <c r="K7684" s="11">
        <f>IF(B7684&lt;C7684,1,EXP(-1*(B7684-C7684)/(Utilities!$B$11*IterData!H7684)))</f>
        <v>1</v>
      </c>
    </row>
    <row r="7685" spans="8:11" x14ac:dyDescent="0.3">
      <c r="H7685">
        <v>0.5</v>
      </c>
      <c r="I7685" s="11">
        <f t="shared" si="120"/>
        <v>0</v>
      </c>
      <c r="J7685" s="11">
        <f>1/(H7685*Utilities!$B$11)</f>
        <v>8</v>
      </c>
      <c r="K7685" s="11">
        <f>IF(B7685&lt;C7685,1,EXP(-1*(B7685-C7685)/(Utilities!$B$11*IterData!H7685)))</f>
        <v>1</v>
      </c>
    </row>
    <row r="7686" spans="8:11" x14ac:dyDescent="0.3">
      <c r="H7686">
        <v>0.5</v>
      </c>
      <c r="I7686" s="11">
        <f t="shared" si="120"/>
        <v>0</v>
      </c>
      <c r="J7686" s="11">
        <f>1/(H7686*Utilities!$B$11)</f>
        <v>8</v>
      </c>
      <c r="K7686" s="11">
        <f>IF(B7686&lt;C7686,1,EXP(-1*(B7686-C7686)/(Utilities!$B$11*IterData!H7686)))</f>
        <v>1</v>
      </c>
    </row>
    <row r="7687" spans="8:11" x14ac:dyDescent="0.3">
      <c r="H7687">
        <v>0.5</v>
      </c>
      <c r="I7687" s="11">
        <f t="shared" si="120"/>
        <v>0</v>
      </c>
      <c r="J7687" s="11">
        <f>1/(H7687*Utilities!$B$11)</f>
        <v>8</v>
      </c>
      <c r="K7687" s="11">
        <f>IF(B7687&lt;C7687,1,EXP(-1*(B7687-C7687)/(Utilities!$B$11*IterData!H7687)))</f>
        <v>1</v>
      </c>
    </row>
    <row r="7688" spans="8:11" x14ac:dyDescent="0.3">
      <c r="H7688">
        <v>0.5</v>
      </c>
      <c r="I7688" s="11">
        <f t="shared" si="120"/>
        <v>0</v>
      </c>
      <c r="J7688" s="11">
        <f>1/(H7688*Utilities!$B$11)</f>
        <v>8</v>
      </c>
      <c r="K7688" s="11">
        <f>IF(B7688&lt;C7688,1,EXP(-1*(B7688-C7688)/(Utilities!$B$11*IterData!H7688)))</f>
        <v>1</v>
      </c>
    </row>
    <row r="7689" spans="8:11" x14ac:dyDescent="0.3">
      <c r="H7689">
        <v>0.5</v>
      </c>
      <c r="I7689" s="11">
        <f t="shared" si="120"/>
        <v>0</v>
      </c>
      <c r="J7689" s="11">
        <f>1/(H7689*Utilities!$B$11)</f>
        <v>8</v>
      </c>
      <c r="K7689" s="11">
        <f>IF(B7689&lt;C7689,1,EXP(-1*(B7689-C7689)/(Utilities!$B$11*IterData!H7689)))</f>
        <v>1</v>
      </c>
    </row>
    <row r="7690" spans="8:11" x14ac:dyDescent="0.3">
      <c r="H7690">
        <v>0.5</v>
      </c>
      <c r="I7690" s="11">
        <f t="shared" si="120"/>
        <v>0</v>
      </c>
      <c r="J7690" s="11">
        <f>1/(H7690*Utilities!$B$11)</f>
        <v>8</v>
      </c>
      <c r="K7690" s="11">
        <f>IF(B7690&lt;C7690,1,EXP(-1*(B7690-C7690)/(Utilities!$B$11*IterData!H7690)))</f>
        <v>1</v>
      </c>
    </row>
    <row r="7691" spans="8:11" x14ac:dyDescent="0.3">
      <c r="H7691">
        <v>0.5</v>
      </c>
      <c r="I7691" s="11">
        <f t="shared" si="120"/>
        <v>0</v>
      </c>
      <c r="J7691" s="11">
        <f>1/(H7691*Utilities!$B$11)</f>
        <v>8</v>
      </c>
      <c r="K7691" s="11">
        <f>IF(B7691&lt;C7691,1,EXP(-1*(B7691-C7691)/(Utilities!$B$11*IterData!H7691)))</f>
        <v>1</v>
      </c>
    </row>
    <row r="7692" spans="8:11" x14ac:dyDescent="0.3">
      <c r="H7692">
        <v>0.5</v>
      </c>
      <c r="I7692" s="11">
        <f t="shared" si="120"/>
        <v>0</v>
      </c>
      <c r="J7692" s="11">
        <f>1/(H7692*Utilities!$B$11)</f>
        <v>8</v>
      </c>
      <c r="K7692" s="11">
        <f>IF(B7692&lt;C7692,1,EXP(-1*(B7692-C7692)/(Utilities!$B$11*IterData!H7692)))</f>
        <v>1</v>
      </c>
    </row>
    <row r="7693" spans="8:11" x14ac:dyDescent="0.3">
      <c r="H7693">
        <v>0.5</v>
      </c>
      <c r="I7693" s="11">
        <f t="shared" si="120"/>
        <v>0</v>
      </c>
      <c r="J7693" s="11">
        <f>1/(H7693*Utilities!$B$11)</f>
        <v>8</v>
      </c>
      <c r="K7693" s="11">
        <f>IF(B7693&lt;C7693,1,EXP(-1*(B7693-C7693)/(Utilities!$B$11*IterData!H7693)))</f>
        <v>1</v>
      </c>
    </row>
    <row r="7694" spans="8:11" x14ac:dyDescent="0.3">
      <c r="H7694">
        <v>0.5</v>
      </c>
      <c r="I7694" s="11">
        <f t="shared" si="120"/>
        <v>0</v>
      </c>
      <c r="J7694" s="11">
        <f>1/(H7694*Utilities!$B$11)</f>
        <v>8</v>
      </c>
      <c r="K7694" s="11">
        <f>IF(B7694&lt;C7694,1,EXP(-1*(B7694-C7694)/(Utilities!$B$11*IterData!H7694)))</f>
        <v>1</v>
      </c>
    </row>
    <row r="7695" spans="8:11" x14ac:dyDescent="0.3">
      <c r="H7695">
        <v>0.5</v>
      </c>
      <c r="I7695" s="11">
        <f t="shared" si="120"/>
        <v>0</v>
      </c>
      <c r="J7695" s="11">
        <f>1/(H7695*Utilities!$B$11)</f>
        <v>8</v>
      </c>
      <c r="K7695" s="11">
        <f>IF(B7695&lt;C7695,1,EXP(-1*(B7695-C7695)/(Utilities!$B$11*IterData!H7695)))</f>
        <v>1</v>
      </c>
    </row>
    <row r="7696" spans="8:11" x14ac:dyDescent="0.3">
      <c r="H7696">
        <v>0.5</v>
      </c>
      <c r="I7696" s="11">
        <f t="shared" si="120"/>
        <v>0</v>
      </c>
      <c r="J7696" s="11">
        <f>1/(H7696*Utilities!$B$11)</f>
        <v>8</v>
      </c>
      <c r="K7696" s="11">
        <f>IF(B7696&lt;C7696,1,EXP(-1*(B7696-C7696)/(Utilities!$B$11*IterData!H7696)))</f>
        <v>1</v>
      </c>
    </row>
    <row r="7697" spans="8:11" x14ac:dyDescent="0.3">
      <c r="H7697">
        <v>0.5</v>
      </c>
      <c r="I7697" s="11">
        <f t="shared" si="120"/>
        <v>0</v>
      </c>
      <c r="J7697" s="11">
        <f>1/(H7697*Utilities!$B$11)</f>
        <v>8</v>
      </c>
      <c r="K7697" s="11">
        <f>IF(B7697&lt;C7697,1,EXP(-1*(B7697-C7697)/(Utilities!$B$11*IterData!H7697)))</f>
        <v>1</v>
      </c>
    </row>
    <row r="7698" spans="8:11" x14ac:dyDescent="0.3">
      <c r="H7698">
        <v>0.5</v>
      </c>
      <c r="I7698" s="11">
        <f t="shared" si="120"/>
        <v>0</v>
      </c>
      <c r="J7698" s="11">
        <f>1/(H7698*Utilities!$B$11)</f>
        <v>8</v>
      </c>
      <c r="K7698" s="11">
        <f>IF(B7698&lt;C7698,1,EXP(-1*(B7698-C7698)/(Utilities!$B$11*IterData!H7698)))</f>
        <v>1</v>
      </c>
    </row>
    <row r="7699" spans="8:11" x14ac:dyDescent="0.3">
      <c r="H7699">
        <v>0.5</v>
      </c>
      <c r="I7699" s="11">
        <f t="shared" si="120"/>
        <v>0</v>
      </c>
      <c r="J7699" s="11">
        <f>1/(H7699*Utilities!$B$11)</f>
        <v>8</v>
      </c>
      <c r="K7699" s="11">
        <f>IF(B7699&lt;C7699,1,EXP(-1*(B7699-C7699)/(Utilities!$B$11*IterData!H7699)))</f>
        <v>1</v>
      </c>
    </row>
    <row r="7700" spans="8:11" x14ac:dyDescent="0.3">
      <c r="H7700">
        <v>0.5</v>
      </c>
      <c r="I7700" s="11">
        <f t="shared" si="120"/>
        <v>0</v>
      </c>
      <c r="J7700" s="11">
        <f>1/(H7700*Utilities!$B$11)</f>
        <v>8</v>
      </c>
      <c r="K7700" s="11">
        <f>IF(B7700&lt;C7700,1,EXP(-1*(B7700-C7700)/(Utilities!$B$11*IterData!H7700)))</f>
        <v>1</v>
      </c>
    </row>
    <row r="7701" spans="8:11" x14ac:dyDescent="0.3">
      <c r="H7701">
        <v>0.5</v>
      </c>
      <c r="I7701" s="11">
        <f t="shared" si="120"/>
        <v>0</v>
      </c>
      <c r="J7701" s="11">
        <f>1/(H7701*Utilities!$B$11)</f>
        <v>8</v>
      </c>
      <c r="K7701" s="11">
        <f>IF(B7701&lt;C7701,1,EXP(-1*(B7701-C7701)/(Utilities!$B$11*IterData!H7701)))</f>
        <v>1</v>
      </c>
    </row>
    <row r="7702" spans="8:11" x14ac:dyDescent="0.3">
      <c r="H7702">
        <v>0.5</v>
      </c>
      <c r="I7702" s="11">
        <f t="shared" si="120"/>
        <v>0</v>
      </c>
      <c r="J7702" s="11">
        <f>1/(H7702*Utilities!$B$11)</f>
        <v>8</v>
      </c>
      <c r="K7702" s="11">
        <f>IF(B7702&lt;C7702,1,EXP(-1*(B7702-C7702)/(Utilities!$B$11*IterData!H7702)))</f>
        <v>1</v>
      </c>
    </row>
    <row r="7703" spans="8:11" x14ac:dyDescent="0.3">
      <c r="H7703">
        <v>0.5</v>
      </c>
      <c r="I7703" s="11">
        <f t="shared" si="120"/>
        <v>0</v>
      </c>
      <c r="J7703" s="11">
        <f>1/(H7703*Utilities!$B$11)</f>
        <v>8</v>
      </c>
      <c r="K7703" s="11">
        <f>IF(B7703&lt;C7703,1,EXP(-1*(B7703-C7703)/(Utilities!$B$11*IterData!H7703)))</f>
        <v>1</v>
      </c>
    </row>
    <row r="7704" spans="8:11" x14ac:dyDescent="0.3">
      <c r="H7704">
        <v>0.5</v>
      </c>
      <c r="I7704" s="11">
        <f t="shared" si="120"/>
        <v>0</v>
      </c>
      <c r="J7704" s="11">
        <f>1/(H7704*Utilities!$B$11)</f>
        <v>8</v>
      </c>
      <c r="K7704" s="11">
        <f>IF(B7704&lt;C7704,1,EXP(-1*(B7704-C7704)/(Utilities!$B$11*IterData!H7704)))</f>
        <v>1</v>
      </c>
    </row>
    <row r="7705" spans="8:11" x14ac:dyDescent="0.3">
      <c r="H7705">
        <v>0.5</v>
      </c>
      <c r="I7705" s="11">
        <f t="shared" si="120"/>
        <v>0</v>
      </c>
      <c r="J7705" s="11">
        <f>1/(H7705*Utilities!$B$11)</f>
        <v>8</v>
      </c>
      <c r="K7705" s="11">
        <f>IF(B7705&lt;C7705,1,EXP(-1*(B7705-C7705)/(Utilities!$B$11*IterData!H7705)))</f>
        <v>1</v>
      </c>
    </row>
    <row r="7706" spans="8:11" x14ac:dyDescent="0.3">
      <c r="H7706">
        <v>0.5</v>
      </c>
      <c r="I7706" s="11">
        <f t="shared" si="120"/>
        <v>0</v>
      </c>
      <c r="J7706" s="11">
        <f>1/(H7706*Utilities!$B$11)</f>
        <v>8</v>
      </c>
      <c r="K7706" s="11">
        <f>IF(B7706&lt;C7706,1,EXP(-1*(B7706-C7706)/(Utilities!$B$11*IterData!H7706)))</f>
        <v>1</v>
      </c>
    </row>
    <row r="7707" spans="8:11" x14ac:dyDescent="0.3">
      <c r="H7707">
        <v>0.5</v>
      </c>
      <c r="I7707" s="11">
        <f t="shared" si="120"/>
        <v>0</v>
      </c>
      <c r="J7707" s="11">
        <f>1/(H7707*Utilities!$B$11)</f>
        <v>8</v>
      </c>
      <c r="K7707" s="11">
        <f>IF(B7707&lt;C7707,1,EXP(-1*(B7707-C7707)/(Utilities!$B$11*IterData!H7707)))</f>
        <v>1</v>
      </c>
    </row>
    <row r="7708" spans="8:11" x14ac:dyDescent="0.3">
      <c r="H7708">
        <v>0.5</v>
      </c>
      <c r="I7708" s="11">
        <f t="shared" si="120"/>
        <v>0</v>
      </c>
      <c r="J7708" s="11">
        <f>1/(H7708*Utilities!$B$11)</f>
        <v>8</v>
      </c>
      <c r="K7708" s="11">
        <f>IF(B7708&lt;C7708,1,EXP(-1*(B7708-C7708)/(Utilities!$B$11*IterData!H7708)))</f>
        <v>1</v>
      </c>
    </row>
    <row r="7709" spans="8:11" x14ac:dyDescent="0.3">
      <c r="H7709">
        <v>0.5</v>
      </c>
      <c r="I7709" s="11">
        <f t="shared" si="120"/>
        <v>0</v>
      </c>
      <c r="J7709" s="11">
        <f>1/(H7709*Utilities!$B$11)</f>
        <v>8</v>
      </c>
      <c r="K7709" s="11">
        <f>IF(B7709&lt;C7709,1,EXP(-1*(B7709-C7709)/(Utilities!$B$11*IterData!H7709)))</f>
        <v>1</v>
      </c>
    </row>
    <row r="7710" spans="8:11" x14ac:dyDescent="0.3">
      <c r="H7710">
        <v>0.5</v>
      </c>
      <c r="I7710" s="11">
        <f t="shared" si="120"/>
        <v>0</v>
      </c>
      <c r="J7710" s="11">
        <f>1/(H7710*Utilities!$B$11)</f>
        <v>8</v>
      </c>
      <c r="K7710" s="11">
        <f>IF(B7710&lt;C7710,1,EXP(-1*(B7710-C7710)/(Utilities!$B$11*IterData!H7710)))</f>
        <v>1</v>
      </c>
    </row>
    <row r="7711" spans="8:11" x14ac:dyDescent="0.3">
      <c r="H7711">
        <v>0.5</v>
      </c>
      <c r="I7711" s="11">
        <f t="shared" si="120"/>
        <v>0</v>
      </c>
      <c r="J7711" s="11">
        <f>1/(H7711*Utilities!$B$11)</f>
        <v>8</v>
      </c>
      <c r="K7711" s="11">
        <f>IF(B7711&lt;C7711,1,EXP(-1*(B7711-C7711)/(Utilities!$B$11*IterData!H7711)))</f>
        <v>1</v>
      </c>
    </row>
    <row r="7712" spans="8:11" x14ac:dyDescent="0.3">
      <c r="H7712">
        <v>0.5</v>
      </c>
      <c r="I7712" s="11">
        <f t="shared" si="120"/>
        <v>0</v>
      </c>
      <c r="J7712" s="11">
        <f>1/(H7712*Utilities!$B$11)</f>
        <v>8</v>
      </c>
      <c r="K7712" s="11">
        <f>IF(B7712&lt;C7712,1,EXP(-1*(B7712-C7712)/(Utilities!$B$11*IterData!H7712)))</f>
        <v>1</v>
      </c>
    </row>
    <row r="7713" spans="8:11" x14ac:dyDescent="0.3">
      <c r="H7713">
        <v>0.5</v>
      </c>
      <c r="I7713" s="11">
        <f t="shared" si="120"/>
        <v>0</v>
      </c>
      <c r="J7713" s="11">
        <f>1/(H7713*Utilities!$B$11)</f>
        <v>8</v>
      </c>
      <c r="K7713" s="11">
        <f>IF(B7713&lt;C7713,1,EXP(-1*(B7713-C7713)/(Utilities!$B$11*IterData!H7713)))</f>
        <v>1</v>
      </c>
    </row>
    <row r="7714" spans="8:11" x14ac:dyDescent="0.3">
      <c r="H7714">
        <v>0.5</v>
      </c>
      <c r="I7714" s="11">
        <f t="shared" si="120"/>
        <v>0</v>
      </c>
      <c r="J7714" s="11">
        <f>1/(H7714*Utilities!$B$11)</f>
        <v>8</v>
      </c>
      <c r="K7714" s="11">
        <f>IF(B7714&lt;C7714,1,EXP(-1*(B7714-C7714)/(Utilities!$B$11*IterData!H7714)))</f>
        <v>1</v>
      </c>
    </row>
    <row r="7715" spans="8:11" x14ac:dyDescent="0.3">
      <c r="H7715">
        <v>0.5</v>
      </c>
      <c r="I7715" s="11">
        <f t="shared" si="120"/>
        <v>0</v>
      </c>
      <c r="J7715" s="11">
        <f>1/(H7715*Utilities!$B$11)</f>
        <v>8</v>
      </c>
      <c r="K7715" s="11">
        <f>IF(B7715&lt;C7715,1,EXP(-1*(B7715-C7715)/(Utilities!$B$11*IterData!H7715)))</f>
        <v>1</v>
      </c>
    </row>
    <row r="7716" spans="8:11" x14ac:dyDescent="0.3">
      <c r="H7716">
        <v>0.5</v>
      </c>
      <c r="I7716" s="11">
        <f t="shared" si="120"/>
        <v>0</v>
      </c>
      <c r="J7716" s="11">
        <f>1/(H7716*Utilities!$B$11)</f>
        <v>8</v>
      </c>
      <c r="K7716" s="11">
        <f>IF(B7716&lt;C7716,1,EXP(-1*(B7716-C7716)/(Utilities!$B$11*IterData!H7716)))</f>
        <v>1</v>
      </c>
    </row>
    <row r="7717" spans="8:11" x14ac:dyDescent="0.3">
      <c r="H7717">
        <v>0.5</v>
      </c>
      <c r="I7717" s="11">
        <f t="shared" si="120"/>
        <v>0</v>
      </c>
      <c r="J7717" s="11">
        <f>1/(H7717*Utilities!$B$11)</f>
        <v>8</v>
      </c>
      <c r="K7717" s="11">
        <f>IF(B7717&lt;C7717,1,EXP(-1*(B7717-C7717)/(Utilities!$B$11*IterData!H7717)))</f>
        <v>1</v>
      </c>
    </row>
    <row r="7718" spans="8:11" x14ac:dyDescent="0.3">
      <c r="H7718">
        <v>0.5</v>
      </c>
      <c r="I7718" s="11">
        <f t="shared" si="120"/>
        <v>0</v>
      </c>
      <c r="J7718" s="11">
        <f>1/(H7718*Utilities!$B$11)</f>
        <v>8</v>
      </c>
      <c r="K7718" s="11">
        <f>IF(B7718&lt;C7718,1,EXP(-1*(B7718-C7718)/(Utilities!$B$11*IterData!H7718)))</f>
        <v>1</v>
      </c>
    </row>
    <row r="7719" spans="8:11" x14ac:dyDescent="0.3">
      <c r="H7719">
        <v>0.5</v>
      </c>
      <c r="I7719" s="11">
        <f t="shared" si="120"/>
        <v>0</v>
      </c>
      <c r="J7719" s="11">
        <f>1/(H7719*Utilities!$B$11)</f>
        <v>8</v>
      </c>
      <c r="K7719" s="11">
        <f>IF(B7719&lt;C7719,1,EXP(-1*(B7719-C7719)/(Utilities!$B$11*IterData!H7719)))</f>
        <v>1</v>
      </c>
    </row>
    <row r="7720" spans="8:11" x14ac:dyDescent="0.3">
      <c r="H7720">
        <v>0.5</v>
      </c>
      <c r="I7720" s="11">
        <f t="shared" si="120"/>
        <v>0</v>
      </c>
      <c r="J7720" s="11">
        <f>1/(H7720*Utilities!$B$11)</f>
        <v>8</v>
      </c>
      <c r="K7720" s="11">
        <f>IF(B7720&lt;C7720,1,EXP(-1*(B7720-C7720)/(Utilities!$B$11*IterData!H7720)))</f>
        <v>1</v>
      </c>
    </row>
    <row r="7721" spans="8:11" x14ac:dyDescent="0.3">
      <c r="H7721">
        <v>0.5</v>
      </c>
      <c r="I7721" s="11">
        <f t="shared" si="120"/>
        <v>0</v>
      </c>
      <c r="J7721" s="11">
        <f>1/(H7721*Utilities!$B$11)</f>
        <v>8</v>
      </c>
      <c r="K7721" s="11">
        <f>IF(B7721&lt;C7721,1,EXP(-1*(B7721-C7721)/(Utilities!$B$11*IterData!H7721)))</f>
        <v>1</v>
      </c>
    </row>
    <row r="7722" spans="8:11" x14ac:dyDescent="0.3">
      <c r="H7722">
        <v>0.5</v>
      </c>
      <c r="I7722" s="11">
        <f t="shared" si="120"/>
        <v>0</v>
      </c>
      <c r="J7722" s="11">
        <f>1/(H7722*Utilities!$B$11)</f>
        <v>8</v>
      </c>
      <c r="K7722" s="11">
        <f>IF(B7722&lt;C7722,1,EXP(-1*(B7722-C7722)/(Utilities!$B$11*IterData!H7722)))</f>
        <v>1</v>
      </c>
    </row>
    <row r="7723" spans="8:11" x14ac:dyDescent="0.3">
      <c r="H7723">
        <v>0.5</v>
      </c>
      <c r="I7723" s="11">
        <f t="shared" si="120"/>
        <v>0</v>
      </c>
      <c r="J7723" s="11">
        <f>1/(H7723*Utilities!$B$11)</f>
        <v>8</v>
      </c>
      <c r="K7723" s="11">
        <f>IF(B7723&lt;C7723,1,EXP(-1*(B7723-C7723)/(Utilities!$B$11*IterData!H7723)))</f>
        <v>1</v>
      </c>
    </row>
    <row r="7724" spans="8:11" x14ac:dyDescent="0.3">
      <c r="H7724">
        <v>0.5</v>
      </c>
      <c r="I7724" s="11">
        <f t="shared" si="120"/>
        <v>0</v>
      </c>
      <c r="J7724" s="11">
        <f>1/(H7724*Utilities!$B$11)</f>
        <v>8</v>
      </c>
      <c r="K7724" s="11">
        <f>IF(B7724&lt;C7724,1,EXP(-1*(B7724-C7724)/(Utilities!$B$11*IterData!H7724)))</f>
        <v>1</v>
      </c>
    </row>
    <row r="7725" spans="8:11" x14ac:dyDescent="0.3">
      <c r="H7725">
        <v>0.5</v>
      </c>
      <c r="I7725" s="11">
        <f t="shared" si="120"/>
        <v>0</v>
      </c>
      <c r="J7725" s="11">
        <f>1/(H7725*Utilities!$B$11)</f>
        <v>8</v>
      </c>
      <c r="K7725" s="11">
        <f>IF(B7725&lt;C7725,1,EXP(-1*(B7725-C7725)/(Utilities!$B$11*IterData!H7725)))</f>
        <v>1</v>
      </c>
    </row>
    <row r="7726" spans="8:11" x14ac:dyDescent="0.3">
      <c r="H7726">
        <v>0.5</v>
      </c>
      <c r="I7726" s="11">
        <f t="shared" si="120"/>
        <v>0</v>
      </c>
      <c r="J7726" s="11">
        <f>1/(H7726*Utilities!$B$11)</f>
        <v>8</v>
      </c>
      <c r="K7726" s="11">
        <f>IF(B7726&lt;C7726,1,EXP(-1*(B7726-C7726)/(Utilities!$B$11*IterData!H7726)))</f>
        <v>1</v>
      </c>
    </row>
    <row r="7727" spans="8:11" x14ac:dyDescent="0.3">
      <c r="H7727">
        <v>0.5</v>
      </c>
      <c r="I7727" s="11">
        <f t="shared" si="120"/>
        <v>0</v>
      </c>
      <c r="J7727" s="11">
        <f>1/(H7727*Utilities!$B$11)</f>
        <v>8</v>
      </c>
      <c r="K7727" s="11">
        <f>IF(B7727&lt;C7727,1,EXP(-1*(B7727-C7727)/(Utilities!$B$11*IterData!H7727)))</f>
        <v>1</v>
      </c>
    </row>
    <row r="7728" spans="8:11" x14ac:dyDescent="0.3">
      <c r="H7728">
        <v>0.5</v>
      </c>
      <c r="I7728" s="11">
        <f t="shared" si="120"/>
        <v>0</v>
      </c>
      <c r="J7728" s="11">
        <f>1/(H7728*Utilities!$B$11)</f>
        <v>8</v>
      </c>
      <c r="K7728" s="11">
        <f>IF(B7728&lt;C7728,1,EXP(-1*(B7728-C7728)/(Utilities!$B$11*IterData!H7728)))</f>
        <v>1</v>
      </c>
    </row>
    <row r="7729" spans="8:11" x14ac:dyDescent="0.3">
      <c r="H7729">
        <v>0.5</v>
      </c>
      <c r="I7729" s="11">
        <f t="shared" si="120"/>
        <v>0</v>
      </c>
      <c r="J7729" s="11">
        <f>1/(H7729*Utilities!$B$11)</f>
        <v>8</v>
      </c>
      <c r="K7729" s="11">
        <f>IF(B7729&lt;C7729,1,EXP(-1*(B7729-C7729)/(Utilities!$B$11*IterData!H7729)))</f>
        <v>1</v>
      </c>
    </row>
    <row r="7730" spans="8:11" x14ac:dyDescent="0.3">
      <c r="H7730">
        <v>0.5</v>
      </c>
      <c r="I7730" s="11">
        <f t="shared" si="120"/>
        <v>0</v>
      </c>
      <c r="J7730" s="11">
        <f>1/(H7730*Utilities!$B$11)</f>
        <v>8</v>
      </c>
      <c r="K7730" s="11">
        <f>IF(B7730&lt;C7730,1,EXP(-1*(B7730-C7730)/(Utilities!$B$11*IterData!H7730)))</f>
        <v>1</v>
      </c>
    </row>
    <row r="7731" spans="8:11" x14ac:dyDescent="0.3">
      <c r="H7731">
        <v>0.5</v>
      </c>
      <c r="I7731" s="11">
        <f t="shared" si="120"/>
        <v>0</v>
      </c>
      <c r="J7731" s="11">
        <f>1/(H7731*Utilities!$B$11)</f>
        <v>8</v>
      </c>
      <c r="K7731" s="11">
        <f>IF(B7731&lt;C7731,1,EXP(-1*(B7731-C7731)/(Utilities!$B$11*IterData!H7731)))</f>
        <v>1</v>
      </c>
    </row>
    <row r="7732" spans="8:11" x14ac:dyDescent="0.3">
      <c r="H7732">
        <v>0.5</v>
      </c>
      <c r="I7732" s="11">
        <f t="shared" si="120"/>
        <v>0</v>
      </c>
      <c r="J7732" s="11">
        <f>1/(H7732*Utilities!$B$11)</f>
        <v>8</v>
      </c>
      <c r="K7732" s="11">
        <f>IF(B7732&lt;C7732,1,EXP(-1*(B7732-C7732)/(Utilities!$B$11*IterData!H7732)))</f>
        <v>1</v>
      </c>
    </row>
    <row r="7733" spans="8:11" x14ac:dyDescent="0.3">
      <c r="H7733">
        <v>0.5</v>
      </c>
      <c r="I7733" s="11">
        <f t="shared" si="120"/>
        <v>0</v>
      </c>
      <c r="J7733" s="11">
        <f>1/(H7733*Utilities!$B$11)</f>
        <v>8</v>
      </c>
      <c r="K7733" s="11">
        <f>IF(B7733&lt;C7733,1,EXP(-1*(B7733-C7733)/(Utilities!$B$11*IterData!H7733)))</f>
        <v>1</v>
      </c>
    </row>
    <row r="7734" spans="8:11" x14ac:dyDescent="0.3">
      <c r="H7734">
        <v>0.5</v>
      </c>
      <c r="I7734" s="11">
        <f t="shared" si="120"/>
        <v>0</v>
      </c>
      <c r="J7734" s="11">
        <f>1/(H7734*Utilities!$B$11)</f>
        <v>8</v>
      </c>
      <c r="K7734" s="11">
        <f>IF(B7734&lt;C7734,1,EXP(-1*(B7734-C7734)/(Utilities!$B$11*IterData!H7734)))</f>
        <v>1</v>
      </c>
    </row>
    <row r="7735" spans="8:11" x14ac:dyDescent="0.3">
      <c r="H7735">
        <v>0.5</v>
      </c>
      <c r="I7735" s="11">
        <f t="shared" si="120"/>
        <v>0</v>
      </c>
      <c r="J7735" s="11">
        <f>1/(H7735*Utilities!$B$11)</f>
        <v>8</v>
      </c>
      <c r="K7735" s="11">
        <f>IF(B7735&lt;C7735,1,EXP(-1*(B7735-C7735)/(Utilities!$B$11*IterData!H7735)))</f>
        <v>1</v>
      </c>
    </row>
    <row r="7736" spans="8:11" x14ac:dyDescent="0.3">
      <c r="H7736">
        <v>0.5</v>
      </c>
      <c r="I7736" s="11">
        <f t="shared" si="120"/>
        <v>0</v>
      </c>
      <c r="J7736" s="11">
        <f>1/(H7736*Utilities!$B$11)</f>
        <v>8</v>
      </c>
      <c r="K7736" s="11">
        <f>IF(B7736&lt;C7736,1,EXP(-1*(B7736-C7736)/(Utilities!$B$11*IterData!H7736)))</f>
        <v>1</v>
      </c>
    </row>
    <row r="7737" spans="8:11" x14ac:dyDescent="0.3">
      <c r="H7737">
        <v>0.5</v>
      </c>
      <c r="I7737" s="11">
        <f t="shared" si="120"/>
        <v>0</v>
      </c>
      <c r="J7737" s="11">
        <f>1/(H7737*Utilities!$B$11)</f>
        <v>8</v>
      </c>
      <c r="K7737" s="11">
        <f>IF(B7737&lt;C7737,1,EXP(-1*(B7737-C7737)/(Utilities!$B$11*IterData!H7737)))</f>
        <v>1</v>
      </c>
    </row>
    <row r="7738" spans="8:11" x14ac:dyDescent="0.3">
      <c r="H7738">
        <v>0.5</v>
      </c>
      <c r="I7738" s="11">
        <f t="shared" si="120"/>
        <v>0</v>
      </c>
      <c r="J7738" s="11">
        <f>1/(H7738*Utilities!$B$11)</f>
        <v>8</v>
      </c>
      <c r="K7738" s="11">
        <f>IF(B7738&lt;C7738,1,EXP(-1*(B7738-C7738)/(Utilities!$B$11*IterData!H7738)))</f>
        <v>1</v>
      </c>
    </row>
    <row r="7739" spans="8:11" x14ac:dyDescent="0.3">
      <c r="H7739">
        <v>0.5</v>
      </c>
      <c r="I7739" s="11">
        <f t="shared" si="120"/>
        <v>0</v>
      </c>
      <c r="J7739" s="11">
        <f>1/(H7739*Utilities!$B$11)</f>
        <v>8</v>
      </c>
      <c r="K7739" s="11">
        <f>IF(B7739&lt;C7739,1,EXP(-1*(B7739-C7739)/(Utilities!$B$11*IterData!H7739)))</f>
        <v>1</v>
      </c>
    </row>
    <row r="7740" spans="8:11" x14ac:dyDescent="0.3">
      <c r="H7740">
        <v>0.5</v>
      </c>
      <c r="I7740" s="11">
        <f t="shared" si="120"/>
        <v>0</v>
      </c>
      <c r="J7740" s="11">
        <f>1/(H7740*Utilities!$B$11)</f>
        <v>8</v>
      </c>
      <c r="K7740" s="11">
        <f>IF(B7740&lt;C7740,1,EXP(-1*(B7740-C7740)/(Utilities!$B$11*IterData!H7740)))</f>
        <v>1</v>
      </c>
    </row>
    <row r="7741" spans="8:11" x14ac:dyDescent="0.3">
      <c r="H7741">
        <v>0.5</v>
      </c>
      <c r="I7741" s="11">
        <f t="shared" si="120"/>
        <v>0</v>
      </c>
      <c r="J7741" s="11">
        <f>1/(H7741*Utilities!$B$11)</f>
        <v>8</v>
      </c>
      <c r="K7741" s="11">
        <f>IF(B7741&lt;C7741,1,EXP(-1*(B7741-C7741)/(Utilities!$B$11*IterData!H7741)))</f>
        <v>1</v>
      </c>
    </row>
    <row r="7742" spans="8:11" x14ac:dyDescent="0.3">
      <c r="H7742">
        <v>0.5</v>
      </c>
      <c r="I7742" s="11">
        <f t="shared" si="120"/>
        <v>0</v>
      </c>
      <c r="J7742" s="11">
        <f>1/(H7742*Utilities!$B$11)</f>
        <v>8</v>
      </c>
      <c r="K7742" s="11">
        <f>IF(B7742&lt;C7742,1,EXP(-1*(B7742-C7742)/(Utilities!$B$11*IterData!H7742)))</f>
        <v>1</v>
      </c>
    </row>
    <row r="7743" spans="8:11" x14ac:dyDescent="0.3">
      <c r="H7743">
        <v>0.5</v>
      </c>
      <c r="I7743" s="11">
        <f t="shared" si="120"/>
        <v>0</v>
      </c>
      <c r="J7743" s="11">
        <f>1/(H7743*Utilities!$B$11)</f>
        <v>8</v>
      </c>
      <c r="K7743" s="11">
        <f>IF(B7743&lt;C7743,1,EXP(-1*(B7743-C7743)/(Utilities!$B$11*IterData!H7743)))</f>
        <v>1</v>
      </c>
    </row>
    <row r="7744" spans="8:11" x14ac:dyDescent="0.3">
      <c r="H7744">
        <v>0.5</v>
      </c>
      <c r="I7744" s="11">
        <f t="shared" si="120"/>
        <v>0</v>
      </c>
      <c r="J7744" s="11">
        <f>1/(H7744*Utilities!$B$11)</f>
        <v>8</v>
      </c>
      <c r="K7744" s="11">
        <f>IF(B7744&lt;C7744,1,EXP(-1*(B7744-C7744)/(Utilities!$B$11*IterData!H7744)))</f>
        <v>1</v>
      </c>
    </row>
    <row r="7745" spans="8:11" x14ac:dyDescent="0.3">
      <c r="H7745">
        <v>0.5</v>
      </c>
      <c r="I7745" s="11">
        <f t="shared" si="120"/>
        <v>0</v>
      </c>
      <c r="J7745" s="11">
        <f>1/(H7745*Utilities!$B$11)</f>
        <v>8</v>
      </c>
      <c r="K7745" s="11">
        <f>IF(B7745&lt;C7745,1,EXP(-1*(B7745-C7745)/(Utilities!$B$11*IterData!H7745)))</f>
        <v>1</v>
      </c>
    </row>
    <row r="7746" spans="8:11" x14ac:dyDescent="0.3">
      <c r="H7746">
        <v>0.5</v>
      </c>
      <c r="I7746" s="11">
        <f t="shared" si="120"/>
        <v>0</v>
      </c>
      <c r="J7746" s="11">
        <f>1/(H7746*Utilities!$B$11)</f>
        <v>8</v>
      </c>
      <c r="K7746" s="11">
        <f>IF(B7746&lt;C7746,1,EXP(-1*(B7746-C7746)/(Utilities!$B$11*IterData!H7746)))</f>
        <v>1</v>
      </c>
    </row>
    <row r="7747" spans="8:11" x14ac:dyDescent="0.3">
      <c r="H7747">
        <v>0.5</v>
      </c>
      <c r="I7747" s="11">
        <f t="shared" ref="I7747:I7810" si="121">B7747-C7747</f>
        <v>0</v>
      </c>
      <c r="J7747" s="11">
        <f>1/(H7747*Utilities!$B$11)</f>
        <v>8</v>
      </c>
      <c r="K7747" s="11">
        <f>IF(B7747&lt;C7747,1,EXP(-1*(B7747-C7747)/(Utilities!$B$11*IterData!H7747)))</f>
        <v>1</v>
      </c>
    </row>
    <row r="7748" spans="8:11" x14ac:dyDescent="0.3">
      <c r="H7748">
        <v>0.5</v>
      </c>
      <c r="I7748" s="11">
        <f t="shared" si="121"/>
        <v>0</v>
      </c>
      <c r="J7748" s="11">
        <f>1/(H7748*Utilities!$B$11)</f>
        <v>8</v>
      </c>
      <c r="K7748" s="11">
        <f>IF(B7748&lt;C7748,1,EXP(-1*(B7748-C7748)/(Utilities!$B$11*IterData!H7748)))</f>
        <v>1</v>
      </c>
    </row>
    <row r="7749" spans="8:11" x14ac:dyDescent="0.3">
      <c r="H7749">
        <v>0.5</v>
      </c>
      <c r="I7749" s="11">
        <f t="shared" si="121"/>
        <v>0</v>
      </c>
      <c r="J7749" s="11">
        <f>1/(H7749*Utilities!$B$11)</f>
        <v>8</v>
      </c>
      <c r="K7749" s="11">
        <f>IF(B7749&lt;C7749,1,EXP(-1*(B7749-C7749)/(Utilities!$B$11*IterData!H7749)))</f>
        <v>1</v>
      </c>
    </row>
    <row r="7750" spans="8:11" x14ac:dyDescent="0.3">
      <c r="H7750">
        <v>0.5</v>
      </c>
      <c r="I7750" s="11">
        <f t="shared" si="121"/>
        <v>0</v>
      </c>
      <c r="J7750" s="11">
        <f>1/(H7750*Utilities!$B$11)</f>
        <v>8</v>
      </c>
      <c r="K7750" s="11">
        <f>IF(B7750&lt;C7750,1,EXP(-1*(B7750-C7750)/(Utilities!$B$11*IterData!H7750)))</f>
        <v>1</v>
      </c>
    </row>
    <row r="7751" spans="8:11" x14ac:dyDescent="0.3">
      <c r="H7751">
        <v>0.5</v>
      </c>
      <c r="I7751" s="11">
        <f t="shared" si="121"/>
        <v>0</v>
      </c>
      <c r="J7751" s="11">
        <f>1/(H7751*Utilities!$B$11)</f>
        <v>8</v>
      </c>
      <c r="K7751" s="11">
        <f>IF(B7751&lt;C7751,1,EXP(-1*(B7751-C7751)/(Utilities!$B$11*IterData!H7751)))</f>
        <v>1</v>
      </c>
    </row>
    <row r="7752" spans="8:11" x14ac:dyDescent="0.3">
      <c r="H7752">
        <v>0.5</v>
      </c>
      <c r="I7752" s="11">
        <f t="shared" si="121"/>
        <v>0</v>
      </c>
      <c r="J7752" s="11">
        <f>1/(H7752*Utilities!$B$11)</f>
        <v>8</v>
      </c>
      <c r="K7752" s="11">
        <f>IF(B7752&lt;C7752,1,EXP(-1*(B7752-C7752)/(Utilities!$B$11*IterData!H7752)))</f>
        <v>1</v>
      </c>
    </row>
    <row r="7753" spans="8:11" x14ac:dyDescent="0.3">
      <c r="H7753">
        <v>0.5</v>
      </c>
      <c r="I7753" s="11">
        <f t="shared" si="121"/>
        <v>0</v>
      </c>
      <c r="J7753" s="11">
        <f>1/(H7753*Utilities!$B$11)</f>
        <v>8</v>
      </c>
      <c r="K7753" s="11">
        <f>IF(B7753&lt;C7753,1,EXP(-1*(B7753-C7753)/(Utilities!$B$11*IterData!H7753)))</f>
        <v>1</v>
      </c>
    </row>
    <row r="7754" spans="8:11" x14ac:dyDescent="0.3">
      <c r="H7754">
        <v>0.5</v>
      </c>
      <c r="I7754" s="11">
        <f t="shared" si="121"/>
        <v>0</v>
      </c>
      <c r="J7754" s="11">
        <f>1/(H7754*Utilities!$B$11)</f>
        <v>8</v>
      </c>
      <c r="K7754" s="11">
        <f>IF(B7754&lt;C7754,1,EXP(-1*(B7754-C7754)/(Utilities!$B$11*IterData!H7754)))</f>
        <v>1</v>
      </c>
    </row>
    <row r="7755" spans="8:11" x14ac:dyDescent="0.3">
      <c r="H7755">
        <v>0.5</v>
      </c>
      <c r="I7755" s="11">
        <f t="shared" si="121"/>
        <v>0</v>
      </c>
      <c r="J7755" s="11">
        <f>1/(H7755*Utilities!$B$11)</f>
        <v>8</v>
      </c>
      <c r="K7755" s="11">
        <f>IF(B7755&lt;C7755,1,EXP(-1*(B7755-C7755)/(Utilities!$B$11*IterData!H7755)))</f>
        <v>1</v>
      </c>
    </row>
    <row r="7756" spans="8:11" x14ac:dyDescent="0.3">
      <c r="H7756">
        <v>0.5</v>
      </c>
      <c r="I7756" s="11">
        <f t="shared" si="121"/>
        <v>0</v>
      </c>
      <c r="J7756" s="11">
        <f>1/(H7756*Utilities!$B$11)</f>
        <v>8</v>
      </c>
      <c r="K7756" s="11">
        <f>IF(B7756&lt;C7756,1,EXP(-1*(B7756-C7756)/(Utilities!$B$11*IterData!H7756)))</f>
        <v>1</v>
      </c>
    </row>
    <row r="7757" spans="8:11" x14ac:dyDescent="0.3">
      <c r="H7757">
        <v>0.5</v>
      </c>
      <c r="I7757" s="11">
        <f t="shared" si="121"/>
        <v>0</v>
      </c>
      <c r="J7757" s="11">
        <f>1/(H7757*Utilities!$B$11)</f>
        <v>8</v>
      </c>
      <c r="K7757" s="11">
        <f>IF(B7757&lt;C7757,1,EXP(-1*(B7757-C7757)/(Utilities!$B$11*IterData!H7757)))</f>
        <v>1</v>
      </c>
    </row>
    <row r="7758" spans="8:11" x14ac:dyDescent="0.3">
      <c r="H7758">
        <v>0.5</v>
      </c>
      <c r="I7758" s="11">
        <f t="shared" si="121"/>
        <v>0</v>
      </c>
      <c r="J7758" s="11">
        <f>1/(H7758*Utilities!$B$11)</f>
        <v>8</v>
      </c>
      <c r="K7758" s="11">
        <f>IF(B7758&lt;C7758,1,EXP(-1*(B7758-C7758)/(Utilities!$B$11*IterData!H7758)))</f>
        <v>1</v>
      </c>
    </row>
    <row r="7759" spans="8:11" x14ac:dyDescent="0.3">
      <c r="H7759">
        <v>0.5</v>
      </c>
      <c r="I7759" s="11">
        <f t="shared" si="121"/>
        <v>0</v>
      </c>
      <c r="J7759" s="11">
        <f>1/(H7759*Utilities!$B$11)</f>
        <v>8</v>
      </c>
      <c r="K7759" s="11">
        <f>IF(B7759&lt;C7759,1,EXP(-1*(B7759-C7759)/(Utilities!$B$11*IterData!H7759)))</f>
        <v>1</v>
      </c>
    </row>
    <row r="7760" spans="8:11" x14ac:dyDescent="0.3">
      <c r="H7760">
        <v>0.5</v>
      </c>
      <c r="I7760" s="11">
        <f t="shared" si="121"/>
        <v>0</v>
      </c>
      <c r="J7760" s="11">
        <f>1/(H7760*Utilities!$B$11)</f>
        <v>8</v>
      </c>
      <c r="K7760" s="11">
        <f>IF(B7760&lt;C7760,1,EXP(-1*(B7760-C7760)/(Utilities!$B$11*IterData!H7760)))</f>
        <v>1</v>
      </c>
    </row>
    <row r="7761" spans="8:11" x14ac:dyDescent="0.3">
      <c r="H7761">
        <v>0.5</v>
      </c>
      <c r="I7761" s="11">
        <f t="shared" si="121"/>
        <v>0</v>
      </c>
      <c r="J7761" s="11">
        <f>1/(H7761*Utilities!$B$11)</f>
        <v>8</v>
      </c>
      <c r="K7761" s="11">
        <f>IF(B7761&lt;C7761,1,EXP(-1*(B7761-C7761)/(Utilities!$B$11*IterData!H7761)))</f>
        <v>1</v>
      </c>
    </row>
    <row r="7762" spans="8:11" x14ac:dyDescent="0.3">
      <c r="H7762">
        <v>0.5</v>
      </c>
      <c r="I7762" s="11">
        <f t="shared" si="121"/>
        <v>0</v>
      </c>
      <c r="J7762" s="11">
        <f>1/(H7762*Utilities!$B$11)</f>
        <v>8</v>
      </c>
      <c r="K7762" s="11">
        <f>IF(B7762&lt;C7762,1,EXP(-1*(B7762-C7762)/(Utilities!$B$11*IterData!H7762)))</f>
        <v>1</v>
      </c>
    </row>
    <row r="7763" spans="8:11" x14ac:dyDescent="0.3">
      <c r="H7763">
        <v>0.5</v>
      </c>
      <c r="I7763" s="11">
        <f t="shared" si="121"/>
        <v>0</v>
      </c>
      <c r="J7763" s="11">
        <f>1/(H7763*Utilities!$B$11)</f>
        <v>8</v>
      </c>
      <c r="K7763" s="11">
        <f>IF(B7763&lt;C7763,1,EXP(-1*(B7763-C7763)/(Utilities!$B$11*IterData!H7763)))</f>
        <v>1</v>
      </c>
    </row>
    <row r="7764" spans="8:11" x14ac:dyDescent="0.3">
      <c r="H7764">
        <v>0.5</v>
      </c>
      <c r="I7764" s="11">
        <f t="shared" si="121"/>
        <v>0</v>
      </c>
      <c r="J7764" s="11">
        <f>1/(H7764*Utilities!$B$11)</f>
        <v>8</v>
      </c>
      <c r="K7764" s="11">
        <f>IF(B7764&lt;C7764,1,EXP(-1*(B7764-C7764)/(Utilities!$B$11*IterData!H7764)))</f>
        <v>1</v>
      </c>
    </row>
    <row r="7765" spans="8:11" x14ac:dyDescent="0.3">
      <c r="H7765">
        <v>0.5</v>
      </c>
      <c r="I7765" s="11">
        <f t="shared" si="121"/>
        <v>0</v>
      </c>
      <c r="J7765" s="11">
        <f>1/(H7765*Utilities!$B$11)</f>
        <v>8</v>
      </c>
      <c r="K7765" s="11">
        <f>IF(B7765&lt;C7765,1,EXP(-1*(B7765-C7765)/(Utilities!$B$11*IterData!H7765)))</f>
        <v>1</v>
      </c>
    </row>
    <row r="7766" spans="8:11" x14ac:dyDescent="0.3">
      <c r="H7766">
        <v>0.5</v>
      </c>
      <c r="I7766" s="11">
        <f t="shared" si="121"/>
        <v>0</v>
      </c>
      <c r="J7766" s="11">
        <f>1/(H7766*Utilities!$B$11)</f>
        <v>8</v>
      </c>
      <c r="K7766" s="11">
        <f>IF(B7766&lt;C7766,1,EXP(-1*(B7766-C7766)/(Utilities!$B$11*IterData!H7766)))</f>
        <v>1</v>
      </c>
    </row>
    <row r="7767" spans="8:11" x14ac:dyDescent="0.3">
      <c r="H7767">
        <v>0.5</v>
      </c>
      <c r="I7767" s="11">
        <f t="shared" si="121"/>
        <v>0</v>
      </c>
      <c r="J7767" s="11">
        <f>1/(H7767*Utilities!$B$11)</f>
        <v>8</v>
      </c>
      <c r="K7767" s="11">
        <f>IF(B7767&lt;C7767,1,EXP(-1*(B7767-C7767)/(Utilities!$B$11*IterData!H7767)))</f>
        <v>1</v>
      </c>
    </row>
    <row r="7768" spans="8:11" x14ac:dyDescent="0.3">
      <c r="H7768">
        <v>0.5</v>
      </c>
      <c r="I7768" s="11">
        <f t="shared" si="121"/>
        <v>0</v>
      </c>
      <c r="J7768" s="11">
        <f>1/(H7768*Utilities!$B$11)</f>
        <v>8</v>
      </c>
      <c r="K7768" s="11">
        <f>IF(B7768&lt;C7768,1,EXP(-1*(B7768-C7768)/(Utilities!$B$11*IterData!H7768)))</f>
        <v>1</v>
      </c>
    </row>
    <row r="7769" spans="8:11" x14ac:dyDescent="0.3">
      <c r="H7769">
        <v>0.5</v>
      </c>
      <c r="I7769" s="11">
        <f t="shared" si="121"/>
        <v>0</v>
      </c>
      <c r="J7769" s="11">
        <f>1/(H7769*Utilities!$B$11)</f>
        <v>8</v>
      </c>
      <c r="K7769" s="11">
        <f>IF(B7769&lt;C7769,1,EXP(-1*(B7769-C7769)/(Utilities!$B$11*IterData!H7769)))</f>
        <v>1</v>
      </c>
    </row>
    <row r="7770" spans="8:11" x14ac:dyDescent="0.3">
      <c r="H7770">
        <v>0.5</v>
      </c>
      <c r="I7770" s="11">
        <f t="shared" si="121"/>
        <v>0</v>
      </c>
      <c r="J7770" s="11">
        <f>1/(H7770*Utilities!$B$11)</f>
        <v>8</v>
      </c>
      <c r="K7770" s="11">
        <f>IF(B7770&lt;C7770,1,EXP(-1*(B7770-C7770)/(Utilities!$B$11*IterData!H7770)))</f>
        <v>1</v>
      </c>
    </row>
    <row r="7771" spans="8:11" x14ac:dyDescent="0.3">
      <c r="H7771">
        <v>0.5</v>
      </c>
      <c r="I7771" s="11">
        <f t="shared" si="121"/>
        <v>0</v>
      </c>
      <c r="J7771" s="11">
        <f>1/(H7771*Utilities!$B$11)</f>
        <v>8</v>
      </c>
      <c r="K7771" s="11">
        <f>IF(B7771&lt;C7771,1,EXP(-1*(B7771-C7771)/(Utilities!$B$11*IterData!H7771)))</f>
        <v>1</v>
      </c>
    </row>
    <row r="7772" spans="8:11" x14ac:dyDescent="0.3">
      <c r="H7772">
        <v>0.5</v>
      </c>
      <c r="I7772" s="11">
        <f t="shared" si="121"/>
        <v>0</v>
      </c>
      <c r="J7772" s="11">
        <f>1/(H7772*Utilities!$B$11)</f>
        <v>8</v>
      </c>
      <c r="K7772" s="11">
        <f>IF(B7772&lt;C7772,1,EXP(-1*(B7772-C7772)/(Utilities!$B$11*IterData!H7772)))</f>
        <v>1</v>
      </c>
    </row>
    <row r="7773" spans="8:11" x14ac:dyDescent="0.3">
      <c r="H7773">
        <v>0.5</v>
      </c>
      <c r="I7773" s="11">
        <f t="shared" si="121"/>
        <v>0</v>
      </c>
      <c r="J7773" s="11">
        <f>1/(H7773*Utilities!$B$11)</f>
        <v>8</v>
      </c>
      <c r="K7773" s="11">
        <f>IF(B7773&lt;C7773,1,EXP(-1*(B7773-C7773)/(Utilities!$B$11*IterData!H7773)))</f>
        <v>1</v>
      </c>
    </row>
    <row r="7774" spans="8:11" x14ac:dyDescent="0.3">
      <c r="H7774">
        <v>0.5</v>
      </c>
      <c r="I7774" s="11">
        <f t="shared" si="121"/>
        <v>0</v>
      </c>
      <c r="J7774" s="11">
        <f>1/(H7774*Utilities!$B$11)</f>
        <v>8</v>
      </c>
      <c r="K7774" s="11">
        <f>IF(B7774&lt;C7774,1,EXP(-1*(B7774-C7774)/(Utilities!$B$11*IterData!H7774)))</f>
        <v>1</v>
      </c>
    </row>
    <row r="7775" spans="8:11" x14ac:dyDescent="0.3">
      <c r="H7775">
        <v>0.5</v>
      </c>
      <c r="I7775" s="11">
        <f t="shared" si="121"/>
        <v>0</v>
      </c>
      <c r="J7775" s="11">
        <f>1/(H7775*Utilities!$B$11)</f>
        <v>8</v>
      </c>
      <c r="K7775" s="11">
        <f>IF(B7775&lt;C7775,1,EXP(-1*(B7775-C7775)/(Utilities!$B$11*IterData!H7775)))</f>
        <v>1</v>
      </c>
    </row>
    <row r="7776" spans="8:11" x14ac:dyDescent="0.3">
      <c r="H7776">
        <v>0.5</v>
      </c>
      <c r="I7776" s="11">
        <f t="shared" si="121"/>
        <v>0</v>
      </c>
      <c r="J7776" s="11">
        <f>1/(H7776*Utilities!$B$11)</f>
        <v>8</v>
      </c>
      <c r="K7776" s="11">
        <f>IF(B7776&lt;C7776,1,EXP(-1*(B7776-C7776)/(Utilities!$B$11*IterData!H7776)))</f>
        <v>1</v>
      </c>
    </row>
    <row r="7777" spans="8:11" x14ac:dyDescent="0.3">
      <c r="H7777">
        <v>0.5</v>
      </c>
      <c r="I7777" s="11">
        <f t="shared" si="121"/>
        <v>0</v>
      </c>
      <c r="J7777" s="11">
        <f>1/(H7777*Utilities!$B$11)</f>
        <v>8</v>
      </c>
      <c r="K7777" s="11">
        <f>IF(B7777&lt;C7777,1,EXP(-1*(B7777-C7777)/(Utilities!$B$11*IterData!H7777)))</f>
        <v>1</v>
      </c>
    </row>
    <row r="7778" spans="8:11" x14ac:dyDescent="0.3">
      <c r="H7778">
        <v>0.5</v>
      </c>
      <c r="I7778" s="11">
        <f t="shared" si="121"/>
        <v>0</v>
      </c>
      <c r="J7778" s="11">
        <f>1/(H7778*Utilities!$B$11)</f>
        <v>8</v>
      </c>
      <c r="K7778" s="11">
        <f>IF(B7778&lt;C7778,1,EXP(-1*(B7778-C7778)/(Utilities!$B$11*IterData!H7778)))</f>
        <v>1</v>
      </c>
    </row>
    <row r="7779" spans="8:11" x14ac:dyDescent="0.3">
      <c r="H7779">
        <v>0.5</v>
      </c>
      <c r="I7779" s="11">
        <f t="shared" si="121"/>
        <v>0</v>
      </c>
      <c r="J7779" s="11">
        <f>1/(H7779*Utilities!$B$11)</f>
        <v>8</v>
      </c>
      <c r="K7779" s="11">
        <f>IF(B7779&lt;C7779,1,EXP(-1*(B7779-C7779)/(Utilities!$B$11*IterData!H7779)))</f>
        <v>1</v>
      </c>
    </row>
    <row r="7780" spans="8:11" x14ac:dyDescent="0.3">
      <c r="H7780">
        <v>0.5</v>
      </c>
      <c r="I7780" s="11">
        <f t="shared" si="121"/>
        <v>0</v>
      </c>
      <c r="J7780" s="11">
        <f>1/(H7780*Utilities!$B$11)</f>
        <v>8</v>
      </c>
      <c r="K7780" s="11">
        <f>IF(B7780&lt;C7780,1,EXP(-1*(B7780-C7780)/(Utilities!$B$11*IterData!H7780)))</f>
        <v>1</v>
      </c>
    </row>
    <row r="7781" spans="8:11" x14ac:dyDescent="0.3">
      <c r="H7781">
        <v>0.5</v>
      </c>
      <c r="I7781" s="11">
        <f t="shared" si="121"/>
        <v>0</v>
      </c>
      <c r="J7781" s="11">
        <f>1/(H7781*Utilities!$B$11)</f>
        <v>8</v>
      </c>
      <c r="K7781" s="11">
        <f>IF(B7781&lt;C7781,1,EXP(-1*(B7781-C7781)/(Utilities!$B$11*IterData!H7781)))</f>
        <v>1</v>
      </c>
    </row>
    <row r="7782" spans="8:11" x14ac:dyDescent="0.3">
      <c r="H7782">
        <v>0.5</v>
      </c>
      <c r="I7782" s="11">
        <f t="shared" si="121"/>
        <v>0</v>
      </c>
      <c r="J7782" s="11">
        <f>1/(H7782*Utilities!$B$11)</f>
        <v>8</v>
      </c>
      <c r="K7782" s="11">
        <f>IF(B7782&lt;C7782,1,EXP(-1*(B7782-C7782)/(Utilities!$B$11*IterData!H7782)))</f>
        <v>1</v>
      </c>
    </row>
    <row r="7783" spans="8:11" x14ac:dyDescent="0.3">
      <c r="H7783">
        <v>0.5</v>
      </c>
      <c r="I7783" s="11">
        <f t="shared" si="121"/>
        <v>0</v>
      </c>
      <c r="J7783" s="11">
        <f>1/(H7783*Utilities!$B$11)</f>
        <v>8</v>
      </c>
      <c r="K7783" s="11">
        <f>IF(B7783&lt;C7783,1,EXP(-1*(B7783-C7783)/(Utilities!$B$11*IterData!H7783)))</f>
        <v>1</v>
      </c>
    </row>
    <row r="7784" spans="8:11" x14ac:dyDescent="0.3">
      <c r="H7784">
        <v>0.5</v>
      </c>
      <c r="I7784" s="11">
        <f t="shared" si="121"/>
        <v>0</v>
      </c>
      <c r="J7784" s="11">
        <f>1/(H7784*Utilities!$B$11)</f>
        <v>8</v>
      </c>
      <c r="K7784" s="11">
        <f>IF(B7784&lt;C7784,1,EXP(-1*(B7784-C7784)/(Utilities!$B$11*IterData!H7784)))</f>
        <v>1</v>
      </c>
    </row>
    <row r="7785" spans="8:11" x14ac:dyDescent="0.3">
      <c r="H7785">
        <v>0.5</v>
      </c>
      <c r="I7785" s="11">
        <f t="shared" si="121"/>
        <v>0</v>
      </c>
      <c r="J7785" s="11">
        <f>1/(H7785*Utilities!$B$11)</f>
        <v>8</v>
      </c>
      <c r="K7785" s="11">
        <f>IF(B7785&lt;C7785,1,EXP(-1*(B7785-C7785)/(Utilities!$B$11*IterData!H7785)))</f>
        <v>1</v>
      </c>
    </row>
    <row r="7786" spans="8:11" x14ac:dyDescent="0.3">
      <c r="H7786">
        <v>0.5</v>
      </c>
      <c r="I7786" s="11">
        <f t="shared" si="121"/>
        <v>0</v>
      </c>
      <c r="J7786" s="11">
        <f>1/(H7786*Utilities!$B$11)</f>
        <v>8</v>
      </c>
      <c r="K7786" s="11">
        <f>IF(B7786&lt;C7786,1,EXP(-1*(B7786-C7786)/(Utilities!$B$11*IterData!H7786)))</f>
        <v>1</v>
      </c>
    </row>
    <row r="7787" spans="8:11" x14ac:dyDescent="0.3">
      <c r="H7787">
        <v>0.5</v>
      </c>
      <c r="I7787" s="11">
        <f t="shared" si="121"/>
        <v>0</v>
      </c>
      <c r="J7787" s="11">
        <f>1/(H7787*Utilities!$B$11)</f>
        <v>8</v>
      </c>
      <c r="K7787" s="11">
        <f>IF(B7787&lt;C7787,1,EXP(-1*(B7787-C7787)/(Utilities!$B$11*IterData!H7787)))</f>
        <v>1</v>
      </c>
    </row>
    <row r="7788" spans="8:11" x14ac:dyDescent="0.3">
      <c r="H7788">
        <v>0.5</v>
      </c>
      <c r="I7788" s="11">
        <f t="shared" si="121"/>
        <v>0</v>
      </c>
      <c r="J7788" s="11">
        <f>1/(H7788*Utilities!$B$11)</f>
        <v>8</v>
      </c>
      <c r="K7788" s="11">
        <f>IF(B7788&lt;C7788,1,EXP(-1*(B7788-C7788)/(Utilities!$B$11*IterData!H7788)))</f>
        <v>1</v>
      </c>
    </row>
    <row r="7789" spans="8:11" x14ac:dyDescent="0.3">
      <c r="H7789">
        <v>0.5</v>
      </c>
      <c r="I7789" s="11">
        <f t="shared" si="121"/>
        <v>0</v>
      </c>
      <c r="J7789" s="11">
        <f>1/(H7789*Utilities!$B$11)</f>
        <v>8</v>
      </c>
      <c r="K7789" s="11">
        <f>IF(B7789&lt;C7789,1,EXP(-1*(B7789-C7789)/(Utilities!$B$11*IterData!H7789)))</f>
        <v>1</v>
      </c>
    </row>
    <row r="7790" spans="8:11" x14ac:dyDescent="0.3">
      <c r="H7790">
        <v>0.5</v>
      </c>
      <c r="I7790" s="11">
        <f t="shared" si="121"/>
        <v>0</v>
      </c>
      <c r="J7790" s="11">
        <f>1/(H7790*Utilities!$B$11)</f>
        <v>8</v>
      </c>
      <c r="K7790" s="11">
        <f>IF(B7790&lt;C7790,1,EXP(-1*(B7790-C7790)/(Utilities!$B$11*IterData!H7790)))</f>
        <v>1</v>
      </c>
    </row>
    <row r="7791" spans="8:11" x14ac:dyDescent="0.3">
      <c r="H7791">
        <v>0.5</v>
      </c>
      <c r="I7791" s="11">
        <f t="shared" si="121"/>
        <v>0</v>
      </c>
      <c r="J7791" s="11">
        <f>1/(H7791*Utilities!$B$11)</f>
        <v>8</v>
      </c>
      <c r="K7791" s="11">
        <f>IF(B7791&lt;C7791,1,EXP(-1*(B7791-C7791)/(Utilities!$B$11*IterData!H7791)))</f>
        <v>1</v>
      </c>
    </row>
    <row r="7792" spans="8:11" x14ac:dyDescent="0.3">
      <c r="H7792">
        <v>0.5</v>
      </c>
      <c r="I7792" s="11">
        <f t="shared" si="121"/>
        <v>0</v>
      </c>
      <c r="J7792" s="11">
        <f>1/(H7792*Utilities!$B$11)</f>
        <v>8</v>
      </c>
      <c r="K7792" s="11">
        <f>IF(B7792&lt;C7792,1,EXP(-1*(B7792-C7792)/(Utilities!$B$11*IterData!H7792)))</f>
        <v>1</v>
      </c>
    </row>
    <row r="7793" spans="8:11" x14ac:dyDescent="0.3">
      <c r="H7793">
        <v>0.5</v>
      </c>
      <c r="I7793" s="11">
        <f t="shared" si="121"/>
        <v>0</v>
      </c>
      <c r="J7793" s="11">
        <f>1/(H7793*Utilities!$B$11)</f>
        <v>8</v>
      </c>
      <c r="K7793" s="11">
        <f>IF(B7793&lt;C7793,1,EXP(-1*(B7793-C7793)/(Utilities!$B$11*IterData!H7793)))</f>
        <v>1</v>
      </c>
    </row>
    <row r="7794" spans="8:11" x14ac:dyDescent="0.3">
      <c r="H7794">
        <v>0.5</v>
      </c>
      <c r="I7794" s="11">
        <f t="shared" si="121"/>
        <v>0</v>
      </c>
      <c r="J7794" s="11">
        <f>1/(H7794*Utilities!$B$11)</f>
        <v>8</v>
      </c>
      <c r="K7794" s="11">
        <f>IF(B7794&lt;C7794,1,EXP(-1*(B7794-C7794)/(Utilities!$B$11*IterData!H7794)))</f>
        <v>1</v>
      </c>
    </row>
    <row r="7795" spans="8:11" x14ac:dyDescent="0.3">
      <c r="H7795">
        <v>0.5</v>
      </c>
      <c r="I7795" s="11">
        <f t="shared" si="121"/>
        <v>0</v>
      </c>
      <c r="J7795" s="11">
        <f>1/(H7795*Utilities!$B$11)</f>
        <v>8</v>
      </c>
      <c r="K7795" s="11">
        <f>IF(B7795&lt;C7795,1,EXP(-1*(B7795-C7795)/(Utilities!$B$11*IterData!H7795)))</f>
        <v>1</v>
      </c>
    </row>
    <row r="7796" spans="8:11" x14ac:dyDescent="0.3">
      <c r="H7796">
        <v>0.5</v>
      </c>
      <c r="I7796" s="11">
        <f t="shared" si="121"/>
        <v>0</v>
      </c>
      <c r="J7796" s="11">
        <f>1/(H7796*Utilities!$B$11)</f>
        <v>8</v>
      </c>
      <c r="K7796" s="11">
        <f>IF(B7796&lt;C7796,1,EXP(-1*(B7796-C7796)/(Utilities!$B$11*IterData!H7796)))</f>
        <v>1</v>
      </c>
    </row>
    <row r="7797" spans="8:11" x14ac:dyDescent="0.3">
      <c r="H7797">
        <v>0.5</v>
      </c>
      <c r="I7797" s="11">
        <f t="shared" si="121"/>
        <v>0</v>
      </c>
      <c r="J7797" s="11">
        <f>1/(H7797*Utilities!$B$11)</f>
        <v>8</v>
      </c>
      <c r="K7797" s="11">
        <f>IF(B7797&lt;C7797,1,EXP(-1*(B7797-C7797)/(Utilities!$B$11*IterData!H7797)))</f>
        <v>1</v>
      </c>
    </row>
    <row r="7798" spans="8:11" x14ac:dyDescent="0.3">
      <c r="H7798">
        <v>0.5</v>
      </c>
      <c r="I7798" s="11">
        <f t="shared" si="121"/>
        <v>0</v>
      </c>
      <c r="J7798" s="11">
        <f>1/(H7798*Utilities!$B$11)</f>
        <v>8</v>
      </c>
      <c r="K7798" s="11">
        <f>IF(B7798&lt;C7798,1,EXP(-1*(B7798-C7798)/(Utilities!$B$11*IterData!H7798)))</f>
        <v>1</v>
      </c>
    </row>
    <row r="7799" spans="8:11" x14ac:dyDescent="0.3">
      <c r="H7799">
        <v>0.5</v>
      </c>
      <c r="I7799" s="11">
        <f t="shared" si="121"/>
        <v>0</v>
      </c>
      <c r="J7799" s="11">
        <f>1/(H7799*Utilities!$B$11)</f>
        <v>8</v>
      </c>
      <c r="K7799" s="11">
        <f>IF(B7799&lt;C7799,1,EXP(-1*(B7799-C7799)/(Utilities!$B$11*IterData!H7799)))</f>
        <v>1</v>
      </c>
    </row>
    <row r="7800" spans="8:11" x14ac:dyDescent="0.3">
      <c r="H7800">
        <v>0.5</v>
      </c>
      <c r="I7800" s="11">
        <f t="shared" si="121"/>
        <v>0</v>
      </c>
      <c r="J7800" s="11">
        <f>1/(H7800*Utilities!$B$11)</f>
        <v>8</v>
      </c>
      <c r="K7800" s="11">
        <f>IF(B7800&lt;C7800,1,EXP(-1*(B7800-C7800)/(Utilities!$B$11*IterData!H7800)))</f>
        <v>1</v>
      </c>
    </row>
    <row r="7801" spans="8:11" x14ac:dyDescent="0.3">
      <c r="H7801">
        <v>0.5</v>
      </c>
      <c r="I7801" s="11">
        <f t="shared" si="121"/>
        <v>0</v>
      </c>
      <c r="J7801" s="11">
        <f>1/(H7801*Utilities!$B$11)</f>
        <v>8</v>
      </c>
      <c r="K7801" s="11">
        <f>IF(B7801&lt;C7801,1,EXP(-1*(B7801-C7801)/(Utilities!$B$11*IterData!H7801)))</f>
        <v>1</v>
      </c>
    </row>
    <row r="7802" spans="8:11" x14ac:dyDescent="0.3">
      <c r="H7802">
        <v>0.5</v>
      </c>
      <c r="I7802" s="11">
        <f t="shared" si="121"/>
        <v>0</v>
      </c>
      <c r="J7802" s="11">
        <f>1/(H7802*Utilities!$B$11)</f>
        <v>8</v>
      </c>
      <c r="K7802" s="11">
        <f>IF(B7802&lt;C7802,1,EXP(-1*(B7802-C7802)/(Utilities!$B$11*IterData!H7802)))</f>
        <v>1</v>
      </c>
    </row>
    <row r="7803" spans="8:11" x14ac:dyDescent="0.3">
      <c r="H7803">
        <v>0.5</v>
      </c>
      <c r="I7803" s="11">
        <f t="shared" si="121"/>
        <v>0</v>
      </c>
      <c r="J7803" s="11">
        <f>1/(H7803*Utilities!$B$11)</f>
        <v>8</v>
      </c>
      <c r="K7803" s="11">
        <f>IF(B7803&lt;C7803,1,EXP(-1*(B7803-C7803)/(Utilities!$B$11*IterData!H7803)))</f>
        <v>1</v>
      </c>
    </row>
    <row r="7804" spans="8:11" x14ac:dyDescent="0.3">
      <c r="H7804">
        <v>0.5</v>
      </c>
      <c r="I7804" s="11">
        <f t="shared" si="121"/>
        <v>0</v>
      </c>
      <c r="J7804" s="11">
        <f>1/(H7804*Utilities!$B$11)</f>
        <v>8</v>
      </c>
      <c r="K7804" s="11">
        <f>IF(B7804&lt;C7804,1,EXP(-1*(B7804-C7804)/(Utilities!$B$11*IterData!H7804)))</f>
        <v>1</v>
      </c>
    </row>
    <row r="7805" spans="8:11" x14ac:dyDescent="0.3">
      <c r="H7805">
        <v>0.5</v>
      </c>
      <c r="I7805" s="11">
        <f t="shared" si="121"/>
        <v>0</v>
      </c>
      <c r="J7805" s="11">
        <f>1/(H7805*Utilities!$B$11)</f>
        <v>8</v>
      </c>
      <c r="K7805" s="11">
        <f>IF(B7805&lt;C7805,1,EXP(-1*(B7805-C7805)/(Utilities!$B$11*IterData!H7805)))</f>
        <v>1</v>
      </c>
    </row>
    <row r="7806" spans="8:11" x14ac:dyDescent="0.3">
      <c r="H7806">
        <v>0.5</v>
      </c>
      <c r="I7806" s="11">
        <f t="shared" si="121"/>
        <v>0</v>
      </c>
      <c r="J7806" s="11">
        <f>1/(H7806*Utilities!$B$11)</f>
        <v>8</v>
      </c>
      <c r="K7806" s="11">
        <f>IF(B7806&lt;C7806,1,EXP(-1*(B7806-C7806)/(Utilities!$B$11*IterData!H7806)))</f>
        <v>1</v>
      </c>
    </row>
    <row r="7807" spans="8:11" x14ac:dyDescent="0.3">
      <c r="H7807">
        <v>0.5</v>
      </c>
      <c r="I7807" s="11">
        <f t="shared" si="121"/>
        <v>0</v>
      </c>
      <c r="J7807" s="11">
        <f>1/(H7807*Utilities!$B$11)</f>
        <v>8</v>
      </c>
      <c r="K7807" s="11">
        <f>IF(B7807&lt;C7807,1,EXP(-1*(B7807-C7807)/(Utilities!$B$11*IterData!H7807)))</f>
        <v>1</v>
      </c>
    </row>
    <row r="7808" spans="8:11" x14ac:dyDescent="0.3">
      <c r="H7808">
        <v>0.5</v>
      </c>
      <c r="I7808" s="11">
        <f t="shared" si="121"/>
        <v>0</v>
      </c>
      <c r="J7808" s="11">
        <f>1/(H7808*Utilities!$B$11)</f>
        <v>8</v>
      </c>
      <c r="K7808" s="11">
        <f>IF(B7808&lt;C7808,1,EXP(-1*(B7808-C7808)/(Utilities!$B$11*IterData!H7808)))</f>
        <v>1</v>
      </c>
    </row>
    <row r="7809" spans="8:11" x14ac:dyDescent="0.3">
      <c r="H7809">
        <v>0.5</v>
      </c>
      <c r="I7809" s="11">
        <f t="shared" si="121"/>
        <v>0</v>
      </c>
      <c r="J7809" s="11">
        <f>1/(H7809*Utilities!$B$11)</f>
        <v>8</v>
      </c>
      <c r="K7809" s="11">
        <f>IF(B7809&lt;C7809,1,EXP(-1*(B7809-C7809)/(Utilities!$B$11*IterData!H7809)))</f>
        <v>1</v>
      </c>
    </row>
    <row r="7810" spans="8:11" x14ac:dyDescent="0.3">
      <c r="H7810">
        <v>0.5</v>
      </c>
      <c r="I7810" s="11">
        <f t="shared" si="121"/>
        <v>0</v>
      </c>
      <c r="J7810" s="11">
        <f>1/(H7810*Utilities!$B$11)</f>
        <v>8</v>
      </c>
      <c r="K7810" s="11">
        <f>IF(B7810&lt;C7810,1,EXP(-1*(B7810-C7810)/(Utilities!$B$11*IterData!H7810)))</f>
        <v>1</v>
      </c>
    </row>
    <row r="7811" spans="8:11" x14ac:dyDescent="0.3">
      <c r="H7811">
        <v>0.5</v>
      </c>
      <c r="I7811" s="11">
        <f t="shared" ref="I7811:I7874" si="122">B7811-C7811</f>
        <v>0</v>
      </c>
      <c r="J7811" s="11">
        <f>1/(H7811*Utilities!$B$11)</f>
        <v>8</v>
      </c>
      <c r="K7811" s="11">
        <f>IF(B7811&lt;C7811,1,EXP(-1*(B7811-C7811)/(Utilities!$B$11*IterData!H7811)))</f>
        <v>1</v>
      </c>
    </row>
    <row r="7812" spans="8:11" x14ac:dyDescent="0.3">
      <c r="H7812">
        <v>0.5</v>
      </c>
      <c r="I7812" s="11">
        <f t="shared" si="122"/>
        <v>0</v>
      </c>
      <c r="J7812" s="11">
        <f>1/(H7812*Utilities!$B$11)</f>
        <v>8</v>
      </c>
      <c r="K7812" s="11">
        <f>IF(B7812&lt;C7812,1,EXP(-1*(B7812-C7812)/(Utilities!$B$11*IterData!H7812)))</f>
        <v>1</v>
      </c>
    </row>
    <row r="7813" spans="8:11" x14ac:dyDescent="0.3">
      <c r="H7813">
        <v>0.5</v>
      </c>
      <c r="I7813" s="11">
        <f t="shared" si="122"/>
        <v>0</v>
      </c>
      <c r="J7813" s="11">
        <f>1/(H7813*Utilities!$B$11)</f>
        <v>8</v>
      </c>
      <c r="K7813" s="11">
        <f>IF(B7813&lt;C7813,1,EXP(-1*(B7813-C7813)/(Utilities!$B$11*IterData!H7813)))</f>
        <v>1</v>
      </c>
    </row>
    <row r="7814" spans="8:11" x14ac:dyDescent="0.3">
      <c r="H7814">
        <v>0.5</v>
      </c>
      <c r="I7814" s="11">
        <f t="shared" si="122"/>
        <v>0</v>
      </c>
      <c r="J7814" s="11">
        <f>1/(H7814*Utilities!$B$11)</f>
        <v>8</v>
      </c>
      <c r="K7814" s="11">
        <f>IF(B7814&lt;C7814,1,EXP(-1*(B7814-C7814)/(Utilities!$B$11*IterData!H7814)))</f>
        <v>1</v>
      </c>
    </row>
    <row r="7815" spans="8:11" x14ac:dyDescent="0.3">
      <c r="H7815">
        <v>0.5</v>
      </c>
      <c r="I7815" s="11">
        <f t="shared" si="122"/>
        <v>0</v>
      </c>
      <c r="J7815" s="11">
        <f>1/(H7815*Utilities!$B$11)</f>
        <v>8</v>
      </c>
      <c r="K7815" s="11">
        <f>IF(B7815&lt;C7815,1,EXP(-1*(B7815-C7815)/(Utilities!$B$11*IterData!H7815)))</f>
        <v>1</v>
      </c>
    </row>
    <row r="7816" spans="8:11" x14ac:dyDescent="0.3">
      <c r="H7816">
        <v>0.5</v>
      </c>
      <c r="I7816" s="11">
        <f t="shared" si="122"/>
        <v>0</v>
      </c>
      <c r="J7816" s="11">
        <f>1/(H7816*Utilities!$B$11)</f>
        <v>8</v>
      </c>
      <c r="K7816" s="11">
        <f>IF(B7816&lt;C7816,1,EXP(-1*(B7816-C7816)/(Utilities!$B$11*IterData!H7816)))</f>
        <v>1</v>
      </c>
    </row>
    <row r="7817" spans="8:11" x14ac:dyDescent="0.3">
      <c r="H7817">
        <v>0.5</v>
      </c>
      <c r="I7817" s="11">
        <f t="shared" si="122"/>
        <v>0</v>
      </c>
      <c r="J7817" s="11">
        <f>1/(H7817*Utilities!$B$11)</f>
        <v>8</v>
      </c>
      <c r="K7817" s="11">
        <f>IF(B7817&lt;C7817,1,EXP(-1*(B7817-C7817)/(Utilities!$B$11*IterData!H7817)))</f>
        <v>1</v>
      </c>
    </row>
    <row r="7818" spans="8:11" x14ac:dyDescent="0.3">
      <c r="H7818">
        <v>0.5</v>
      </c>
      <c r="I7818" s="11">
        <f t="shared" si="122"/>
        <v>0</v>
      </c>
      <c r="J7818" s="11">
        <f>1/(H7818*Utilities!$B$11)</f>
        <v>8</v>
      </c>
      <c r="K7818" s="11">
        <f>IF(B7818&lt;C7818,1,EXP(-1*(B7818-C7818)/(Utilities!$B$11*IterData!H7818)))</f>
        <v>1</v>
      </c>
    </row>
    <row r="7819" spans="8:11" x14ac:dyDescent="0.3">
      <c r="H7819">
        <v>0.5</v>
      </c>
      <c r="I7819" s="11">
        <f t="shared" si="122"/>
        <v>0</v>
      </c>
      <c r="J7819" s="11">
        <f>1/(H7819*Utilities!$B$11)</f>
        <v>8</v>
      </c>
      <c r="K7819" s="11">
        <f>IF(B7819&lt;C7819,1,EXP(-1*(B7819-C7819)/(Utilities!$B$11*IterData!H7819)))</f>
        <v>1</v>
      </c>
    </row>
    <row r="7820" spans="8:11" x14ac:dyDescent="0.3">
      <c r="H7820">
        <v>0.5</v>
      </c>
      <c r="I7820" s="11">
        <f t="shared" si="122"/>
        <v>0</v>
      </c>
      <c r="J7820" s="11">
        <f>1/(H7820*Utilities!$B$11)</f>
        <v>8</v>
      </c>
      <c r="K7820" s="11">
        <f>IF(B7820&lt;C7820,1,EXP(-1*(B7820-C7820)/(Utilities!$B$11*IterData!H7820)))</f>
        <v>1</v>
      </c>
    </row>
    <row r="7821" spans="8:11" x14ac:dyDescent="0.3">
      <c r="H7821">
        <v>0.5</v>
      </c>
      <c r="I7821" s="11">
        <f t="shared" si="122"/>
        <v>0</v>
      </c>
      <c r="J7821" s="11">
        <f>1/(H7821*Utilities!$B$11)</f>
        <v>8</v>
      </c>
      <c r="K7821" s="11">
        <f>IF(B7821&lt;C7821,1,EXP(-1*(B7821-C7821)/(Utilities!$B$11*IterData!H7821)))</f>
        <v>1</v>
      </c>
    </row>
    <row r="7822" spans="8:11" x14ac:dyDescent="0.3">
      <c r="H7822">
        <v>0.5</v>
      </c>
      <c r="I7822" s="11">
        <f t="shared" si="122"/>
        <v>0</v>
      </c>
      <c r="J7822" s="11">
        <f>1/(H7822*Utilities!$B$11)</f>
        <v>8</v>
      </c>
      <c r="K7822" s="11">
        <f>IF(B7822&lt;C7822,1,EXP(-1*(B7822-C7822)/(Utilities!$B$11*IterData!H7822)))</f>
        <v>1</v>
      </c>
    </row>
    <row r="7823" spans="8:11" x14ac:dyDescent="0.3">
      <c r="H7823">
        <v>0.5</v>
      </c>
      <c r="I7823" s="11">
        <f t="shared" si="122"/>
        <v>0</v>
      </c>
      <c r="J7823" s="11">
        <f>1/(H7823*Utilities!$B$11)</f>
        <v>8</v>
      </c>
      <c r="K7823" s="11">
        <f>IF(B7823&lt;C7823,1,EXP(-1*(B7823-C7823)/(Utilities!$B$11*IterData!H7823)))</f>
        <v>1</v>
      </c>
    </row>
    <row r="7824" spans="8:11" x14ac:dyDescent="0.3">
      <c r="H7824">
        <v>0.5</v>
      </c>
      <c r="I7824" s="11">
        <f t="shared" si="122"/>
        <v>0</v>
      </c>
      <c r="J7824" s="11">
        <f>1/(H7824*Utilities!$B$11)</f>
        <v>8</v>
      </c>
      <c r="K7824" s="11">
        <f>IF(B7824&lt;C7824,1,EXP(-1*(B7824-C7824)/(Utilities!$B$11*IterData!H7824)))</f>
        <v>1</v>
      </c>
    </row>
    <row r="7825" spans="8:11" x14ac:dyDescent="0.3">
      <c r="H7825">
        <v>0.5</v>
      </c>
      <c r="I7825" s="11">
        <f t="shared" si="122"/>
        <v>0</v>
      </c>
      <c r="J7825" s="11">
        <f>1/(H7825*Utilities!$B$11)</f>
        <v>8</v>
      </c>
      <c r="K7825" s="11">
        <f>IF(B7825&lt;C7825,1,EXP(-1*(B7825-C7825)/(Utilities!$B$11*IterData!H7825)))</f>
        <v>1</v>
      </c>
    </row>
    <row r="7826" spans="8:11" x14ac:dyDescent="0.3">
      <c r="H7826">
        <v>0.5</v>
      </c>
      <c r="I7826" s="11">
        <f t="shared" si="122"/>
        <v>0</v>
      </c>
      <c r="J7826" s="11">
        <f>1/(H7826*Utilities!$B$11)</f>
        <v>8</v>
      </c>
      <c r="K7826" s="11">
        <f>IF(B7826&lt;C7826,1,EXP(-1*(B7826-C7826)/(Utilities!$B$11*IterData!H7826)))</f>
        <v>1</v>
      </c>
    </row>
    <row r="7827" spans="8:11" x14ac:dyDescent="0.3">
      <c r="H7827">
        <v>0.5</v>
      </c>
      <c r="I7827" s="11">
        <f t="shared" si="122"/>
        <v>0</v>
      </c>
      <c r="J7827" s="11">
        <f>1/(H7827*Utilities!$B$11)</f>
        <v>8</v>
      </c>
      <c r="K7827" s="11">
        <f>IF(B7827&lt;C7827,1,EXP(-1*(B7827-C7827)/(Utilities!$B$11*IterData!H7827)))</f>
        <v>1</v>
      </c>
    </row>
    <row r="7828" spans="8:11" x14ac:dyDescent="0.3">
      <c r="H7828">
        <v>0.5</v>
      </c>
      <c r="I7828" s="11">
        <f t="shared" si="122"/>
        <v>0</v>
      </c>
      <c r="J7828" s="11">
        <f>1/(H7828*Utilities!$B$11)</f>
        <v>8</v>
      </c>
      <c r="K7828" s="11">
        <f>IF(B7828&lt;C7828,1,EXP(-1*(B7828-C7828)/(Utilities!$B$11*IterData!H7828)))</f>
        <v>1</v>
      </c>
    </row>
    <row r="7829" spans="8:11" x14ac:dyDescent="0.3">
      <c r="H7829">
        <v>0.5</v>
      </c>
      <c r="I7829" s="11">
        <f t="shared" si="122"/>
        <v>0</v>
      </c>
      <c r="J7829" s="11">
        <f>1/(H7829*Utilities!$B$11)</f>
        <v>8</v>
      </c>
      <c r="K7829" s="11">
        <f>IF(B7829&lt;C7829,1,EXP(-1*(B7829-C7829)/(Utilities!$B$11*IterData!H7829)))</f>
        <v>1</v>
      </c>
    </row>
    <row r="7830" spans="8:11" x14ac:dyDescent="0.3">
      <c r="H7830">
        <v>0.5</v>
      </c>
      <c r="I7830" s="11">
        <f t="shared" si="122"/>
        <v>0</v>
      </c>
      <c r="J7830" s="11">
        <f>1/(H7830*Utilities!$B$11)</f>
        <v>8</v>
      </c>
      <c r="K7830" s="11">
        <f>IF(B7830&lt;C7830,1,EXP(-1*(B7830-C7830)/(Utilities!$B$11*IterData!H7830)))</f>
        <v>1</v>
      </c>
    </row>
    <row r="7831" spans="8:11" x14ac:dyDescent="0.3">
      <c r="H7831">
        <v>0.5</v>
      </c>
      <c r="I7831" s="11">
        <f t="shared" si="122"/>
        <v>0</v>
      </c>
      <c r="J7831" s="11">
        <f>1/(H7831*Utilities!$B$11)</f>
        <v>8</v>
      </c>
      <c r="K7831" s="11">
        <f>IF(B7831&lt;C7831,1,EXP(-1*(B7831-C7831)/(Utilities!$B$11*IterData!H7831)))</f>
        <v>1</v>
      </c>
    </row>
    <row r="7832" spans="8:11" x14ac:dyDescent="0.3">
      <c r="H7832">
        <v>0.5</v>
      </c>
      <c r="I7832" s="11">
        <f t="shared" si="122"/>
        <v>0</v>
      </c>
      <c r="J7832" s="11">
        <f>1/(H7832*Utilities!$B$11)</f>
        <v>8</v>
      </c>
      <c r="K7832" s="11">
        <f>IF(B7832&lt;C7832,1,EXP(-1*(B7832-C7832)/(Utilities!$B$11*IterData!H7832)))</f>
        <v>1</v>
      </c>
    </row>
    <row r="7833" spans="8:11" x14ac:dyDescent="0.3">
      <c r="H7833">
        <v>0.5</v>
      </c>
      <c r="I7833" s="11">
        <f t="shared" si="122"/>
        <v>0</v>
      </c>
      <c r="J7833" s="11">
        <f>1/(H7833*Utilities!$B$11)</f>
        <v>8</v>
      </c>
      <c r="K7833" s="11">
        <f>IF(B7833&lt;C7833,1,EXP(-1*(B7833-C7833)/(Utilities!$B$11*IterData!H7833)))</f>
        <v>1</v>
      </c>
    </row>
    <row r="7834" spans="8:11" x14ac:dyDescent="0.3">
      <c r="H7834">
        <v>0.5</v>
      </c>
      <c r="I7834" s="11">
        <f t="shared" si="122"/>
        <v>0</v>
      </c>
      <c r="J7834" s="11">
        <f>1/(H7834*Utilities!$B$11)</f>
        <v>8</v>
      </c>
      <c r="K7834" s="11">
        <f>IF(B7834&lt;C7834,1,EXP(-1*(B7834-C7834)/(Utilities!$B$11*IterData!H7834)))</f>
        <v>1</v>
      </c>
    </row>
    <row r="7835" spans="8:11" x14ac:dyDescent="0.3">
      <c r="H7835">
        <v>0.5</v>
      </c>
      <c r="I7835" s="11">
        <f t="shared" si="122"/>
        <v>0</v>
      </c>
      <c r="J7835" s="11">
        <f>1/(H7835*Utilities!$B$11)</f>
        <v>8</v>
      </c>
      <c r="K7835" s="11">
        <f>IF(B7835&lt;C7835,1,EXP(-1*(B7835-C7835)/(Utilities!$B$11*IterData!H7835)))</f>
        <v>1</v>
      </c>
    </row>
    <row r="7836" spans="8:11" x14ac:dyDescent="0.3">
      <c r="H7836">
        <v>0.5</v>
      </c>
      <c r="I7836" s="11">
        <f t="shared" si="122"/>
        <v>0</v>
      </c>
      <c r="J7836" s="11">
        <f>1/(H7836*Utilities!$B$11)</f>
        <v>8</v>
      </c>
      <c r="K7836" s="11">
        <f>IF(B7836&lt;C7836,1,EXP(-1*(B7836-C7836)/(Utilities!$B$11*IterData!H7836)))</f>
        <v>1</v>
      </c>
    </row>
    <row r="7837" spans="8:11" x14ac:dyDescent="0.3">
      <c r="H7837">
        <v>0.5</v>
      </c>
      <c r="I7837" s="11">
        <f t="shared" si="122"/>
        <v>0</v>
      </c>
      <c r="J7837" s="11">
        <f>1/(H7837*Utilities!$B$11)</f>
        <v>8</v>
      </c>
      <c r="K7837" s="11">
        <f>IF(B7837&lt;C7837,1,EXP(-1*(B7837-C7837)/(Utilities!$B$11*IterData!H7837)))</f>
        <v>1</v>
      </c>
    </row>
    <row r="7838" spans="8:11" x14ac:dyDescent="0.3">
      <c r="H7838">
        <v>0.5</v>
      </c>
      <c r="I7838" s="11">
        <f t="shared" si="122"/>
        <v>0</v>
      </c>
      <c r="J7838" s="11">
        <f>1/(H7838*Utilities!$B$11)</f>
        <v>8</v>
      </c>
      <c r="K7838" s="11">
        <f>IF(B7838&lt;C7838,1,EXP(-1*(B7838-C7838)/(Utilities!$B$11*IterData!H7838)))</f>
        <v>1</v>
      </c>
    </row>
    <row r="7839" spans="8:11" x14ac:dyDescent="0.3">
      <c r="H7839">
        <v>0.5</v>
      </c>
      <c r="I7839" s="11">
        <f t="shared" si="122"/>
        <v>0</v>
      </c>
      <c r="J7839" s="11">
        <f>1/(H7839*Utilities!$B$11)</f>
        <v>8</v>
      </c>
      <c r="K7839" s="11">
        <f>IF(B7839&lt;C7839,1,EXP(-1*(B7839-C7839)/(Utilities!$B$11*IterData!H7839)))</f>
        <v>1</v>
      </c>
    </row>
    <row r="7840" spans="8:11" x14ac:dyDescent="0.3">
      <c r="H7840">
        <v>0.5</v>
      </c>
      <c r="I7840" s="11">
        <f t="shared" si="122"/>
        <v>0</v>
      </c>
      <c r="J7840" s="11">
        <f>1/(H7840*Utilities!$B$11)</f>
        <v>8</v>
      </c>
      <c r="K7840" s="11">
        <f>IF(B7840&lt;C7840,1,EXP(-1*(B7840-C7840)/(Utilities!$B$11*IterData!H7840)))</f>
        <v>1</v>
      </c>
    </row>
    <row r="7841" spans="8:11" x14ac:dyDescent="0.3">
      <c r="H7841">
        <v>0.5</v>
      </c>
      <c r="I7841" s="11">
        <f t="shared" si="122"/>
        <v>0</v>
      </c>
      <c r="J7841" s="11">
        <f>1/(H7841*Utilities!$B$11)</f>
        <v>8</v>
      </c>
      <c r="K7841" s="11">
        <f>IF(B7841&lt;C7841,1,EXP(-1*(B7841-C7841)/(Utilities!$B$11*IterData!H7841)))</f>
        <v>1</v>
      </c>
    </row>
    <row r="7842" spans="8:11" x14ac:dyDescent="0.3">
      <c r="H7842">
        <v>0.5</v>
      </c>
      <c r="I7842" s="11">
        <f t="shared" si="122"/>
        <v>0</v>
      </c>
      <c r="J7842" s="11">
        <f>1/(H7842*Utilities!$B$11)</f>
        <v>8</v>
      </c>
      <c r="K7842" s="11">
        <f>IF(B7842&lt;C7842,1,EXP(-1*(B7842-C7842)/(Utilities!$B$11*IterData!H7842)))</f>
        <v>1</v>
      </c>
    </row>
    <row r="7843" spans="8:11" x14ac:dyDescent="0.3">
      <c r="H7843">
        <v>0.5</v>
      </c>
      <c r="I7843" s="11">
        <f t="shared" si="122"/>
        <v>0</v>
      </c>
      <c r="J7843" s="11">
        <f>1/(H7843*Utilities!$B$11)</f>
        <v>8</v>
      </c>
      <c r="K7843" s="11">
        <f>IF(B7843&lt;C7843,1,EXP(-1*(B7843-C7843)/(Utilities!$B$11*IterData!H7843)))</f>
        <v>1</v>
      </c>
    </row>
    <row r="7844" spans="8:11" x14ac:dyDescent="0.3">
      <c r="H7844">
        <v>0.5</v>
      </c>
      <c r="I7844" s="11">
        <f t="shared" si="122"/>
        <v>0</v>
      </c>
      <c r="J7844" s="11">
        <f>1/(H7844*Utilities!$B$11)</f>
        <v>8</v>
      </c>
      <c r="K7844" s="11">
        <f>IF(B7844&lt;C7844,1,EXP(-1*(B7844-C7844)/(Utilities!$B$11*IterData!H7844)))</f>
        <v>1</v>
      </c>
    </row>
    <row r="7845" spans="8:11" x14ac:dyDescent="0.3">
      <c r="H7845">
        <v>0.5</v>
      </c>
      <c r="I7845" s="11">
        <f t="shared" si="122"/>
        <v>0</v>
      </c>
      <c r="J7845" s="11">
        <f>1/(H7845*Utilities!$B$11)</f>
        <v>8</v>
      </c>
      <c r="K7845" s="11">
        <f>IF(B7845&lt;C7845,1,EXP(-1*(B7845-C7845)/(Utilities!$B$11*IterData!H7845)))</f>
        <v>1</v>
      </c>
    </row>
    <row r="7846" spans="8:11" x14ac:dyDescent="0.3">
      <c r="H7846">
        <v>0.5</v>
      </c>
      <c r="I7846" s="11">
        <f t="shared" si="122"/>
        <v>0</v>
      </c>
      <c r="J7846" s="11">
        <f>1/(H7846*Utilities!$B$11)</f>
        <v>8</v>
      </c>
      <c r="K7846" s="11">
        <f>IF(B7846&lt;C7846,1,EXP(-1*(B7846-C7846)/(Utilities!$B$11*IterData!H7846)))</f>
        <v>1</v>
      </c>
    </row>
    <row r="7847" spans="8:11" x14ac:dyDescent="0.3">
      <c r="H7847">
        <v>0.5</v>
      </c>
      <c r="I7847" s="11">
        <f t="shared" si="122"/>
        <v>0</v>
      </c>
      <c r="J7847" s="11">
        <f>1/(H7847*Utilities!$B$11)</f>
        <v>8</v>
      </c>
      <c r="K7847" s="11">
        <f>IF(B7847&lt;C7847,1,EXP(-1*(B7847-C7847)/(Utilities!$B$11*IterData!H7847)))</f>
        <v>1</v>
      </c>
    </row>
    <row r="7848" spans="8:11" x14ac:dyDescent="0.3">
      <c r="H7848">
        <v>0.5</v>
      </c>
      <c r="I7848" s="11">
        <f t="shared" si="122"/>
        <v>0</v>
      </c>
      <c r="J7848" s="11">
        <f>1/(H7848*Utilities!$B$11)</f>
        <v>8</v>
      </c>
      <c r="K7848" s="11">
        <f>IF(B7848&lt;C7848,1,EXP(-1*(B7848-C7848)/(Utilities!$B$11*IterData!H7848)))</f>
        <v>1</v>
      </c>
    </row>
    <row r="7849" spans="8:11" x14ac:dyDescent="0.3">
      <c r="H7849">
        <v>0.5</v>
      </c>
      <c r="I7849" s="11">
        <f t="shared" si="122"/>
        <v>0</v>
      </c>
      <c r="J7849" s="11">
        <f>1/(H7849*Utilities!$B$11)</f>
        <v>8</v>
      </c>
      <c r="K7849" s="11">
        <f>IF(B7849&lt;C7849,1,EXP(-1*(B7849-C7849)/(Utilities!$B$11*IterData!H7849)))</f>
        <v>1</v>
      </c>
    </row>
    <row r="7850" spans="8:11" x14ac:dyDescent="0.3">
      <c r="H7850">
        <v>0.5</v>
      </c>
      <c r="I7850" s="11">
        <f t="shared" si="122"/>
        <v>0</v>
      </c>
      <c r="J7850" s="11">
        <f>1/(H7850*Utilities!$B$11)</f>
        <v>8</v>
      </c>
      <c r="K7850" s="11">
        <f>IF(B7850&lt;C7850,1,EXP(-1*(B7850-C7850)/(Utilities!$B$11*IterData!H7850)))</f>
        <v>1</v>
      </c>
    </row>
    <row r="7851" spans="8:11" x14ac:dyDescent="0.3">
      <c r="H7851">
        <v>0.5</v>
      </c>
      <c r="I7851" s="11">
        <f t="shared" si="122"/>
        <v>0</v>
      </c>
      <c r="J7851" s="11">
        <f>1/(H7851*Utilities!$B$11)</f>
        <v>8</v>
      </c>
      <c r="K7851" s="11">
        <f>IF(B7851&lt;C7851,1,EXP(-1*(B7851-C7851)/(Utilities!$B$11*IterData!H7851)))</f>
        <v>1</v>
      </c>
    </row>
    <row r="7852" spans="8:11" x14ac:dyDescent="0.3">
      <c r="H7852">
        <v>0.5</v>
      </c>
      <c r="I7852" s="11">
        <f t="shared" si="122"/>
        <v>0</v>
      </c>
      <c r="J7852" s="11">
        <f>1/(H7852*Utilities!$B$11)</f>
        <v>8</v>
      </c>
      <c r="K7852" s="11">
        <f>IF(B7852&lt;C7852,1,EXP(-1*(B7852-C7852)/(Utilities!$B$11*IterData!H7852)))</f>
        <v>1</v>
      </c>
    </row>
    <row r="7853" spans="8:11" x14ac:dyDescent="0.3">
      <c r="H7853">
        <v>0.5</v>
      </c>
      <c r="I7853" s="11">
        <f t="shared" si="122"/>
        <v>0</v>
      </c>
      <c r="J7853" s="11">
        <f>1/(H7853*Utilities!$B$11)</f>
        <v>8</v>
      </c>
      <c r="K7853" s="11">
        <f>IF(B7853&lt;C7853,1,EXP(-1*(B7853-C7853)/(Utilities!$B$11*IterData!H7853)))</f>
        <v>1</v>
      </c>
    </row>
    <row r="7854" spans="8:11" x14ac:dyDescent="0.3">
      <c r="H7854">
        <v>0.5</v>
      </c>
      <c r="I7854" s="11">
        <f t="shared" si="122"/>
        <v>0</v>
      </c>
      <c r="J7854" s="11">
        <f>1/(H7854*Utilities!$B$11)</f>
        <v>8</v>
      </c>
      <c r="K7854" s="11">
        <f>IF(B7854&lt;C7854,1,EXP(-1*(B7854-C7854)/(Utilities!$B$11*IterData!H7854)))</f>
        <v>1</v>
      </c>
    </row>
    <row r="7855" spans="8:11" x14ac:dyDescent="0.3">
      <c r="H7855">
        <v>0.5</v>
      </c>
      <c r="I7855" s="11">
        <f t="shared" si="122"/>
        <v>0</v>
      </c>
      <c r="J7855" s="11">
        <f>1/(H7855*Utilities!$B$11)</f>
        <v>8</v>
      </c>
      <c r="K7855" s="11">
        <f>IF(B7855&lt;C7855,1,EXP(-1*(B7855-C7855)/(Utilities!$B$11*IterData!H7855)))</f>
        <v>1</v>
      </c>
    </row>
    <row r="7856" spans="8:11" x14ac:dyDescent="0.3">
      <c r="H7856">
        <v>0.5</v>
      </c>
      <c r="I7856" s="11">
        <f t="shared" si="122"/>
        <v>0</v>
      </c>
      <c r="J7856" s="11">
        <f>1/(H7856*Utilities!$B$11)</f>
        <v>8</v>
      </c>
      <c r="K7856" s="11">
        <f>IF(B7856&lt;C7856,1,EXP(-1*(B7856-C7856)/(Utilities!$B$11*IterData!H7856)))</f>
        <v>1</v>
      </c>
    </row>
    <row r="7857" spans="8:11" x14ac:dyDescent="0.3">
      <c r="H7857">
        <v>0.5</v>
      </c>
      <c r="I7857" s="11">
        <f t="shared" si="122"/>
        <v>0</v>
      </c>
      <c r="J7857" s="11">
        <f>1/(H7857*Utilities!$B$11)</f>
        <v>8</v>
      </c>
      <c r="K7857" s="11">
        <f>IF(B7857&lt;C7857,1,EXP(-1*(B7857-C7857)/(Utilities!$B$11*IterData!H7857)))</f>
        <v>1</v>
      </c>
    </row>
    <row r="7858" spans="8:11" x14ac:dyDescent="0.3">
      <c r="H7858">
        <v>0.5</v>
      </c>
      <c r="I7858" s="11">
        <f t="shared" si="122"/>
        <v>0</v>
      </c>
      <c r="J7858" s="11">
        <f>1/(H7858*Utilities!$B$11)</f>
        <v>8</v>
      </c>
      <c r="K7858" s="11">
        <f>IF(B7858&lt;C7858,1,EXP(-1*(B7858-C7858)/(Utilities!$B$11*IterData!H7858)))</f>
        <v>1</v>
      </c>
    </row>
    <row r="7859" spans="8:11" x14ac:dyDescent="0.3">
      <c r="H7859">
        <v>0.5</v>
      </c>
      <c r="I7859" s="11">
        <f t="shared" si="122"/>
        <v>0</v>
      </c>
      <c r="J7859" s="11">
        <f>1/(H7859*Utilities!$B$11)</f>
        <v>8</v>
      </c>
      <c r="K7859" s="11">
        <f>IF(B7859&lt;C7859,1,EXP(-1*(B7859-C7859)/(Utilities!$B$11*IterData!H7859)))</f>
        <v>1</v>
      </c>
    </row>
    <row r="7860" spans="8:11" x14ac:dyDescent="0.3">
      <c r="H7860">
        <v>0.5</v>
      </c>
      <c r="I7860" s="11">
        <f t="shared" si="122"/>
        <v>0</v>
      </c>
      <c r="J7860" s="11">
        <f>1/(H7860*Utilities!$B$11)</f>
        <v>8</v>
      </c>
      <c r="K7860" s="11">
        <f>IF(B7860&lt;C7860,1,EXP(-1*(B7860-C7860)/(Utilities!$B$11*IterData!H7860)))</f>
        <v>1</v>
      </c>
    </row>
    <row r="7861" spans="8:11" x14ac:dyDescent="0.3">
      <c r="H7861">
        <v>0.5</v>
      </c>
      <c r="I7861" s="11">
        <f t="shared" si="122"/>
        <v>0</v>
      </c>
      <c r="J7861" s="11">
        <f>1/(H7861*Utilities!$B$11)</f>
        <v>8</v>
      </c>
      <c r="K7861" s="11">
        <f>IF(B7861&lt;C7861,1,EXP(-1*(B7861-C7861)/(Utilities!$B$11*IterData!H7861)))</f>
        <v>1</v>
      </c>
    </row>
    <row r="7862" spans="8:11" x14ac:dyDescent="0.3">
      <c r="H7862">
        <v>0.5</v>
      </c>
      <c r="I7862" s="11">
        <f t="shared" si="122"/>
        <v>0</v>
      </c>
      <c r="J7862" s="11">
        <f>1/(H7862*Utilities!$B$11)</f>
        <v>8</v>
      </c>
      <c r="K7862" s="11">
        <f>IF(B7862&lt;C7862,1,EXP(-1*(B7862-C7862)/(Utilities!$B$11*IterData!H7862)))</f>
        <v>1</v>
      </c>
    </row>
    <row r="7863" spans="8:11" x14ac:dyDescent="0.3">
      <c r="H7863">
        <v>0.5</v>
      </c>
      <c r="I7863" s="11">
        <f t="shared" si="122"/>
        <v>0</v>
      </c>
      <c r="J7863" s="11">
        <f>1/(H7863*Utilities!$B$11)</f>
        <v>8</v>
      </c>
      <c r="K7863" s="11">
        <f>IF(B7863&lt;C7863,1,EXP(-1*(B7863-C7863)/(Utilities!$B$11*IterData!H7863)))</f>
        <v>1</v>
      </c>
    </row>
    <row r="7864" spans="8:11" x14ac:dyDescent="0.3">
      <c r="H7864">
        <v>0.5</v>
      </c>
      <c r="I7864" s="11">
        <f t="shared" si="122"/>
        <v>0</v>
      </c>
      <c r="J7864" s="11">
        <f>1/(H7864*Utilities!$B$11)</f>
        <v>8</v>
      </c>
      <c r="K7864" s="11">
        <f>IF(B7864&lt;C7864,1,EXP(-1*(B7864-C7864)/(Utilities!$B$11*IterData!H7864)))</f>
        <v>1</v>
      </c>
    </row>
    <row r="7865" spans="8:11" x14ac:dyDescent="0.3">
      <c r="H7865">
        <v>0.5</v>
      </c>
      <c r="I7865" s="11">
        <f t="shared" si="122"/>
        <v>0</v>
      </c>
      <c r="J7865" s="11">
        <f>1/(H7865*Utilities!$B$11)</f>
        <v>8</v>
      </c>
      <c r="K7865" s="11">
        <f>IF(B7865&lt;C7865,1,EXP(-1*(B7865-C7865)/(Utilities!$B$11*IterData!H7865)))</f>
        <v>1</v>
      </c>
    </row>
    <row r="7866" spans="8:11" x14ac:dyDescent="0.3">
      <c r="H7866">
        <v>0.5</v>
      </c>
      <c r="I7866" s="11">
        <f t="shared" si="122"/>
        <v>0</v>
      </c>
      <c r="J7866" s="11">
        <f>1/(H7866*Utilities!$B$11)</f>
        <v>8</v>
      </c>
      <c r="K7866" s="11">
        <f>IF(B7866&lt;C7866,1,EXP(-1*(B7866-C7866)/(Utilities!$B$11*IterData!H7866)))</f>
        <v>1</v>
      </c>
    </row>
    <row r="7867" spans="8:11" x14ac:dyDescent="0.3">
      <c r="H7867">
        <v>0.5</v>
      </c>
      <c r="I7867" s="11">
        <f t="shared" si="122"/>
        <v>0</v>
      </c>
      <c r="J7867" s="11">
        <f>1/(H7867*Utilities!$B$11)</f>
        <v>8</v>
      </c>
      <c r="K7867" s="11">
        <f>IF(B7867&lt;C7867,1,EXP(-1*(B7867-C7867)/(Utilities!$B$11*IterData!H7867)))</f>
        <v>1</v>
      </c>
    </row>
    <row r="7868" spans="8:11" x14ac:dyDescent="0.3">
      <c r="H7868">
        <v>0.5</v>
      </c>
      <c r="I7868" s="11">
        <f t="shared" si="122"/>
        <v>0</v>
      </c>
      <c r="J7868" s="11">
        <f>1/(H7868*Utilities!$B$11)</f>
        <v>8</v>
      </c>
      <c r="K7868" s="11">
        <f>IF(B7868&lt;C7868,1,EXP(-1*(B7868-C7868)/(Utilities!$B$11*IterData!H7868)))</f>
        <v>1</v>
      </c>
    </row>
    <row r="7869" spans="8:11" x14ac:dyDescent="0.3">
      <c r="H7869">
        <v>0.5</v>
      </c>
      <c r="I7869" s="11">
        <f t="shared" si="122"/>
        <v>0</v>
      </c>
      <c r="J7869" s="11">
        <f>1/(H7869*Utilities!$B$11)</f>
        <v>8</v>
      </c>
      <c r="K7869" s="11">
        <f>IF(B7869&lt;C7869,1,EXP(-1*(B7869-C7869)/(Utilities!$B$11*IterData!H7869)))</f>
        <v>1</v>
      </c>
    </row>
    <row r="7870" spans="8:11" x14ac:dyDescent="0.3">
      <c r="H7870">
        <v>0.5</v>
      </c>
      <c r="I7870" s="11">
        <f t="shared" si="122"/>
        <v>0</v>
      </c>
      <c r="J7870" s="11">
        <f>1/(H7870*Utilities!$B$11)</f>
        <v>8</v>
      </c>
      <c r="K7870" s="11">
        <f>IF(B7870&lt;C7870,1,EXP(-1*(B7870-C7870)/(Utilities!$B$11*IterData!H7870)))</f>
        <v>1</v>
      </c>
    </row>
    <row r="7871" spans="8:11" x14ac:dyDescent="0.3">
      <c r="H7871">
        <v>0.5</v>
      </c>
      <c r="I7871" s="11">
        <f t="shared" si="122"/>
        <v>0</v>
      </c>
      <c r="J7871" s="11">
        <f>1/(H7871*Utilities!$B$11)</f>
        <v>8</v>
      </c>
      <c r="K7871" s="11">
        <f>IF(B7871&lt;C7871,1,EXP(-1*(B7871-C7871)/(Utilities!$B$11*IterData!H7871)))</f>
        <v>1</v>
      </c>
    </row>
    <row r="7872" spans="8:11" x14ac:dyDescent="0.3">
      <c r="H7872">
        <v>0.5</v>
      </c>
      <c r="I7872" s="11">
        <f t="shared" si="122"/>
        <v>0</v>
      </c>
      <c r="J7872" s="11">
        <f>1/(H7872*Utilities!$B$11)</f>
        <v>8</v>
      </c>
      <c r="K7872" s="11">
        <f>IF(B7872&lt;C7872,1,EXP(-1*(B7872-C7872)/(Utilities!$B$11*IterData!H7872)))</f>
        <v>1</v>
      </c>
    </row>
    <row r="7873" spans="8:11" x14ac:dyDescent="0.3">
      <c r="H7873">
        <v>0.5</v>
      </c>
      <c r="I7873" s="11">
        <f t="shared" si="122"/>
        <v>0</v>
      </c>
      <c r="J7873" s="11">
        <f>1/(H7873*Utilities!$B$11)</f>
        <v>8</v>
      </c>
      <c r="K7873" s="11">
        <f>IF(B7873&lt;C7873,1,EXP(-1*(B7873-C7873)/(Utilities!$B$11*IterData!H7873)))</f>
        <v>1</v>
      </c>
    </row>
    <row r="7874" spans="8:11" x14ac:dyDescent="0.3">
      <c r="H7874">
        <v>0.5</v>
      </c>
      <c r="I7874" s="11">
        <f t="shared" si="122"/>
        <v>0</v>
      </c>
      <c r="J7874" s="11">
        <f>1/(H7874*Utilities!$B$11)</f>
        <v>8</v>
      </c>
      <c r="K7874" s="11">
        <f>IF(B7874&lt;C7874,1,EXP(-1*(B7874-C7874)/(Utilities!$B$11*IterData!H7874)))</f>
        <v>1</v>
      </c>
    </row>
    <row r="7875" spans="8:11" x14ac:dyDescent="0.3">
      <c r="H7875">
        <v>0.5</v>
      </c>
      <c r="I7875" s="11">
        <f t="shared" ref="I7875:I7938" si="123">B7875-C7875</f>
        <v>0</v>
      </c>
      <c r="J7875" s="11">
        <f>1/(H7875*Utilities!$B$11)</f>
        <v>8</v>
      </c>
      <c r="K7875" s="11">
        <f>IF(B7875&lt;C7875,1,EXP(-1*(B7875-C7875)/(Utilities!$B$11*IterData!H7875)))</f>
        <v>1</v>
      </c>
    </row>
    <row r="7876" spans="8:11" x14ac:dyDescent="0.3">
      <c r="H7876">
        <v>0.5</v>
      </c>
      <c r="I7876" s="11">
        <f t="shared" si="123"/>
        <v>0</v>
      </c>
      <c r="J7876" s="11">
        <f>1/(H7876*Utilities!$B$11)</f>
        <v>8</v>
      </c>
      <c r="K7876" s="11">
        <f>IF(B7876&lt;C7876,1,EXP(-1*(B7876-C7876)/(Utilities!$B$11*IterData!H7876)))</f>
        <v>1</v>
      </c>
    </row>
    <row r="7877" spans="8:11" x14ac:dyDescent="0.3">
      <c r="H7877">
        <v>0.5</v>
      </c>
      <c r="I7877" s="11">
        <f t="shared" si="123"/>
        <v>0</v>
      </c>
      <c r="J7877" s="11">
        <f>1/(H7877*Utilities!$B$11)</f>
        <v>8</v>
      </c>
      <c r="K7877" s="11">
        <f>IF(B7877&lt;C7877,1,EXP(-1*(B7877-C7877)/(Utilities!$B$11*IterData!H7877)))</f>
        <v>1</v>
      </c>
    </row>
    <row r="7878" spans="8:11" x14ac:dyDescent="0.3">
      <c r="H7878">
        <v>0.5</v>
      </c>
      <c r="I7878" s="11">
        <f t="shared" si="123"/>
        <v>0</v>
      </c>
      <c r="J7878" s="11">
        <f>1/(H7878*Utilities!$B$11)</f>
        <v>8</v>
      </c>
      <c r="K7878" s="11">
        <f>IF(B7878&lt;C7878,1,EXP(-1*(B7878-C7878)/(Utilities!$B$11*IterData!H7878)))</f>
        <v>1</v>
      </c>
    </row>
    <row r="7879" spans="8:11" x14ac:dyDescent="0.3">
      <c r="H7879">
        <v>0.5</v>
      </c>
      <c r="I7879" s="11">
        <f t="shared" si="123"/>
        <v>0</v>
      </c>
      <c r="J7879" s="11">
        <f>1/(H7879*Utilities!$B$11)</f>
        <v>8</v>
      </c>
      <c r="K7879" s="11">
        <f>IF(B7879&lt;C7879,1,EXP(-1*(B7879-C7879)/(Utilities!$B$11*IterData!H7879)))</f>
        <v>1</v>
      </c>
    </row>
    <row r="7880" spans="8:11" x14ac:dyDescent="0.3">
      <c r="H7880">
        <v>0.5</v>
      </c>
      <c r="I7880" s="11">
        <f t="shared" si="123"/>
        <v>0</v>
      </c>
      <c r="J7880" s="11">
        <f>1/(H7880*Utilities!$B$11)</f>
        <v>8</v>
      </c>
      <c r="K7880" s="11">
        <f>IF(B7880&lt;C7880,1,EXP(-1*(B7880-C7880)/(Utilities!$B$11*IterData!H7880)))</f>
        <v>1</v>
      </c>
    </row>
    <row r="7881" spans="8:11" x14ac:dyDescent="0.3">
      <c r="H7881">
        <v>0.5</v>
      </c>
      <c r="I7881" s="11">
        <f t="shared" si="123"/>
        <v>0</v>
      </c>
      <c r="J7881" s="11">
        <f>1/(H7881*Utilities!$B$11)</f>
        <v>8</v>
      </c>
      <c r="K7881" s="11">
        <f>IF(B7881&lt;C7881,1,EXP(-1*(B7881-C7881)/(Utilities!$B$11*IterData!H7881)))</f>
        <v>1</v>
      </c>
    </row>
    <row r="7882" spans="8:11" x14ac:dyDescent="0.3">
      <c r="H7882">
        <v>0.5</v>
      </c>
      <c r="I7882" s="11">
        <f t="shared" si="123"/>
        <v>0</v>
      </c>
      <c r="J7882" s="11">
        <f>1/(H7882*Utilities!$B$11)</f>
        <v>8</v>
      </c>
      <c r="K7882" s="11">
        <f>IF(B7882&lt;C7882,1,EXP(-1*(B7882-C7882)/(Utilities!$B$11*IterData!H7882)))</f>
        <v>1</v>
      </c>
    </row>
    <row r="7883" spans="8:11" x14ac:dyDescent="0.3">
      <c r="H7883">
        <v>0.5</v>
      </c>
      <c r="I7883" s="11">
        <f t="shared" si="123"/>
        <v>0</v>
      </c>
      <c r="J7883" s="11">
        <f>1/(H7883*Utilities!$B$11)</f>
        <v>8</v>
      </c>
      <c r="K7883" s="11">
        <f>IF(B7883&lt;C7883,1,EXP(-1*(B7883-C7883)/(Utilities!$B$11*IterData!H7883)))</f>
        <v>1</v>
      </c>
    </row>
    <row r="7884" spans="8:11" x14ac:dyDescent="0.3">
      <c r="H7884">
        <v>0.5</v>
      </c>
      <c r="I7884" s="11">
        <f t="shared" si="123"/>
        <v>0</v>
      </c>
      <c r="J7884" s="11">
        <f>1/(H7884*Utilities!$B$11)</f>
        <v>8</v>
      </c>
      <c r="K7884" s="11">
        <f>IF(B7884&lt;C7884,1,EXP(-1*(B7884-C7884)/(Utilities!$B$11*IterData!H7884)))</f>
        <v>1</v>
      </c>
    </row>
    <row r="7885" spans="8:11" x14ac:dyDescent="0.3">
      <c r="H7885">
        <v>0.5</v>
      </c>
      <c r="I7885" s="11">
        <f t="shared" si="123"/>
        <v>0</v>
      </c>
      <c r="J7885" s="11">
        <f>1/(H7885*Utilities!$B$11)</f>
        <v>8</v>
      </c>
      <c r="K7885" s="11">
        <f>IF(B7885&lt;C7885,1,EXP(-1*(B7885-C7885)/(Utilities!$B$11*IterData!H7885)))</f>
        <v>1</v>
      </c>
    </row>
    <row r="7886" spans="8:11" x14ac:dyDescent="0.3">
      <c r="H7886">
        <v>0.5</v>
      </c>
      <c r="I7886" s="11">
        <f t="shared" si="123"/>
        <v>0</v>
      </c>
      <c r="J7886" s="11">
        <f>1/(H7886*Utilities!$B$11)</f>
        <v>8</v>
      </c>
      <c r="K7886" s="11">
        <f>IF(B7886&lt;C7886,1,EXP(-1*(B7886-C7886)/(Utilities!$B$11*IterData!H7886)))</f>
        <v>1</v>
      </c>
    </row>
    <row r="7887" spans="8:11" x14ac:dyDescent="0.3">
      <c r="H7887">
        <v>0.5</v>
      </c>
      <c r="I7887" s="11">
        <f t="shared" si="123"/>
        <v>0</v>
      </c>
      <c r="J7887" s="11">
        <f>1/(H7887*Utilities!$B$11)</f>
        <v>8</v>
      </c>
      <c r="K7887" s="11">
        <f>IF(B7887&lt;C7887,1,EXP(-1*(B7887-C7887)/(Utilities!$B$11*IterData!H7887)))</f>
        <v>1</v>
      </c>
    </row>
    <row r="7888" spans="8:11" x14ac:dyDescent="0.3">
      <c r="H7888">
        <v>0.5</v>
      </c>
      <c r="I7888" s="11">
        <f t="shared" si="123"/>
        <v>0</v>
      </c>
      <c r="J7888" s="11">
        <f>1/(H7888*Utilities!$B$11)</f>
        <v>8</v>
      </c>
      <c r="K7888" s="11">
        <f>IF(B7888&lt;C7888,1,EXP(-1*(B7888-C7888)/(Utilities!$B$11*IterData!H7888)))</f>
        <v>1</v>
      </c>
    </row>
    <row r="7889" spans="8:11" x14ac:dyDescent="0.3">
      <c r="H7889">
        <v>0.5</v>
      </c>
      <c r="I7889" s="11">
        <f t="shared" si="123"/>
        <v>0</v>
      </c>
      <c r="J7889" s="11">
        <f>1/(H7889*Utilities!$B$11)</f>
        <v>8</v>
      </c>
      <c r="K7889" s="11">
        <f>IF(B7889&lt;C7889,1,EXP(-1*(B7889-C7889)/(Utilities!$B$11*IterData!H7889)))</f>
        <v>1</v>
      </c>
    </row>
    <row r="7890" spans="8:11" x14ac:dyDescent="0.3">
      <c r="H7890">
        <v>0.5</v>
      </c>
      <c r="I7890" s="11">
        <f t="shared" si="123"/>
        <v>0</v>
      </c>
      <c r="J7890" s="11">
        <f>1/(H7890*Utilities!$B$11)</f>
        <v>8</v>
      </c>
      <c r="K7890" s="11">
        <f>IF(B7890&lt;C7890,1,EXP(-1*(B7890-C7890)/(Utilities!$B$11*IterData!H7890)))</f>
        <v>1</v>
      </c>
    </row>
    <row r="7891" spans="8:11" x14ac:dyDescent="0.3">
      <c r="H7891">
        <v>0.5</v>
      </c>
      <c r="I7891" s="11">
        <f t="shared" si="123"/>
        <v>0</v>
      </c>
      <c r="J7891" s="11">
        <f>1/(H7891*Utilities!$B$11)</f>
        <v>8</v>
      </c>
      <c r="K7891" s="11">
        <f>IF(B7891&lt;C7891,1,EXP(-1*(B7891-C7891)/(Utilities!$B$11*IterData!H7891)))</f>
        <v>1</v>
      </c>
    </row>
    <row r="7892" spans="8:11" x14ac:dyDescent="0.3">
      <c r="H7892">
        <v>0.5</v>
      </c>
      <c r="I7892" s="11">
        <f t="shared" si="123"/>
        <v>0</v>
      </c>
      <c r="J7892" s="11">
        <f>1/(H7892*Utilities!$B$11)</f>
        <v>8</v>
      </c>
      <c r="K7892" s="11">
        <f>IF(B7892&lt;C7892,1,EXP(-1*(B7892-C7892)/(Utilities!$B$11*IterData!H7892)))</f>
        <v>1</v>
      </c>
    </row>
    <row r="7893" spans="8:11" x14ac:dyDescent="0.3">
      <c r="H7893">
        <v>0.5</v>
      </c>
      <c r="I7893" s="11">
        <f t="shared" si="123"/>
        <v>0</v>
      </c>
      <c r="J7893" s="11">
        <f>1/(H7893*Utilities!$B$11)</f>
        <v>8</v>
      </c>
      <c r="K7893" s="11">
        <f>IF(B7893&lt;C7893,1,EXP(-1*(B7893-C7893)/(Utilities!$B$11*IterData!H7893)))</f>
        <v>1</v>
      </c>
    </row>
    <row r="7894" spans="8:11" x14ac:dyDescent="0.3">
      <c r="H7894">
        <v>0.5</v>
      </c>
      <c r="I7894" s="11">
        <f t="shared" si="123"/>
        <v>0</v>
      </c>
      <c r="J7894" s="11">
        <f>1/(H7894*Utilities!$B$11)</f>
        <v>8</v>
      </c>
      <c r="K7894" s="11">
        <f>IF(B7894&lt;C7894,1,EXP(-1*(B7894-C7894)/(Utilities!$B$11*IterData!H7894)))</f>
        <v>1</v>
      </c>
    </row>
    <row r="7895" spans="8:11" x14ac:dyDescent="0.3">
      <c r="H7895">
        <v>0.5</v>
      </c>
      <c r="I7895" s="11">
        <f t="shared" si="123"/>
        <v>0</v>
      </c>
      <c r="J7895" s="11">
        <f>1/(H7895*Utilities!$B$11)</f>
        <v>8</v>
      </c>
      <c r="K7895" s="11">
        <f>IF(B7895&lt;C7895,1,EXP(-1*(B7895-C7895)/(Utilities!$B$11*IterData!H7895)))</f>
        <v>1</v>
      </c>
    </row>
    <row r="7896" spans="8:11" x14ac:dyDescent="0.3">
      <c r="H7896">
        <v>0.5</v>
      </c>
      <c r="I7896" s="11">
        <f t="shared" si="123"/>
        <v>0</v>
      </c>
      <c r="J7896" s="11">
        <f>1/(H7896*Utilities!$B$11)</f>
        <v>8</v>
      </c>
      <c r="K7896" s="11">
        <f>IF(B7896&lt;C7896,1,EXP(-1*(B7896-C7896)/(Utilities!$B$11*IterData!H7896)))</f>
        <v>1</v>
      </c>
    </row>
    <row r="7897" spans="8:11" x14ac:dyDescent="0.3">
      <c r="H7897">
        <v>0.5</v>
      </c>
      <c r="I7897" s="11">
        <f t="shared" si="123"/>
        <v>0</v>
      </c>
      <c r="J7897" s="11">
        <f>1/(H7897*Utilities!$B$11)</f>
        <v>8</v>
      </c>
      <c r="K7897" s="11">
        <f>IF(B7897&lt;C7897,1,EXP(-1*(B7897-C7897)/(Utilities!$B$11*IterData!H7897)))</f>
        <v>1</v>
      </c>
    </row>
    <row r="7898" spans="8:11" x14ac:dyDescent="0.3">
      <c r="H7898">
        <v>0.5</v>
      </c>
      <c r="I7898" s="11">
        <f t="shared" si="123"/>
        <v>0</v>
      </c>
      <c r="J7898" s="11">
        <f>1/(H7898*Utilities!$B$11)</f>
        <v>8</v>
      </c>
      <c r="K7898" s="11">
        <f>IF(B7898&lt;C7898,1,EXP(-1*(B7898-C7898)/(Utilities!$B$11*IterData!H7898)))</f>
        <v>1</v>
      </c>
    </row>
    <row r="7899" spans="8:11" x14ac:dyDescent="0.3">
      <c r="H7899">
        <v>0.5</v>
      </c>
      <c r="I7899" s="11">
        <f t="shared" si="123"/>
        <v>0</v>
      </c>
      <c r="J7899" s="11">
        <f>1/(H7899*Utilities!$B$11)</f>
        <v>8</v>
      </c>
      <c r="K7899" s="11">
        <f>IF(B7899&lt;C7899,1,EXP(-1*(B7899-C7899)/(Utilities!$B$11*IterData!H7899)))</f>
        <v>1</v>
      </c>
    </row>
    <row r="7900" spans="8:11" x14ac:dyDescent="0.3">
      <c r="H7900">
        <v>0.5</v>
      </c>
      <c r="I7900" s="11">
        <f t="shared" si="123"/>
        <v>0</v>
      </c>
      <c r="J7900" s="11">
        <f>1/(H7900*Utilities!$B$11)</f>
        <v>8</v>
      </c>
      <c r="K7900" s="11">
        <f>IF(B7900&lt;C7900,1,EXP(-1*(B7900-C7900)/(Utilities!$B$11*IterData!H7900)))</f>
        <v>1</v>
      </c>
    </row>
    <row r="7901" spans="8:11" x14ac:dyDescent="0.3">
      <c r="H7901">
        <v>0.5</v>
      </c>
      <c r="I7901" s="11">
        <f t="shared" si="123"/>
        <v>0</v>
      </c>
      <c r="J7901" s="11">
        <f>1/(H7901*Utilities!$B$11)</f>
        <v>8</v>
      </c>
      <c r="K7901" s="11">
        <f>IF(B7901&lt;C7901,1,EXP(-1*(B7901-C7901)/(Utilities!$B$11*IterData!H7901)))</f>
        <v>1</v>
      </c>
    </row>
    <row r="7902" spans="8:11" x14ac:dyDescent="0.3">
      <c r="H7902">
        <v>0.5</v>
      </c>
      <c r="I7902" s="11">
        <f t="shared" si="123"/>
        <v>0</v>
      </c>
      <c r="J7902" s="11">
        <f>1/(H7902*Utilities!$B$11)</f>
        <v>8</v>
      </c>
      <c r="K7902" s="11">
        <f>IF(B7902&lt;C7902,1,EXP(-1*(B7902-C7902)/(Utilities!$B$11*IterData!H7902)))</f>
        <v>1</v>
      </c>
    </row>
    <row r="7903" spans="8:11" x14ac:dyDescent="0.3">
      <c r="H7903">
        <v>0.5</v>
      </c>
      <c r="I7903" s="11">
        <f t="shared" si="123"/>
        <v>0</v>
      </c>
      <c r="J7903" s="11">
        <f>1/(H7903*Utilities!$B$11)</f>
        <v>8</v>
      </c>
      <c r="K7903" s="11">
        <f>IF(B7903&lt;C7903,1,EXP(-1*(B7903-C7903)/(Utilities!$B$11*IterData!H7903)))</f>
        <v>1</v>
      </c>
    </row>
    <row r="7904" spans="8:11" x14ac:dyDescent="0.3">
      <c r="H7904">
        <v>0.5</v>
      </c>
      <c r="I7904" s="11">
        <f t="shared" si="123"/>
        <v>0</v>
      </c>
      <c r="J7904" s="11">
        <f>1/(H7904*Utilities!$B$11)</f>
        <v>8</v>
      </c>
      <c r="K7904" s="11">
        <f>IF(B7904&lt;C7904,1,EXP(-1*(B7904-C7904)/(Utilities!$B$11*IterData!H7904)))</f>
        <v>1</v>
      </c>
    </row>
    <row r="7905" spans="8:11" x14ac:dyDescent="0.3">
      <c r="H7905">
        <v>0.5</v>
      </c>
      <c r="I7905" s="11">
        <f t="shared" si="123"/>
        <v>0</v>
      </c>
      <c r="J7905" s="11">
        <f>1/(H7905*Utilities!$B$11)</f>
        <v>8</v>
      </c>
      <c r="K7905" s="11">
        <f>IF(B7905&lt;C7905,1,EXP(-1*(B7905-C7905)/(Utilities!$B$11*IterData!H7905)))</f>
        <v>1</v>
      </c>
    </row>
    <row r="7906" spans="8:11" x14ac:dyDescent="0.3">
      <c r="H7906">
        <v>0.5</v>
      </c>
      <c r="I7906" s="11">
        <f t="shared" si="123"/>
        <v>0</v>
      </c>
      <c r="J7906" s="11">
        <f>1/(H7906*Utilities!$B$11)</f>
        <v>8</v>
      </c>
      <c r="K7906" s="11">
        <f>IF(B7906&lt;C7906,1,EXP(-1*(B7906-C7906)/(Utilities!$B$11*IterData!H7906)))</f>
        <v>1</v>
      </c>
    </row>
    <row r="7907" spans="8:11" x14ac:dyDescent="0.3">
      <c r="H7907">
        <v>0.5</v>
      </c>
      <c r="I7907" s="11">
        <f t="shared" si="123"/>
        <v>0</v>
      </c>
      <c r="J7907" s="11">
        <f>1/(H7907*Utilities!$B$11)</f>
        <v>8</v>
      </c>
      <c r="K7907" s="11">
        <f>IF(B7907&lt;C7907,1,EXP(-1*(B7907-C7907)/(Utilities!$B$11*IterData!H7907)))</f>
        <v>1</v>
      </c>
    </row>
    <row r="7908" spans="8:11" x14ac:dyDescent="0.3">
      <c r="H7908">
        <v>0.5</v>
      </c>
      <c r="I7908" s="11">
        <f t="shared" si="123"/>
        <v>0</v>
      </c>
      <c r="J7908" s="11">
        <f>1/(H7908*Utilities!$B$11)</f>
        <v>8</v>
      </c>
      <c r="K7908" s="11">
        <f>IF(B7908&lt;C7908,1,EXP(-1*(B7908-C7908)/(Utilities!$B$11*IterData!H7908)))</f>
        <v>1</v>
      </c>
    </row>
    <row r="7909" spans="8:11" x14ac:dyDescent="0.3">
      <c r="H7909">
        <v>0.5</v>
      </c>
      <c r="I7909" s="11">
        <f t="shared" si="123"/>
        <v>0</v>
      </c>
      <c r="J7909" s="11">
        <f>1/(H7909*Utilities!$B$11)</f>
        <v>8</v>
      </c>
      <c r="K7909" s="11">
        <f>IF(B7909&lt;C7909,1,EXP(-1*(B7909-C7909)/(Utilities!$B$11*IterData!H7909)))</f>
        <v>1</v>
      </c>
    </row>
    <row r="7910" spans="8:11" x14ac:dyDescent="0.3">
      <c r="H7910">
        <v>0.5</v>
      </c>
      <c r="I7910" s="11">
        <f t="shared" si="123"/>
        <v>0</v>
      </c>
      <c r="J7910" s="11">
        <f>1/(H7910*Utilities!$B$11)</f>
        <v>8</v>
      </c>
      <c r="K7910" s="11">
        <f>IF(B7910&lt;C7910,1,EXP(-1*(B7910-C7910)/(Utilities!$B$11*IterData!H7910)))</f>
        <v>1</v>
      </c>
    </row>
    <row r="7911" spans="8:11" x14ac:dyDescent="0.3">
      <c r="H7911">
        <v>0.5</v>
      </c>
      <c r="I7911" s="11">
        <f t="shared" si="123"/>
        <v>0</v>
      </c>
      <c r="J7911" s="11">
        <f>1/(H7911*Utilities!$B$11)</f>
        <v>8</v>
      </c>
      <c r="K7911" s="11">
        <f>IF(B7911&lt;C7911,1,EXP(-1*(B7911-C7911)/(Utilities!$B$11*IterData!H7911)))</f>
        <v>1</v>
      </c>
    </row>
    <row r="7912" spans="8:11" x14ac:dyDescent="0.3">
      <c r="H7912">
        <v>0.5</v>
      </c>
      <c r="I7912" s="11">
        <f t="shared" si="123"/>
        <v>0</v>
      </c>
      <c r="J7912" s="11">
        <f>1/(H7912*Utilities!$B$11)</f>
        <v>8</v>
      </c>
      <c r="K7912" s="11">
        <f>IF(B7912&lt;C7912,1,EXP(-1*(B7912-C7912)/(Utilities!$B$11*IterData!H7912)))</f>
        <v>1</v>
      </c>
    </row>
    <row r="7913" spans="8:11" x14ac:dyDescent="0.3">
      <c r="H7913">
        <v>0.5</v>
      </c>
      <c r="I7913" s="11">
        <f t="shared" si="123"/>
        <v>0</v>
      </c>
      <c r="J7913" s="11">
        <f>1/(H7913*Utilities!$B$11)</f>
        <v>8</v>
      </c>
      <c r="K7913" s="11">
        <f>IF(B7913&lt;C7913,1,EXP(-1*(B7913-C7913)/(Utilities!$B$11*IterData!H7913)))</f>
        <v>1</v>
      </c>
    </row>
    <row r="7914" spans="8:11" x14ac:dyDescent="0.3">
      <c r="H7914">
        <v>0.5</v>
      </c>
      <c r="I7914" s="11">
        <f t="shared" si="123"/>
        <v>0</v>
      </c>
      <c r="J7914" s="11">
        <f>1/(H7914*Utilities!$B$11)</f>
        <v>8</v>
      </c>
      <c r="K7914" s="11">
        <f>IF(B7914&lt;C7914,1,EXP(-1*(B7914-C7914)/(Utilities!$B$11*IterData!H7914)))</f>
        <v>1</v>
      </c>
    </row>
    <row r="7915" spans="8:11" x14ac:dyDescent="0.3">
      <c r="H7915">
        <v>0.5</v>
      </c>
      <c r="I7915" s="11">
        <f t="shared" si="123"/>
        <v>0</v>
      </c>
      <c r="J7915" s="11">
        <f>1/(H7915*Utilities!$B$11)</f>
        <v>8</v>
      </c>
      <c r="K7915" s="11">
        <f>IF(B7915&lt;C7915,1,EXP(-1*(B7915-C7915)/(Utilities!$B$11*IterData!H7915)))</f>
        <v>1</v>
      </c>
    </row>
    <row r="7916" spans="8:11" x14ac:dyDescent="0.3">
      <c r="H7916">
        <v>0.5</v>
      </c>
      <c r="I7916" s="11">
        <f t="shared" si="123"/>
        <v>0</v>
      </c>
      <c r="J7916" s="11">
        <f>1/(H7916*Utilities!$B$11)</f>
        <v>8</v>
      </c>
      <c r="K7916" s="11">
        <f>IF(B7916&lt;C7916,1,EXP(-1*(B7916-C7916)/(Utilities!$B$11*IterData!H7916)))</f>
        <v>1</v>
      </c>
    </row>
    <row r="7917" spans="8:11" x14ac:dyDescent="0.3">
      <c r="H7917">
        <v>0.5</v>
      </c>
      <c r="I7917" s="11">
        <f t="shared" si="123"/>
        <v>0</v>
      </c>
      <c r="J7917" s="11">
        <f>1/(H7917*Utilities!$B$11)</f>
        <v>8</v>
      </c>
      <c r="K7917" s="11">
        <f>IF(B7917&lt;C7917,1,EXP(-1*(B7917-C7917)/(Utilities!$B$11*IterData!H7917)))</f>
        <v>1</v>
      </c>
    </row>
    <row r="7918" spans="8:11" x14ac:dyDescent="0.3">
      <c r="H7918">
        <v>0.5</v>
      </c>
      <c r="I7918" s="11">
        <f t="shared" si="123"/>
        <v>0</v>
      </c>
      <c r="J7918" s="11">
        <f>1/(H7918*Utilities!$B$11)</f>
        <v>8</v>
      </c>
      <c r="K7918" s="11">
        <f>IF(B7918&lt;C7918,1,EXP(-1*(B7918-C7918)/(Utilities!$B$11*IterData!H7918)))</f>
        <v>1</v>
      </c>
    </row>
    <row r="7919" spans="8:11" x14ac:dyDescent="0.3">
      <c r="H7919">
        <v>0.5</v>
      </c>
      <c r="I7919" s="11">
        <f t="shared" si="123"/>
        <v>0</v>
      </c>
      <c r="J7919" s="11">
        <f>1/(H7919*Utilities!$B$11)</f>
        <v>8</v>
      </c>
      <c r="K7919" s="11">
        <f>IF(B7919&lt;C7919,1,EXP(-1*(B7919-C7919)/(Utilities!$B$11*IterData!H7919)))</f>
        <v>1</v>
      </c>
    </row>
    <row r="7920" spans="8:11" x14ac:dyDescent="0.3">
      <c r="H7920">
        <v>0.5</v>
      </c>
      <c r="I7920" s="11">
        <f t="shared" si="123"/>
        <v>0</v>
      </c>
      <c r="J7920" s="11">
        <f>1/(H7920*Utilities!$B$11)</f>
        <v>8</v>
      </c>
      <c r="K7920" s="11">
        <f>IF(B7920&lt;C7920,1,EXP(-1*(B7920-C7920)/(Utilities!$B$11*IterData!H7920)))</f>
        <v>1</v>
      </c>
    </row>
    <row r="7921" spans="8:11" x14ac:dyDescent="0.3">
      <c r="H7921">
        <v>0.5</v>
      </c>
      <c r="I7921" s="11">
        <f t="shared" si="123"/>
        <v>0</v>
      </c>
      <c r="J7921" s="11">
        <f>1/(H7921*Utilities!$B$11)</f>
        <v>8</v>
      </c>
      <c r="K7921" s="11">
        <f>IF(B7921&lt;C7921,1,EXP(-1*(B7921-C7921)/(Utilities!$B$11*IterData!H7921)))</f>
        <v>1</v>
      </c>
    </row>
    <row r="7922" spans="8:11" x14ac:dyDescent="0.3">
      <c r="H7922">
        <v>0.5</v>
      </c>
      <c r="I7922" s="11">
        <f t="shared" si="123"/>
        <v>0</v>
      </c>
      <c r="J7922" s="11">
        <f>1/(H7922*Utilities!$B$11)</f>
        <v>8</v>
      </c>
      <c r="K7922" s="11">
        <f>IF(B7922&lt;C7922,1,EXP(-1*(B7922-C7922)/(Utilities!$B$11*IterData!H7922)))</f>
        <v>1</v>
      </c>
    </row>
    <row r="7923" spans="8:11" x14ac:dyDescent="0.3">
      <c r="H7923">
        <v>0.5</v>
      </c>
      <c r="I7923" s="11">
        <f t="shared" si="123"/>
        <v>0</v>
      </c>
      <c r="J7923" s="11">
        <f>1/(H7923*Utilities!$B$11)</f>
        <v>8</v>
      </c>
      <c r="K7923" s="11">
        <f>IF(B7923&lt;C7923,1,EXP(-1*(B7923-C7923)/(Utilities!$B$11*IterData!H7923)))</f>
        <v>1</v>
      </c>
    </row>
    <row r="7924" spans="8:11" x14ac:dyDescent="0.3">
      <c r="H7924">
        <v>0.5</v>
      </c>
      <c r="I7924" s="11">
        <f t="shared" si="123"/>
        <v>0</v>
      </c>
      <c r="J7924" s="11">
        <f>1/(H7924*Utilities!$B$11)</f>
        <v>8</v>
      </c>
      <c r="K7924" s="11">
        <f>IF(B7924&lt;C7924,1,EXP(-1*(B7924-C7924)/(Utilities!$B$11*IterData!H7924)))</f>
        <v>1</v>
      </c>
    </row>
    <row r="7925" spans="8:11" x14ac:dyDescent="0.3">
      <c r="H7925">
        <v>0.5</v>
      </c>
      <c r="I7925" s="11">
        <f t="shared" si="123"/>
        <v>0</v>
      </c>
      <c r="J7925" s="11">
        <f>1/(H7925*Utilities!$B$11)</f>
        <v>8</v>
      </c>
      <c r="K7925" s="11">
        <f>IF(B7925&lt;C7925,1,EXP(-1*(B7925-C7925)/(Utilities!$B$11*IterData!H7925)))</f>
        <v>1</v>
      </c>
    </row>
    <row r="7926" spans="8:11" x14ac:dyDescent="0.3">
      <c r="H7926">
        <v>0.5</v>
      </c>
      <c r="I7926" s="11">
        <f t="shared" si="123"/>
        <v>0</v>
      </c>
      <c r="J7926" s="11">
        <f>1/(H7926*Utilities!$B$11)</f>
        <v>8</v>
      </c>
      <c r="K7926" s="11">
        <f>IF(B7926&lt;C7926,1,EXP(-1*(B7926-C7926)/(Utilities!$B$11*IterData!H7926)))</f>
        <v>1</v>
      </c>
    </row>
    <row r="7927" spans="8:11" x14ac:dyDescent="0.3">
      <c r="H7927">
        <v>0.5</v>
      </c>
      <c r="I7927" s="11">
        <f t="shared" si="123"/>
        <v>0</v>
      </c>
      <c r="J7927" s="11">
        <f>1/(H7927*Utilities!$B$11)</f>
        <v>8</v>
      </c>
      <c r="K7927" s="11">
        <f>IF(B7927&lt;C7927,1,EXP(-1*(B7927-C7927)/(Utilities!$B$11*IterData!H7927)))</f>
        <v>1</v>
      </c>
    </row>
    <row r="7928" spans="8:11" x14ac:dyDescent="0.3">
      <c r="H7928">
        <v>0.5</v>
      </c>
      <c r="I7928" s="11">
        <f t="shared" si="123"/>
        <v>0</v>
      </c>
      <c r="J7928" s="11">
        <f>1/(H7928*Utilities!$B$11)</f>
        <v>8</v>
      </c>
      <c r="K7928" s="11">
        <f>IF(B7928&lt;C7928,1,EXP(-1*(B7928-C7928)/(Utilities!$B$11*IterData!H7928)))</f>
        <v>1</v>
      </c>
    </row>
    <row r="7929" spans="8:11" x14ac:dyDescent="0.3">
      <c r="H7929">
        <v>0.5</v>
      </c>
      <c r="I7929" s="11">
        <f t="shared" si="123"/>
        <v>0</v>
      </c>
      <c r="J7929" s="11">
        <f>1/(H7929*Utilities!$B$11)</f>
        <v>8</v>
      </c>
      <c r="K7929" s="11">
        <f>IF(B7929&lt;C7929,1,EXP(-1*(B7929-C7929)/(Utilities!$B$11*IterData!H7929)))</f>
        <v>1</v>
      </c>
    </row>
    <row r="7930" spans="8:11" x14ac:dyDescent="0.3">
      <c r="H7930">
        <v>0.5</v>
      </c>
      <c r="I7930" s="11">
        <f t="shared" si="123"/>
        <v>0</v>
      </c>
      <c r="J7930" s="11">
        <f>1/(H7930*Utilities!$B$11)</f>
        <v>8</v>
      </c>
      <c r="K7930" s="11">
        <f>IF(B7930&lt;C7930,1,EXP(-1*(B7930-C7930)/(Utilities!$B$11*IterData!H7930)))</f>
        <v>1</v>
      </c>
    </row>
    <row r="7931" spans="8:11" x14ac:dyDescent="0.3">
      <c r="H7931">
        <v>0.5</v>
      </c>
      <c r="I7931" s="11">
        <f t="shared" si="123"/>
        <v>0</v>
      </c>
      <c r="J7931" s="11">
        <f>1/(H7931*Utilities!$B$11)</f>
        <v>8</v>
      </c>
      <c r="K7931" s="11">
        <f>IF(B7931&lt;C7931,1,EXP(-1*(B7931-C7931)/(Utilities!$B$11*IterData!H7931)))</f>
        <v>1</v>
      </c>
    </row>
    <row r="7932" spans="8:11" x14ac:dyDescent="0.3">
      <c r="H7932">
        <v>0.5</v>
      </c>
      <c r="I7932" s="11">
        <f t="shared" si="123"/>
        <v>0</v>
      </c>
      <c r="J7932" s="11">
        <f>1/(H7932*Utilities!$B$11)</f>
        <v>8</v>
      </c>
      <c r="K7932" s="11">
        <f>IF(B7932&lt;C7932,1,EXP(-1*(B7932-C7932)/(Utilities!$B$11*IterData!H7932)))</f>
        <v>1</v>
      </c>
    </row>
    <row r="7933" spans="8:11" x14ac:dyDescent="0.3">
      <c r="H7933">
        <v>0.5</v>
      </c>
      <c r="I7933" s="11">
        <f t="shared" si="123"/>
        <v>0</v>
      </c>
      <c r="J7933" s="11">
        <f>1/(H7933*Utilities!$B$11)</f>
        <v>8</v>
      </c>
      <c r="K7933" s="11">
        <f>IF(B7933&lt;C7933,1,EXP(-1*(B7933-C7933)/(Utilities!$B$11*IterData!H7933)))</f>
        <v>1</v>
      </c>
    </row>
    <row r="7934" spans="8:11" x14ac:dyDescent="0.3">
      <c r="H7934">
        <v>0.5</v>
      </c>
      <c r="I7934" s="11">
        <f t="shared" si="123"/>
        <v>0</v>
      </c>
      <c r="J7934" s="11">
        <f>1/(H7934*Utilities!$B$11)</f>
        <v>8</v>
      </c>
      <c r="K7934" s="11">
        <f>IF(B7934&lt;C7934,1,EXP(-1*(B7934-C7934)/(Utilities!$B$11*IterData!H7934)))</f>
        <v>1</v>
      </c>
    </row>
    <row r="7935" spans="8:11" x14ac:dyDescent="0.3">
      <c r="H7935">
        <v>0.5</v>
      </c>
      <c r="I7935" s="11">
        <f t="shared" si="123"/>
        <v>0</v>
      </c>
      <c r="J7935" s="11">
        <f>1/(H7935*Utilities!$B$11)</f>
        <v>8</v>
      </c>
      <c r="K7935" s="11">
        <f>IF(B7935&lt;C7935,1,EXP(-1*(B7935-C7935)/(Utilities!$B$11*IterData!H7935)))</f>
        <v>1</v>
      </c>
    </row>
    <row r="7936" spans="8:11" x14ac:dyDescent="0.3">
      <c r="H7936">
        <v>0.5</v>
      </c>
      <c r="I7936" s="11">
        <f t="shared" si="123"/>
        <v>0</v>
      </c>
      <c r="J7936" s="11">
        <f>1/(H7936*Utilities!$B$11)</f>
        <v>8</v>
      </c>
      <c r="K7936" s="11">
        <f>IF(B7936&lt;C7936,1,EXP(-1*(B7936-C7936)/(Utilities!$B$11*IterData!H7936)))</f>
        <v>1</v>
      </c>
    </row>
    <row r="7937" spans="8:11" x14ac:dyDescent="0.3">
      <c r="H7937">
        <v>0.5</v>
      </c>
      <c r="I7937" s="11">
        <f t="shared" si="123"/>
        <v>0</v>
      </c>
      <c r="J7937" s="11">
        <f>1/(H7937*Utilities!$B$11)</f>
        <v>8</v>
      </c>
      <c r="K7937" s="11">
        <f>IF(B7937&lt;C7937,1,EXP(-1*(B7937-C7937)/(Utilities!$B$11*IterData!H7937)))</f>
        <v>1</v>
      </c>
    </row>
    <row r="7938" spans="8:11" x14ac:dyDescent="0.3">
      <c r="H7938">
        <v>0.5</v>
      </c>
      <c r="I7938" s="11">
        <f t="shared" si="123"/>
        <v>0</v>
      </c>
      <c r="J7938" s="11">
        <f>1/(H7938*Utilities!$B$11)</f>
        <v>8</v>
      </c>
      <c r="K7938" s="11">
        <f>IF(B7938&lt;C7938,1,EXP(-1*(B7938-C7938)/(Utilities!$B$11*IterData!H7938)))</f>
        <v>1</v>
      </c>
    </row>
    <row r="7939" spans="8:11" x14ac:dyDescent="0.3">
      <c r="H7939">
        <v>0.5</v>
      </c>
      <c r="I7939" s="11">
        <f t="shared" ref="I7939:I8002" si="124">B7939-C7939</f>
        <v>0</v>
      </c>
      <c r="J7939" s="11">
        <f>1/(H7939*Utilities!$B$11)</f>
        <v>8</v>
      </c>
      <c r="K7939" s="11">
        <f>IF(B7939&lt;C7939,1,EXP(-1*(B7939-C7939)/(Utilities!$B$11*IterData!H7939)))</f>
        <v>1</v>
      </c>
    </row>
    <row r="7940" spans="8:11" x14ac:dyDescent="0.3">
      <c r="H7940">
        <v>0.5</v>
      </c>
      <c r="I7940" s="11">
        <f t="shared" si="124"/>
        <v>0</v>
      </c>
      <c r="J7940" s="11">
        <f>1/(H7940*Utilities!$B$11)</f>
        <v>8</v>
      </c>
      <c r="K7940" s="11">
        <f>IF(B7940&lt;C7940,1,EXP(-1*(B7940-C7940)/(Utilities!$B$11*IterData!H7940)))</f>
        <v>1</v>
      </c>
    </row>
    <row r="7941" spans="8:11" x14ac:dyDescent="0.3">
      <c r="H7941">
        <v>0.5</v>
      </c>
      <c r="I7941" s="11">
        <f t="shared" si="124"/>
        <v>0</v>
      </c>
      <c r="J7941" s="11">
        <f>1/(H7941*Utilities!$B$11)</f>
        <v>8</v>
      </c>
      <c r="K7941" s="11">
        <f>IF(B7941&lt;C7941,1,EXP(-1*(B7941-C7941)/(Utilities!$B$11*IterData!H7941)))</f>
        <v>1</v>
      </c>
    </row>
    <row r="7942" spans="8:11" x14ac:dyDescent="0.3">
      <c r="H7942">
        <v>0.5</v>
      </c>
      <c r="I7942" s="11">
        <f t="shared" si="124"/>
        <v>0</v>
      </c>
      <c r="J7942" s="11">
        <f>1/(H7942*Utilities!$B$11)</f>
        <v>8</v>
      </c>
      <c r="K7942" s="11">
        <f>IF(B7942&lt;C7942,1,EXP(-1*(B7942-C7942)/(Utilities!$B$11*IterData!H7942)))</f>
        <v>1</v>
      </c>
    </row>
    <row r="7943" spans="8:11" x14ac:dyDescent="0.3">
      <c r="H7943">
        <v>0.5</v>
      </c>
      <c r="I7943" s="11">
        <f t="shared" si="124"/>
        <v>0</v>
      </c>
      <c r="J7943" s="11">
        <f>1/(H7943*Utilities!$B$11)</f>
        <v>8</v>
      </c>
      <c r="K7943" s="11">
        <f>IF(B7943&lt;C7943,1,EXP(-1*(B7943-C7943)/(Utilities!$B$11*IterData!H7943)))</f>
        <v>1</v>
      </c>
    </row>
    <row r="7944" spans="8:11" x14ac:dyDescent="0.3">
      <c r="H7944">
        <v>0.5</v>
      </c>
      <c r="I7944" s="11">
        <f t="shared" si="124"/>
        <v>0</v>
      </c>
      <c r="J7944" s="11">
        <f>1/(H7944*Utilities!$B$11)</f>
        <v>8</v>
      </c>
      <c r="K7944" s="11">
        <f>IF(B7944&lt;C7944,1,EXP(-1*(B7944-C7944)/(Utilities!$B$11*IterData!H7944)))</f>
        <v>1</v>
      </c>
    </row>
    <row r="7945" spans="8:11" x14ac:dyDescent="0.3">
      <c r="H7945">
        <v>0.5</v>
      </c>
      <c r="I7945" s="11">
        <f t="shared" si="124"/>
        <v>0</v>
      </c>
      <c r="J7945" s="11">
        <f>1/(H7945*Utilities!$B$11)</f>
        <v>8</v>
      </c>
      <c r="K7945" s="11">
        <f>IF(B7945&lt;C7945,1,EXP(-1*(B7945-C7945)/(Utilities!$B$11*IterData!H7945)))</f>
        <v>1</v>
      </c>
    </row>
    <row r="7946" spans="8:11" x14ac:dyDescent="0.3">
      <c r="H7946">
        <v>0.5</v>
      </c>
      <c r="I7946" s="11">
        <f t="shared" si="124"/>
        <v>0</v>
      </c>
      <c r="J7946" s="11">
        <f>1/(H7946*Utilities!$B$11)</f>
        <v>8</v>
      </c>
      <c r="K7946" s="11">
        <f>IF(B7946&lt;C7946,1,EXP(-1*(B7946-C7946)/(Utilities!$B$11*IterData!H7946)))</f>
        <v>1</v>
      </c>
    </row>
    <row r="7947" spans="8:11" x14ac:dyDescent="0.3">
      <c r="H7947">
        <v>0.5</v>
      </c>
      <c r="I7947" s="11">
        <f t="shared" si="124"/>
        <v>0</v>
      </c>
      <c r="J7947" s="11">
        <f>1/(H7947*Utilities!$B$11)</f>
        <v>8</v>
      </c>
      <c r="K7947" s="11">
        <f>IF(B7947&lt;C7947,1,EXP(-1*(B7947-C7947)/(Utilities!$B$11*IterData!H7947)))</f>
        <v>1</v>
      </c>
    </row>
    <row r="7948" spans="8:11" x14ac:dyDescent="0.3">
      <c r="H7948">
        <v>0.5</v>
      </c>
      <c r="I7948" s="11">
        <f t="shared" si="124"/>
        <v>0</v>
      </c>
      <c r="J7948" s="11">
        <f>1/(H7948*Utilities!$B$11)</f>
        <v>8</v>
      </c>
      <c r="K7948" s="11">
        <f>IF(B7948&lt;C7948,1,EXP(-1*(B7948-C7948)/(Utilities!$B$11*IterData!H7948)))</f>
        <v>1</v>
      </c>
    </row>
    <row r="7949" spans="8:11" x14ac:dyDescent="0.3">
      <c r="H7949">
        <v>0.5</v>
      </c>
      <c r="I7949" s="11">
        <f t="shared" si="124"/>
        <v>0</v>
      </c>
      <c r="J7949" s="11">
        <f>1/(H7949*Utilities!$B$11)</f>
        <v>8</v>
      </c>
      <c r="K7949" s="11">
        <f>IF(B7949&lt;C7949,1,EXP(-1*(B7949-C7949)/(Utilities!$B$11*IterData!H7949)))</f>
        <v>1</v>
      </c>
    </row>
    <row r="7950" spans="8:11" x14ac:dyDescent="0.3">
      <c r="H7950">
        <v>0.5</v>
      </c>
      <c r="I7950" s="11">
        <f t="shared" si="124"/>
        <v>0</v>
      </c>
      <c r="J7950" s="11">
        <f>1/(H7950*Utilities!$B$11)</f>
        <v>8</v>
      </c>
      <c r="K7950" s="11">
        <f>IF(B7950&lt;C7950,1,EXP(-1*(B7950-C7950)/(Utilities!$B$11*IterData!H7950)))</f>
        <v>1</v>
      </c>
    </row>
    <row r="7951" spans="8:11" x14ac:dyDescent="0.3">
      <c r="H7951">
        <v>0.5</v>
      </c>
      <c r="I7951" s="11">
        <f t="shared" si="124"/>
        <v>0</v>
      </c>
      <c r="J7951" s="11">
        <f>1/(H7951*Utilities!$B$11)</f>
        <v>8</v>
      </c>
      <c r="K7951" s="11">
        <f>IF(B7951&lt;C7951,1,EXP(-1*(B7951-C7951)/(Utilities!$B$11*IterData!H7951)))</f>
        <v>1</v>
      </c>
    </row>
    <row r="7952" spans="8:11" x14ac:dyDescent="0.3">
      <c r="H7952">
        <v>0.5</v>
      </c>
      <c r="I7952" s="11">
        <f t="shared" si="124"/>
        <v>0</v>
      </c>
      <c r="J7952" s="11">
        <f>1/(H7952*Utilities!$B$11)</f>
        <v>8</v>
      </c>
      <c r="K7952" s="11">
        <f>IF(B7952&lt;C7952,1,EXP(-1*(B7952-C7952)/(Utilities!$B$11*IterData!H7952)))</f>
        <v>1</v>
      </c>
    </row>
    <row r="7953" spans="8:11" x14ac:dyDescent="0.3">
      <c r="H7953">
        <v>0.5</v>
      </c>
      <c r="I7953" s="11">
        <f t="shared" si="124"/>
        <v>0</v>
      </c>
      <c r="J7953" s="11">
        <f>1/(H7953*Utilities!$B$11)</f>
        <v>8</v>
      </c>
      <c r="K7953" s="11">
        <f>IF(B7953&lt;C7953,1,EXP(-1*(B7953-C7953)/(Utilities!$B$11*IterData!H7953)))</f>
        <v>1</v>
      </c>
    </row>
    <row r="7954" spans="8:11" x14ac:dyDescent="0.3">
      <c r="H7954">
        <v>0.5</v>
      </c>
      <c r="I7954" s="11">
        <f t="shared" si="124"/>
        <v>0</v>
      </c>
      <c r="J7954" s="11">
        <f>1/(H7954*Utilities!$B$11)</f>
        <v>8</v>
      </c>
      <c r="K7954" s="11">
        <f>IF(B7954&lt;C7954,1,EXP(-1*(B7954-C7954)/(Utilities!$B$11*IterData!H7954)))</f>
        <v>1</v>
      </c>
    </row>
    <row r="7955" spans="8:11" x14ac:dyDescent="0.3">
      <c r="H7955">
        <v>0.5</v>
      </c>
      <c r="I7955" s="11">
        <f t="shared" si="124"/>
        <v>0</v>
      </c>
      <c r="J7955" s="11">
        <f>1/(H7955*Utilities!$B$11)</f>
        <v>8</v>
      </c>
      <c r="K7955" s="11">
        <f>IF(B7955&lt;C7955,1,EXP(-1*(B7955-C7955)/(Utilities!$B$11*IterData!H7955)))</f>
        <v>1</v>
      </c>
    </row>
    <row r="7956" spans="8:11" x14ac:dyDescent="0.3">
      <c r="H7956">
        <v>0.5</v>
      </c>
      <c r="I7956" s="11">
        <f t="shared" si="124"/>
        <v>0</v>
      </c>
      <c r="J7956" s="11">
        <f>1/(H7956*Utilities!$B$11)</f>
        <v>8</v>
      </c>
      <c r="K7956" s="11">
        <f>IF(B7956&lt;C7956,1,EXP(-1*(B7956-C7956)/(Utilities!$B$11*IterData!H7956)))</f>
        <v>1</v>
      </c>
    </row>
    <row r="7957" spans="8:11" x14ac:dyDescent="0.3">
      <c r="H7957">
        <v>0.5</v>
      </c>
      <c r="I7957" s="11">
        <f t="shared" si="124"/>
        <v>0</v>
      </c>
      <c r="J7957" s="11">
        <f>1/(H7957*Utilities!$B$11)</f>
        <v>8</v>
      </c>
      <c r="K7957" s="11">
        <f>IF(B7957&lt;C7957,1,EXP(-1*(B7957-C7957)/(Utilities!$B$11*IterData!H7957)))</f>
        <v>1</v>
      </c>
    </row>
    <row r="7958" spans="8:11" x14ac:dyDescent="0.3">
      <c r="H7958">
        <v>0.5</v>
      </c>
      <c r="I7958" s="11">
        <f t="shared" si="124"/>
        <v>0</v>
      </c>
      <c r="J7958" s="11">
        <f>1/(H7958*Utilities!$B$11)</f>
        <v>8</v>
      </c>
      <c r="K7958" s="11">
        <f>IF(B7958&lt;C7958,1,EXP(-1*(B7958-C7958)/(Utilities!$B$11*IterData!H7958)))</f>
        <v>1</v>
      </c>
    </row>
    <row r="7959" spans="8:11" x14ac:dyDescent="0.3">
      <c r="H7959">
        <v>0.5</v>
      </c>
      <c r="I7959" s="11">
        <f t="shared" si="124"/>
        <v>0</v>
      </c>
      <c r="J7959" s="11">
        <f>1/(H7959*Utilities!$B$11)</f>
        <v>8</v>
      </c>
      <c r="K7959" s="11">
        <f>IF(B7959&lt;C7959,1,EXP(-1*(B7959-C7959)/(Utilities!$B$11*IterData!H7959)))</f>
        <v>1</v>
      </c>
    </row>
    <row r="7960" spans="8:11" x14ac:dyDescent="0.3">
      <c r="H7960">
        <v>0.5</v>
      </c>
      <c r="I7960" s="11">
        <f t="shared" si="124"/>
        <v>0</v>
      </c>
      <c r="J7960" s="11">
        <f>1/(H7960*Utilities!$B$11)</f>
        <v>8</v>
      </c>
      <c r="K7960" s="11">
        <f>IF(B7960&lt;C7960,1,EXP(-1*(B7960-C7960)/(Utilities!$B$11*IterData!H7960)))</f>
        <v>1</v>
      </c>
    </row>
    <row r="7961" spans="8:11" x14ac:dyDescent="0.3">
      <c r="H7961">
        <v>0.5</v>
      </c>
      <c r="I7961" s="11">
        <f t="shared" si="124"/>
        <v>0</v>
      </c>
      <c r="J7961" s="11">
        <f>1/(H7961*Utilities!$B$11)</f>
        <v>8</v>
      </c>
      <c r="K7961" s="11">
        <f>IF(B7961&lt;C7961,1,EXP(-1*(B7961-C7961)/(Utilities!$B$11*IterData!H7961)))</f>
        <v>1</v>
      </c>
    </row>
    <row r="7962" spans="8:11" x14ac:dyDescent="0.3">
      <c r="H7962">
        <v>0.5</v>
      </c>
      <c r="I7962" s="11">
        <f t="shared" si="124"/>
        <v>0</v>
      </c>
      <c r="J7962" s="11">
        <f>1/(H7962*Utilities!$B$11)</f>
        <v>8</v>
      </c>
      <c r="K7962" s="11">
        <f>IF(B7962&lt;C7962,1,EXP(-1*(B7962-C7962)/(Utilities!$B$11*IterData!H7962)))</f>
        <v>1</v>
      </c>
    </row>
    <row r="7963" spans="8:11" x14ac:dyDescent="0.3">
      <c r="H7963">
        <v>0.5</v>
      </c>
      <c r="I7963" s="11">
        <f t="shared" si="124"/>
        <v>0</v>
      </c>
      <c r="J7963" s="11">
        <f>1/(H7963*Utilities!$B$11)</f>
        <v>8</v>
      </c>
      <c r="K7963" s="11">
        <f>IF(B7963&lt;C7963,1,EXP(-1*(B7963-C7963)/(Utilities!$B$11*IterData!H7963)))</f>
        <v>1</v>
      </c>
    </row>
    <row r="7964" spans="8:11" x14ac:dyDescent="0.3">
      <c r="H7964">
        <v>0.5</v>
      </c>
      <c r="I7964" s="11">
        <f t="shared" si="124"/>
        <v>0</v>
      </c>
      <c r="J7964" s="11">
        <f>1/(H7964*Utilities!$B$11)</f>
        <v>8</v>
      </c>
      <c r="K7964" s="11">
        <f>IF(B7964&lt;C7964,1,EXP(-1*(B7964-C7964)/(Utilities!$B$11*IterData!H7964)))</f>
        <v>1</v>
      </c>
    </row>
    <row r="7965" spans="8:11" x14ac:dyDescent="0.3">
      <c r="H7965">
        <v>0.5</v>
      </c>
      <c r="I7965" s="11">
        <f t="shared" si="124"/>
        <v>0</v>
      </c>
      <c r="J7965" s="11">
        <f>1/(H7965*Utilities!$B$11)</f>
        <v>8</v>
      </c>
      <c r="K7965" s="11">
        <f>IF(B7965&lt;C7965,1,EXP(-1*(B7965-C7965)/(Utilities!$B$11*IterData!H7965)))</f>
        <v>1</v>
      </c>
    </row>
    <row r="7966" spans="8:11" x14ac:dyDescent="0.3">
      <c r="H7966">
        <v>0.5</v>
      </c>
      <c r="I7966" s="11">
        <f t="shared" si="124"/>
        <v>0</v>
      </c>
      <c r="J7966" s="11">
        <f>1/(H7966*Utilities!$B$11)</f>
        <v>8</v>
      </c>
      <c r="K7966" s="11">
        <f>IF(B7966&lt;C7966,1,EXP(-1*(B7966-C7966)/(Utilities!$B$11*IterData!H7966)))</f>
        <v>1</v>
      </c>
    </row>
    <row r="7967" spans="8:11" x14ac:dyDescent="0.3">
      <c r="H7967">
        <v>0.5</v>
      </c>
      <c r="I7967" s="11">
        <f t="shared" si="124"/>
        <v>0</v>
      </c>
      <c r="J7967" s="11">
        <f>1/(H7967*Utilities!$B$11)</f>
        <v>8</v>
      </c>
      <c r="K7967" s="11">
        <f>IF(B7967&lt;C7967,1,EXP(-1*(B7967-C7967)/(Utilities!$B$11*IterData!H7967)))</f>
        <v>1</v>
      </c>
    </row>
    <row r="7968" spans="8:11" x14ac:dyDescent="0.3">
      <c r="H7968">
        <v>0.5</v>
      </c>
      <c r="I7968" s="11">
        <f t="shared" si="124"/>
        <v>0</v>
      </c>
      <c r="J7968" s="11">
        <f>1/(H7968*Utilities!$B$11)</f>
        <v>8</v>
      </c>
      <c r="K7968" s="11">
        <f>IF(B7968&lt;C7968,1,EXP(-1*(B7968-C7968)/(Utilities!$B$11*IterData!H7968)))</f>
        <v>1</v>
      </c>
    </row>
    <row r="7969" spans="8:11" x14ac:dyDescent="0.3">
      <c r="H7969">
        <v>0.5</v>
      </c>
      <c r="I7969" s="11">
        <f t="shared" si="124"/>
        <v>0</v>
      </c>
      <c r="J7969" s="11">
        <f>1/(H7969*Utilities!$B$11)</f>
        <v>8</v>
      </c>
      <c r="K7969" s="11">
        <f>IF(B7969&lt;C7969,1,EXP(-1*(B7969-C7969)/(Utilities!$B$11*IterData!H7969)))</f>
        <v>1</v>
      </c>
    </row>
    <row r="7970" spans="8:11" x14ac:dyDescent="0.3">
      <c r="H7970">
        <v>0.5</v>
      </c>
      <c r="I7970" s="11">
        <f t="shared" si="124"/>
        <v>0</v>
      </c>
      <c r="J7970" s="11">
        <f>1/(H7970*Utilities!$B$11)</f>
        <v>8</v>
      </c>
      <c r="K7970" s="11">
        <f>IF(B7970&lt;C7970,1,EXP(-1*(B7970-C7970)/(Utilities!$B$11*IterData!H7970)))</f>
        <v>1</v>
      </c>
    </row>
    <row r="7971" spans="8:11" x14ac:dyDescent="0.3">
      <c r="H7971">
        <v>0.5</v>
      </c>
      <c r="I7971" s="11">
        <f t="shared" si="124"/>
        <v>0</v>
      </c>
      <c r="J7971" s="11">
        <f>1/(H7971*Utilities!$B$11)</f>
        <v>8</v>
      </c>
      <c r="K7971" s="11">
        <f>IF(B7971&lt;C7971,1,EXP(-1*(B7971-C7971)/(Utilities!$B$11*IterData!H7971)))</f>
        <v>1</v>
      </c>
    </row>
    <row r="7972" spans="8:11" x14ac:dyDescent="0.3">
      <c r="H7972">
        <v>0.5</v>
      </c>
      <c r="I7972" s="11">
        <f t="shared" si="124"/>
        <v>0</v>
      </c>
      <c r="J7972" s="11">
        <f>1/(H7972*Utilities!$B$11)</f>
        <v>8</v>
      </c>
      <c r="K7972" s="11">
        <f>IF(B7972&lt;C7972,1,EXP(-1*(B7972-C7972)/(Utilities!$B$11*IterData!H7972)))</f>
        <v>1</v>
      </c>
    </row>
    <row r="7973" spans="8:11" x14ac:dyDescent="0.3">
      <c r="H7973">
        <v>0.5</v>
      </c>
      <c r="I7973" s="11">
        <f t="shared" si="124"/>
        <v>0</v>
      </c>
      <c r="J7973" s="11">
        <f>1/(H7973*Utilities!$B$11)</f>
        <v>8</v>
      </c>
      <c r="K7973" s="11">
        <f>IF(B7973&lt;C7973,1,EXP(-1*(B7973-C7973)/(Utilities!$B$11*IterData!H7973)))</f>
        <v>1</v>
      </c>
    </row>
    <row r="7974" spans="8:11" x14ac:dyDescent="0.3">
      <c r="H7974">
        <v>0.5</v>
      </c>
      <c r="I7974" s="11">
        <f t="shared" si="124"/>
        <v>0</v>
      </c>
      <c r="J7974" s="11">
        <f>1/(H7974*Utilities!$B$11)</f>
        <v>8</v>
      </c>
      <c r="K7974" s="11">
        <f>IF(B7974&lt;C7974,1,EXP(-1*(B7974-C7974)/(Utilities!$B$11*IterData!H7974)))</f>
        <v>1</v>
      </c>
    </row>
    <row r="7975" spans="8:11" x14ac:dyDescent="0.3">
      <c r="H7975">
        <v>0.5</v>
      </c>
      <c r="I7975" s="11">
        <f t="shared" si="124"/>
        <v>0</v>
      </c>
      <c r="J7975" s="11">
        <f>1/(H7975*Utilities!$B$11)</f>
        <v>8</v>
      </c>
      <c r="K7975" s="11">
        <f>IF(B7975&lt;C7975,1,EXP(-1*(B7975-C7975)/(Utilities!$B$11*IterData!H7975)))</f>
        <v>1</v>
      </c>
    </row>
    <row r="7976" spans="8:11" x14ac:dyDescent="0.3">
      <c r="H7976">
        <v>0.5</v>
      </c>
      <c r="I7976" s="11">
        <f t="shared" si="124"/>
        <v>0</v>
      </c>
      <c r="J7976" s="11">
        <f>1/(H7976*Utilities!$B$11)</f>
        <v>8</v>
      </c>
      <c r="K7976" s="11">
        <f>IF(B7976&lt;C7976,1,EXP(-1*(B7976-C7976)/(Utilities!$B$11*IterData!H7976)))</f>
        <v>1</v>
      </c>
    </row>
    <row r="7977" spans="8:11" x14ac:dyDescent="0.3">
      <c r="H7977">
        <v>0.5</v>
      </c>
      <c r="I7977" s="11">
        <f t="shared" si="124"/>
        <v>0</v>
      </c>
      <c r="J7977" s="11">
        <f>1/(H7977*Utilities!$B$11)</f>
        <v>8</v>
      </c>
      <c r="K7977" s="11">
        <f>IF(B7977&lt;C7977,1,EXP(-1*(B7977-C7977)/(Utilities!$B$11*IterData!H7977)))</f>
        <v>1</v>
      </c>
    </row>
    <row r="7978" spans="8:11" x14ac:dyDescent="0.3">
      <c r="H7978">
        <v>0.5</v>
      </c>
      <c r="I7978" s="11">
        <f t="shared" si="124"/>
        <v>0</v>
      </c>
      <c r="J7978" s="11">
        <f>1/(H7978*Utilities!$B$11)</f>
        <v>8</v>
      </c>
      <c r="K7978" s="11">
        <f>IF(B7978&lt;C7978,1,EXP(-1*(B7978-C7978)/(Utilities!$B$11*IterData!H7978)))</f>
        <v>1</v>
      </c>
    </row>
    <row r="7979" spans="8:11" x14ac:dyDescent="0.3">
      <c r="H7979">
        <v>0.5</v>
      </c>
      <c r="I7979" s="11">
        <f t="shared" si="124"/>
        <v>0</v>
      </c>
      <c r="J7979" s="11">
        <f>1/(H7979*Utilities!$B$11)</f>
        <v>8</v>
      </c>
      <c r="K7979" s="11">
        <f>IF(B7979&lt;C7979,1,EXP(-1*(B7979-C7979)/(Utilities!$B$11*IterData!H7979)))</f>
        <v>1</v>
      </c>
    </row>
    <row r="7980" spans="8:11" x14ac:dyDescent="0.3">
      <c r="H7980">
        <v>0.5</v>
      </c>
      <c r="I7980" s="11">
        <f t="shared" si="124"/>
        <v>0</v>
      </c>
      <c r="J7980" s="11">
        <f>1/(H7980*Utilities!$B$11)</f>
        <v>8</v>
      </c>
      <c r="K7980" s="11">
        <f>IF(B7980&lt;C7980,1,EXP(-1*(B7980-C7980)/(Utilities!$B$11*IterData!H7980)))</f>
        <v>1</v>
      </c>
    </row>
    <row r="7981" spans="8:11" x14ac:dyDescent="0.3">
      <c r="H7981">
        <v>0.5</v>
      </c>
      <c r="I7981" s="11">
        <f t="shared" si="124"/>
        <v>0</v>
      </c>
      <c r="J7981" s="11">
        <f>1/(H7981*Utilities!$B$11)</f>
        <v>8</v>
      </c>
      <c r="K7981" s="11">
        <f>IF(B7981&lt;C7981,1,EXP(-1*(B7981-C7981)/(Utilities!$B$11*IterData!H7981)))</f>
        <v>1</v>
      </c>
    </row>
    <row r="7982" spans="8:11" x14ac:dyDescent="0.3">
      <c r="H7982">
        <v>0.5</v>
      </c>
      <c r="I7982" s="11">
        <f t="shared" si="124"/>
        <v>0</v>
      </c>
      <c r="J7982" s="11">
        <f>1/(H7982*Utilities!$B$11)</f>
        <v>8</v>
      </c>
      <c r="K7982" s="11">
        <f>IF(B7982&lt;C7982,1,EXP(-1*(B7982-C7982)/(Utilities!$B$11*IterData!H7982)))</f>
        <v>1</v>
      </c>
    </row>
    <row r="7983" spans="8:11" x14ac:dyDescent="0.3">
      <c r="H7983">
        <v>0.5</v>
      </c>
      <c r="I7983" s="11">
        <f t="shared" si="124"/>
        <v>0</v>
      </c>
      <c r="J7983" s="11">
        <f>1/(H7983*Utilities!$B$11)</f>
        <v>8</v>
      </c>
      <c r="K7983" s="11">
        <f>IF(B7983&lt;C7983,1,EXP(-1*(B7983-C7983)/(Utilities!$B$11*IterData!H7983)))</f>
        <v>1</v>
      </c>
    </row>
    <row r="7984" spans="8:11" x14ac:dyDescent="0.3">
      <c r="H7984">
        <v>0.5</v>
      </c>
      <c r="I7984" s="11">
        <f t="shared" si="124"/>
        <v>0</v>
      </c>
      <c r="J7984" s="11">
        <f>1/(H7984*Utilities!$B$11)</f>
        <v>8</v>
      </c>
      <c r="K7984" s="11">
        <f>IF(B7984&lt;C7984,1,EXP(-1*(B7984-C7984)/(Utilities!$B$11*IterData!H7984)))</f>
        <v>1</v>
      </c>
    </row>
    <row r="7985" spans="8:11" x14ac:dyDescent="0.3">
      <c r="H7985">
        <v>0.5</v>
      </c>
      <c r="I7985" s="11">
        <f t="shared" si="124"/>
        <v>0</v>
      </c>
      <c r="J7985" s="11">
        <f>1/(H7985*Utilities!$B$11)</f>
        <v>8</v>
      </c>
      <c r="K7985" s="11">
        <f>IF(B7985&lt;C7985,1,EXP(-1*(B7985-C7985)/(Utilities!$B$11*IterData!H7985)))</f>
        <v>1</v>
      </c>
    </row>
    <row r="7986" spans="8:11" x14ac:dyDescent="0.3">
      <c r="H7986">
        <v>0.5</v>
      </c>
      <c r="I7986" s="11">
        <f t="shared" si="124"/>
        <v>0</v>
      </c>
      <c r="J7986" s="11">
        <f>1/(H7986*Utilities!$B$11)</f>
        <v>8</v>
      </c>
      <c r="K7986" s="11">
        <f>IF(B7986&lt;C7986,1,EXP(-1*(B7986-C7986)/(Utilities!$B$11*IterData!H7986)))</f>
        <v>1</v>
      </c>
    </row>
    <row r="7987" spans="8:11" x14ac:dyDescent="0.3">
      <c r="H7987">
        <v>0.5</v>
      </c>
      <c r="I7987" s="11">
        <f t="shared" si="124"/>
        <v>0</v>
      </c>
      <c r="J7987" s="11">
        <f>1/(H7987*Utilities!$B$11)</f>
        <v>8</v>
      </c>
      <c r="K7987" s="11">
        <f>IF(B7987&lt;C7987,1,EXP(-1*(B7987-C7987)/(Utilities!$B$11*IterData!H7987)))</f>
        <v>1</v>
      </c>
    </row>
    <row r="7988" spans="8:11" x14ac:dyDescent="0.3">
      <c r="H7988">
        <v>0.5</v>
      </c>
      <c r="I7988" s="11">
        <f t="shared" si="124"/>
        <v>0</v>
      </c>
      <c r="J7988" s="11">
        <f>1/(H7988*Utilities!$B$11)</f>
        <v>8</v>
      </c>
      <c r="K7988" s="11">
        <f>IF(B7988&lt;C7988,1,EXP(-1*(B7988-C7988)/(Utilities!$B$11*IterData!H7988)))</f>
        <v>1</v>
      </c>
    </row>
    <row r="7989" spans="8:11" x14ac:dyDescent="0.3">
      <c r="H7989">
        <v>0.5</v>
      </c>
      <c r="I7989" s="11">
        <f t="shared" si="124"/>
        <v>0</v>
      </c>
      <c r="J7989" s="11">
        <f>1/(H7989*Utilities!$B$11)</f>
        <v>8</v>
      </c>
      <c r="K7989" s="11">
        <f>IF(B7989&lt;C7989,1,EXP(-1*(B7989-C7989)/(Utilities!$B$11*IterData!H7989)))</f>
        <v>1</v>
      </c>
    </row>
    <row r="7990" spans="8:11" x14ac:dyDescent="0.3">
      <c r="H7990">
        <v>0.5</v>
      </c>
      <c r="I7990" s="11">
        <f t="shared" si="124"/>
        <v>0</v>
      </c>
      <c r="J7990" s="11">
        <f>1/(H7990*Utilities!$B$11)</f>
        <v>8</v>
      </c>
      <c r="K7990" s="11">
        <f>IF(B7990&lt;C7990,1,EXP(-1*(B7990-C7990)/(Utilities!$B$11*IterData!H7990)))</f>
        <v>1</v>
      </c>
    </row>
    <row r="7991" spans="8:11" x14ac:dyDescent="0.3">
      <c r="H7991">
        <v>0.5</v>
      </c>
      <c r="I7991" s="11">
        <f t="shared" si="124"/>
        <v>0</v>
      </c>
      <c r="J7991" s="11">
        <f>1/(H7991*Utilities!$B$11)</f>
        <v>8</v>
      </c>
      <c r="K7991" s="11">
        <f>IF(B7991&lt;C7991,1,EXP(-1*(B7991-C7991)/(Utilities!$B$11*IterData!H7991)))</f>
        <v>1</v>
      </c>
    </row>
    <row r="7992" spans="8:11" x14ac:dyDescent="0.3">
      <c r="H7992">
        <v>0.5</v>
      </c>
      <c r="I7992" s="11">
        <f t="shared" si="124"/>
        <v>0</v>
      </c>
      <c r="J7992" s="11">
        <f>1/(H7992*Utilities!$B$11)</f>
        <v>8</v>
      </c>
      <c r="K7992" s="11">
        <f>IF(B7992&lt;C7992,1,EXP(-1*(B7992-C7992)/(Utilities!$B$11*IterData!H7992)))</f>
        <v>1</v>
      </c>
    </row>
    <row r="7993" spans="8:11" x14ac:dyDescent="0.3">
      <c r="H7993">
        <v>0.5</v>
      </c>
      <c r="I7993" s="11">
        <f t="shared" si="124"/>
        <v>0</v>
      </c>
      <c r="J7993" s="11">
        <f>1/(H7993*Utilities!$B$11)</f>
        <v>8</v>
      </c>
      <c r="K7993" s="11">
        <f>IF(B7993&lt;C7993,1,EXP(-1*(B7993-C7993)/(Utilities!$B$11*IterData!H7993)))</f>
        <v>1</v>
      </c>
    </row>
    <row r="7994" spans="8:11" x14ac:dyDescent="0.3">
      <c r="H7994">
        <v>0.5</v>
      </c>
      <c r="I7994" s="11">
        <f t="shared" si="124"/>
        <v>0</v>
      </c>
      <c r="J7994" s="11">
        <f>1/(H7994*Utilities!$B$11)</f>
        <v>8</v>
      </c>
      <c r="K7994" s="11">
        <f>IF(B7994&lt;C7994,1,EXP(-1*(B7994-C7994)/(Utilities!$B$11*IterData!H7994)))</f>
        <v>1</v>
      </c>
    </row>
    <row r="7995" spans="8:11" x14ac:dyDescent="0.3">
      <c r="H7995">
        <v>0.5</v>
      </c>
      <c r="I7995" s="11">
        <f t="shared" si="124"/>
        <v>0</v>
      </c>
      <c r="J7995" s="11">
        <f>1/(H7995*Utilities!$B$11)</f>
        <v>8</v>
      </c>
      <c r="K7995" s="11">
        <f>IF(B7995&lt;C7995,1,EXP(-1*(B7995-C7995)/(Utilities!$B$11*IterData!H7995)))</f>
        <v>1</v>
      </c>
    </row>
    <row r="7996" spans="8:11" x14ac:dyDescent="0.3">
      <c r="H7996">
        <v>0.5</v>
      </c>
      <c r="I7996" s="11">
        <f t="shared" si="124"/>
        <v>0</v>
      </c>
      <c r="J7996" s="11">
        <f>1/(H7996*Utilities!$B$11)</f>
        <v>8</v>
      </c>
      <c r="K7996" s="11">
        <f>IF(B7996&lt;C7996,1,EXP(-1*(B7996-C7996)/(Utilities!$B$11*IterData!H7996)))</f>
        <v>1</v>
      </c>
    </row>
    <row r="7997" spans="8:11" x14ac:dyDescent="0.3">
      <c r="H7997">
        <v>0.5</v>
      </c>
      <c r="I7997" s="11">
        <f t="shared" si="124"/>
        <v>0</v>
      </c>
      <c r="J7997" s="11">
        <f>1/(H7997*Utilities!$B$11)</f>
        <v>8</v>
      </c>
      <c r="K7997" s="11">
        <f>IF(B7997&lt;C7997,1,EXP(-1*(B7997-C7997)/(Utilities!$B$11*IterData!H7997)))</f>
        <v>1</v>
      </c>
    </row>
    <row r="7998" spans="8:11" x14ac:dyDescent="0.3">
      <c r="H7998">
        <v>0.5</v>
      </c>
      <c r="I7998" s="11">
        <f t="shared" si="124"/>
        <v>0</v>
      </c>
      <c r="J7998" s="11">
        <f>1/(H7998*Utilities!$B$11)</f>
        <v>8</v>
      </c>
      <c r="K7998" s="11">
        <f>IF(B7998&lt;C7998,1,EXP(-1*(B7998-C7998)/(Utilities!$B$11*IterData!H7998)))</f>
        <v>1</v>
      </c>
    </row>
    <row r="7999" spans="8:11" x14ac:dyDescent="0.3">
      <c r="H7999">
        <v>0.5</v>
      </c>
      <c r="I7999" s="11">
        <f t="shared" si="124"/>
        <v>0</v>
      </c>
      <c r="J7999" s="11">
        <f>1/(H7999*Utilities!$B$11)</f>
        <v>8</v>
      </c>
      <c r="K7999" s="11">
        <f>IF(B7999&lt;C7999,1,EXP(-1*(B7999-C7999)/(Utilities!$B$11*IterData!H7999)))</f>
        <v>1</v>
      </c>
    </row>
    <row r="8000" spans="8:11" x14ac:dyDescent="0.3">
      <c r="H8000">
        <v>0.5</v>
      </c>
      <c r="I8000" s="11">
        <f t="shared" si="124"/>
        <v>0</v>
      </c>
      <c r="J8000" s="11">
        <f>1/(H8000*Utilities!$B$11)</f>
        <v>8</v>
      </c>
      <c r="K8000" s="11">
        <f>IF(B8000&lt;C8000,1,EXP(-1*(B8000-C8000)/(Utilities!$B$11*IterData!H8000)))</f>
        <v>1</v>
      </c>
    </row>
    <row r="8001" spans="8:11" x14ac:dyDescent="0.3">
      <c r="H8001">
        <v>0.5</v>
      </c>
      <c r="I8001" s="11">
        <f t="shared" si="124"/>
        <v>0</v>
      </c>
      <c r="J8001" s="11">
        <f>1/(H8001*Utilities!$B$11)</f>
        <v>8</v>
      </c>
      <c r="K8001" s="11">
        <f>IF(B8001&lt;C8001,1,EXP(-1*(B8001-C8001)/(Utilities!$B$11*IterData!H8001)))</f>
        <v>1</v>
      </c>
    </row>
    <row r="8002" spans="8:11" x14ac:dyDescent="0.3">
      <c r="H8002">
        <v>0.5</v>
      </c>
      <c r="I8002" s="11">
        <f t="shared" si="124"/>
        <v>0</v>
      </c>
      <c r="J8002" s="11">
        <f>1/(H8002*Utilities!$B$11)</f>
        <v>8</v>
      </c>
      <c r="K8002" s="11">
        <f>IF(B8002&lt;C8002,1,EXP(-1*(B8002-C8002)/(Utilities!$B$11*IterData!H8002)))</f>
        <v>1</v>
      </c>
    </row>
    <row r="8003" spans="8:11" x14ac:dyDescent="0.3">
      <c r="H8003">
        <v>0.5</v>
      </c>
      <c r="I8003" s="11">
        <f t="shared" ref="I8003:I8066" si="125">B8003-C8003</f>
        <v>0</v>
      </c>
      <c r="J8003" s="11">
        <f>1/(H8003*Utilities!$B$11)</f>
        <v>8</v>
      </c>
      <c r="K8003" s="11">
        <f>IF(B8003&lt;C8003,1,EXP(-1*(B8003-C8003)/(Utilities!$B$11*IterData!H8003)))</f>
        <v>1</v>
      </c>
    </row>
    <row r="8004" spans="8:11" x14ac:dyDescent="0.3">
      <c r="H8004">
        <v>0.5</v>
      </c>
      <c r="I8004" s="11">
        <f t="shared" si="125"/>
        <v>0</v>
      </c>
      <c r="J8004" s="11">
        <f>1/(H8004*Utilities!$B$11)</f>
        <v>8</v>
      </c>
      <c r="K8004" s="11">
        <f>IF(B8004&lt;C8004,1,EXP(-1*(B8004-C8004)/(Utilities!$B$11*IterData!H8004)))</f>
        <v>1</v>
      </c>
    </row>
    <row r="8005" spans="8:11" x14ac:dyDescent="0.3">
      <c r="H8005">
        <v>0.5</v>
      </c>
      <c r="I8005" s="11">
        <f t="shared" si="125"/>
        <v>0</v>
      </c>
      <c r="J8005" s="11">
        <f>1/(H8005*Utilities!$B$11)</f>
        <v>8</v>
      </c>
      <c r="K8005" s="11">
        <f>IF(B8005&lt;C8005,1,EXP(-1*(B8005-C8005)/(Utilities!$B$11*IterData!H8005)))</f>
        <v>1</v>
      </c>
    </row>
    <row r="8006" spans="8:11" x14ac:dyDescent="0.3">
      <c r="H8006">
        <v>0.5</v>
      </c>
      <c r="I8006" s="11">
        <f t="shared" si="125"/>
        <v>0</v>
      </c>
      <c r="J8006" s="11">
        <f>1/(H8006*Utilities!$B$11)</f>
        <v>8</v>
      </c>
      <c r="K8006" s="11">
        <f>IF(B8006&lt;C8006,1,EXP(-1*(B8006-C8006)/(Utilities!$B$11*IterData!H8006)))</f>
        <v>1</v>
      </c>
    </row>
    <row r="8007" spans="8:11" x14ac:dyDescent="0.3">
      <c r="H8007">
        <v>0.5</v>
      </c>
      <c r="I8007" s="11">
        <f t="shared" si="125"/>
        <v>0</v>
      </c>
      <c r="J8007" s="11">
        <f>1/(H8007*Utilities!$B$11)</f>
        <v>8</v>
      </c>
      <c r="K8007" s="11">
        <f>IF(B8007&lt;C8007,1,EXP(-1*(B8007-C8007)/(Utilities!$B$11*IterData!H8007)))</f>
        <v>1</v>
      </c>
    </row>
    <row r="8008" spans="8:11" x14ac:dyDescent="0.3">
      <c r="H8008">
        <v>0.5</v>
      </c>
      <c r="I8008" s="11">
        <f t="shared" si="125"/>
        <v>0</v>
      </c>
      <c r="J8008" s="11">
        <f>1/(H8008*Utilities!$B$11)</f>
        <v>8</v>
      </c>
      <c r="K8008" s="11">
        <f>IF(B8008&lt;C8008,1,EXP(-1*(B8008-C8008)/(Utilities!$B$11*IterData!H8008)))</f>
        <v>1</v>
      </c>
    </row>
    <row r="8009" spans="8:11" x14ac:dyDescent="0.3">
      <c r="H8009">
        <v>0.5</v>
      </c>
      <c r="I8009" s="11">
        <f t="shared" si="125"/>
        <v>0</v>
      </c>
      <c r="J8009" s="11">
        <f>1/(H8009*Utilities!$B$11)</f>
        <v>8</v>
      </c>
      <c r="K8009" s="11">
        <f>IF(B8009&lt;C8009,1,EXP(-1*(B8009-C8009)/(Utilities!$B$11*IterData!H8009)))</f>
        <v>1</v>
      </c>
    </row>
    <row r="8010" spans="8:11" x14ac:dyDescent="0.3">
      <c r="H8010">
        <v>0.5</v>
      </c>
      <c r="I8010" s="11">
        <f t="shared" si="125"/>
        <v>0</v>
      </c>
      <c r="J8010" s="11">
        <f>1/(H8010*Utilities!$B$11)</f>
        <v>8</v>
      </c>
      <c r="K8010" s="11">
        <f>IF(B8010&lt;C8010,1,EXP(-1*(B8010-C8010)/(Utilities!$B$11*IterData!H8010)))</f>
        <v>1</v>
      </c>
    </row>
    <row r="8011" spans="8:11" x14ac:dyDescent="0.3">
      <c r="H8011">
        <v>0.5</v>
      </c>
      <c r="I8011" s="11">
        <f t="shared" si="125"/>
        <v>0</v>
      </c>
      <c r="J8011" s="11">
        <f>1/(H8011*Utilities!$B$11)</f>
        <v>8</v>
      </c>
      <c r="K8011" s="11">
        <f>IF(B8011&lt;C8011,1,EXP(-1*(B8011-C8011)/(Utilities!$B$11*IterData!H8011)))</f>
        <v>1</v>
      </c>
    </row>
    <row r="8012" spans="8:11" x14ac:dyDescent="0.3">
      <c r="H8012">
        <v>0.5</v>
      </c>
      <c r="I8012" s="11">
        <f t="shared" si="125"/>
        <v>0</v>
      </c>
      <c r="J8012" s="11">
        <f>1/(H8012*Utilities!$B$11)</f>
        <v>8</v>
      </c>
      <c r="K8012" s="11">
        <f>IF(B8012&lt;C8012,1,EXP(-1*(B8012-C8012)/(Utilities!$B$11*IterData!H8012)))</f>
        <v>1</v>
      </c>
    </row>
    <row r="8013" spans="8:11" x14ac:dyDescent="0.3">
      <c r="H8013">
        <v>0.5</v>
      </c>
      <c r="I8013" s="11">
        <f t="shared" si="125"/>
        <v>0</v>
      </c>
      <c r="J8013" s="11">
        <f>1/(H8013*Utilities!$B$11)</f>
        <v>8</v>
      </c>
      <c r="K8013" s="11">
        <f>IF(B8013&lt;C8013,1,EXP(-1*(B8013-C8013)/(Utilities!$B$11*IterData!H8013)))</f>
        <v>1</v>
      </c>
    </row>
    <row r="8014" spans="8:11" x14ac:dyDescent="0.3">
      <c r="H8014">
        <v>0.5</v>
      </c>
      <c r="I8014" s="11">
        <f t="shared" si="125"/>
        <v>0</v>
      </c>
      <c r="J8014" s="11">
        <f>1/(H8014*Utilities!$B$11)</f>
        <v>8</v>
      </c>
      <c r="K8014" s="11">
        <f>IF(B8014&lt;C8014,1,EXP(-1*(B8014-C8014)/(Utilities!$B$11*IterData!H8014)))</f>
        <v>1</v>
      </c>
    </row>
    <row r="8015" spans="8:11" x14ac:dyDescent="0.3">
      <c r="H8015">
        <v>0.5</v>
      </c>
      <c r="I8015" s="11">
        <f t="shared" si="125"/>
        <v>0</v>
      </c>
      <c r="J8015" s="11">
        <f>1/(H8015*Utilities!$B$11)</f>
        <v>8</v>
      </c>
      <c r="K8015" s="11">
        <f>IF(B8015&lt;C8015,1,EXP(-1*(B8015-C8015)/(Utilities!$B$11*IterData!H8015)))</f>
        <v>1</v>
      </c>
    </row>
    <row r="8016" spans="8:11" x14ac:dyDescent="0.3">
      <c r="H8016">
        <v>0.5</v>
      </c>
      <c r="I8016" s="11">
        <f t="shared" si="125"/>
        <v>0</v>
      </c>
      <c r="J8016" s="11">
        <f>1/(H8016*Utilities!$B$11)</f>
        <v>8</v>
      </c>
      <c r="K8016" s="11">
        <f>IF(B8016&lt;C8016,1,EXP(-1*(B8016-C8016)/(Utilities!$B$11*IterData!H8016)))</f>
        <v>1</v>
      </c>
    </row>
    <row r="8017" spans="8:11" x14ac:dyDescent="0.3">
      <c r="H8017">
        <v>0.5</v>
      </c>
      <c r="I8017" s="11">
        <f t="shared" si="125"/>
        <v>0</v>
      </c>
      <c r="J8017" s="11">
        <f>1/(H8017*Utilities!$B$11)</f>
        <v>8</v>
      </c>
      <c r="K8017" s="11">
        <f>IF(B8017&lt;C8017,1,EXP(-1*(B8017-C8017)/(Utilities!$B$11*IterData!H8017)))</f>
        <v>1</v>
      </c>
    </row>
    <row r="8018" spans="8:11" x14ac:dyDescent="0.3">
      <c r="H8018">
        <v>0.5</v>
      </c>
      <c r="I8018" s="11">
        <f t="shared" si="125"/>
        <v>0</v>
      </c>
      <c r="J8018" s="11">
        <f>1/(H8018*Utilities!$B$11)</f>
        <v>8</v>
      </c>
      <c r="K8018" s="11">
        <f>IF(B8018&lt;C8018,1,EXP(-1*(B8018-C8018)/(Utilities!$B$11*IterData!H8018)))</f>
        <v>1</v>
      </c>
    </row>
    <row r="8019" spans="8:11" x14ac:dyDescent="0.3">
      <c r="H8019">
        <v>0.5</v>
      </c>
      <c r="I8019" s="11">
        <f t="shared" si="125"/>
        <v>0</v>
      </c>
      <c r="J8019" s="11">
        <f>1/(H8019*Utilities!$B$11)</f>
        <v>8</v>
      </c>
      <c r="K8019" s="11">
        <f>IF(B8019&lt;C8019,1,EXP(-1*(B8019-C8019)/(Utilities!$B$11*IterData!H8019)))</f>
        <v>1</v>
      </c>
    </row>
    <row r="8020" spans="8:11" x14ac:dyDescent="0.3">
      <c r="H8020">
        <v>0.5</v>
      </c>
      <c r="I8020" s="11">
        <f t="shared" si="125"/>
        <v>0</v>
      </c>
      <c r="J8020" s="11">
        <f>1/(H8020*Utilities!$B$11)</f>
        <v>8</v>
      </c>
      <c r="K8020" s="11">
        <f>IF(B8020&lt;C8020,1,EXP(-1*(B8020-C8020)/(Utilities!$B$11*IterData!H8020)))</f>
        <v>1</v>
      </c>
    </row>
    <row r="8021" spans="8:11" x14ac:dyDescent="0.3">
      <c r="H8021">
        <v>0.5</v>
      </c>
      <c r="I8021" s="11">
        <f t="shared" si="125"/>
        <v>0</v>
      </c>
      <c r="J8021" s="11">
        <f>1/(H8021*Utilities!$B$11)</f>
        <v>8</v>
      </c>
      <c r="K8021" s="11">
        <f>IF(B8021&lt;C8021,1,EXP(-1*(B8021-C8021)/(Utilities!$B$11*IterData!H8021)))</f>
        <v>1</v>
      </c>
    </row>
    <row r="8022" spans="8:11" x14ac:dyDescent="0.3">
      <c r="H8022">
        <v>0.5</v>
      </c>
      <c r="I8022" s="11">
        <f t="shared" si="125"/>
        <v>0</v>
      </c>
      <c r="J8022" s="11">
        <f>1/(H8022*Utilities!$B$11)</f>
        <v>8</v>
      </c>
      <c r="K8022" s="11">
        <f>IF(B8022&lt;C8022,1,EXP(-1*(B8022-C8022)/(Utilities!$B$11*IterData!H8022)))</f>
        <v>1</v>
      </c>
    </row>
    <row r="8023" spans="8:11" x14ac:dyDescent="0.3">
      <c r="H8023">
        <v>0.5</v>
      </c>
      <c r="I8023" s="11">
        <f t="shared" si="125"/>
        <v>0</v>
      </c>
      <c r="J8023" s="11">
        <f>1/(H8023*Utilities!$B$11)</f>
        <v>8</v>
      </c>
      <c r="K8023" s="11">
        <f>IF(B8023&lt;C8023,1,EXP(-1*(B8023-C8023)/(Utilities!$B$11*IterData!H8023)))</f>
        <v>1</v>
      </c>
    </row>
    <row r="8024" spans="8:11" x14ac:dyDescent="0.3">
      <c r="H8024">
        <v>0.5</v>
      </c>
      <c r="I8024" s="11">
        <f t="shared" si="125"/>
        <v>0</v>
      </c>
      <c r="J8024" s="11">
        <f>1/(H8024*Utilities!$B$11)</f>
        <v>8</v>
      </c>
      <c r="K8024" s="11">
        <f>IF(B8024&lt;C8024,1,EXP(-1*(B8024-C8024)/(Utilities!$B$11*IterData!H8024)))</f>
        <v>1</v>
      </c>
    </row>
    <row r="8025" spans="8:11" x14ac:dyDescent="0.3">
      <c r="H8025">
        <v>0.5</v>
      </c>
      <c r="I8025" s="11">
        <f t="shared" si="125"/>
        <v>0</v>
      </c>
      <c r="J8025" s="11">
        <f>1/(H8025*Utilities!$B$11)</f>
        <v>8</v>
      </c>
      <c r="K8025" s="11">
        <f>IF(B8025&lt;C8025,1,EXP(-1*(B8025-C8025)/(Utilities!$B$11*IterData!H8025)))</f>
        <v>1</v>
      </c>
    </row>
    <row r="8026" spans="8:11" x14ac:dyDescent="0.3">
      <c r="H8026">
        <v>0.5</v>
      </c>
      <c r="I8026" s="11">
        <f t="shared" si="125"/>
        <v>0</v>
      </c>
      <c r="J8026" s="11">
        <f>1/(H8026*Utilities!$B$11)</f>
        <v>8</v>
      </c>
      <c r="K8026" s="11">
        <f>IF(B8026&lt;C8026,1,EXP(-1*(B8026-C8026)/(Utilities!$B$11*IterData!H8026)))</f>
        <v>1</v>
      </c>
    </row>
    <row r="8027" spans="8:11" x14ac:dyDescent="0.3">
      <c r="H8027">
        <v>0.5</v>
      </c>
      <c r="I8027" s="11">
        <f t="shared" si="125"/>
        <v>0</v>
      </c>
      <c r="J8027" s="11">
        <f>1/(H8027*Utilities!$B$11)</f>
        <v>8</v>
      </c>
      <c r="K8027" s="11">
        <f>IF(B8027&lt;C8027,1,EXP(-1*(B8027-C8027)/(Utilities!$B$11*IterData!H8027)))</f>
        <v>1</v>
      </c>
    </row>
    <row r="8028" spans="8:11" x14ac:dyDescent="0.3">
      <c r="H8028">
        <v>0.5</v>
      </c>
      <c r="I8028" s="11">
        <f t="shared" si="125"/>
        <v>0</v>
      </c>
      <c r="J8028" s="11">
        <f>1/(H8028*Utilities!$B$11)</f>
        <v>8</v>
      </c>
      <c r="K8028" s="11">
        <f>IF(B8028&lt;C8028,1,EXP(-1*(B8028-C8028)/(Utilities!$B$11*IterData!H8028)))</f>
        <v>1</v>
      </c>
    </row>
    <row r="8029" spans="8:11" x14ac:dyDescent="0.3">
      <c r="H8029">
        <v>0.5</v>
      </c>
      <c r="I8029" s="11">
        <f t="shared" si="125"/>
        <v>0</v>
      </c>
      <c r="J8029" s="11">
        <f>1/(H8029*Utilities!$B$11)</f>
        <v>8</v>
      </c>
      <c r="K8029" s="11">
        <f>IF(B8029&lt;C8029,1,EXP(-1*(B8029-C8029)/(Utilities!$B$11*IterData!H8029)))</f>
        <v>1</v>
      </c>
    </row>
    <row r="8030" spans="8:11" x14ac:dyDescent="0.3">
      <c r="H8030">
        <v>0.5</v>
      </c>
      <c r="I8030" s="11">
        <f t="shared" si="125"/>
        <v>0</v>
      </c>
      <c r="J8030" s="11">
        <f>1/(H8030*Utilities!$B$11)</f>
        <v>8</v>
      </c>
      <c r="K8030" s="11">
        <f>IF(B8030&lt;C8030,1,EXP(-1*(B8030-C8030)/(Utilities!$B$11*IterData!H8030)))</f>
        <v>1</v>
      </c>
    </row>
    <row r="8031" spans="8:11" x14ac:dyDescent="0.3">
      <c r="H8031">
        <v>0.5</v>
      </c>
      <c r="I8031" s="11">
        <f t="shared" si="125"/>
        <v>0</v>
      </c>
      <c r="J8031" s="11">
        <f>1/(H8031*Utilities!$B$11)</f>
        <v>8</v>
      </c>
      <c r="K8031" s="11">
        <f>IF(B8031&lt;C8031,1,EXP(-1*(B8031-C8031)/(Utilities!$B$11*IterData!H8031)))</f>
        <v>1</v>
      </c>
    </row>
    <row r="8032" spans="8:11" x14ac:dyDescent="0.3">
      <c r="H8032">
        <v>0.5</v>
      </c>
      <c r="I8032" s="11">
        <f t="shared" si="125"/>
        <v>0</v>
      </c>
      <c r="J8032" s="11">
        <f>1/(H8032*Utilities!$B$11)</f>
        <v>8</v>
      </c>
      <c r="K8032" s="11">
        <f>IF(B8032&lt;C8032,1,EXP(-1*(B8032-C8032)/(Utilities!$B$11*IterData!H8032)))</f>
        <v>1</v>
      </c>
    </row>
    <row r="8033" spans="8:11" x14ac:dyDescent="0.3">
      <c r="H8033">
        <v>0.5</v>
      </c>
      <c r="I8033" s="11">
        <f t="shared" si="125"/>
        <v>0</v>
      </c>
      <c r="J8033" s="11">
        <f>1/(H8033*Utilities!$B$11)</f>
        <v>8</v>
      </c>
      <c r="K8033" s="11">
        <f>IF(B8033&lt;C8033,1,EXP(-1*(B8033-C8033)/(Utilities!$B$11*IterData!H8033)))</f>
        <v>1</v>
      </c>
    </row>
    <row r="8034" spans="8:11" x14ac:dyDescent="0.3">
      <c r="H8034">
        <v>0.5</v>
      </c>
      <c r="I8034" s="11">
        <f t="shared" si="125"/>
        <v>0</v>
      </c>
      <c r="J8034" s="11">
        <f>1/(H8034*Utilities!$B$11)</f>
        <v>8</v>
      </c>
      <c r="K8034" s="11">
        <f>IF(B8034&lt;C8034,1,EXP(-1*(B8034-C8034)/(Utilities!$B$11*IterData!H8034)))</f>
        <v>1</v>
      </c>
    </row>
    <row r="8035" spans="8:11" x14ac:dyDescent="0.3">
      <c r="H8035">
        <v>0.5</v>
      </c>
      <c r="I8035" s="11">
        <f t="shared" si="125"/>
        <v>0</v>
      </c>
      <c r="J8035" s="11">
        <f>1/(H8035*Utilities!$B$11)</f>
        <v>8</v>
      </c>
      <c r="K8035" s="11">
        <f>IF(B8035&lt;C8035,1,EXP(-1*(B8035-C8035)/(Utilities!$B$11*IterData!H8035)))</f>
        <v>1</v>
      </c>
    </row>
    <row r="8036" spans="8:11" x14ac:dyDescent="0.3">
      <c r="H8036">
        <v>0.5</v>
      </c>
      <c r="I8036" s="11">
        <f t="shared" si="125"/>
        <v>0</v>
      </c>
      <c r="J8036" s="11">
        <f>1/(H8036*Utilities!$B$11)</f>
        <v>8</v>
      </c>
      <c r="K8036" s="11">
        <f>IF(B8036&lt;C8036,1,EXP(-1*(B8036-C8036)/(Utilities!$B$11*IterData!H8036)))</f>
        <v>1</v>
      </c>
    </row>
    <row r="8037" spans="8:11" x14ac:dyDescent="0.3">
      <c r="H8037">
        <v>0.5</v>
      </c>
      <c r="I8037" s="11">
        <f t="shared" si="125"/>
        <v>0</v>
      </c>
      <c r="J8037" s="11">
        <f>1/(H8037*Utilities!$B$11)</f>
        <v>8</v>
      </c>
      <c r="K8037" s="11">
        <f>IF(B8037&lt;C8037,1,EXP(-1*(B8037-C8037)/(Utilities!$B$11*IterData!H8037)))</f>
        <v>1</v>
      </c>
    </row>
    <row r="8038" spans="8:11" x14ac:dyDescent="0.3">
      <c r="H8038">
        <v>0.5</v>
      </c>
      <c r="I8038" s="11">
        <f t="shared" si="125"/>
        <v>0</v>
      </c>
      <c r="J8038" s="11">
        <f>1/(H8038*Utilities!$B$11)</f>
        <v>8</v>
      </c>
      <c r="K8038" s="11">
        <f>IF(B8038&lt;C8038,1,EXP(-1*(B8038-C8038)/(Utilities!$B$11*IterData!H8038)))</f>
        <v>1</v>
      </c>
    </row>
    <row r="8039" spans="8:11" x14ac:dyDescent="0.3">
      <c r="H8039">
        <v>0.5</v>
      </c>
      <c r="I8039" s="11">
        <f t="shared" si="125"/>
        <v>0</v>
      </c>
      <c r="J8039" s="11">
        <f>1/(H8039*Utilities!$B$11)</f>
        <v>8</v>
      </c>
      <c r="K8039" s="11">
        <f>IF(B8039&lt;C8039,1,EXP(-1*(B8039-C8039)/(Utilities!$B$11*IterData!H8039)))</f>
        <v>1</v>
      </c>
    </row>
    <row r="8040" spans="8:11" x14ac:dyDescent="0.3">
      <c r="H8040">
        <v>0.5</v>
      </c>
      <c r="I8040" s="11">
        <f t="shared" si="125"/>
        <v>0</v>
      </c>
      <c r="J8040" s="11">
        <f>1/(H8040*Utilities!$B$11)</f>
        <v>8</v>
      </c>
      <c r="K8040" s="11">
        <f>IF(B8040&lt;C8040,1,EXP(-1*(B8040-C8040)/(Utilities!$B$11*IterData!H8040)))</f>
        <v>1</v>
      </c>
    </row>
    <row r="8041" spans="8:11" x14ac:dyDescent="0.3">
      <c r="H8041">
        <v>0.5</v>
      </c>
      <c r="I8041" s="11">
        <f t="shared" si="125"/>
        <v>0</v>
      </c>
      <c r="J8041" s="11">
        <f>1/(H8041*Utilities!$B$11)</f>
        <v>8</v>
      </c>
      <c r="K8041" s="11">
        <f>IF(B8041&lt;C8041,1,EXP(-1*(B8041-C8041)/(Utilities!$B$11*IterData!H8041)))</f>
        <v>1</v>
      </c>
    </row>
    <row r="8042" spans="8:11" x14ac:dyDescent="0.3">
      <c r="H8042">
        <v>0.5</v>
      </c>
      <c r="I8042" s="11">
        <f t="shared" si="125"/>
        <v>0</v>
      </c>
      <c r="J8042" s="11">
        <f>1/(H8042*Utilities!$B$11)</f>
        <v>8</v>
      </c>
      <c r="K8042" s="11">
        <f>IF(B8042&lt;C8042,1,EXP(-1*(B8042-C8042)/(Utilities!$B$11*IterData!H8042)))</f>
        <v>1</v>
      </c>
    </row>
    <row r="8043" spans="8:11" x14ac:dyDescent="0.3">
      <c r="H8043">
        <v>0.5</v>
      </c>
      <c r="I8043" s="11">
        <f t="shared" si="125"/>
        <v>0</v>
      </c>
      <c r="J8043" s="11">
        <f>1/(H8043*Utilities!$B$11)</f>
        <v>8</v>
      </c>
      <c r="K8043" s="11">
        <f>IF(B8043&lt;C8043,1,EXP(-1*(B8043-C8043)/(Utilities!$B$11*IterData!H8043)))</f>
        <v>1</v>
      </c>
    </row>
    <row r="8044" spans="8:11" x14ac:dyDescent="0.3">
      <c r="H8044">
        <v>0.5</v>
      </c>
      <c r="I8044" s="11">
        <f t="shared" si="125"/>
        <v>0</v>
      </c>
      <c r="J8044" s="11">
        <f>1/(H8044*Utilities!$B$11)</f>
        <v>8</v>
      </c>
      <c r="K8044" s="11">
        <f>IF(B8044&lt;C8044,1,EXP(-1*(B8044-C8044)/(Utilities!$B$11*IterData!H8044)))</f>
        <v>1</v>
      </c>
    </row>
    <row r="8045" spans="8:11" x14ac:dyDescent="0.3">
      <c r="H8045">
        <v>0.5</v>
      </c>
      <c r="I8045" s="11">
        <f t="shared" si="125"/>
        <v>0</v>
      </c>
      <c r="J8045" s="11">
        <f>1/(H8045*Utilities!$B$11)</f>
        <v>8</v>
      </c>
      <c r="K8045" s="11">
        <f>IF(B8045&lt;C8045,1,EXP(-1*(B8045-C8045)/(Utilities!$B$11*IterData!H8045)))</f>
        <v>1</v>
      </c>
    </row>
    <row r="8046" spans="8:11" x14ac:dyDescent="0.3">
      <c r="H8046">
        <v>0.5</v>
      </c>
      <c r="I8046" s="11">
        <f t="shared" si="125"/>
        <v>0</v>
      </c>
      <c r="J8046" s="11">
        <f>1/(H8046*Utilities!$B$11)</f>
        <v>8</v>
      </c>
      <c r="K8046" s="11">
        <f>IF(B8046&lt;C8046,1,EXP(-1*(B8046-C8046)/(Utilities!$B$11*IterData!H8046)))</f>
        <v>1</v>
      </c>
    </row>
    <row r="8047" spans="8:11" x14ac:dyDescent="0.3">
      <c r="H8047">
        <v>0.5</v>
      </c>
      <c r="I8047" s="11">
        <f t="shared" si="125"/>
        <v>0</v>
      </c>
      <c r="J8047" s="11">
        <f>1/(H8047*Utilities!$B$11)</f>
        <v>8</v>
      </c>
      <c r="K8047" s="11">
        <f>IF(B8047&lt;C8047,1,EXP(-1*(B8047-C8047)/(Utilities!$B$11*IterData!H8047)))</f>
        <v>1</v>
      </c>
    </row>
    <row r="8048" spans="8:11" x14ac:dyDescent="0.3">
      <c r="H8048">
        <v>0.5</v>
      </c>
      <c r="I8048" s="11">
        <f t="shared" si="125"/>
        <v>0</v>
      </c>
      <c r="J8048" s="11">
        <f>1/(H8048*Utilities!$B$11)</f>
        <v>8</v>
      </c>
      <c r="K8048" s="11">
        <f>IF(B8048&lt;C8048,1,EXP(-1*(B8048-C8048)/(Utilities!$B$11*IterData!H8048)))</f>
        <v>1</v>
      </c>
    </row>
    <row r="8049" spans="8:11" x14ac:dyDescent="0.3">
      <c r="H8049">
        <v>0.5</v>
      </c>
      <c r="I8049" s="11">
        <f t="shared" si="125"/>
        <v>0</v>
      </c>
      <c r="J8049" s="11">
        <f>1/(H8049*Utilities!$B$11)</f>
        <v>8</v>
      </c>
      <c r="K8049" s="11">
        <f>IF(B8049&lt;C8049,1,EXP(-1*(B8049-C8049)/(Utilities!$B$11*IterData!H8049)))</f>
        <v>1</v>
      </c>
    </row>
    <row r="8050" spans="8:11" x14ac:dyDescent="0.3">
      <c r="H8050">
        <v>0.5</v>
      </c>
      <c r="I8050" s="11">
        <f t="shared" si="125"/>
        <v>0</v>
      </c>
      <c r="J8050" s="11">
        <f>1/(H8050*Utilities!$B$11)</f>
        <v>8</v>
      </c>
      <c r="K8050" s="11">
        <f>IF(B8050&lt;C8050,1,EXP(-1*(B8050-C8050)/(Utilities!$B$11*IterData!H8050)))</f>
        <v>1</v>
      </c>
    </row>
    <row r="8051" spans="8:11" x14ac:dyDescent="0.3">
      <c r="H8051">
        <v>0.5</v>
      </c>
      <c r="I8051" s="11">
        <f t="shared" si="125"/>
        <v>0</v>
      </c>
      <c r="J8051" s="11">
        <f>1/(H8051*Utilities!$B$11)</f>
        <v>8</v>
      </c>
      <c r="K8051" s="11">
        <f>IF(B8051&lt;C8051,1,EXP(-1*(B8051-C8051)/(Utilities!$B$11*IterData!H8051)))</f>
        <v>1</v>
      </c>
    </row>
    <row r="8052" spans="8:11" x14ac:dyDescent="0.3">
      <c r="H8052">
        <v>0.5</v>
      </c>
      <c r="I8052" s="11">
        <f t="shared" si="125"/>
        <v>0</v>
      </c>
      <c r="J8052" s="11">
        <f>1/(H8052*Utilities!$B$11)</f>
        <v>8</v>
      </c>
      <c r="K8052" s="11">
        <f>IF(B8052&lt;C8052,1,EXP(-1*(B8052-C8052)/(Utilities!$B$11*IterData!H8052)))</f>
        <v>1</v>
      </c>
    </row>
    <row r="8053" spans="8:11" x14ac:dyDescent="0.3">
      <c r="H8053">
        <v>0.5</v>
      </c>
      <c r="I8053" s="11">
        <f t="shared" si="125"/>
        <v>0</v>
      </c>
      <c r="J8053" s="11">
        <f>1/(H8053*Utilities!$B$11)</f>
        <v>8</v>
      </c>
      <c r="K8053" s="11">
        <f>IF(B8053&lt;C8053,1,EXP(-1*(B8053-C8053)/(Utilities!$B$11*IterData!H8053)))</f>
        <v>1</v>
      </c>
    </row>
    <row r="8054" spans="8:11" x14ac:dyDescent="0.3">
      <c r="H8054">
        <v>0.5</v>
      </c>
      <c r="I8054" s="11">
        <f t="shared" si="125"/>
        <v>0</v>
      </c>
      <c r="J8054" s="11">
        <f>1/(H8054*Utilities!$B$11)</f>
        <v>8</v>
      </c>
      <c r="K8054" s="11">
        <f>IF(B8054&lt;C8054,1,EXP(-1*(B8054-C8054)/(Utilities!$B$11*IterData!H8054)))</f>
        <v>1</v>
      </c>
    </row>
    <row r="8055" spans="8:11" x14ac:dyDescent="0.3">
      <c r="H8055">
        <v>0.5</v>
      </c>
      <c r="I8055" s="11">
        <f t="shared" si="125"/>
        <v>0</v>
      </c>
      <c r="J8055" s="11">
        <f>1/(H8055*Utilities!$B$11)</f>
        <v>8</v>
      </c>
      <c r="K8055" s="11">
        <f>IF(B8055&lt;C8055,1,EXP(-1*(B8055-C8055)/(Utilities!$B$11*IterData!H8055)))</f>
        <v>1</v>
      </c>
    </row>
    <row r="8056" spans="8:11" x14ac:dyDescent="0.3">
      <c r="H8056">
        <v>0.5</v>
      </c>
      <c r="I8056" s="11">
        <f t="shared" si="125"/>
        <v>0</v>
      </c>
      <c r="J8056" s="11">
        <f>1/(H8056*Utilities!$B$11)</f>
        <v>8</v>
      </c>
      <c r="K8056" s="11">
        <f>IF(B8056&lt;C8056,1,EXP(-1*(B8056-C8056)/(Utilities!$B$11*IterData!H8056)))</f>
        <v>1</v>
      </c>
    </row>
    <row r="8057" spans="8:11" x14ac:dyDescent="0.3">
      <c r="H8057">
        <v>0.5</v>
      </c>
      <c r="I8057" s="11">
        <f t="shared" si="125"/>
        <v>0</v>
      </c>
      <c r="J8057" s="11">
        <f>1/(H8057*Utilities!$B$11)</f>
        <v>8</v>
      </c>
      <c r="K8057" s="11">
        <f>IF(B8057&lt;C8057,1,EXP(-1*(B8057-C8057)/(Utilities!$B$11*IterData!H8057)))</f>
        <v>1</v>
      </c>
    </row>
    <row r="8058" spans="8:11" x14ac:dyDescent="0.3">
      <c r="H8058">
        <v>0.5</v>
      </c>
      <c r="I8058" s="11">
        <f t="shared" si="125"/>
        <v>0</v>
      </c>
      <c r="J8058" s="11">
        <f>1/(H8058*Utilities!$B$11)</f>
        <v>8</v>
      </c>
      <c r="K8058" s="11">
        <f>IF(B8058&lt;C8058,1,EXP(-1*(B8058-C8058)/(Utilities!$B$11*IterData!H8058)))</f>
        <v>1</v>
      </c>
    </row>
    <row r="8059" spans="8:11" x14ac:dyDescent="0.3">
      <c r="H8059">
        <v>0.5</v>
      </c>
      <c r="I8059" s="11">
        <f t="shared" si="125"/>
        <v>0</v>
      </c>
      <c r="J8059" s="11">
        <f>1/(H8059*Utilities!$B$11)</f>
        <v>8</v>
      </c>
      <c r="K8059" s="11">
        <f>IF(B8059&lt;C8059,1,EXP(-1*(B8059-C8059)/(Utilities!$B$11*IterData!H8059)))</f>
        <v>1</v>
      </c>
    </row>
    <row r="8060" spans="8:11" x14ac:dyDescent="0.3">
      <c r="H8060">
        <v>0.5</v>
      </c>
      <c r="I8060" s="11">
        <f t="shared" si="125"/>
        <v>0</v>
      </c>
      <c r="J8060" s="11">
        <f>1/(H8060*Utilities!$B$11)</f>
        <v>8</v>
      </c>
      <c r="K8060" s="11">
        <f>IF(B8060&lt;C8060,1,EXP(-1*(B8060-C8060)/(Utilities!$B$11*IterData!H8060)))</f>
        <v>1</v>
      </c>
    </row>
    <row r="8061" spans="8:11" x14ac:dyDescent="0.3">
      <c r="H8061">
        <v>0.5</v>
      </c>
      <c r="I8061" s="11">
        <f t="shared" si="125"/>
        <v>0</v>
      </c>
      <c r="J8061" s="11">
        <f>1/(H8061*Utilities!$B$11)</f>
        <v>8</v>
      </c>
      <c r="K8061" s="11">
        <f>IF(B8061&lt;C8061,1,EXP(-1*(B8061-C8061)/(Utilities!$B$11*IterData!H8061)))</f>
        <v>1</v>
      </c>
    </row>
    <row r="8062" spans="8:11" x14ac:dyDescent="0.3">
      <c r="H8062">
        <v>0.5</v>
      </c>
      <c r="I8062" s="11">
        <f t="shared" si="125"/>
        <v>0</v>
      </c>
      <c r="J8062" s="11">
        <f>1/(H8062*Utilities!$B$11)</f>
        <v>8</v>
      </c>
      <c r="K8062" s="11">
        <f>IF(B8062&lt;C8062,1,EXP(-1*(B8062-C8062)/(Utilities!$B$11*IterData!H8062)))</f>
        <v>1</v>
      </c>
    </row>
    <row r="8063" spans="8:11" x14ac:dyDescent="0.3">
      <c r="H8063">
        <v>0.5</v>
      </c>
      <c r="I8063" s="11">
        <f t="shared" si="125"/>
        <v>0</v>
      </c>
      <c r="J8063" s="11">
        <f>1/(H8063*Utilities!$B$11)</f>
        <v>8</v>
      </c>
      <c r="K8063" s="11">
        <f>IF(B8063&lt;C8063,1,EXP(-1*(B8063-C8063)/(Utilities!$B$11*IterData!H8063)))</f>
        <v>1</v>
      </c>
    </row>
    <row r="8064" spans="8:11" x14ac:dyDescent="0.3">
      <c r="H8064">
        <v>0.5</v>
      </c>
      <c r="I8064" s="11">
        <f t="shared" si="125"/>
        <v>0</v>
      </c>
      <c r="J8064" s="11">
        <f>1/(H8064*Utilities!$B$11)</f>
        <v>8</v>
      </c>
      <c r="K8064" s="11">
        <f>IF(B8064&lt;C8064,1,EXP(-1*(B8064-C8064)/(Utilities!$B$11*IterData!H8064)))</f>
        <v>1</v>
      </c>
    </row>
    <row r="8065" spans="8:11" x14ac:dyDescent="0.3">
      <c r="H8065">
        <v>0.5</v>
      </c>
      <c r="I8065" s="11">
        <f t="shared" si="125"/>
        <v>0</v>
      </c>
      <c r="J8065" s="11">
        <f>1/(H8065*Utilities!$B$11)</f>
        <v>8</v>
      </c>
      <c r="K8065" s="11">
        <f>IF(B8065&lt;C8065,1,EXP(-1*(B8065-C8065)/(Utilities!$B$11*IterData!H8065)))</f>
        <v>1</v>
      </c>
    </row>
    <row r="8066" spans="8:11" x14ac:dyDescent="0.3">
      <c r="H8066">
        <v>0.5</v>
      </c>
      <c r="I8066" s="11">
        <f t="shared" si="125"/>
        <v>0</v>
      </c>
      <c r="J8066" s="11">
        <f>1/(H8066*Utilities!$B$11)</f>
        <v>8</v>
      </c>
      <c r="K8066" s="11">
        <f>IF(B8066&lt;C8066,1,EXP(-1*(B8066-C8066)/(Utilities!$B$11*IterData!H8066)))</f>
        <v>1</v>
      </c>
    </row>
    <row r="8067" spans="8:11" x14ac:dyDescent="0.3">
      <c r="H8067">
        <v>0.5</v>
      </c>
      <c r="I8067" s="11">
        <f t="shared" ref="I8067:I8130" si="126">B8067-C8067</f>
        <v>0</v>
      </c>
      <c r="J8067" s="11">
        <f>1/(H8067*Utilities!$B$11)</f>
        <v>8</v>
      </c>
      <c r="K8067" s="11">
        <f>IF(B8067&lt;C8067,1,EXP(-1*(B8067-C8067)/(Utilities!$B$11*IterData!H8067)))</f>
        <v>1</v>
      </c>
    </row>
    <row r="8068" spans="8:11" x14ac:dyDescent="0.3">
      <c r="H8068">
        <v>0.5</v>
      </c>
      <c r="I8068" s="11">
        <f t="shared" si="126"/>
        <v>0</v>
      </c>
      <c r="J8068" s="11">
        <f>1/(H8068*Utilities!$B$11)</f>
        <v>8</v>
      </c>
      <c r="K8068" s="11">
        <f>IF(B8068&lt;C8068,1,EXP(-1*(B8068-C8068)/(Utilities!$B$11*IterData!H8068)))</f>
        <v>1</v>
      </c>
    </row>
    <row r="8069" spans="8:11" x14ac:dyDescent="0.3">
      <c r="H8069">
        <v>0.5</v>
      </c>
      <c r="I8069" s="11">
        <f t="shared" si="126"/>
        <v>0</v>
      </c>
      <c r="J8069" s="11">
        <f>1/(H8069*Utilities!$B$11)</f>
        <v>8</v>
      </c>
      <c r="K8069" s="11">
        <f>IF(B8069&lt;C8069,1,EXP(-1*(B8069-C8069)/(Utilities!$B$11*IterData!H8069)))</f>
        <v>1</v>
      </c>
    </row>
    <row r="8070" spans="8:11" x14ac:dyDescent="0.3">
      <c r="H8070">
        <v>0.5</v>
      </c>
      <c r="I8070" s="11">
        <f t="shared" si="126"/>
        <v>0</v>
      </c>
      <c r="J8070" s="11">
        <f>1/(H8070*Utilities!$B$11)</f>
        <v>8</v>
      </c>
      <c r="K8070" s="11">
        <f>IF(B8070&lt;C8070,1,EXP(-1*(B8070-C8070)/(Utilities!$B$11*IterData!H8070)))</f>
        <v>1</v>
      </c>
    </row>
    <row r="8071" spans="8:11" x14ac:dyDescent="0.3">
      <c r="H8071">
        <v>0.5</v>
      </c>
      <c r="I8071" s="11">
        <f t="shared" si="126"/>
        <v>0</v>
      </c>
      <c r="J8071" s="11">
        <f>1/(H8071*Utilities!$B$11)</f>
        <v>8</v>
      </c>
      <c r="K8071" s="11">
        <f>IF(B8071&lt;C8071,1,EXP(-1*(B8071-C8071)/(Utilities!$B$11*IterData!H8071)))</f>
        <v>1</v>
      </c>
    </row>
    <row r="8072" spans="8:11" x14ac:dyDescent="0.3">
      <c r="H8072">
        <v>0.5</v>
      </c>
      <c r="I8072" s="11">
        <f t="shared" si="126"/>
        <v>0</v>
      </c>
      <c r="J8072" s="11">
        <f>1/(H8072*Utilities!$B$11)</f>
        <v>8</v>
      </c>
      <c r="K8072" s="11">
        <f>IF(B8072&lt;C8072,1,EXP(-1*(B8072-C8072)/(Utilities!$B$11*IterData!H8072)))</f>
        <v>1</v>
      </c>
    </row>
    <row r="8073" spans="8:11" x14ac:dyDescent="0.3">
      <c r="H8073">
        <v>0.5</v>
      </c>
      <c r="I8073" s="11">
        <f t="shared" si="126"/>
        <v>0</v>
      </c>
      <c r="J8073" s="11">
        <f>1/(H8073*Utilities!$B$11)</f>
        <v>8</v>
      </c>
      <c r="K8073" s="11">
        <f>IF(B8073&lt;C8073,1,EXP(-1*(B8073-C8073)/(Utilities!$B$11*IterData!H8073)))</f>
        <v>1</v>
      </c>
    </row>
    <row r="8074" spans="8:11" x14ac:dyDescent="0.3">
      <c r="H8074">
        <v>0.5</v>
      </c>
      <c r="I8074" s="11">
        <f t="shared" si="126"/>
        <v>0</v>
      </c>
      <c r="J8074" s="11">
        <f>1/(H8074*Utilities!$B$11)</f>
        <v>8</v>
      </c>
      <c r="K8074" s="11">
        <f>IF(B8074&lt;C8074,1,EXP(-1*(B8074-C8074)/(Utilities!$B$11*IterData!H8074)))</f>
        <v>1</v>
      </c>
    </row>
    <row r="8075" spans="8:11" x14ac:dyDescent="0.3">
      <c r="H8075">
        <v>0.5</v>
      </c>
      <c r="I8075" s="11">
        <f t="shared" si="126"/>
        <v>0</v>
      </c>
      <c r="J8075" s="11">
        <f>1/(H8075*Utilities!$B$11)</f>
        <v>8</v>
      </c>
      <c r="K8075" s="11">
        <f>IF(B8075&lt;C8075,1,EXP(-1*(B8075-C8075)/(Utilities!$B$11*IterData!H8075)))</f>
        <v>1</v>
      </c>
    </row>
    <row r="8076" spans="8:11" x14ac:dyDescent="0.3">
      <c r="H8076">
        <v>0.5</v>
      </c>
      <c r="I8076" s="11">
        <f t="shared" si="126"/>
        <v>0</v>
      </c>
      <c r="J8076" s="11">
        <f>1/(H8076*Utilities!$B$11)</f>
        <v>8</v>
      </c>
      <c r="K8076" s="11">
        <f>IF(B8076&lt;C8076,1,EXP(-1*(B8076-C8076)/(Utilities!$B$11*IterData!H8076)))</f>
        <v>1</v>
      </c>
    </row>
    <row r="8077" spans="8:11" x14ac:dyDescent="0.3">
      <c r="H8077">
        <v>0.5</v>
      </c>
      <c r="I8077" s="11">
        <f t="shared" si="126"/>
        <v>0</v>
      </c>
      <c r="J8077" s="11">
        <f>1/(H8077*Utilities!$B$11)</f>
        <v>8</v>
      </c>
      <c r="K8077" s="11">
        <f>IF(B8077&lt;C8077,1,EXP(-1*(B8077-C8077)/(Utilities!$B$11*IterData!H8077)))</f>
        <v>1</v>
      </c>
    </row>
    <row r="8078" spans="8:11" x14ac:dyDescent="0.3">
      <c r="H8078">
        <v>0.5</v>
      </c>
      <c r="I8078" s="11">
        <f t="shared" si="126"/>
        <v>0</v>
      </c>
      <c r="J8078" s="11">
        <f>1/(H8078*Utilities!$B$11)</f>
        <v>8</v>
      </c>
      <c r="K8078" s="11">
        <f>IF(B8078&lt;C8078,1,EXP(-1*(B8078-C8078)/(Utilities!$B$11*IterData!H8078)))</f>
        <v>1</v>
      </c>
    </row>
    <row r="8079" spans="8:11" x14ac:dyDescent="0.3">
      <c r="H8079">
        <v>0.5</v>
      </c>
      <c r="I8079" s="11">
        <f t="shared" si="126"/>
        <v>0</v>
      </c>
      <c r="J8079" s="11">
        <f>1/(H8079*Utilities!$B$11)</f>
        <v>8</v>
      </c>
      <c r="K8079" s="11">
        <f>IF(B8079&lt;C8079,1,EXP(-1*(B8079-C8079)/(Utilities!$B$11*IterData!H8079)))</f>
        <v>1</v>
      </c>
    </row>
    <row r="8080" spans="8:11" x14ac:dyDescent="0.3">
      <c r="H8080">
        <v>0.5</v>
      </c>
      <c r="I8080" s="11">
        <f t="shared" si="126"/>
        <v>0</v>
      </c>
      <c r="J8080" s="11">
        <f>1/(H8080*Utilities!$B$11)</f>
        <v>8</v>
      </c>
      <c r="K8080" s="11">
        <f>IF(B8080&lt;C8080,1,EXP(-1*(B8080-C8080)/(Utilities!$B$11*IterData!H8080)))</f>
        <v>1</v>
      </c>
    </row>
    <row r="8081" spans="8:11" x14ac:dyDescent="0.3">
      <c r="H8081">
        <v>0.5</v>
      </c>
      <c r="I8081" s="11">
        <f t="shared" si="126"/>
        <v>0</v>
      </c>
      <c r="J8081" s="11">
        <f>1/(H8081*Utilities!$B$11)</f>
        <v>8</v>
      </c>
      <c r="K8081" s="11">
        <f>IF(B8081&lt;C8081,1,EXP(-1*(B8081-C8081)/(Utilities!$B$11*IterData!H8081)))</f>
        <v>1</v>
      </c>
    </row>
    <row r="8082" spans="8:11" x14ac:dyDescent="0.3">
      <c r="H8082">
        <v>0.5</v>
      </c>
      <c r="I8082" s="11">
        <f t="shared" si="126"/>
        <v>0</v>
      </c>
      <c r="J8082" s="11">
        <f>1/(H8082*Utilities!$B$11)</f>
        <v>8</v>
      </c>
      <c r="K8082" s="11">
        <f>IF(B8082&lt;C8082,1,EXP(-1*(B8082-C8082)/(Utilities!$B$11*IterData!H8082)))</f>
        <v>1</v>
      </c>
    </row>
    <row r="8083" spans="8:11" x14ac:dyDescent="0.3">
      <c r="H8083">
        <v>0.5</v>
      </c>
      <c r="I8083" s="11">
        <f t="shared" si="126"/>
        <v>0</v>
      </c>
      <c r="J8083" s="11">
        <f>1/(H8083*Utilities!$B$11)</f>
        <v>8</v>
      </c>
      <c r="K8083" s="11">
        <f>IF(B8083&lt;C8083,1,EXP(-1*(B8083-C8083)/(Utilities!$B$11*IterData!H8083)))</f>
        <v>1</v>
      </c>
    </row>
    <row r="8084" spans="8:11" x14ac:dyDescent="0.3">
      <c r="H8084">
        <v>0.5</v>
      </c>
      <c r="I8084" s="11">
        <f t="shared" si="126"/>
        <v>0</v>
      </c>
      <c r="J8084" s="11">
        <f>1/(H8084*Utilities!$B$11)</f>
        <v>8</v>
      </c>
      <c r="K8084" s="11">
        <f>IF(B8084&lt;C8084,1,EXP(-1*(B8084-C8084)/(Utilities!$B$11*IterData!H8084)))</f>
        <v>1</v>
      </c>
    </row>
    <row r="8085" spans="8:11" x14ac:dyDescent="0.3">
      <c r="H8085">
        <v>0.5</v>
      </c>
      <c r="I8085" s="11">
        <f t="shared" si="126"/>
        <v>0</v>
      </c>
      <c r="J8085" s="11">
        <f>1/(H8085*Utilities!$B$11)</f>
        <v>8</v>
      </c>
      <c r="K8085" s="11">
        <f>IF(B8085&lt;C8085,1,EXP(-1*(B8085-C8085)/(Utilities!$B$11*IterData!H8085)))</f>
        <v>1</v>
      </c>
    </row>
    <row r="8086" spans="8:11" x14ac:dyDescent="0.3">
      <c r="H8086">
        <v>0.5</v>
      </c>
      <c r="I8086" s="11">
        <f t="shared" si="126"/>
        <v>0</v>
      </c>
      <c r="J8086" s="11">
        <f>1/(H8086*Utilities!$B$11)</f>
        <v>8</v>
      </c>
      <c r="K8086" s="11">
        <f>IF(B8086&lt;C8086,1,EXP(-1*(B8086-C8086)/(Utilities!$B$11*IterData!H8086)))</f>
        <v>1</v>
      </c>
    </row>
    <row r="8087" spans="8:11" x14ac:dyDescent="0.3">
      <c r="H8087">
        <v>0.5</v>
      </c>
      <c r="I8087" s="11">
        <f t="shared" si="126"/>
        <v>0</v>
      </c>
      <c r="J8087" s="11">
        <f>1/(H8087*Utilities!$B$11)</f>
        <v>8</v>
      </c>
      <c r="K8087" s="11">
        <f>IF(B8087&lt;C8087,1,EXP(-1*(B8087-C8087)/(Utilities!$B$11*IterData!H8087)))</f>
        <v>1</v>
      </c>
    </row>
    <row r="8088" spans="8:11" x14ac:dyDescent="0.3">
      <c r="H8088">
        <v>0.5</v>
      </c>
      <c r="I8088" s="11">
        <f t="shared" si="126"/>
        <v>0</v>
      </c>
      <c r="J8088" s="11">
        <f>1/(H8088*Utilities!$B$11)</f>
        <v>8</v>
      </c>
      <c r="K8088" s="11">
        <f>IF(B8088&lt;C8088,1,EXP(-1*(B8088-C8088)/(Utilities!$B$11*IterData!H8088)))</f>
        <v>1</v>
      </c>
    </row>
    <row r="8089" spans="8:11" x14ac:dyDescent="0.3">
      <c r="H8089">
        <v>0.5</v>
      </c>
      <c r="I8089" s="11">
        <f t="shared" si="126"/>
        <v>0</v>
      </c>
      <c r="J8089" s="11">
        <f>1/(H8089*Utilities!$B$11)</f>
        <v>8</v>
      </c>
      <c r="K8089" s="11">
        <f>IF(B8089&lt;C8089,1,EXP(-1*(B8089-C8089)/(Utilities!$B$11*IterData!H8089)))</f>
        <v>1</v>
      </c>
    </row>
    <row r="8090" spans="8:11" x14ac:dyDescent="0.3">
      <c r="H8090">
        <v>0.5</v>
      </c>
      <c r="I8090" s="11">
        <f t="shared" si="126"/>
        <v>0</v>
      </c>
      <c r="J8090" s="11">
        <f>1/(H8090*Utilities!$B$11)</f>
        <v>8</v>
      </c>
      <c r="K8090" s="11">
        <f>IF(B8090&lt;C8090,1,EXP(-1*(B8090-C8090)/(Utilities!$B$11*IterData!H8090)))</f>
        <v>1</v>
      </c>
    </row>
    <row r="8091" spans="8:11" x14ac:dyDescent="0.3">
      <c r="H8091">
        <v>0.5</v>
      </c>
      <c r="I8091" s="11">
        <f t="shared" si="126"/>
        <v>0</v>
      </c>
      <c r="J8091" s="11">
        <f>1/(H8091*Utilities!$B$11)</f>
        <v>8</v>
      </c>
      <c r="K8091" s="11">
        <f>IF(B8091&lt;C8091,1,EXP(-1*(B8091-C8091)/(Utilities!$B$11*IterData!H8091)))</f>
        <v>1</v>
      </c>
    </row>
    <row r="8092" spans="8:11" x14ac:dyDescent="0.3">
      <c r="H8092">
        <v>0.5</v>
      </c>
      <c r="I8092" s="11">
        <f t="shared" si="126"/>
        <v>0</v>
      </c>
      <c r="J8092" s="11">
        <f>1/(H8092*Utilities!$B$11)</f>
        <v>8</v>
      </c>
      <c r="K8092" s="11">
        <f>IF(B8092&lt;C8092,1,EXP(-1*(B8092-C8092)/(Utilities!$B$11*IterData!H8092)))</f>
        <v>1</v>
      </c>
    </row>
    <row r="8093" spans="8:11" x14ac:dyDescent="0.3">
      <c r="H8093">
        <v>0.5</v>
      </c>
      <c r="I8093" s="11">
        <f t="shared" si="126"/>
        <v>0</v>
      </c>
      <c r="J8093" s="11">
        <f>1/(H8093*Utilities!$B$11)</f>
        <v>8</v>
      </c>
      <c r="K8093" s="11">
        <f>IF(B8093&lt;C8093,1,EXP(-1*(B8093-C8093)/(Utilities!$B$11*IterData!H8093)))</f>
        <v>1</v>
      </c>
    </row>
    <row r="8094" spans="8:11" x14ac:dyDescent="0.3">
      <c r="H8094">
        <v>0.5</v>
      </c>
      <c r="I8094" s="11">
        <f t="shared" si="126"/>
        <v>0</v>
      </c>
      <c r="J8094" s="11">
        <f>1/(H8094*Utilities!$B$11)</f>
        <v>8</v>
      </c>
      <c r="K8094" s="11">
        <f>IF(B8094&lt;C8094,1,EXP(-1*(B8094-C8094)/(Utilities!$B$11*IterData!H8094)))</f>
        <v>1</v>
      </c>
    </row>
    <row r="8095" spans="8:11" x14ac:dyDescent="0.3">
      <c r="H8095">
        <v>0.5</v>
      </c>
      <c r="I8095" s="11">
        <f t="shared" si="126"/>
        <v>0</v>
      </c>
      <c r="J8095" s="11">
        <f>1/(H8095*Utilities!$B$11)</f>
        <v>8</v>
      </c>
      <c r="K8095" s="11">
        <f>IF(B8095&lt;C8095,1,EXP(-1*(B8095-C8095)/(Utilities!$B$11*IterData!H8095)))</f>
        <v>1</v>
      </c>
    </row>
    <row r="8096" spans="8:11" x14ac:dyDescent="0.3">
      <c r="H8096">
        <v>0.5</v>
      </c>
      <c r="I8096" s="11">
        <f t="shared" si="126"/>
        <v>0</v>
      </c>
      <c r="J8096" s="11">
        <f>1/(H8096*Utilities!$B$11)</f>
        <v>8</v>
      </c>
      <c r="K8096" s="11">
        <f>IF(B8096&lt;C8096,1,EXP(-1*(B8096-C8096)/(Utilities!$B$11*IterData!H8096)))</f>
        <v>1</v>
      </c>
    </row>
    <row r="8097" spans="8:11" x14ac:dyDescent="0.3">
      <c r="H8097">
        <v>0.5</v>
      </c>
      <c r="I8097" s="11">
        <f t="shared" si="126"/>
        <v>0</v>
      </c>
      <c r="J8097" s="11">
        <f>1/(H8097*Utilities!$B$11)</f>
        <v>8</v>
      </c>
      <c r="K8097" s="11">
        <f>IF(B8097&lt;C8097,1,EXP(-1*(B8097-C8097)/(Utilities!$B$11*IterData!H8097)))</f>
        <v>1</v>
      </c>
    </row>
    <row r="8098" spans="8:11" x14ac:dyDescent="0.3">
      <c r="H8098">
        <v>0.5</v>
      </c>
      <c r="I8098" s="11">
        <f t="shared" si="126"/>
        <v>0</v>
      </c>
      <c r="J8098" s="11">
        <f>1/(H8098*Utilities!$B$11)</f>
        <v>8</v>
      </c>
      <c r="K8098" s="11">
        <f>IF(B8098&lt;C8098,1,EXP(-1*(B8098-C8098)/(Utilities!$B$11*IterData!H8098)))</f>
        <v>1</v>
      </c>
    </row>
    <row r="8099" spans="8:11" x14ac:dyDescent="0.3">
      <c r="H8099">
        <v>0.5</v>
      </c>
      <c r="I8099" s="11">
        <f t="shared" si="126"/>
        <v>0</v>
      </c>
      <c r="J8099" s="11">
        <f>1/(H8099*Utilities!$B$11)</f>
        <v>8</v>
      </c>
      <c r="K8099" s="11">
        <f>IF(B8099&lt;C8099,1,EXP(-1*(B8099-C8099)/(Utilities!$B$11*IterData!H8099)))</f>
        <v>1</v>
      </c>
    </row>
    <row r="8100" spans="8:11" x14ac:dyDescent="0.3">
      <c r="H8100">
        <v>0.5</v>
      </c>
      <c r="I8100" s="11">
        <f t="shared" si="126"/>
        <v>0</v>
      </c>
      <c r="J8100" s="11">
        <f>1/(H8100*Utilities!$B$11)</f>
        <v>8</v>
      </c>
      <c r="K8100" s="11">
        <f>IF(B8100&lt;C8100,1,EXP(-1*(B8100-C8100)/(Utilities!$B$11*IterData!H8100)))</f>
        <v>1</v>
      </c>
    </row>
    <row r="8101" spans="8:11" x14ac:dyDescent="0.3">
      <c r="H8101">
        <v>0.5</v>
      </c>
      <c r="I8101" s="11">
        <f t="shared" si="126"/>
        <v>0</v>
      </c>
      <c r="J8101" s="11">
        <f>1/(H8101*Utilities!$B$11)</f>
        <v>8</v>
      </c>
      <c r="K8101" s="11">
        <f>IF(B8101&lt;C8101,1,EXP(-1*(B8101-C8101)/(Utilities!$B$11*IterData!H8101)))</f>
        <v>1</v>
      </c>
    </row>
    <row r="8102" spans="8:11" x14ac:dyDescent="0.3">
      <c r="H8102">
        <v>0.5</v>
      </c>
      <c r="I8102" s="11">
        <f t="shared" si="126"/>
        <v>0</v>
      </c>
      <c r="J8102" s="11">
        <f>1/(H8102*Utilities!$B$11)</f>
        <v>8</v>
      </c>
      <c r="K8102" s="11">
        <f>IF(B8102&lt;C8102,1,EXP(-1*(B8102-C8102)/(Utilities!$B$11*IterData!H8102)))</f>
        <v>1</v>
      </c>
    </row>
    <row r="8103" spans="8:11" x14ac:dyDescent="0.3">
      <c r="H8103">
        <v>0.5</v>
      </c>
      <c r="I8103" s="11">
        <f t="shared" si="126"/>
        <v>0</v>
      </c>
      <c r="J8103" s="11">
        <f>1/(H8103*Utilities!$B$11)</f>
        <v>8</v>
      </c>
      <c r="K8103" s="11">
        <f>IF(B8103&lt;C8103,1,EXP(-1*(B8103-C8103)/(Utilities!$B$11*IterData!H8103)))</f>
        <v>1</v>
      </c>
    </row>
    <row r="8104" spans="8:11" x14ac:dyDescent="0.3">
      <c r="H8104">
        <v>0.5</v>
      </c>
      <c r="I8104" s="11">
        <f t="shared" si="126"/>
        <v>0</v>
      </c>
      <c r="J8104" s="11">
        <f>1/(H8104*Utilities!$B$11)</f>
        <v>8</v>
      </c>
      <c r="K8104" s="11">
        <f>IF(B8104&lt;C8104,1,EXP(-1*(B8104-C8104)/(Utilities!$B$11*IterData!H8104)))</f>
        <v>1</v>
      </c>
    </row>
    <row r="8105" spans="8:11" x14ac:dyDescent="0.3">
      <c r="H8105">
        <v>0.5</v>
      </c>
      <c r="I8105" s="11">
        <f t="shared" si="126"/>
        <v>0</v>
      </c>
      <c r="J8105" s="11">
        <f>1/(H8105*Utilities!$B$11)</f>
        <v>8</v>
      </c>
      <c r="K8105" s="11">
        <f>IF(B8105&lt;C8105,1,EXP(-1*(B8105-C8105)/(Utilities!$B$11*IterData!H8105)))</f>
        <v>1</v>
      </c>
    </row>
    <row r="8106" spans="8:11" x14ac:dyDescent="0.3">
      <c r="H8106">
        <v>0.5</v>
      </c>
      <c r="I8106" s="11">
        <f t="shared" si="126"/>
        <v>0</v>
      </c>
      <c r="J8106" s="11">
        <f>1/(H8106*Utilities!$B$11)</f>
        <v>8</v>
      </c>
      <c r="K8106" s="11">
        <f>IF(B8106&lt;C8106,1,EXP(-1*(B8106-C8106)/(Utilities!$B$11*IterData!H8106)))</f>
        <v>1</v>
      </c>
    </row>
    <row r="8107" spans="8:11" x14ac:dyDescent="0.3">
      <c r="H8107">
        <v>0.5</v>
      </c>
      <c r="I8107" s="11">
        <f t="shared" si="126"/>
        <v>0</v>
      </c>
      <c r="J8107" s="11">
        <f>1/(H8107*Utilities!$B$11)</f>
        <v>8</v>
      </c>
      <c r="K8107" s="11">
        <f>IF(B8107&lt;C8107,1,EXP(-1*(B8107-C8107)/(Utilities!$B$11*IterData!H8107)))</f>
        <v>1</v>
      </c>
    </row>
    <row r="8108" spans="8:11" x14ac:dyDescent="0.3">
      <c r="H8108">
        <v>0.5</v>
      </c>
      <c r="I8108" s="11">
        <f t="shared" si="126"/>
        <v>0</v>
      </c>
      <c r="J8108" s="11">
        <f>1/(H8108*Utilities!$B$11)</f>
        <v>8</v>
      </c>
      <c r="K8108" s="11">
        <f>IF(B8108&lt;C8108,1,EXP(-1*(B8108-C8108)/(Utilities!$B$11*IterData!H8108)))</f>
        <v>1</v>
      </c>
    </row>
    <row r="8109" spans="8:11" x14ac:dyDescent="0.3">
      <c r="H8109">
        <v>0.5</v>
      </c>
      <c r="I8109" s="11">
        <f t="shared" si="126"/>
        <v>0</v>
      </c>
      <c r="J8109" s="11">
        <f>1/(H8109*Utilities!$B$11)</f>
        <v>8</v>
      </c>
      <c r="K8109" s="11">
        <f>IF(B8109&lt;C8109,1,EXP(-1*(B8109-C8109)/(Utilities!$B$11*IterData!H8109)))</f>
        <v>1</v>
      </c>
    </row>
    <row r="8110" spans="8:11" x14ac:dyDescent="0.3">
      <c r="H8110">
        <v>0.5</v>
      </c>
      <c r="I8110" s="11">
        <f t="shared" si="126"/>
        <v>0</v>
      </c>
      <c r="J8110" s="11">
        <f>1/(H8110*Utilities!$B$11)</f>
        <v>8</v>
      </c>
      <c r="K8110" s="11">
        <f>IF(B8110&lt;C8110,1,EXP(-1*(B8110-C8110)/(Utilities!$B$11*IterData!H8110)))</f>
        <v>1</v>
      </c>
    </row>
    <row r="8111" spans="8:11" x14ac:dyDescent="0.3">
      <c r="H8111">
        <v>0.5</v>
      </c>
      <c r="I8111" s="11">
        <f t="shared" si="126"/>
        <v>0</v>
      </c>
      <c r="J8111" s="11">
        <f>1/(H8111*Utilities!$B$11)</f>
        <v>8</v>
      </c>
      <c r="K8111" s="11">
        <f>IF(B8111&lt;C8111,1,EXP(-1*(B8111-C8111)/(Utilities!$B$11*IterData!H8111)))</f>
        <v>1</v>
      </c>
    </row>
    <row r="8112" spans="8:11" x14ac:dyDescent="0.3">
      <c r="H8112">
        <v>0.5</v>
      </c>
      <c r="I8112" s="11">
        <f t="shared" si="126"/>
        <v>0</v>
      </c>
      <c r="J8112" s="11">
        <f>1/(H8112*Utilities!$B$11)</f>
        <v>8</v>
      </c>
      <c r="K8112" s="11">
        <f>IF(B8112&lt;C8112,1,EXP(-1*(B8112-C8112)/(Utilities!$B$11*IterData!H8112)))</f>
        <v>1</v>
      </c>
    </row>
    <row r="8113" spans="8:11" x14ac:dyDescent="0.3">
      <c r="H8113">
        <v>0.5</v>
      </c>
      <c r="I8113" s="11">
        <f t="shared" si="126"/>
        <v>0</v>
      </c>
      <c r="J8113" s="11">
        <f>1/(H8113*Utilities!$B$11)</f>
        <v>8</v>
      </c>
      <c r="K8113" s="11">
        <f>IF(B8113&lt;C8113,1,EXP(-1*(B8113-C8113)/(Utilities!$B$11*IterData!H8113)))</f>
        <v>1</v>
      </c>
    </row>
    <row r="8114" spans="8:11" x14ac:dyDescent="0.3">
      <c r="H8114">
        <v>0.5</v>
      </c>
      <c r="I8114" s="11">
        <f t="shared" si="126"/>
        <v>0</v>
      </c>
      <c r="J8114" s="11">
        <f>1/(H8114*Utilities!$B$11)</f>
        <v>8</v>
      </c>
      <c r="K8114" s="11">
        <f>IF(B8114&lt;C8114,1,EXP(-1*(B8114-C8114)/(Utilities!$B$11*IterData!H8114)))</f>
        <v>1</v>
      </c>
    </row>
    <row r="8115" spans="8:11" x14ac:dyDescent="0.3">
      <c r="H8115">
        <v>0.5</v>
      </c>
      <c r="I8115" s="11">
        <f t="shared" si="126"/>
        <v>0</v>
      </c>
      <c r="J8115" s="11">
        <f>1/(H8115*Utilities!$B$11)</f>
        <v>8</v>
      </c>
      <c r="K8115" s="11">
        <f>IF(B8115&lt;C8115,1,EXP(-1*(B8115-C8115)/(Utilities!$B$11*IterData!H8115)))</f>
        <v>1</v>
      </c>
    </row>
    <row r="8116" spans="8:11" x14ac:dyDescent="0.3">
      <c r="H8116">
        <v>0.5</v>
      </c>
      <c r="I8116" s="11">
        <f t="shared" si="126"/>
        <v>0</v>
      </c>
      <c r="J8116" s="11">
        <f>1/(H8116*Utilities!$B$11)</f>
        <v>8</v>
      </c>
      <c r="K8116" s="11">
        <f>IF(B8116&lt;C8116,1,EXP(-1*(B8116-C8116)/(Utilities!$B$11*IterData!H8116)))</f>
        <v>1</v>
      </c>
    </row>
    <row r="8117" spans="8:11" x14ac:dyDescent="0.3">
      <c r="H8117">
        <v>0.5</v>
      </c>
      <c r="I8117" s="11">
        <f t="shared" si="126"/>
        <v>0</v>
      </c>
      <c r="J8117" s="11">
        <f>1/(H8117*Utilities!$B$11)</f>
        <v>8</v>
      </c>
      <c r="K8117" s="11">
        <f>IF(B8117&lt;C8117,1,EXP(-1*(B8117-C8117)/(Utilities!$B$11*IterData!H8117)))</f>
        <v>1</v>
      </c>
    </row>
    <row r="8118" spans="8:11" x14ac:dyDescent="0.3">
      <c r="H8118">
        <v>0.5</v>
      </c>
      <c r="I8118" s="11">
        <f t="shared" si="126"/>
        <v>0</v>
      </c>
      <c r="J8118" s="11">
        <f>1/(H8118*Utilities!$B$11)</f>
        <v>8</v>
      </c>
      <c r="K8118" s="11">
        <f>IF(B8118&lt;C8118,1,EXP(-1*(B8118-C8118)/(Utilities!$B$11*IterData!H8118)))</f>
        <v>1</v>
      </c>
    </row>
    <row r="8119" spans="8:11" x14ac:dyDescent="0.3">
      <c r="H8119">
        <v>0.5</v>
      </c>
      <c r="I8119" s="11">
        <f t="shared" si="126"/>
        <v>0</v>
      </c>
      <c r="J8119" s="11">
        <f>1/(H8119*Utilities!$B$11)</f>
        <v>8</v>
      </c>
      <c r="K8119" s="11">
        <f>IF(B8119&lt;C8119,1,EXP(-1*(B8119-C8119)/(Utilities!$B$11*IterData!H8119)))</f>
        <v>1</v>
      </c>
    </row>
    <row r="8120" spans="8:11" x14ac:dyDescent="0.3">
      <c r="H8120">
        <v>0.5</v>
      </c>
      <c r="I8120" s="11">
        <f t="shared" si="126"/>
        <v>0</v>
      </c>
      <c r="J8120" s="11">
        <f>1/(H8120*Utilities!$B$11)</f>
        <v>8</v>
      </c>
      <c r="K8120" s="11">
        <f>IF(B8120&lt;C8120,1,EXP(-1*(B8120-C8120)/(Utilities!$B$11*IterData!H8120)))</f>
        <v>1</v>
      </c>
    </row>
    <row r="8121" spans="8:11" x14ac:dyDescent="0.3">
      <c r="H8121">
        <v>0.5</v>
      </c>
      <c r="I8121" s="11">
        <f t="shared" si="126"/>
        <v>0</v>
      </c>
      <c r="J8121" s="11">
        <f>1/(H8121*Utilities!$B$11)</f>
        <v>8</v>
      </c>
      <c r="K8121" s="11">
        <f>IF(B8121&lt;C8121,1,EXP(-1*(B8121-C8121)/(Utilities!$B$11*IterData!H8121)))</f>
        <v>1</v>
      </c>
    </row>
    <row r="8122" spans="8:11" x14ac:dyDescent="0.3">
      <c r="H8122">
        <v>0.5</v>
      </c>
      <c r="I8122" s="11">
        <f t="shared" si="126"/>
        <v>0</v>
      </c>
      <c r="J8122" s="11">
        <f>1/(H8122*Utilities!$B$11)</f>
        <v>8</v>
      </c>
      <c r="K8122" s="11">
        <f>IF(B8122&lt;C8122,1,EXP(-1*(B8122-C8122)/(Utilities!$B$11*IterData!H8122)))</f>
        <v>1</v>
      </c>
    </row>
    <row r="8123" spans="8:11" x14ac:dyDescent="0.3">
      <c r="H8123">
        <v>0.5</v>
      </c>
      <c r="I8123" s="11">
        <f t="shared" si="126"/>
        <v>0</v>
      </c>
      <c r="J8123" s="11">
        <f>1/(H8123*Utilities!$B$11)</f>
        <v>8</v>
      </c>
      <c r="K8123" s="11">
        <f>IF(B8123&lt;C8123,1,EXP(-1*(B8123-C8123)/(Utilities!$B$11*IterData!H8123)))</f>
        <v>1</v>
      </c>
    </row>
    <row r="8124" spans="8:11" x14ac:dyDescent="0.3">
      <c r="H8124">
        <v>0.5</v>
      </c>
      <c r="I8124" s="11">
        <f t="shared" si="126"/>
        <v>0</v>
      </c>
      <c r="J8124" s="11">
        <f>1/(H8124*Utilities!$B$11)</f>
        <v>8</v>
      </c>
      <c r="K8124" s="11">
        <f>IF(B8124&lt;C8124,1,EXP(-1*(B8124-C8124)/(Utilities!$B$11*IterData!H8124)))</f>
        <v>1</v>
      </c>
    </row>
    <row r="8125" spans="8:11" x14ac:dyDescent="0.3">
      <c r="H8125">
        <v>0.5</v>
      </c>
      <c r="I8125" s="11">
        <f t="shared" si="126"/>
        <v>0</v>
      </c>
      <c r="J8125" s="11">
        <f>1/(H8125*Utilities!$B$11)</f>
        <v>8</v>
      </c>
      <c r="K8125" s="11">
        <f>IF(B8125&lt;C8125,1,EXP(-1*(B8125-C8125)/(Utilities!$B$11*IterData!H8125)))</f>
        <v>1</v>
      </c>
    </row>
    <row r="8126" spans="8:11" x14ac:dyDescent="0.3">
      <c r="H8126">
        <v>0.5</v>
      </c>
      <c r="I8126" s="11">
        <f t="shared" si="126"/>
        <v>0</v>
      </c>
      <c r="J8126" s="11">
        <f>1/(H8126*Utilities!$B$11)</f>
        <v>8</v>
      </c>
      <c r="K8126" s="11">
        <f>IF(B8126&lt;C8126,1,EXP(-1*(B8126-C8126)/(Utilities!$B$11*IterData!H8126)))</f>
        <v>1</v>
      </c>
    </row>
    <row r="8127" spans="8:11" x14ac:dyDescent="0.3">
      <c r="H8127">
        <v>0.5</v>
      </c>
      <c r="I8127" s="11">
        <f t="shared" si="126"/>
        <v>0</v>
      </c>
      <c r="J8127" s="11">
        <f>1/(H8127*Utilities!$B$11)</f>
        <v>8</v>
      </c>
      <c r="K8127" s="11">
        <f>IF(B8127&lt;C8127,1,EXP(-1*(B8127-C8127)/(Utilities!$B$11*IterData!H8127)))</f>
        <v>1</v>
      </c>
    </row>
    <row r="8128" spans="8:11" x14ac:dyDescent="0.3">
      <c r="H8128">
        <v>0.5</v>
      </c>
      <c r="I8128" s="11">
        <f t="shared" si="126"/>
        <v>0</v>
      </c>
      <c r="J8128" s="11">
        <f>1/(H8128*Utilities!$B$11)</f>
        <v>8</v>
      </c>
      <c r="K8128" s="11">
        <f>IF(B8128&lt;C8128,1,EXP(-1*(B8128-C8128)/(Utilities!$B$11*IterData!H8128)))</f>
        <v>1</v>
      </c>
    </row>
    <row r="8129" spans="8:11" x14ac:dyDescent="0.3">
      <c r="H8129">
        <v>0.5</v>
      </c>
      <c r="I8129" s="11">
        <f t="shared" si="126"/>
        <v>0</v>
      </c>
      <c r="J8129" s="11">
        <f>1/(H8129*Utilities!$B$11)</f>
        <v>8</v>
      </c>
      <c r="K8129" s="11">
        <f>IF(B8129&lt;C8129,1,EXP(-1*(B8129-C8129)/(Utilities!$B$11*IterData!H8129)))</f>
        <v>1</v>
      </c>
    </row>
    <row r="8130" spans="8:11" x14ac:dyDescent="0.3">
      <c r="H8130">
        <v>0.5</v>
      </c>
      <c r="I8130" s="11">
        <f t="shared" si="126"/>
        <v>0</v>
      </c>
      <c r="J8130" s="11">
        <f>1/(H8130*Utilities!$B$11)</f>
        <v>8</v>
      </c>
      <c r="K8130" s="11">
        <f>IF(B8130&lt;C8130,1,EXP(-1*(B8130-C8130)/(Utilities!$B$11*IterData!H8130)))</f>
        <v>1</v>
      </c>
    </row>
    <row r="8131" spans="8:11" x14ac:dyDescent="0.3">
      <c r="H8131">
        <v>0.5</v>
      </c>
      <c r="I8131" s="11">
        <f t="shared" ref="I8131:I8194" si="127">B8131-C8131</f>
        <v>0</v>
      </c>
      <c r="J8131" s="11">
        <f>1/(H8131*Utilities!$B$11)</f>
        <v>8</v>
      </c>
      <c r="K8131" s="11">
        <f>IF(B8131&lt;C8131,1,EXP(-1*(B8131-C8131)/(Utilities!$B$11*IterData!H8131)))</f>
        <v>1</v>
      </c>
    </row>
    <row r="8132" spans="8:11" x14ac:dyDescent="0.3">
      <c r="H8132">
        <v>0.5</v>
      </c>
      <c r="I8132" s="11">
        <f t="shared" si="127"/>
        <v>0</v>
      </c>
      <c r="J8132" s="11">
        <f>1/(H8132*Utilities!$B$11)</f>
        <v>8</v>
      </c>
      <c r="K8132" s="11">
        <f>IF(B8132&lt;C8132,1,EXP(-1*(B8132-C8132)/(Utilities!$B$11*IterData!H8132)))</f>
        <v>1</v>
      </c>
    </row>
    <row r="8133" spans="8:11" x14ac:dyDescent="0.3">
      <c r="H8133">
        <v>0.5</v>
      </c>
      <c r="I8133" s="11">
        <f t="shared" si="127"/>
        <v>0</v>
      </c>
      <c r="J8133" s="11">
        <f>1/(H8133*Utilities!$B$11)</f>
        <v>8</v>
      </c>
      <c r="K8133" s="11">
        <f>IF(B8133&lt;C8133,1,EXP(-1*(B8133-C8133)/(Utilities!$B$11*IterData!H8133)))</f>
        <v>1</v>
      </c>
    </row>
    <row r="8134" spans="8:11" x14ac:dyDescent="0.3">
      <c r="H8134">
        <v>0.5</v>
      </c>
      <c r="I8134" s="11">
        <f t="shared" si="127"/>
        <v>0</v>
      </c>
      <c r="J8134" s="11">
        <f>1/(H8134*Utilities!$B$11)</f>
        <v>8</v>
      </c>
      <c r="K8134" s="11">
        <f>IF(B8134&lt;C8134,1,EXP(-1*(B8134-C8134)/(Utilities!$B$11*IterData!H8134)))</f>
        <v>1</v>
      </c>
    </row>
    <row r="8135" spans="8:11" x14ac:dyDescent="0.3">
      <c r="H8135">
        <v>0.5</v>
      </c>
      <c r="I8135" s="11">
        <f t="shared" si="127"/>
        <v>0</v>
      </c>
      <c r="J8135" s="11">
        <f>1/(H8135*Utilities!$B$11)</f>
        <v>8</v>
      </c>
      <c r="K8135" s="11">
        <f>IF(B8135&lt;C8135,1,EXP(-1*(B8135-C8135)/(Utilities!$B$11*IterData!H8135)))</f>
        <v>1</v>
      </c>
    </row>
    <row r="8136" spans="8:11" x14ac:dyDescent="0.3">
      <c r="H8136">
        <v>0.5</v>
      </c>
      <c r="I8136" s="11">
        <f t="shared" si="127"/>
        <v>0</v>
      </c>
      <c r="J8136" s="11">
        <f>1/(H8136*Utilities!$B$11)</f>
        <v>8</v>
      </c>
      <c r="K8136" s="11">
        <f>IF(B8136&lt;C8136,1,EXP(-1*(B8136-C8136)/(Utilities!$B$11*IterData!H8136)))</f>
        <v>1</v>
      </c>
    </row>
    <row r="8137" spans="8:11" x14ac:dyDescent="0.3">
      <c r="H8137">
        <v>0.5</v>
      </c>
      <c r="I8137" s="11">
        <f t="shared" si="127"/>
        <v>0</v>
      </c>
      <c r="J8137" s="11">
        <f>1/(H8137*Utilities!$B$11)</f>
        <v>8</v>
      </c>
      <c r="K8137" s="11">
        <f>IF(B8137&lt;C8137,1,EXP(-1*(B8137-C8137)/(Utilities!$B$11*IterData!H8137)))</f>
        <v>1</v>
      </c>
    </row>
    <row r="8138" spans="8:11" x14ac:dyDescent="0.3">
      <c r="H8138">
        <v>0.5</v>
      </c>
      <c r="I8138" s="11">
        <f t="shared" si="127"/>
        <v>0</v>
      </c>
      <c r="J8138" s="11">
        <f>1/(H8138*Utilities!$B$11)</f>
        <v>8</v>
      </c>
      <c r="K8138" s="11">
        <f>IF(B8138&lt;C8138,1,EXP(-1*(B8138-C8138)/(Utilities!$B$11*IterData!H8138)))</f>
        <v>1</v>
      </c>
    </row>
    <row r="8139" spans="8:11" x14ac:dyDescent="0.3">
      <c r="H8139">
        <v>0.5</v>
      </c>
      <c r="I8139" s="11">
        <f t="shared" si="127"/>
        <v>0</v>
      </c>
      <c r="J8139" s="11">
        <f>1/(H8139*Utilities!$B$11)</f>
        <v>8</v>
      </c>
      <c r="K8139" s="11">
        <f>IF(B8139&lt;C8139,1,EXP(-1*(B8139-C8139)/(Utilities!$B$11*IterData!H8139)))</f>
        <v>1</v>
      </c>
    </row>
    <row r="8140" spans="8:11" x14ac:dyDescent="0.3">
      <c r="H8140">
        <v>0.5</v>
      </c>
      <c r="I8140" s="11">
        <f t="shared" si="127"/>
        <v>0</v>
      </c>
      <c r="J8140" s="11">
        <f>1/(H8140*Utilities!$B$11)</f>
        <v>8</v>
      </c>
      <c r="K8140" s="11">
        <f>IF(B8140&lt;C8140,1,EXP(-1*(B8140-C8140)/(Utilities!$B$11*IterData!H8140)))</f>
        <v>1</v>
      </c>
    </row>
    <row r="8141" spans="8:11" x14ac:dyDescent="0.3">
      <c r="H8141">
        <v>0.5</v>
      </c>
      <c r="I8141" s="11">
        <f t="shared" si="127"/>
        <v>0</v>
      </c>
      <c r="J8141" s="11">
        <f>1/(H8141*Utilities!$B$11)</f>
        <v>8</v>
      </c>
      <c r="K8141" s="11">
        <f>IF(B8141&lt;C8141,1,EXP(-1*(B8141-C8141)/(Utilities!$B$11*IterData!H8141)))</f>
        <v>1</v>
      </c>
    </row>
    <row r="8142" spans="8:11" x14ac:dyDescent="0.3">
      <c r="H8142">
        <v>0.5</v>
      </c>
      <c r="I8142" s="11">
        <f t="shared" si="127"/>
        <v>0</v>
      </c>
      <c r="J8142" s="11">
        <f>1/(H8142*Utilities!$B$11)</f>
        <v>8</v>
      </c>
      <c r="K8142" s="11">
        <f>IF(B8142&lt;C8142,1,EXP(-1*(B8142-C8142)/(Utilities!$B$11*IterData!H8142)))</f>
        <v>1</v>
      </c>
    </row>
    <row r="8143" spans="8:11" x14ac:dyDescent="0.3">
      <c r="H8143">
        <v>0.5</v>
      </c>
      <c r="I8143" s="11">
        <f t="shared" si="127"/>
        <v>0</v>
      </c>
      <c r="J8143" s="11">
        <f>1/(H8143*Utilities!$B$11)</f>
        <v>8</v>
      </c>
      <c r="K8143" s="11">
        <f>IF(B8143&lt;C8143,1,EXP(-1*(B8143-C8143)/(Utilities!$B$11*IterData!H8143)))</f>
        <v>1</v>
      </c>
    </row>
    <row r="8144" spans="8:11" x14ac:dyDescent="0.3">
      <c r="H8144">
        <v>0.5</v>
      </c>
      <c r="I8144" s="11">
        <f t="shared" si="127"/>
        <v>0</v>
      </c>
      <c r="J8144" s="11">
        <f>1/(H8144*Utilities!$B$11)</f>
        <v>8</v>
      </c>
      <c r="K8144" s="11">
        <f>IF(B8144&lt;C8144,1,EXP(-1*(B8144-C8144)/(Utilities!$B$11*IterData!H8144)))</f>
        <v>1</v>
      </c>
    </row>
    <row r="8145" spans="8:11" x14ac:dyDescent="0.3">
      <c r="H8145">
        <v>0.5</v>
      </c>
      <c r="I8145" s="11">
        <f t="shared" si="127"/>
        <v>0</v>
      </c>
      <c r="J8145" s="11">
        <f>1/(H8145*Utilities!$B$11)</f>
        <v>8</v>
      </c>
      <c r="K8145" s="11">
        <f>IF(B8145&lt;C8145,1,EXP(-1*(B8145-C8145)/(Utilities!$B$11*IterData!H8145)))</f>
        <v>1</v>
      </c>
    </row>
    <row r="8146" spans="8:11" x14ac:dyDescent="0.3">
      <c r="H8146">
        <v>0.5</v>
      </c>
      <c r="I8146" s="11">
        <f t="shared" si="127"/>
        <v>0</v>
      </c>
      <c r="J8146" s="11">
        <f>1/(H8146*Utilities!$B$11)</f>
        <v>8</v>
      </c>
      <c r="K8146" s="11">
        <f>IF(B8146&lt;C8146,1,EXP(-1*(B8146-C8146)/(Utilities!$B$11*IterData!H8146)))</f>
        <v>1</v>
      </c>
    </row>
    <row r="8147" spans="8:11" x14ac:dyDescent="0.3">
      <c r="H8147">
        <v>0.5</v>
      </c>
      <c r="I8147" s="11">
        <f t="shared" si="127"/>
        <v>0</v>
      </c>
      <c r="J8147" s="11">
        <f>1/(H8147*Utilities!$B$11)</f>
        <v>8</v>
      </c>
      <c r="K8147" s="11">
        <f>IF(B8147&lt;C8147,1,EXP(-1*(B8147-C8147)/(Utilities!$B$11*IterData!H8147)))</f>
        <v>1</v>
      </c>
    </row>
    <row r="8148" spans="8:11" x14ac:dyDescent="0.3">
      <c r="H8148">
        <v>0.5</v>
      </c>
      <c r="I8148" s="11">
        <f t="shared" si="127"/>
        <v>0</v>
      </c>
      <c r="J8148" s="11">
        <f>1/(H8148*Utilities!$B$11)</f>
        <v>8</v>
      </c>
      <c r="K8148" s="11">
        <f>IF(B8148&lt;C8148,1,EXP(-1*(B8148-C8148)/(Utilities!$B$11*IterData!H8148)))</f>
        <v>1</v>
      </c>
    </row>
    <row r="8149" spans="8:11" x14ac:dyDescent="0.3">
      <c r="H8149">
        <v>0.5</v>
      </c>
      <c r="I8149" s="11">
        <f t="shared" si="127"/>
        <v>0</v>
      </c>
      <c r="J8149" s="11">
        <f>1/(H8149*Utilities!$B$11)</f>
        <v>8</v>
      </c>
      <c r="K8149" s="11">
        <f>IF(B8149&lt;C8149,1,EXP(-1*(B8149-C8149)/(Utilities!$B$11*IterData!H8149)))</f>
        <v>1</v>
      </c>
    </row>
    <row r="8150" spans="8:11" x14ac:dyDescent="0.3">
      <c r="H8150">
        <v>0.5</v>
      </c>
      <c r="I8150" s="11">
        <f t="shared" si="127"/>
        <v>0</v>
      </c>
      <c r="J8150" s="11">
        <f>1/(H8150*Utilities!$B$11)</f>
        <v>8</v>
      </c>
      <c r="K8150" s="11">
        <f>IF(B8150&lt;C8150,1,EXP(-1*(B8150-C8150)/(Utilities!$B$11*IterData!H8150)))</f>
        <v>1</v>
      </c>
    </row>
    <row r="8151" spans="8:11" x14ac:dyDescent="0.3">
      <c r="H8151">
        <v>0.5</v>
      </c>
      <c r="I8151" s="11">
        <f t="shared" si="127"/>
        <v>0</v>
      </c>
      <c r="J8151" s="11">
        <f>1/(H8151*Utilities!$B$11)</f>
        <v>8</v>
      </c>
      <c r="K8151" s="11">
        <f>IF(B8151&lt;C8151,1,EXP(-1*(B8151-C8151)/(Utilities!$B$11*IterData!H8151)))</f>
        <v>1</v>
      </c>
    </row>
    <row r="8152" spans="8:11" x14ac:dyDescent="0.3">
      <c r="H8152">
        <v>0.5</v>
      </c>
      <c r="I8152" s="11">
        <f t="shared" si="127"/>
        <v>0</v>
      </c>
      <c r="J8152" s="11">
        <f>1/(H8152*Utilities!$B$11)</f>
        <v>8</v>
      </c>
      <c r="K8152" s="11">
        <f>IF(B8152&lt;C8152,1,EXP(-1*(B8152-C8152)/(Utilities!$B$11*IterData!H8152)))</f>
        <v>1</v>
      </c>
    </row>
    <row r="8153" spans="8:11" x14ac:dyDescent="0.3">
      <c r="H8153">
        <v>0.5</v>
      </c>
      <c r="I8153" s="11">
        <f t="shared" si="127"/>
        <v>0</v>
      </c>
      <c r="J8153" s="11">
        <f>1/(H8153*Utilities!$B$11)</f>
        <v>8</v>
      </c>
      <c r="K8153" s="11">
        <f>IF(B8153&lt;C8153,1,EXP(-1*(B8153-C8153)/(Utilities!$B$11*IterData!H8153)))</f>
        <v>1</v>
      </c>
    </row>
    <row r="8154" spans="8:11" x14ac:dyDescent="0.3">
      <c r="H8154">
        <v>0.5</v>
      </c>
      <c r="I8154" s="11">
        <f t="shared" si="127"/>
        <v>0</v>
      </c>
      <c r="J8154" s="11">
        <f>1/(H8154*Utilities!$B$11)</f>
        <v>8</v>
      </c>
      <c r="K8154" s="11">
        <f>IF(B8154&lt;C8154,1,EXP(-1*(B8154-C8154)/(Utilities!$B$11*IterData!H8154)))</f>
        <v>1</v>
      </c>
    </row>
    <row r="8155" spans="8:11" x14ac:dyDescent="0.3">
      <c r="H8155">
        <v>0.5</v>
      </c>
      <c r="I8155" s="11">
        <f t="shared" si="127"/>
        <v>0</v>
      </c>
      <c r="J8155" s="11">
        <f>1/(H8155*Utilities!$B$11)</f>
        <v>8</v>
      </c>
      <c r="K8155" s="11">
        <f>IF(B8155&lt;C8155,1,EXP(-1*(B8155-C8155)/(Utilities!$B$11*IterData!H8155)))</f>
        <v>1</v>
      </c>
    </row>
    <row r="8156" spans="8:11" x14ac:dyDescent="0.3">
      <c r="H8156">
        <v>0.5</v>
      </c>
      <c r="I8156" s="11">
        <f t="shared" si="127"/>
        <v>0</v>
      </c>
      <c r="J8156" s="11">
        <f>1/(H8156*Utilities!$B$11)</f>
        <v>8</v>
      </c>
      <c r="K8156" s="11">
        <f>IF(B8156&lt;C8156,1,EXP(-1*(B8156-C8156)/(Utilities!$B$11*IterData!H8156)))</f>
        <v>1</v>
      </c>
    </row>
    <row r="8157" spans="8:11" x14ac:dyDescent="0.3">
      <c r="H8157">
        <v>0.5</v>
      </c>
      <c r="I8157" s="11">
        <f t="shared" si="127"/>
        <v>0</v>
      </c>
      <c r="J8157" s="11">
        <f>1/(H8157*Utilities!$B$11)</f>
        <v>8</v>
      </c>
      <c r="K8157" s="11">
        <f>IF(B8157&lt;C8157,1,EXP(-1*(B8157-C8157)/(Utilities!$B$11*IterData!H8157)))</f>
        <v>1</v>
      </c>
    </row>
    <row r="8158" spans="8:11" x14ac:dyDescent="0.3">
      <c r="H8158">
        <v>0.5</v>
      </c>
      <c r="I8158" s="11">
        <f t="shared" si="127"/>
        <v>0</v>
      </c>
      <c r="J8158" s="11">
        <f>1/(H8158*Utilities!$B$11)</f>
        <v>8</v>
      </c>
      <c r="K8158" s="11">
        <f>IF(B8158&lt;C8158,1,EXP(-1*(B8158-C8158)/(Utilities!$B$11*IterData!H8158)))</f>
        <v>1</v>
      </c>
    </row>
    <row r="8159" spans="8:11" x14ac:dyDescent="0.3">
      <c r="H8159">
        <v>0.5</v>
      </c>
      <c r="I8159" s="11">
        <f t="shared" si="127"/>
        <v>0</v>
      </c>
      <c r="J8159" s="11">
        <f>1/(H8159*Utilities!$B$11)</f>
        <v>8</v>
      </c>
      <c r="K8159" s="11">
        <f>IF(B8159&lt;C8159,1,EXP(-1*(B8159-C8159)/(Utilities!$B$11*IterData!H8159)))</f>
        <v>1</v>
      </c>
    </row>
    <row r="8160" spans="8:11" x14ac:dyDescent="0.3">
      <c r="H8160">
        <v>0.5</v>
      </c>
      <c r="I8160" s="11">
        <f t="shared" si="127"/>
        <v>0</v>
      </c>
      <c r="J8160" s="11">
        <f>1/(H8160*Utilities!$B$11)</f>
        <v>8</v>
      </c>
      <c r="K8160" s="11">
        <f>IF(B8160&lt;C8160,1,EXP(-1*(B8160-C8160)/(Utilities!$B$11*IterData!H8160)))</f>
        <v>1</v>
      </c>
    </row>
    <row r="8161" spans="8:11" x14ac:dyDescent="0.3">
      <c r="H8161">
        <v>0.5</v>
      </c>
      <c r="I8161" s="11">
        <f t="shared" si="127"/>
        <v>0</v>
      </c>
      <c r="J8161" s="11">
        <f>1/(H8161*Utilities!$B$11)</f>
        <v>8</v>
      </c>
      <c r="K8161" s="11">
        <f>IF(B8161&lt;C8161,1,EXP(-1*(B8161-C8161)/(Utilities!$B$11*IterData!H8161)))</f>
        <v>1</v>
      </c>
    </row>
    <row r="8162" spans="8:11" x14ac:dyDescent="0.3">
      <c r="H8162">
        <v>0.5</v>
      </c>
      <c r="I8162" s="11">
        <f t="shared" si="127"/>
        <v>0</v>
      </c>
      <c r="J8162" s="11">
        <f>1/(H8162*Utilities!$B$11)</f>
        <v>8</v>
      </c>
      <c r="K8162" s="11">
        <f>IF(B8162&lt;C8162,1,EXP(-1*(B8162-C8162)/(Utilities!$B$11*IterData!H8162)))</f>
        <v>1</v>
      </c>
    </row>
    <row r="8163" spans="8:11" x14ac:dyDescent="0.3">
      <c r="H8163">
        <v>0.5</v>
      </c>
      <c r="I8163" s="11">
        <f t="shared" si="127"/>
        <v>0</v>
      </c>
      <c r="J8163" s="11">
        <f>1/(H8163*Utilities!$B$11)</f>
        <v>8</v>
      </c>
      <c r="K8163" s="11">
        <f>IF(B8163&lt;C8163,1,EXP(-1*(B8163-C8163)/(Utilities!$B$11*IterData!H8163)))</f>
        <v>1</v>
      </c>
    </row>
    <row r="8164" spans="8:11" x14ac:dyDescent="0.3">
      <c r="H8164">
        <v>0.5</v>
      </c>
      <c r="I8164" s="11">
        <f t="shared" si="127"/>
        <v>0</v>
      </c>
      <c r="J8164" s="11">
        <f>1/(H8164*Utilities!$B$11)</f>
        <v>8</v>
      </c>
      <c r="K8164" s="11">
        <f>IF(B8164&lt;C8164,1,EXP(-1*(B8164-C8164)/(Utilities!$B$11*IterData!H8164)))</f>
        <v>1</v>
      </c>
    </row>
    <row r="8165" spans="8:11" x14ac:dyDescent="0.3">
      <c r="H8165">
        <v>0.5</v>
      </c>
      <c r="I8165" s="11">
        <f t="shared" si="127"/>
        <v>0</v>
      </c>
      <c r="J8165" s="11">
        <f>1/(H8165*Utilities!$B$11)</f>
        <v>8</v>
      </c>
      <c r="K8165" s="11">
        <f>IF(B8165&lt;C8165,1,EXP(-1*(B8165-C8165)/(Utilities!$B$11*IterData!H8165)))</f>
        <v>1</v>
      </c>
    </row>
    <row r="8166" spans="8:11" x14ac:dyDescent="0.3">
      <c r="H8166">
        <v>0.5</v>
      </c>
      <c r="I8166" s="11">
        <f t="shared" si="127"/>
        <v>0</v>
      </c>
      <c r="J8166" s="11">
        <f>1/(H8166*Utilities!$B$11)</f>
        <v>8</v>
      </c>
      <c r="K8166" s="11">
        <f>IF(B8166&lt;C8166,1,EXP(-1*(B8166-C8166)/(Utilities!$B$11*IterData!H8166)))</f>
        <v>1</v>
      </c>
    </row>
    <row r="8167" spans="8:11" x14ac:dyDescent="0.3">
      <c r="H8167">
        <v>0.5</v>
      </c>
      <c r="I8167" s="11">
        <f t="shared" si="127"/>
        <v>0</v>
      </c>
      <c r="J8167" s="11">
        <f>1/(H8167*Utilities!$B$11)</f>
        <v>8</v>
      </c>
      <c r="K8167" s="11">
        <f>IF(B8167&lt;C8167,1,EXP(-1*(B8167-C8167)/(Utilities!$B$11*IterData!H8167)))</f>
        <v>1</v>
      </c>
    </row>
    <row r="8168" spans="8:11" x14ac:dyDescent="0.3">
      <c r="H8168">
        <v>0.5</v>
      </c>
      <c r="I8168" s="11">
        <f t="shared" si="127"/>
        <v>0</v>
      </c>
      <c r="J8168" s="11">
        <f>1/(H8168*Utilities!$B$11)</f>
        <v>8</v>
      </c>
      <c r="K8168" s="11">
        <f>IF(B8168&lt;C8168,1,EXP(-1*(B8168-C8168)/(Utilities!$B$11*IterData!H8168)))</f>
        <v>1</v>
      </c>
    </row>
    <row r="8169" spans="8:11" x14ac:dyDescent="0.3">
      <c r="H8169">
        <v>0.5</v>
      </c>
      <c r="I8169" s="11">
        <f t="shared" si="127"/>
        <v>0</v>
      </c>
      <c r="J8169" s="11">
        <f>1/(H8169*Utilities!$B$11)</f>
        <v>8</v>
      </c>
      <c r="K8169" s="11">
        <f>IF(B8169&lt;C8169,1,EXP(-1*(B8169-C8169)/(Utilities!$B$11*IterData!H8169)))</f>
        <v>1</v>
      </c>
    </row>
    <row r="8170" spans="8:11" x14ac:dyDescent="0.3">
      <c r="H8170">
        <v>0.5</v>
      </c>
      <c r="I8170" s="11">
        <f t="shared" si="127"/>
        <v>0</v>
      </c>
      <c r="J8170" s="11">
        <f>1/(H8170*Utilities!$B$11)</f>
        <v>8</v>
      </c>
      <c r="K8170" s="11">
        <f>IF(B8170&lt;C8170,1,EXP(-1*(B8170-C8170)/(Utilities!$B$11*IterData!H8170)))</f>
        <v>1</v>
      </c>
    </row>
    <row r="8171" spans="8:11" x14ac:dyDescent="0.3">
      <c r="H8171">
        <v>0.5</v>
      </c>
      <c r="I8171" s="11">
        <f t="shared" si="127"/>
        <v>0</v>
      </c>
      <c r="J8171" s="11">
        <f>1/(H8171*Utilities!$B$11)</f>
        <v>8</v>
      </c>
      <c r="K8171" s="11">
        <f>IF(B8171&lt;C8171,1,EXP(-1*(B8171-C8171)/(Utilities!$B$11*IterData!H8171)))</f>
        <v>1</v>
      </c>
    </row>
    <row r="8172" spans="8:11" x14ac:dyDescent="0.3">
      <c r="H8172">
        <v>0.5</v>
      </c>
      <c r="I8172" s="11">
        <f t="shared" si="127"/>
        <v>0</v>
      </c>
      <c r="J8172" s="11">
        <f>1/(H8172*Utilities!$B$11)</f>
        <v>8</v>
      </c>
      <c r="K8172" s="11">
        <f>IF(B8172&lt;C8172,1,EXP(-1*(B8172-C8172)/(Utilities!$B$11*IterData!H8172)))</f>
        <v>1</v>
      </c>
    </row>
    <row r="8173" spans="8:11" x14ac:dyDescent="0.3">
      <c r="H8173">
        <v>0.5</v>
      </c>
      <c r="I8173" s="11">
        <f t="shared" si="127"/>
        <v>0</v>
      </c>
      <c r="J8173" s="11">
        <f>1/(H8173*Utilities!$B$11)</f>
        <v>8</v>
      </c>
      <c r="K8173" s="11">
        <f>IF(B8173&lt;C8173,1,EXP(-1*(B8173-C8173)/(Utilities!$B$11*IterData!H8173)))</f>
        <v>1</v>
      </c>
    </row>
    <row r="8174" spans="8:11" x14ac:dyDescent="0.3">
      <c r="H8174">
        <v>0.5</v>
      </c>
      <c r="I8174" s="11">
        <f t="shared" si="127"/>
        <v>0</v>
      </c>
      <c r="J8174" s="11">
        <f>1/(H8174*Utilities!$B$11)</f>
        <v>8</v>
      </c>
      <c r="K8174" s="11">
        <f>IF(B8174&lt;C8174,1,EXP(-1*(B8174-C8174)/(Utilities!$B$11*IterData!H8174)))</f>
        <v>1</v>
      </c>
    </row>
    <row r="8175" spans="8:11" x14ac:dyDescent="0.3">
      <c r="H8175">
        <v>0.5</v>
      </c>
      <c r="I8175" s="11">
        <f t="shared" si="127"/>
        <v>0</v>
      </c>
      <c r="J8175" s="11">
        <f>1/(H8175*Utilities!$B$11)</f>
        <v>8</v>
      </c>
      <c r="K8175" s="11">
        <f>IF(B8175&lt;C8175,1,EXP(-1*(B8175-C8175)/(Utilities!$B$11*IterData!H8175)))</f>
        <v>1</v>
      </c>
    </row>
    <row r="8176" spans="8:11" x14ac:dyDescent="0.3">
      <c r="H8176">
        <v>0.5</v>
      </c>
      <c r="I8176" s="11">
        <f t="shared" si="127"/>
        <v>0</v>
      </c>
      <c r="J8176" s="11">
        <f>1/(H8176*Utilities!$B$11)</f>
        <v>8</v>
      </c>
      <c r="K8176" s="11">
        <f>IF(B8176&lt;C8176,1,EXP(-1*(B8176-C8176)/(Utilities!$B$11*IterData!H8176)))</f>
        <v>1</v>
      </c>
    </row>
    <row r="8177" spans="8:11" x14ac:dyDescent="0.3">
      <c r="H8177">
        <v>0.5</v>
      </c>
      <c r="I8177" s="11">
        <f t="shared" si="127"/>
        <v>0</v>
      </c>
      <c r="J8177" s="11">
        <f>1/(H8177*Utilities!$B$11)</f>
        <v>8</v>
      </c>
      <c r="K8177" s="11">
        <f>IF(B8177&lt;C8177,1,EXP(-1*(B8177-C8177)/(Utilities!$B$11*IterData!H8177)))</f>
        <v>1</v>
      </c>
    </row>
    <row r="8178" spans="8:11" x14ac:dyDescent="0.3">
      <c r="H8178">
        <v>0.5</v>
      </c>
      <c r="I8178" s="11">
        <f t="shared" si="127"/>
        <v>0</v>
      </c>
      <c r="J8178" s="11">
        <f>1/(H8178*Utilities!$B$11)</f>
        <v>8</v>
      </c>
      <c r="K8178" s="11">
        <f>IF(B8178&lt;C8178,1,EXP(-1*(B8178-C8178)/(Utilities!$B$11*IterData!H8178)))</f>
        <v>1</v>
      </c>
    </row>
    <row r="8179" spans="8:11" x14ac:dyDescent="0.3">
      <c r="H8179">
        <v>0.5</v>
      </c>
      <c r="I8179" s="11">
        <f t="shared" si="127"/>
        <v>0</v>
      </c>
      <c r="J8179" s="11">
        <f>1/(H8179*Utilities!$B$11)</f>
        <v>8</v>
      </c>
      <c r="K8179" s="11">
        <f>IF(B8179&lt;C8179,1,EXP(-1*(B8179-C8179)/(Utilities!$B$11*IterData!H8179)))</f>
        <v>1</v>
      </c>
    </row>
    <row r="8180" spans="8:11" x14ac:dyDescent="0.3">
      <c r="H8180">
        <v>0.5</v>
      </c>
      <c r="I8180" s="11">
        <f t="shared" si="127"/>
        <v>0</v>
      </c>
      <c r="J8180" s="11">
        <f>1/(H8180*Utilities!$B$11)</f>
        <v>8</v>
      </c>
      <c r="K8180" s="11">
        <f>IF(B8180&lt;C8180,1,EXP(-1*(B8180-C8180)/(Utilities!$B$11*IterData!H8180)))</f>
        <v>1</v>
      </c>
    </row>
    <row r="8181" spans="8:11" x14ac:dyDescent="0.3">
      <c r="H8181">
        <v>0.5</v>
      </c>
      <c r="I8181" s="11">
        <f t="shared" si="127"/>
        <v>0</v>
      </c>
      <c r="J8181" s="11">
        <f>1/(H8181*Utilities!$B$11)</f>
        <v>8</v>
      </c>
      <c r="K8181" s="11">
        <f>IF(B8181&lt;C8181,1,EXP(-1*(B8181-C8181)/(Utilities!$B$11*IterData!H8181)))</f>
        <v>1</v>
      </c>
    </row>
    <row r="8182" spans="8:11" x14ac:dyDescent="0.3">
      <c r="H8182">
        <v>0.5</v>
      </c>
      <c r="I8182" s="11">
        <f t="shared" si="127"/>
        <v>0</v>
      </c>
      <c r="J8182" s="11">
        <f>1/(H8182*Utilities!$B$11)</f>
        <v>8</v>
      </c>
      <c r="K8182" s="11">
        <f>IF(B8182&lt;C8182,1,EXP(-1*(B8182-C8182)/(Utilities!$B$11*IterData!H8182)))</f>
        <v>1</v>
      </c>
    </row>
    <row r="8183" spans="8:11" x14ac:dyDescent="0.3">
      <c r="H8183">
        <v>0.5</v>
      </c>
      <c r="I8183" s="11">
        <f t="shared" si="127"/>
        <v>0</v>
      </c>
      <c r="J8183" s="11">
        <f>1/(H8183*Utilities!$B$11)</f>
        <v>8</v>
      </c>
      <c r="K8183" s="11">
        <f>IF(B8183&lt;C8183,1,EXP(-1*(B8183-C8183)/(Utilities!$B$11*IterData!H8183)))</f>
        <v>1</v>
      </c>
    </row>
    <row r="8184" spans="8:11" x14ac:dyDescent="0.3">
      <c r="H8184">
        <v>0.5</v>
      </c>
      <c r="I8184" s="11">
        <f t="shared" si="127"/>
        <v>0</v>
      </c>
      <c r="J8184" s="11">
        <f>1/(H8184*Utilities!$B$11)</f>
        <v>8</v>
      </c>
      <c r="K8184" s="11">
        <f>IF(B8184&lt;C8184,1,EXP(-1*(B8184-C8184)/(Utilities!$B$11*IterData!H8184)))</f>
        <v>1</v>
      </c>
    </row>
    <row r="8185" spans="8:11" x14ac:dyDescent="0.3">
      <c r="H8185">
        <v>0.5</v>
      </c>
      <c r="I8185" s="11">
        <f t="shared" si="127"/>
        <v>0</v>
      </c>
      <c r="J8185" s="11">
        <f>1/(H8185*Utilities!$B$11)</f>
        <v>8</v>
      </c>
      <c r="K8185" s="11">
        <f>IF(B8185&lt;C8185,1,EXP(-1*(B8185-C8185)/(Utilities!$B$11*IterData!H8185)))</f>
        <v>1</v>
      </c>
    </row>
    <row r="8186" spans="8:11" x14ac:dyDescent="0.3">
      <c r="H8186">
        <v>0.5</v>
      </c>
      <c r="I8186" s="11">
        <f t="shared" si="127"/>
        <v>0</v>
      </c>
      <c r="J8186" s="11">
        <f>1/(H8186*Utilities!$B$11)</f>
        <v>8</v>
      </c>
      <c r="K8186" s="11">
        <f>IF(B8186&lt;C8186,1,EXP(-1*(B8186-C8186)/(Utilities!$B$11*IterData!H8186)))</f>
        <v>1</v>
      </c>
    </row>
    <row r="8187" spans="8:11" x14ac:dyDescent="0.3">
      <c r="H8187">
        <v>0.5</v>
      </c>
      <c r="I8187" s="11">
        <f t="shared" si="127"/>
        <v>0</v>
      </c>
      <c r="J8187" s="11">
        <f>1/(H8187*Utilities!$B$11)</f>
        <v>8</v>
      </c>
      <c r="K8187" s="11">
        <f>IF(B8187&lt;C8187,1,EXP(-1*(B8187-C8187)/(Utilities!$B$11*IterData!H8187)))</f>
        <v>1</v>
      </c>
    </row>
    <row r="8188" spans="8:11" x14ac:dyDescent="0.3">
      <c r="H8188">
        <v>0.5</v>
      </c>
      <c r="I8188" s="11">
        <f t="shared" si="127"/>
        <v>0</v>
      </c>
      <c r="J8188" s="11">
        <f>1/(H8188*Utilities!$B$11)</f>
        <v>8</v>
      </c>
      <c r="K8188" s="11">
        <f>IF(B8188&lt;C8188,1,EXP(-1*(B8188-C8188)/(Utilities!$B$11*IterData!H8188)))</f>
        <v>1</v>
      </c>
    </row>
    <row r="8189" spans="8:11" x14ac:dyDescent="0.3">
      <c r="H8189">
        <v>0.5</v>
      </c>
      <c r="I8189" s="11">
        <f t="shared" si="127"/>
        <v>0</v>
      </c>
      <c r="J8189" s="11">
        <f>1/(H8189*Utilities!$B$11)</f>
        <v>8</v>
      </c>
      <c r="K8189" s="11">
        <f>IF(B8189&lt;C8189,1,EXP(-1*(B8189-C8189)/(Utilities!$B$11*IterData!H8189)))</f>
        <v>1</v>
      </c>
    </row>
    <row r="8190" spans="8:11" x14ac:dyDescent="0.3">
      <c r="H8190">
        <v>0.5</v>
      </c>
      <c r="I8190" s="11">
        <f t="shared" si="127"/>
        <v>0</v>
      </c>
      <c r="J8190" s="11">
        <f>1/(H8190*Utilities!$B$11)</f>
        <v>8</v>
      </c>
      <c r="K8190" s="11">
        <f>IF(B8190&lt;C8190,1,EXP(-1*(B8190-C8190)/(Utilities!$B$11*IterData!H8190)))</f>
        <v>1</v>
      </c>
    </row>
    <row r="8191" spans="8:11" x14ac:dyDescent="0.3">
      <c r="H8191">
        <v>0.5</v>
      </c>
      <c r="I8191" s="11">
        <f t="shared" si="127"/>
        <v>0</v>
      </c>
      <c r="J8191" s="11">
        <f>1/(H8191*Utilities!$B$11)</f>
        <v>8</v>
      </c>
      <c r="K8191" s="11">
        <f>IF(B8191&lt;C8191,1,EXP(-1*(B8191-C8191)/(Utilities!$B$11*IterData!H8191)))</f>
        <v>1</v>
      </c>
    </row>
    <row r="8192" spans="8:11" x14ac:dyDescent="0.3">
      <c r="H8192">
        <v>0.5</v>
      </c>
      <c r="I8192" s="11">
        <f t="shared" si="127"/>
        <v>0</v>
      </c>
      <c r="J8192" s="11">
        <f>1/(H8192*Utilities!$B$11)</f>
        <v>8</v>
      </c>
      <c r="K8192" s="11">
        <f>IF(B8192&lt;C8192,1,EXP(-1*(B8192-C8192)/(Utilities!$B$11*IterData!H8192)))</f>
        <v>1</v>
      </c>
    </row>
    <row r="8193" spans="8:11" x14ac:dyDescent="0.3">
      <c r="H8193">
        <v>0.5</v>
      </c>
      <c r="I8193" s="11">
        <f t="shared" si="127"/>
        <v>0</v>
      </c>
      <c r="J8193" s="11">
        <f>1/(H8193*Utilities!$B$11)</f>
        <v>8</v>
      </c>
      <c r="K8193" s="11">
        <f>IF(B8193&lt;C8193,1,EXP(-1*(B8193-C8193)/(Utilities!$B$11*IterData!H8193)))</f>
        <v>1</v>
      </c>
    </row>
    <row r="8194" spans="8:11" x14ac:dyDescent="0.3">
      <c r="H8194">
        <v>0.5</v>
      </c>
      <c r="I8194" s="11">
        <f t="shared" si="127"/>
        <v>0</v>
      </c>
      <c r="J8194" s="11">
        <f>1/(H8194*Utilities!$B$11)</f>
        <v>8</v>
      </c>
      <c r="K8194" s="11">
        <f>IF(B8194&lt;C8194,1,EXP(-1*(B8194-C8194)/(Utilities!$B$11*IterData!H8194)))</f>
        <v>1</v>
      </c>
    </row>
    <row r="8195" spans="8:11" x14ac:dyDescent="0.3">
      <c r="H8195">
        <v>0.5</v>
      </c>
      <c r="I8195" s="11">
        <f t="shared" ref="I8195:I8258" si="128">B8195-C8195</f>
        <v>0</v>
      </c>
      <c r="J8195" s="11">
        <f>1/(H8195*Utilities!$B$11)</f>
        <v>8</v>
      </c>
      <c r="K8195" s="11">
        <f>IF(B8195&lt;C8195,1,EXP(-1*(B8195-C8195)/(Utilities!$B$11*IterData!H8195)))</f>
        <v>1</v>
      </c>
    </row>
    <row r="8196" spans="8:11" x14ac:dyDescent="0.3">
      <c r="H8196">
        <v>0.5</v>
      </c>
      <c r="I8196" s="11">
        <f t="shared" si="128"/>
        <v>0</v>
      </c>
      <c r="J8196" s="11">
        <f>1/(H8196*Utilities!$B$11)</f>
        <v>8</v>
      </c>
      <c r="K8196" s="11">
        <f>IF(B8196&lt;C8196,1,EXP(-1*(B8196-C8196)/(Utilities!$B$11*IterData!H8196)))</f>
        <v>1</v>
      </c>
    </row>
    <row r="8197" spans="8:11" x14ac:dyDescent="0.3">
      <c r="H8197">
        <v>0.5</v>
      </c>
      <c r="I8197" s="11">
        <f t="shared" si="128"/>
        <v>0</v>
      </c>
      <c r="J8197" s="11">
        <f>1/(H8197*Utilities!$B$11)</f>
        <v>8</v>
      </c>
      <c r="K8197" s="11">
        <f>IF(B8197&lt;C8197,1,EXP(-1*(B8197-C8197)/(Utilities!$B$11*IterData!H8197)))</f>
        <v>1</v>
      </c>
    </row>
    <row r="8198" spans="8:11" x14ac:dyDescent="0.3">
      <c r="H8198">
        <v>0.5</v>
      </c>
      <c r="I8198" s="11">
        <f t="shared" si="128"/>
        <v>0</v>
      </c>
      <c r="J8198" s="11">
        <f>1/(H8198*Utilities!$B$11)</f>
        <v>8</v>
      </c>
      <c r="K8198" s="11">
        <f>IF(B8198&lt;C8198,1,EXP(-1*(B8198-C8198)/(Utilities!$B$11*IterData!H8198)))</f>
        <v>1</v>
      </c>
    </row>
    <row r="8199" spans="8:11" x14ac:dyDescent="0.3">
      <c r="H8199">
        <v>0.5</v>
      </c>
      <c r="I8199" s="11">
        <f t="shared" si="128"/>
        <v>0</v>
      </c>
      <c r="J8199" s="11">
        <f>1/(H8199*Utilities!$B$11)</f>
        <v>8</v>
      </c>
      <c r="K8199" s="11">
        <f>IF(B8199&lt;C8199,1,EXP(-1*(B8199-C8199)/(Utilities!$B$11*IterData!H8199)))</f>
        <v>1</v>
      </c>
    </row>
    <row r="8200" spans="8:11" x14ac:dyDescent="0.3">
      <c r="H8200">
        <v>0.5</v>
      </c>
      <c r="I8200" s="11">
        <f t="shared" si="128"/>
        <v>0</v>
      </c>
      <c r="J8200" s="11">
        <f>1/(H8200*Utilities!$B$11)</f>
        <v>8</v>
      </c>
      <c r="K8200" s="11">
        <f>IF(B8200&lt;C8200,1,EXP(-1*(B8200-C8200)/(Utilities!$B$11*IterData!H8200)))</f>
        <v>1</v>
      </c>
    </row>
    <row r="8201" spans="8:11" x14ac:dyDescent="0.3">
      <c r="H8201">
        <v>0.5</v>
      </c>
      <c r="I8201" s="11">
        <f t="shared" si="128"/>
        <v>0</v>
      </c>
      <c r="J8201" s="11">
        <f>1/(H8201*Utilities!$B$11)</f>
        <v>8</v>
      </c>
      <c r="K8201" s="11">
        <f>IF(B8201&lt;C8201,1,EXP(-1*(B8201-C8201)/(Utilities!$B$11*IterData!H8201)))</f>
        <v>1</v>
      </c>
    </row>
    <row r="8202" spans="8:11" x14ac:dyDescent="0.3">
      <c r="H8202">
        <v>0.5</v>
      </c>
      <c r="I8202" s="11">
        <f t="shared" si="128"/>
        <v>0</v>
      </c>
      <c r="J8202" s="11">
        <f>1/(H8202*Utilities!$B$11)</f>
        <v>8</v>
      </c>
      <c r="K8202" s="11">
        <f>IF(B8202&lt;C8202,1,EXP(-1*(B8202-C8202)/(Utilities!$B$11*IterData!H8202)))</f>
        <v>1</v>
      </c>
    </row>
    <row r="8203" spans="8:11" x14ac:dyDescent="0.3">
      <c r="H8203">
        <v>0.5</v>
      </c>
      <c r="I8203" s="11">
        <f t="shared" si="128"/>
        <v>0</v>
      </c>
      <c r="J8203" s="11">
        <f>1/(H8203*Utilities!$B$11)</f>
        <v>8</v>
      </c>
      <c r="K8203" s="11">
        <f>IF(B8203&lt;C8203,1,EXP(-1*(B8203-C8203)/(Utilities!$B$11*IterData!H8203)))</f>
        <v>1</v>
      </c>
    </row>
    <row r="8204" spans="8:11" x14ac:dyDescent="0.3">
      <c r="H8204">
        <v>0.5</v>
      </c>
      <c r="I8204" s="11">
        <f t="shared" si="128"/>
        <v>0</v>
      </c>
      <c r="J8204" s="11">
        <f>1/(H8204*Utilities!$B$11)</f>
        <v>8</v>
      </c>
      <c r="K8204" s="11">
        <f>IF(B8204&lt;C8204,1,EXP(-1*(B8204-C8204)/(Utilities!$B$11*IterData!H8204)))</f>
        <v>1</v>
      </c>
    </row>
    <row r="8205" spans="8:11" x14ac:dyDescent="0.3">
      <c r="H8205">
        <v>0.5</v>
      </c>
      <c r="I8205" s="11">
        <f t="shared" si="128"/>
        <v>0</v>
      </c>
      <c r="J8205" s="11">
        <f>1/(H8205*Utilities!$B$11)</f>
        <v>8</v>
      </c>
      <c r="K8205" s="11">
        <f>IF(B8205&lt;C8205,1,EXP(-1*(B8205-C8205)/(Utilities!$B$11*IterData!H8205)))</f>
        <v>1</v>
      </c>
    </row>
    <row r="8206" spans="8:11" x14ac:dyDescent="0.3">
      <c r="H8206">
        <v>0.5</v>
      </c>
      <c r="I8206" s="11">
        <f t="shared" si="128"/>
        <v>0</v>
      </c>
      <c r="J8206" s="11">
        <f>1/(H8206*Utilities!$B$11)</f>
        <v>8</v>
      </c>
      <c r="K8206" s="11">
        <f>IF(B8206&lt;C8206,1,EXP(-1*(B8206-C8206)/(Utilities!$B$11*IterData!H8206)))</f>
        <v>1</v>
      </c>
    </row>
    <row r="8207" spans="8:11" x14ac:dyDescent="0.3">
      <c r="H8207">
        <v>0.5</v>
      </c>
      <c r="I8207" s="11">
        <f t="shared" si="128"/>
        <v>0</v>
      </c>
      <c r="J8207" s="11">
        <f>1/(H8207*Utilities!$B$11)</f>
        <v>8</v>
      </c>
      <c r="K8207" s="11">
        <f>IF(B8207&lt;C8207,1,EXP(-1*(B8207-C8207)/(Utilities!$B$11*IterData!H8207)))</f>
        <v>1</v>
      </c>
    </row>
    <row r="8208" spans="8:11" x14ac:dyDescent="0.3">
      <c r="H8208">
        <v>0.5</v>
      </c>
      <c r="I8208" s="11">
        <f t="shared" si="128"/>
        <v>0</v>
      </c>
      <c r="J8208" s="11">
        <f>1/(H8208*Utilities!$B$11)</f>
        <v>8</v>
      </c>
      <c r="K8208" s="11">
        <f>IF(B8208&lt;C8208,1,EXP(-1*(B8208-C8208)/(Utilities!$B$11*IterData!H8208)))</f>
        <v>1</v>
      </c>
    </row>
    <row r="8209" spans="8:11" x14ac:dyDescent="0.3">
      <c r="H8209">
        <v>0.5</v>
      </c>
      <c r="I8209" s="11">
        <f t="shared" si="128"/>
        <v>0</v>
      </c>
      <c r="J8209" s="11">
        <f>1/(H8209*Utilities!$B$11)</f>
        <v>8</v>
      </c>
      <c r="K8209" s="11">
        <f>IF(B8209&lt;C8209,1,EXP(-1*(B8209-C8209)/(Utilities!$B$11*IterData!H8209)))</f>
        <v>1</v>
      </c>
    </row>
    <row r="8210" spans="8:11" x14ac:dyDescent="0.3">
      <c r="H8210">
        <v>0.5</v>
      </c>
      <c r="I8210" s="11">
        <f t="shared" si="128"/>
        <v>0</v>
      </c>
      <c r="J8210" s="11">
        <f>1/(H8210*Utilities!$B$11)</f>
        <v>8</v>
      </c>
      <c r="K8210" s="11">
        <f>IF(B8210&lt;C8210,1,EXP(-1*(B8210-C8210)/(Utilities!$B$11*IterData!H8210)))</f>
        <v>1</v>
      </c>
    </row>
    <row r="8211" spans="8:11" x14ac:dyDescent="0.3">
      <c r="H8211">
        <v>0.5</v>
      </c>
      <c r="I8211" s="11">
        <f t="shared" si="128"/>
        <v>0</v>
      </c>
      <c r="J8211" s="11">
        <f>1/(H8211*Utilities!$B$11)</f>
        <v>8</v>
      </c>
      <c r="K8211" s="11">
        <f>IF(B8211&lt;C8211,1,EXP(-1*(B8211-C8211)/(Utilities!$B$11*IterData!H8211)))</f>
        <v>1</v>
      </c>
    </row>
    <row r="8212" spans="8:11" x14ac:dyDescent="0.3">
      <c r="H8212">
        <v>0.5</v>
      </c>
      <c r="I8212" s="11">
        <f t="shared" si="128"/>
        <v>0</v>
      </c>
      <c r="J8212" s="11">
        <f>1/(H8212*Utilities!$B$11)</f>
        <v>8</v>
      </c>
      <c r="K8212" s="11">
        <f>IF(B8212&lt;C8212,1,EXP(-1*(B8212-C8212)/(Utilities!$B$11*IterData!H8212)))</f>
        <v>1</v>
      </c>
    </row>
    <row r="8213" spans="8:11" x14ac:dyDescent="0.3">
      <c r="H8213">
        <v>0.5</v>
      </c>
      <c r="I8213" s="11">
        <f t="shared" si="128"/>
        <v>0</v>
      </c>
      <c r="J8213" s="11">
        <f>1/(H8213*Utilities!$B$11)</f>
        <v>8</v>
      </c>
      <c r="K8213" s="11">
        <f>IF(B8213&lt;C8213,1,EXP(-1*(B8213-C8213)/(Utilities!$B$11*IterData!H8213)))</f>
        <v>1</v>
      </c>
    </row>
    <row r="8214" spans="8:11" x14ac:dyDescent="0.3">
      <c r="H8214">
        <v>0.5</v>
      </c>
      <c r="I8214" s="11">
        <f t="shared" si="128"/>
        <v>0</v>
      </c>
      <c r="J8214" s="11">
        <f>1/(H8214*Utilities!$B$11)</f>
        <v>8</v>
      </c>
      <c r="K8214" s="11">
        <f>IF(B8214&lt;C8214,1,EXP(-1*(B8214-C8214)/(Utilities!$B$11*IterData!H8214)))</f>
        <v>1</v>
      </c>
    </row>
    <row r="8215" spans="8:11" x14ac:dyDescent="0.3">
      <c r="H8215">
        <v>0.5</v>
      </c>
      <c r="I8215" s="11">
        <f t="shared" si="128"/>
        <v>0</v>
      </c>
      <c r="J8215" s="11">
        <f>1/(H8215*Utilities!$B$11)</f>
        <v>8</v>
      </c>
      <c r="K8215" s="11">
        <f>IF(B8215&lt;C8215,1,EXP(-1*(B8215-C8215)/(Utilities!$B$11*IterData!H8215)))</f>
        <v>1</v>
      </c>
    </row>
    <row r="8216" spans="8:11" x14ac:dyDescent="0.3">
      <c r="H8216">
        <v>0.5</v>
      </c>
      <c r="I8216" s="11">
        <f t="shared" si="128"/>
        <v>0</v>
      </c>
      <c r="J8216" s="11">
        <f>1/(H8216*Utilities!$B$11)</f>
        <v>8</v>
      </c>
      <c r="K8216" s="11">
        <f>IF(B8216&lt;C8216,1,EXP(-1*(B8216-C8216)/(Utilities!$B$11*IterData!H8216)))</f>
        <v>1</v>
      </c>
    </row>
    <row r="8217" spans="8:11" x14ac:dyDescent="0.3">
      <c r="H8217">
        <v>0.5</v>
      </c>
      <c r="I8217" s="11">
        <f t="shared" si="128"/>
        <v>0</v>
      </c>
      <c r="J8217" s="11">
        <f>1/(H8217*Utilities!$B$11)</f>
        <v>8</v>
      </c>
      <c r="K8217" s="11">
        <f>IF(B8217&lt;C8217,1,EXP(-1*(B8217-C8217)/(Utilities!$B$11*IterData!H8217)))</f>
        <v>1</v>
      </c>
    </row>
    <row r="8218" spans="8:11" x14ac:dyDescent="0.3">
      <c r="H8218">
        <v>0.5</v>
      </c>
      <c r="I8218" s="11">
        <f t="shared" si="128"/>
        <v>0</v>
      </c>
      <c r="J8218" s="11">
        <f>1/(H8218*Utilities!$B$11)</f>
        <v>8</v>
      </c>
      <c r="K8218" s="11">
        <f>IF(B8218&lt;C8218,1,EXP(-1*(B8218-C8218)/(Utilities!$B$11*IterData!H8218)))</f>
        <v>1</v>
      </c>
    </row>
    <row r="8219" spans="8:11" x14ac:dyDescent="0.3">
      <c r="H8219">
        <v>0.5</v>
      </c>
      <c r="I8219" s="11">
        <f t="shared" si="128"/>
        <v>0</v>
      </c>
      <c r="J8219" s="11">
        <f>1/(H8219*Utilities!$B$11)</f>
        <v>8</v>
      </c>
      <c r="K8219" s="11">
        <f>IF(B8219&lt;C8219,1,EXP(-1*(B8219-C8219)/(Utilities!$B$11*IterData!H8219)))</f>
        <v>1</v>
      </c>
    </row>
    <row r="8220" spans="8:11" x14ac:dyDescent="0.3">
      <c r="H8220">
        <v>0.5</v>
      </c>
      <c r="I8220" s="11">
        <f t="shared" si="128"/>
        <v>0</v>
      </c>
      <c r="J8220" s="11">
        <f>1/(H8220*Utilities!$B$11)</f>
        <v>8</v>
      </c>
      <c r="K8220" s="11">
        <f>IF(B8220&lt;C8220,1,EXP(-1*(B8220-C8220)/(Utilities!$B$11*IterData!H8220)))</f>
        <v>1</v>
      </c>
    </row>
    <row r="8221" spans="8:11" x14ac:dyDescent="0.3">
      <c r="H8221">
        <v>0.5</v>
      </c>
      <c r="I8221" s="11">
        <f t="shared" si="128"/>
        <v>0</v>
      </c>
      <c r="J8221" s="11">
        <f>1/(H8221*Utilities!$B$11)</f>
        <v>8</v>
      </c>
      <c r="K8221" s="11">
        <f>IF(B8221&lt;C8221,1,EXP(-1*(B8221-C8221)/(Utilities!$B$11*IterData!H8221)))</f>
        <v>1</v>
      </c>
    </row>
    <row r="8222" spans="8:11" x14ac:dyDescent="0.3">
      <c r="H8222">
        <v>0.5</v>
      </c>
      <c r="I8222" s="11">
        <f t="shared" si="128"/>
        <v>0</v>
      </c>
      <c r="J8222" s="11">
        <f>1/(H8222*Utilities!$B$11)</f>
        <v>8</v>
      </c>
      <c r="K8222" s="11">
        <f>IF(B8222&lt;C8222,1,EXP(-1*(B8222-C8222)/(Utilities!$B$11*IterData!H8222)))</f>
        <v>1</v>
      </c>
    </row>
    <row r="8223" spans="8:11" x14ac:dyDescent="0.3">
      <c r="H8223">
        <v>0.5</v>
      </c>
      <c r="I8223" s="11">
        <f t="shared" si="128"/>
        <v>0</v>
      </c>
      <c r="J8223" s="11">
        <f>1/(H8223*Utilities!$B$11)</f>
        <v>8</v>
      </c>
      <c r="K8223" s="11">
        <f>IF(B8223&lt;C8223,1,EXP(-1*(B8223-C8223)/(Utilities!$B$11*IterData!H8223)))</f>
        <v>1</v>
      </c>
    </row>
    <row r="8224" spans="8:11" x14ac:dyDescent="0.3">
      <c r="H8224">
        <v>0.5</v>
      </c>
      <c r="I8224" s="11">
        <f t="shared" si="128"/>
        <v>0</v>
      </c>
      <c r="J8224" s="11">
        <f>1/(H8224*Utilities!$B$11)</f>
        <v>8</v>
      </c>
      <c r="K8224" s="11">
        <f>IF(B8224&lt;C8224,1,EXP(-1*(B8224-C8224)/(Utilities!$B$11*IterData!H8224)))</f>
        <v>1</v>
      </c>
    </row>
    <row r="8225" spans="8:11" x14ac:dyDescent="0.3">
      <c r="H8225">
        <v>0.5</v>
      </c>
      <c r="I8225" s="11">
        <f t="shared" si="128"/>
        <v>0</v>
      </c>
      <c r="J8225" s="11">
        <f>1/(H8225*Utilities!$B$11)</f>
        <v>8</v>
      </c>
      <c r="K8225" s="11">
        <f>IF(B8225&lt;C8225,1,EXP(-1*(B8225-C8225)/(Utilities!$B$11*IterData!H8225)))</f>
        <v>1</v>
      </c>
    </row>
    <row r="8226" spans="8:11" x14ac:dyDescent="0.3">
      <c r="H8226">
        <v>0.5</v>
      </c>
      <c r="I8226" s="11">
        <f t="shared" si="128"/>
        <v>0</v>
      </c>
      <c r="J8226" s="11">
        <f>1/(H8226*Utilities!$B$11)</f>
        <v>8</v>
      </c>
      <c r="K8226" s="11">
        <f>IF(B8226&lt;C8226,1,EXP(-1*(B8226-C8226)/(Utilities!$B$11*IterData!H8226)))</f>
        <v>1</v>
      </c>
    </row>
    <row r="8227" spans="8:11" x14ac:dyDescent="0.3">
      <c r="H8227">
        <v>0.5</v>
      </c>
      <c r="I8227" s="11">
        <f t="shared" si="128"/>
        <v>0</v>
      </c>
      <c r="J8227" s="11">
        <f>1/(H8227*Utilities!$B$11)</f>
        <v>8</v>
      </c>
      <c r="K8227" s="11">
        <f>IF(B8227&lt;C8227,1,EXP(-1*(B8227-C8227)/(Utilities!$B$11*IterData!H8227)))</f>
        <v>1</v>
      </c>
    </row>
    <row r="8228" spans="8:11" x14ac:dyDescent="0.3">
      <c r="H8228">
        <v>0.5</v>
      </c>
      <c r="I8228" s="11">
        <f t="shared" si="128"/>
        <v>0</v>
      </c>
      <c r="J8228" s="11">
        <f>1/(H8228*Utilities!$B$11)</f>
        <v>8</v>
      </c>
      <c r="K8228" s="11">
        <f>IF(B8228&lt;C8228,1,EXP(-1*(B8228-C8228)/(Utilities!$B$11*IterData!H8228)))</f>
        <v>1</v>
      </c>
    </row>
    <row r="8229" spans="8:11" x14ac:dyDescent="0.3">
      <c r="H8229">
        <v>0.5</v>
      </c>
      <c r="I8229" s="11">
        <f t="shared" si="128"/>
        <v>0</v>
      </c>
      <c r="J8229" s="11">
        <f>1/(H8229*Utilities!$B$11)</f>
        <v>8</v>
      </c>
      <c r="K8229" s="11">
        <f>IF(B8229&lt;C8229,1,EXP(-1*(B8229-C8229)/(Utilities!$B$11*IterData!H8229)))</f>
        <v>1</v>
      </c>
    </row>
    <row r="8230" spans="8:11" x14ac:dyDescent="0.3">
      <c r="H8230">
        <v>0.5</v>
      </c>
      <c r="I8230" s="11">
        <f t="shared" si="128"/>
        <v>0</v>
      </c>
      <c r="J8230" s="11">
        <f>1/(H8230*Utilities!$B$11)</f>
        <v>8</v>
      </c>
      <c r="K8230" s="11">
        <f>IF(B8230&lt;C8230,1,EXP(-1*(B8230-C8230)/(Utilities!$B$11*IterData!H8230)))</f>
        <v>1</v>
      </c>
    </row>
    <row r="8231" spans="8:11" x14ac:dyDescent="0.3">
      <c r="H8231">
        <v>0.5</v>
      </c>
      <c r="I8231" s="11">
        <f t="shared" si="128"/>
        <v>0</v>
      </c>
      <c r="J8231" s="11">
        <f>1/(H8231*Utilities!$B$11)</f>
        <v>8</v>
      </c>
      <c r="K8231" s="11">
        <f>IF(B8231&lt;C8231,1,EXP(-1*(B8231-C8231)/(Utilities!$B$11*IterData!H8231)))</f>
        <v>1</v>
      </c>
    </row>
    <row r="8232" spans="8:11" x14ac:dyDescent="0.3">
      <c r="H8232">
        <v>0.5</v>
      </c>
      <c r="I8232" s="11">
        <f t="shared" si="128"/>
        <v>0</v>
      </c>
      <c r="J8232" s="11">
        <f>1/(H8232*Utilities!$B$11)</f>
        <v>8</v>
      </c>
      <c r="K8232" s="11">
        <f>IF(B8232&lt;C8232,1,EXP(-1*(B8232-C8232)/(Utilities!$B$11*IterData!H8232)))</f>
        <v>1</v>
      </c>
    </row>
    <row r="8233" spans="8:11" x14ac:dyDescent="0.3">
      <c r="H8233">
        <v>0.5</v>
      </c>
      <c r="I8233" s="11">
        <f t="shared" si="128"/>
        <v>0</v>
      </c>
      <c r="J8233" s="11">
        <f>1/(H8233*Utilities!$B$11)</f>
        <v>8</v>
      </c>
      <c r="K8233" s="11">
        <f>IF(B8233&lt;C8233,1,EXP(-1*(B8233-C8233)/(Utilities!$B$11*IterData!H8233)))</f>
        <v>1</v>
      </c>
    </row>
    <row r="8234" spans="8:11" x14ac:dyDescent="0.3">
      <c r="H8234">
        <v>0.5</v>
      </c>
      <c r="I8234" s="11">
        <f t="shared" si="128"/>
        <v>0</v>
      </c>
      <c r="J8234" s="11">
        <f>1/(H8234*Utilities!$B$11)</f>
        <v>8</v>
      </c>
      <c r="K8234" s="11">
        <f>IF(B8234&lt;C8234,1,EXP(-1*(B8234-C8234)/(Utilities!$B$11*IterData!H8234)))</f>
        <v>1</v>
      </c>
    </row>
    <row r="8235" spans="8:11" x14ac:dyDescent="0.3">
      <c r="H8235">
        <v>0.5</v>
      </c>
      <c r="I8235" s="11">
        <f t="shared" si="128"/>
        <v>0</v>
      </c>
      <c r="J8235" s="11">
        <f>1/(H8235*Utilities!$B$11)</f>
        <v>8</v>
      </c>
      <c r="K8235" s="11">
        <f>IF(B8235&lt;C8235,1,EXP(-1*(B8235-C8235)/(Utilities!$B$11*IterData!H8235)))</f>
        <v>1</v>
      </c>
    </row>
    <row r="8236" spans="8:11" x14ac:dyDescent="0.3">
      <c r="H8236">
        <v>0.5</v>
      </c>
      <c r="I8236" s="11">
        <f t="shared" si="128"/>
        <v>0</v>
      </c>
      <c r="J8236" s="11">
        <f>1/(H8236*Utilities!$B$11)</f>
        <v>8</v>
      </c>
      <c r="K8236" s="11">
        <f>IF(B8236&lt;C8236,1,EXP(-1*(B8236-C8236)/(Utilities!$B$11*IterData!H8236)))</f>
        <v>1</v>
      </c>
    </row>
    <row r="8237" spans="8:11" x14ac:dyDescent="0.3">
      <c r="H8237">
        <v>0.5</v>
      </c>
      <c r="I8237" s="11">
        <f t="shared" si="128"/>
        <v>0</v>
      </c>
      <c r="J8237" s="11">
        <f>1/(H8237*Utilities!$B$11)</f>
        <v>8</v>
      </c>
      <c r="K8237" s="11">
        <f>IF(B8237&lt;C8237,1,EXP(-1*(B8237-C8237)/(Utilities!$B$11*IterData!H8237)))</f>
        <v>1</v>
      </c>
    </row>
    <row r="8238" spans="8:11" x14ac:dyDescent="0.3">
      <c r="H8238">
        <v>0.5</v>
      </c>
      <c r="I8238" s="11">
        <f t="shared" si="128"/>
        <v>0</v>
      </c>
      <c r="J8238" s="11">
        <f>1/(H8238*Utilities!$B$11)</f>
        <v>8</v>
      </c>
      <c r="K8238" s="11">
        <f>IF(B8238&lt;C8238,1,EXP(-1*(B8238-C8238)/(Utilities!$B$11*IterData!H8238)))</f>
        <v>1</v>
      </c>
    </row>
    <row r="8239" spans="8:11" x14ac:dyDescent="0.3">
      <c r="H8239">
        <v>0.5</v>
      </c>
      <c r="I8239" s="11">
        <f t="shared" si="128"/>
        <v>0</v>
      </c>
      <c r="J8239" s="11">
        <f>1/(H8239*Utilities!$B$11)</f>
        <v>8</v>
      </c>
      <c r="K8239" s="11">
        <f>IF(B8239&lt;C8239,1,EXP(-1*(B8239-C8239)/(Utilities!$B$11*IterData!H8239)))</f>
        <v>1</v>
      </c>
    </row>
    <row r="8240" spans="8:11" x14ac:dyDescent="0.3">
      <c r="H8240">
        <v>0.5</v>
      </c>
      <c r="I8240" s="11">
        <f t="shared" si="128"/>
        <v>0</v>
      </c>
      <c r="J8240" s="11">
        <f>1/(H8240*Utilities!$B$11)</f>
        <v>8</v>
      </c>
      <c r="K8240" s="11">
        <f>IF(B8240&lt;C8240,1,EXP(-1*(B8240-C8240)/(Utilities!$B$11*IterData!H8240)))</f>
        <v>1</v>
      </c>
    </row>
    <row r="8241" spans="8:11" x14ac:dyDescent="0.3">
      <c r="H8241">
        <v>0.5</v>
      </c>
      <c r="I8241" s="11">
        <f t="shared" si="128"/>
        <v>0</v>
      </c>
      <c r="J8241" s="11">
        <f>1/(H8241*Utilities!$B$11)</f>
        <v>8</v>
      </c>
      <c r="K8241" s="11">
        <f>IF(B8241&lt;C8241,1,EXP(-1*(B8241-C8241)/(Utilities!$B$11*IterData!H8241)))</f>
        <v>1</v>
      </c>
    </row>
    <row r="8242" spans="8:11" x14ac:dyDescent="0.3">
      <c r="H8242">
        <v>0.5</v>
      </c>
      <c r="I8242" s="11">
        <f t="shared" si="128"/>
        <v>0</v>
      </c>
      <c r="J8242" s="11">
        <f>1/(H8242*Utilities!$B$11)</f>
        <v>8</v>
      </c>
      <c r="K8242" s="11">
        <f>IF(B8242&lt;C8242,1,EXP(-1*(B8242-C8242)/(Utilities!$B$11*IterData!H8242)))</f>
        <v>1</v>
      </c>
    </row>
    <row r="8243" spans="8:11" x14ac:dyDescent="0.3">
      <c r="H8243">
        <v>0.5</v>
      </c>
      <c r="I8243" s="11">
        <f t="shared" si="128"/>
        <v>0</v>
      </c>
      <c r="J8243" s="11">
        <f>1/(H8243*Utilities!$B$11)</f>
        <v>8</v>
      </c>
      <c r="K8243" s="11">
        <f>IF(B8243&lt;C8243,1,EXP(-1*(B8243-C8243)/(Utilities!$B$11*IterData!H8243)))</f>
        <v>1</v>
      </c>
    </row>
    <row r="8244" spans="8:11" x14ac:dyDescent="0.3">
      <c r="H8244">
        <v>0.5</v>
      </c>
      <c r="I8244" s="11">
        <f t="shared" si="128"/>
        <v>0</v>
      </c>
      <c r="J8244" s="11">
        <f>1/(H8244*Utilities!$B$11)</f>
        <v>8</v>
      </c>
      <c r="K8244" s="11">
        <f>IF(B8244&lt;C8244,1,EXP(-1*(B8244-C8244)/(Utilities!$B$11*IterData!H8244)))</f>
        <v>1</v>
      </c>
    </row>
    <row r="8245" spans="8:11" x14ac:dyDescent="0.3">
      <c r="H8245">
        <v>0.5</v>
      </c>
      <c r="I8245" s="11">
        <f t="shared" si="128"/>
        <v>0</v>
      </c>
      <c r="J8245" s="11">
        <f>1/(H8245*Utilities!$B$11)</f>
        <v>8</v>
      </c>
      <c r="K8245" s="11">
        <f>IF(B8245&lt;C8245,1,EXP(-1*(B8245-C8245)/(Utilities!$B$11*IterData!H8245)))</f>
        <v>1</v>
      </c>
    </row>
    <row r="8246" spans="8:11" x14ac:dyDescent="0.3">
      <c r="H8246">
        <v>0.5</v>
      </c>
      <c r="I8246" s="11">
        <f t="shared" si="128"/>
        <v>0</v>
      </c>
      <c r="J8246" s="11">
        <f>1/(H8246*Utilities!$B$11)</f>
        <v>8</v>
      </c>
      <c r="K8246" s="11">
        <f>IF(B8246&lt;C8246,1,EXP(-1*(B8246-C8246)/(Utilities!$B$11*IterData!H8246)))</f>
        <v>1</v>
      </c>
    </row>
    <row r="8247" spans="8:11" x14ac:dyDescent="0.3">
      <c r="H8247">
        <v>0.5</v>
      </c>
      <c r="I8247" s="11">
        <f t="shared" si="128"/>
        <v>0</v>
      </c>
      <c r="J8247" s="11">
        <f>1/(H8247*Utilities!$B$11)</f>
        <v>8</v>
      </c>
      <c r="K8247" s="11">
        <f>IF(B8247&lt;C8247,1,EXP(-1*(B8247-C8247)/(Utilities!$B$11*IterData!H8247)))</f>
        <v>1</v>
      </c>
    </row>
    <row r="8248" spans="8:11" x14ac:dyDescent="0.3">
      <c r="H8248">
        <v>0.5</v>
      </c>
      <c r="I8248" s="11">
        <f t="shared" si="128"/>
        <v>0</v>
      </c>
      <c r="J8248" s="11">
        <f>1/(H8248*Utilities!$B$11)</f>
        <v>8</v>
      </c>
      <c r="K8248" s="11">
        <f>IF(B8248&lt;C8248,1,EXP(-1*(B8248-C8248)/(Utilities!$B$11*IterData!H8248)))</f>
        <v>1</v>
      </c>
    </row>
    <row r="8249" spans="8:11" x14ac:dyDescent="0.3">
      <c r="H8249">
        <v>0.5</v>
      </c>
      <c r="I8249" s="11">
        <f t="shared" si="128"/>
        <v>0</v>
      </c>
      <c r="J8249" s="11">
        <f>1/(H8249*Utilities!$B$11)</f>
        <v>8</v>
      </c>
      <c r="K8249" s="11">
        <f>IF(B8249&lt;C8249,1,EXP(-1*(B8249-C8249)/(Utilities!$B$11*IterData!H8249)))</f>
        <v>1</v>
      </c>
    </row>
    <row r="8250" spans="8:11" x14ac:dyDescent="0.3">
      <c r="H8250">
        <v>0.5</v>
      </c>
      <c r="I8250" s="11">
        <f t="shared" si="128"/>
        <v>0</v>
      </c>
      <c r="J8250" s="11">
        <f>1/(H8250*Utilities!$B$11)</f>
        <v>8</v>
      </c>
      <c r="K8250" s="11">
        <f>IF(B8250&lt;C8250,1,EXP(-1*(B8250-C8250)/(Utilities!$B$11*IterData!H8250)))</f>
        <v>1</v>
      </c>
    </row>
    <row r="8251" spans="8:11" x14ac:dyDescent="0.3">
      <c r="H8251">
        <v>0.5</v>
      </c>
      <c r="I8251" s="11">
        <f t="shared" si="128"/>
        <v>0</v>
      </c>
      <c r="J8251" s="11">
        <f>1/(H8251*Utilities!$B$11)</f>
        <v>8</v>
      </c>
      <c r="K8251" s="11">
        <f>IF(B8251&lt;C8251,1,EXP(-1*(B8251-C8251)/(Utilities!$B$11*IterData!H8251)))</f>
        <v>1</v>
      </c>
    </row>
    <row r="8252" spans="8:11" x14ac:dyDescent="0.3">
      <c r="H8252">
        <v>0.5</v>
      </c>
      <c r="I8252" s="11">
        <f t="shared" si="128"/>
        <v>0</v>
      </c>
      <c r="J8252" s="11">
        <f>1/(H8252*Utilities!$B$11)</f>
        <v>8</v>
      </c>
      <c r="K8252" s="11">
        <f>IF(B8252&lt;C8252,1,EXP(-1*(B8252-C8252)/(Utilities!$B$11*IterData!H8252)))</f>
        <v>1</v>
      </c>
    </row>
    <row r="8253" spans="8:11" x14ac:dyDescent="0.3">
      <c r="H8253">
        <v>0.5</v>
      </c>
      <c r="I8253" s="11">
        <f t="shared" si="128"/>
        <v>0</v>
      </c>
      <c r="J8253" s="11">
        <f>1/(H8253*Utilities!$B$11)</f>
        <v>8</v>
      </c>
      <c r="K8253" s="11">
        <f>IF(B8253&lt;C8253,1,EXP(-1*(B8253-C8253)/(Utilities!$B$11*IterData!H8253)))</f>
        <v>1</v>
      </c>
    </row>
    <row r="8254" spans="8:11" x14ac:dyDescent="0.3">
      <c r="H8254">
        <v>0.5</v>
      </c>
      <c r="I8254" s="11">
        <f t="shared" si="128"/>
        <v>0</v>
      </c>
      <c r="J8254" s="11">
        <f>1/(H8254*Utilities!$B$11)</f>
        <v>8</v>
      </c>
      <c r="K8254" s="11">
        <f>IF(B8254&lt;C8254,1,EXP(-1*(B8254-C8254)/(Utilities!$B$11*IterData!H8254)))</f>
        <v>1</v>
      </c>
    </row>
    <row r="8255" spans="8:11" x14ac:dyDescent="0.3">
      <c r="H8255">
        <v>0.5</v>
      </c>
      <c r="I8255" s="11">
        <f t="shared" si="128"/>
        <v>0</v>
      </c>
      <c r="J8255" s="11">
        <f>1/(H8255*Utilities!$B$11)</f>
        <v>8</v>
      </c>
      <c r="K8255" s="11">
        <f>IF(B8255&lt;C8255,1,EXP(-1*(B8255-C8255)/(Utilities!$B$11*IterData!H8255)))</f>
        <v>1</v>
      </c>
    </row>
    <row r="8256" spans="8:11" x14ac:dyDescent="0.3">
      <c r="H8256">
        <v>0.5</v>
      </c>
      <c r="I8256" s="11">
        <f t="shared" si="128"/>
        <v>0</v>
      </c>
      <c r="J8256" s="11">
        <f>1/(H8256*Utilities!$B$11)</f>
        <v>8</v>
      </c>
      <c r="K8256" s="11">
        <f>IF(B8256&lt;C8256,1,EXP(-1*(B8256-C8256)/(Utilities!$B$11*IterData!H8256)))</f>
        <v>1</v>
      </c>
    </row>
    <row r="8257" spans="8:11" x14ac:dyDescent="0.3">
      <c r="H8257">
        <v>0.5</v>
      </c>
      <c r="I8257" s="11">
        <f t="shared" si="128"/>
        <v>0</v>
      </c>
      <c r="J8257" s="11">
        <f>1/(H8257*Utilities!$B$11)</f>
        <v>8</v>
      </c>
      <c r="K8257" s="11">
        <f>IF(B8257&lt;C8257,1,EXP(-1*(B8257-C8257)/(Utilities!$B$11*IterData!H8257)))</f>
        <v>1</v>
      </c>
    </row>
    <row r="8258" spans="8:11" x14ac:dyDescent="0.3">
      <c r="H8258">
        <v>0.5</v>
      </c>
      <c r="I8258" s="11">
        <f t="shared" si="128"/>
        <v>0</v>
      </c>
      <c r="J8258" s="11">
        <f>1/(H8258*Utilities!$B$11)</f>
        <v>8</v>
      </c>
      <c r="K8258" s="11">
        <f>IF(B8258&lt;C8258,1,EXP(-1*(B8258-C8258)/(Utilities!$B$11*IterData!H8258)))</f>
        <v>1</v>
      </c>
    </row>
    <row r="8259" spans="8:11" x14ac:dyDescent="0.3">
      <c r="H8259">
        <v>0.5</v>
      </c>
      <c r="I8259" s="11">
        <f t="shared" ref="I8259:I8322" si="129">B8259-C8259</f>
        <v>0</v>
      </c>
      <c r="J8259" s="11">
        <f>1/(H8259*Utilities!$B$11)</f>
        <v>8</v>
      </c>
      <c r="K8259" s="11">
        <f>IF(B8259&lt;C8259,1,EXP(-1*(B8259-C8259)/(Utilities!$B$11*IterData!H8259)))</f>
        <v>1</v>
      </c>
    </row>
    <row r="8260" spans="8:11" x14ac:dyDescent="0.3">
      <c r="H8260">
        <v>0.5</v>
      </c>
      <c r="I8260" s="11">
        <f t="shared" si="129"/>
        <v>0</v>
      </c>
      <c r="J8260" s="11">
        <f>1/(H8260*Utilities!$B$11)</f>
        <v>8</v>
      </c>
      <c r="K8260" s="11">
        <f>IF(B8260&lt;C8260,1,EXP(-1*(B8260-C8260)/(Utilities!$B$11*IterData!H8260)))</f>
        <v>1</v>
      </c>
    </row>
    <row r="8261" spans="8:11" x14ac:dyDescent="0.3">
      <c r="H8261">
        <v>0.5</v>
      </c>
      <c r="I8261" s="11">
        <f t="shared" si="129"/>
        <v>0</v>
      </c>
      <c r="J8261" s="11">
        <f>1/(H8261*Utilities!$B$11)</f>
        <v>8</v>
      </c>
      <c r="K8261" s="11">
        <f>IF(B8261&lt;C8261,1,EXP(-1*(B8261-C8261)/(Utilities!$B$11*IterData!H8261)))</f>
        <v>1</v>
      </c>
    </row>
    <row r="8262" spans="8:11" x14ac:dyDescent="0.3">
      <c r="H8262">
        <v>0.5</v>
      </c>
      <c r="I8262" s="11">
        <f t="shared" si="129"/>
        <v>0</v>
      </c>
      <c r="J8262" s="11">
        <f>1/(H8262*Utilities!$B$11)</f>
        <v>8</v>
      </c>
      <c r="K8262" s="11">
        <f>IF(B8262&lt;C8262,1,EXP(-1*(B8262-C8262)/(Utilities!$B$11*IterData!H8262)))</f>
        <v>1</v>
      </c>
    </row>
    <row r="8263" spans="8:11" x14ac:dyDescent="0.3">
      <c r="H8263">
        <v>0.5</v>
      </c>
      <c r="I8263" s="11">
        <f t="shared" si="129"/>
        <v>0</v>
      </c>
      <c r="J8263" s="11">
        <f>1/(H8263*Utilities!$B$11)</f>
        <v>8</v>
      </c>
      <c r="K8263" s="11">
        <f>IF(B8263&lt;C8263,1,EXP(-1*(B8263-C8263)/(Utilities!$B$11*IterData!H8263)))</f>
        <v>1</v>
      </c>
    </row>
    <row r="8264" spans="8:11" x14ac:dyDescent="0.3">
      <c r="H8264">
        <v>0.5</v>
      </c>
      <c r="I8264" s="11">
        <f t="shared" si="129"/>
        <v>0</v>
      </c>
      <c r="J8264" s="11">
        <f>1/(H8264*Utilities!$B$11)</f>
        <v>8</v>
      </c>
      <c r="K8264" s="11">
        <f>IF(B8264&lt;C8264,1,EXP(-1*(B8264-C8264)/(Utilities!$B$11*IterData!H8264)))</f>
        <v>1</v>
      </c>
    </row>
    <row r="8265" spans="8:11" x14ac:dyDescent="0.3">
      <c r="H8265">
        <v>0.5</v>
      </c>
      <c r="I8265" s="11">
        <f t="shared" si="129"/>
        <v>0</v>
      </c>
      <c r="J8265" s="11">
        <f>1/(H8265*Utilities!$B$11)</f>
        <v>8</v>
      </c>
      <c r="K8265" s="11">
        <f>IF(B8265&lt;C8265,1,EXP(-1*(B8265-C8265)/(Utilities!$B$11*IterData!H8265)))</f>
        <v>1</v>
      </c>
    </row>
    <row r="8266" spans="8:11" x14ac:dyDescent="0.3">
      <c r="H8266">
        <v>0.5</v>
      </c>
      <c r="I8266" s="11">
        <f t="shared" si="129"/>
        <v>0</v>
      </c>
      <c r="J8266" s="11">
        <f>1/(H8266*Utilities!$B$11)</f>
        <v>8</v>
      </c>
      <c r="K8266" s="11">
        <f>IF(B8266&lt;C8266,1,EXP(-1*(B8266-C8266)/(Utilities!$B$11*IterData!H8266)))</f>
        <v>1</v>
      </c>
    </row>
    <row r="8267" spans="8:11" x14ac:dyDescent="0.3">
      <c r="H8267">
        <v>0.5</v>
      </c>
      <c r="I8267" s="11">
        <f t="shared" si="129"/>
        <v>0</v>
      </c>
      <c r="J8267" s="11">
        <f>1/(H8267*Utilities!$B$11)</f>
        <v>8</v>
      </c>
      <c r="K8267" s="11">
        <f>IF(B8267&lt;C8267,1,EXP(-1*(B8267-C8267)/(Utilities!$B$11*IterData!H8267)))</f>
        <v>1</v>
      </c>
    </row>
    <row r="8268" spans="8:11" x14ac:dyDescent="0.3">
      <c r="H8268">
        <v>0.5</v>
      </c>
      <c r="I8268" s="11">
        <f t="shared" si="129"/>
        <v>0</v>
      </c>
      <c r="J8268" s="11">
        <f>1/(H8268*Utilities!$B$11)</f>
        <v>8</v>
      </c>
      <c r="K8268" s="11">
        <f>IF(B8268&lt;C8268,1,EXP(-1*(B8268-C8268)/(Utilities!$B$11*IterData!H8268)))</f>
        <v>1</v>
      </c>
    </row>
    <row r="8269" spans="8:11" x14ac:dyDescent="0.3">
      <c r="H8269">
        <v>0.5</v>
      </c>
      <c r="I8269" s="11">
        <f t="shared" si="129"/>
        <v>0</v>
      </c>
      <c r="J8269" s="11">
        <f>1/(H8269*Utilities!$B$11)</f>
        <v>8</v>
      </c>
      <c r="K8269" s="11">
        <f>IF(B8269&lt;C8269,1,EXP(-1*(B8269-C8269)/(Utilities!$B$11*IterData!H8269)))</f>
        <v>1</v>
      </c>
    </row>
    <row r="8270" spans="8:11" x14ac:dyDescent="0.3">
      <c r="H8270">
        <v>0.5</v>
      </c>
      <c r="I8270" s="11">
        <f t="shared" si="129"/>
        <v>0</v>
      </c>
      <c r="J8270" s="11">
        <f>1/(H8270*Utilities!$B$11)</f>
        <v>8</v>
      </c>
      <c r="K8270" s="11">
        <f>IF(B8270&lt;C8270,1,EXP(-1*(B8270-C8270)/(Utilities!$B$11*IterData!H8270)))</f>
        <v>1</v>
      </c>
    </row>
    <row r="8271" spans="8:11" x14ac:dyDescent="0.3">
      <c r="H8271">
        <v>0.5</v>
      </c>
      <c r="I8271" s="11">
        <f t="shared" si="129"/>
        <v>0</v>
      </c>
      <c r="J8271" s="11">
        <f>1/(H8271*Utilities!$B$11)</f>
        <v>8</v>
      </c>
      <c r="K8271" s="11">
        <f>IF(B8271&lt;C8271,1,EXP(-1*(B8271-C8271)/(Utilities!$B$11*IterData!H8271)))</f>
        <v>1</v>
      </c>
    </row>
    <row r="8272" spans="8:11" x14ac:dyDescent="0.3">
      <c r="H8272">
        <v>0.5</v>
      </c>
      <c r="I8272" s="11">
        <f t="shared" si="129"/>
        <v>0</v>
      </c>
      <c r="J8272" s="11">
        <f>1/(H8272*Utilities!$B$11)</f>
        <v>8</v>
      </c>
      <c r="K8272" s="11">
        <f>IF(B8272&lt;C8272,1,EXP(-1*(B8272-C8272)/(Utilities!$B$11*IterData!H8272)))</f>
        <v>1</v>
      </c>
    </row>
    <row r="8273" spans="8:11" x14ac:dyDescent="0.3">
      <c r="H8273">
        <v>0.5</v>
      </c>
      <c r="I8273" s="11">
        <f t="shared" si="129"/>
        <v>0</v>
      </c>
      <c r="J8273" s="11">
        <f>1/(H8273*Utilities!$B$11)</f>
        <v>8</v>
      </c>
      <c r="K8273" s="11">
        <f>IF(B8273&lt;C8273,1,EXP(-1*(B8273-C8273)/(Utilities!$B$11*IterData!H8273)))</f>
        <v>1</v>
      </c>
    </row>
    <row r="8274" spans="8:11" x14ac:dyDescent="0.3">
      <c r="H8274">
        <v>0.5</v>
      </c>
      <c r="I8274" s="11">
        <f t="shared" si="129"/>
        <v>0</v>
      </c>
      <c r="J8274" s="11">
        <f>1/(H8274*Utilities!$B$11)</f>
        <v>8</v>
      </c>
      <c r="K8274" s="11">
        <f>IF(B8274&lt;C8274,1,EXP(-1*(B8274-C8274)/(Utilities!$B$11*IterData!H8274)))</f>
        <v>1</v>
      </c>
    </row>
    <row r="8275" spans="8:11" x14ac:dyDescent="0.3">
      <c r="H8275">
        <v>0.5</v>
      </c>
      <c r="I8275" s="11">
        <f t="shared" si="129"/>
        <v>0</v>
      </c>
      <c r="J8275" s="11">
        <f>1/(H8275*Utilities!$B$11)</f>
        <v>8</v>
      </c>
      <c r="K8275" s="11">
        <f>IF(B8275&lt;C8275,1,EXP(-1*(B8275-C8275)/(Utilities!$B$11*IterData!H8275)))</f>
        <v>1</v>
      </c>
    </row>
    <row r="8276" spans="8:11" x14ac:dyDescent="0.3">
      <c r="H8276">
        <v>0.5</v>
      </c>
      <c r="I8276" s="11">
        <f t="shared" si="129"/>
        <v>0</v>
      </c>
      <c r="J8276" s="11">
        <f>1/(H8276*Utilities!$B$11)</f>
        <v>8</v>
      </c>
      <c r="K8276" s="11">
        <f>IF(B8276&lt;C8276,1,EXP(-1*(B8276-C8276)/(Utilities!$B$11*IterData!H8276)))</f>
        <v>1</v>
      </c>
    </row>
    <row r="8277" spans="8:11" x14ac:dyDescent="0.3">
      <c r="H8277">
        <v>0.5</v>
      </c>
      <c r="I8277" s="11">
        <f t="shared" si="129"/>
        <v>0</v>
      </c>
      <c r="J8277" s="11">
        <f>1/(H8277*Utilities!$B$11)</f>
        <v>8</v>
      </c>
      <c r="K8277" s="11">
        <f>IF(B8277&lt;C8277,1,EXP(-1*(B8277-C8277)/(Utilities!$B$11*IterData!H8277)))</f>
        <v>1</v>
      </c>
    </row>
    <row r="8278" spans="8:11" x14ac:dyDescent="0.3">
      <c r="H8278">
        <v>0.5</v>
      </c>
      <c r="I8278" s="11">
        <f t="shared" si="129"/>
        <v>0</v>
      </c>
      <c r="J8278" s="11">
        <f>1/(H8278*Utilities!$B$11)</f>
        <v>8</v>
      </c>
      <c r="K8278" s="11">
        <f>IF(B8278&lt;C8278,1,EXP(-1*(B8278-C8278)/(Utilities!$B$11*IterData!H8278)))</f>
        <v>1</v>
      </c>
    </row>
    <row r="8279" spans="8:11" x14ac:dyDescent="0.3">
      <c r="H8279">
        <v>0.5</v>
      </c>
      <c r="I8279" s="11">
        <f t="shared" si="129"/>
        <v>0</v>
      </c>
      <c r="J8279" s="11">
        <f>1/(H8279*Utilities!$B$11)</f>
        <v>8</v>
      </c>
      <c r="K8279" s="11">
        <f>IF(B8279&lt;C8279,1,EXP(-1*(B8279-C8279)/(Utilities!$B$11*IterData!H8279)))</f>
        <v>1</v>
      </c>
    </row>
    <row r="8280" spans="8:11" x14ac:dyDescent="0.3">
      <c r="H8280">
        <v>0.5</v>
      </c>
      <c r="I8280" s="11">
        <f t="shared" si="129"/>
        <v>0</v>
      </c>
      <c r="J8280" s="11">
        <f>1/(H8280*Utilities!$B$11)</f>
        <v>8</v>
      </c>
      <c r="K8280" s="11">
        <f>IF(B8280&lt;C8280,1,EXP(-1*(B8280-C8280)/(Utilities!$B$11*IterData!H8280)))</f>
        <v>1</v>
      </c>
    </row>
    <row r="8281" spans="8:11" x14ac:dyDescent="0.3">
      <c r="H8281">
        <v>0.5</v>
      </c>
      <c r="I8281" s="11">
        <f t="shared" si="129"/>
        <v>0</v>
      </c>
      <c r="J8281" s="11">
        <f>1/(H8281*Utilities!$B$11)</f>
        <v>8</v>
      </c>
      <c r="K8281" s="11">
        <f>IF(B8281&lt;C8281,1,EXP(-1*(B8281-C8281)/(Utilities!$B$11*IterData!H8281)))</f>
        <v>1</v>
      </c>
    </row>
    <row r="8282" spans="8:11" x14ac:dyDescent="0.3">
      <c r="H8282">
        <v>0.5</v>
      </c>
      <c r="I8282" s="11">
        <f t="shared" si="129"/>
        <v>0</v>
      </c>
      <c r="J8282" s="11">
        <f>1/(H8282*Utilities!$B$11)</f>
        <v>8</v>
      </c>
      <c r="K8282" s="11">
        <f>IF(B8282&lt;C8282,1,EXP(-1*(B8282-C8282)/(Utilities!$B$11*IterData!H8282)))</f>
        <v>1</v>
      </c>
    </row>
    <row r="8283" spans="8:11" x14ac:dyDescent="0.3">
      <c r="H8283">
        <v>0.5</v>
      </c>
      <c r="I8283" s="11">
        <f t="shared" si="129"/>
        <v>0</v>
      </c>
      <c r="J8283" s="11">
        <f>1/(H8283*Utilities!$B$11)</f>
        <v>8</v>
      </c>
      <c r="K8283" s="11">
        <f>IF(B8283&lt;C8283,1,EXP(-1*(B8283-C8283)/(Utilities!$B$11*IterData!H8283)))</f>
        <v>1</v>
      </c>
    </row>
    <row r="8284" spans="8:11" x14ac:dyDescent="0.3">
      <c r="H8284">
        <v>0.5</v>
      </c>
      <c r="I8284" s="11">
        <f t="shared" si="129"/>
        <v>0</v>
      </c>
      <c r="J8284" s="11">
        <f>1/(H8284*Utilities!$B$11)</f>
        <v>8</v>
      </c>
      <c r="K8284" s="11">
        <f>IF(B8284&lt;C8284,1,EXP(-1*(B8284-C8284)/(Utilities!$B$11*IterData!H8284)))</f>
        <v>1</v>
      </c>
    </row>
    <row r="8285" spans="8:11" x14ac:dyDescent="0.3">
      <c r="H8285">
        <v>0.5</v>
      </c>
      <c r="I8285" s="11">
        <f t="shared" si="129"/>
        <v>0</v>
      </c>
      <c r="J8285" s="11">
        <f>1/(H8285*Utilities!$B$11)</f>
        <v>8</v>
      </c>
      <c r="K8285" s="11">
        <f>IF(B8285&lt;C8285,1,EXP(-1*(B8285-C8285)/(Utilities!$B$11*IterData!H8285)))</f>
        <v>1</v>
      </c>
    </row>
    <row r="8286" spans="8:11" x14ac:dyDescent="0.3">
      <c r="H8286">
        <v>0.5</v>
      </c>
      <c r="I8286" s="11">
        <f t="shared" si="129"/>
        <v>0</v>
      </c>
      <c r="J8286" s="11">
        <f>1/(H8286*Utilities!$B$11)</f>
        <v>8</v>
      </c>
      <c r="K8286" s="11">
        <f>IF(B8286&lt;C8286,1,EXP(-1*(B8286-C8286)/(Utilities!$B$11*IterData!H8286)))</f>
        <v>1</v>
      </c>
    </row>
    <row r="8287" spans="8:11" x14ac:dyDescent="0.3">
      <c r="H8287">
        <v>0.5</v>
      </c>
      <c r="I8287" s="11">
        <f t="shared" si="129"/>
        <v>0</v>
      </c>
      <c r="J8287" s="11">
        <f>1/(H8287*Utilities!$B$11)</f>
        <v>8</v>
      </c>
      <c r="K8287" s="11">
        <f>IF(B8287&lt;C8287,1,EXP(-1*(B8287-C8287)/(Utilities!$B$11*IterData!H8287)))</f>
        <v>1</v>
      </c>
    </row>
    <row r="8288" spans="8:11" x14ac:dyDescent="0.3">
      <c r="H8288">
        <v>0.5</v>
      </c>
      <c r="I8288" s="11">
        <f t="shared" si="129"/>
        <v>0</v>
      </c>
      <c r="J8288" s="11">
        <f>1/(H8288*Utilities!$B$11)</f>
        <v>8</v>
      </c>
      <c r="K8288" s="11">
        <f>IF(B8288&lt;C8288,1,EXP(-1*(B8288-C8288)/(Utilities!$B$11*IterData!H8288)))</f>
        <v>1</v>
      </c>
    </row>
    <row r="8289" spans="8:11" x14ac:dyDescent="0.3">
      <c r="H8289">
        <v>0.5</v>
      </c>
      <c r="I8289" s="11">
        <f t="shared" si="129"/>
        <v>0</v>
      </c>
      <c r="J8289" s="11">
        <f>1/(H8289*Utilities!$B$11)</f>
        <v>8</v>
      </c>
      <c r="K8289" s="11">
        <f>IF(B8289&lt;C8289,1,EXP(-1*(B8289-C8289)/(Utilities!$B$11*IterData!H8289)))</f>
        <v>1</v>
      </c>
    </row>
    <row r="8290" spans="8:11" x14ac:dyDescent="0.3">
      <c r="H8290">
        <v>0.5</v>
      </c>
      <c r="I8290" s="11">
        <f t="shared" si="129"/>
        <v>0</v>
      </c>
      <c r="J8290" s="11">
        <f>1/(H8290*Utilities!$B$11)</f>
        <v>8</v>
      </c>
      <c r="K8290" s="11">
        <f>IF(B8290&lt;C8290,1,EXP(-1*(B8290-C8290)/(Utilities!$B$11*IterData!H8290)))</f>
        <v>1</v>
      </c>
    </row>
    <row r="8291" spans="8:11" x14ac:dyDescent="0.3">
      <c r="H8291">
        <v>0.5</v>
      </c>
      <c r="I8291" s="11">
        <f t="shared" si="129"/>
        <v>0</v>
      </c>
      <c r="J8291" s="11">
        <f>1/(H8291*Utilities!$B$11)</f>
        <v>8</v>
      </c>
      <c r="K8291" s="11">
        <f>IF(B8291&lt;C8291,1,EXP(-1*(B8291-C8291)/(Utilities!$B$11*IterData!H8291)))</f>
        <v>1</v>
      </c>
    </row>
    <row r="8292" spans="8:11" x14ac:dyDescent="0.3">
      <c r="H8292">
        <v>0.5</v>
      </c>
      <c r="I8292" s="11">
        <f t="shared" si="129"/>
        <v>0</v>
      </c>
      <c r="J8292" s="11">
        <f>1/(H8292*Utilities!$B$11)</f>
        <v>8</v>
      </c>
      <c r="K8292" s="11">
        <f>IF(B8292&lt;C8292,1,EXP(-1*(B8292-C8292)/(Utilities!$B$11*IterData!H8292)))</f>
        <v>1</v>
      </c>
    </row>
    <row r="8293" spans="8:11" x14ac:dyDescent="0.3">
      <c r="H8293">
        <v>0.5</v>
      </c>
      <c r="I8293" s="11">
        <f t="shared" si="129"/>
        <v>0</v>
      </c>
      <c r="J8293" s="11">
        <f>1/(H8293*Utilities!$B$11)</f>
        <v>8</v>
      </c>
      <c r="K8293" s="11">
        <f>IF(B8293&lt;C8293,1,EXP(-1*(B8293-C8293)/(Utilities!$B$11*IterData!H8293)))</f>
        <v>1</v>
      </c>
    </row>
    <row r="8294" spans="8:11" x14ac:dyDescent="0.3">
      <c r="H8294">
        <v>0.5</v>
      </c>
      <c r="I8294" s="11">
        <f t="shared" si="129"/>
        <v>0</v>
      </c>
      <c r="J8294" s="11">
        <f>1/(H8294*Utilities!$B$11)</f>
        <v>8</v>
      </c>
      <c r="K8294" s="11">
        <f>IF(B8294&lt;C8294,1,EXP(-1*(B8294-C8294)/(Utilities!$B$11*IterData!H8294)))</f>
        <v>1</v>
      </c>
    </row>
    <row r="8295" spans="8:11" x14ac:dyDescent="0.3">
      <c r="H8295">
        <v>0.5</v>
      </c>
      <c r="I8295" s="11">
        <f t="shared" si="129"/>
        <v>0</v>
      </c>
      <c r="J8295" s="11">
        <f>1/(H8295*Utilities!$B$11)</f>
        <v>8</v>
      </c>
      <c r="K8295" s="11">
        <f>IF(B8295&lt;C8295,1,EXP(-1*(B8295-C8295)/(Utilities!$B$11*IterData!H8295)))</f>
        <v>1</v>
      </c>
    </row>
    <row r="8296" spans="8:11" x14ac:dyDescent="0.3">
      <c r="H8296">
        <v>0.5</v>
      </c>
      <c r="I8296" s="11">
        <f t="shared" si="129"/>
        <v>0</v>
      </c>
      <c r="J8296" s="11">
        <f>1/(H8296*Utilities!$B$11)</f>
        <v>8</v>
      </c>
      <c r="K8296" s="11">
        <f>IF(B8296&lt;C8296,1,EXP(-1*(B8296-C8296)/(Utilities!$B$11*IterData!H8296)))</f>
        <v>1</v>
      </c>
    </row>
    <row r="8297" spans="8:11" x14ac:dyDescent="0.3">
      <c r="H8297">
        <v>0.5</v>
      </c>
      <c r="I8297" s="11">
        <f t="shared" si="129"/>
        <v>0</v>
      </c>
      <c r="J8297" s="11">
        <f>1/(H8297*Utilities!$B$11)</f>
        <v>8</v>
      </c>
      <c r="K8297" s="11">
        <f>IF(B8297&lt;C8297,1,EXP(-1*(B8297-C8297)/(Utilities!$B$11*IterData!H8297)))</f>
        <v>1</v>
      </c>
    </row>
    <row r="8298" spans="8:11" x14ac:dyDescent="0.3">
      <c r="H8298">
        <v>0.5</v>
      </c>
      <c r="I8298" s="11">
        <f t="shared" si="129"/>
        <v>0</v>
      </c>
      <c r="J8298" s="11">
        <f>1/(H8298*Utilities!$B$11)</f>
        <v>8</v>
      </c>
      <c r="K8298" s="11">
        <f>IF(B8298&lt;C8298,1,EXP(-1*(B8298-C8298)/(Utilities!$B$11*IterData!H8298)))</f>
        <v>1</v>
      </c>
    </row>
    <row r="8299" spans="8:11" x14ac:dyDescent="0.3">
      <c r="H8299">
        <v>0.5</v>
      </c>
      <c r="I8299" s="11">
        <f t="shared" si="129"/>
        <v>0</v>
      </c>
      <c r="J8299" s="11">
        <f>1/(H8299*Utilities!$B$11)</f>
        <v>8</v>
      </c>
      <c r="K8299" s="11">
        <f>IF(B8299&lt;C8299,1,EXP(-1*(B8299-C8299)/(Utilities!$B$11*IterData!H8299)))</f>
        <v>1</v>
      </c>
    </row>
    <row r="8300" spans="8:11" x14ac:dyDescent="0.3">
      <c r="H8300">
        <v>0.5</v>
      </c>
      <c r="I8300" s="11">
        <f t="shared" si="129"/>
        <v>0</v>
      </c>
      <c r="J8300" s="11">
        <f>1/(H8300*Utilities!$B$11)</f>
        <v>8</v>
      </c>
      <c r="K8300" s="11">
        <f>IF(B8300&lt;C8300,1,EXP(-1*(B8300-C8300)/(Utilities!$B$11*IterData!H8300)))</f>
        <v>1</v>
      </c>
    </row>
    <row r="8301" spans="8:11" x14ac:dyDescent="0.3">
      <c r="H8301">
        <v>0.5</v>
      </c>
      <c r="I8301" s="11">
        <f t="shared" si="129"/>
        <v>0</v>
      </c>
      <c r="J8301" s="11">
        <f>1/(H8301*Utilities!$B$11)</f>
        <v>8</v>
      </c>
      <c r="K8301" s="11">
        <f>IF(B8301&lt;C8301,1,EXP(-1*(B8301-C8301)/(Utilities!$B$11*IterData!H8301)))</f>
        <v>1</v>
      </c>
    </row>
    <row r="8302" spans="8:11" x14ac:dyDescent="0.3">
      <c r="H8302">
        <v>0.5</v>
      </c>
      <c r="I8302" s="11">
        <f t="shared" si="129"/>
        <v>0</v>
      </c>
      <c r="J8302" s="11">
        <f>1/(H8302*Utilities!$B$11)</f>
        <v>8</v>
      </c>
      <c r="K8302" s="11">
        <f>IF(B8302&lt;C8302,1,EXP(-1*(B8302-C8302)/(Utilities!$B$11*IterData!H8302)))</f>
        <v>1</v>
      </c>
    </row>
    <row r="8303" spans="8:11" x14ac:dyDescent="0.3">
      <c r="H8303">
        <v>0.5</v>
      </c>
      <c r="I8303" s="11">
        <f t="shared" si="129"/>
        <v>0</v>
      </c>
      <c r="J8303" s="11">
        <f>1/(H8303*Utilities!$B$11)</f>
        <v>8</v>
      </c>
      <c r="K8303" s="11">
        <f>IF(B8303&lt;C8303,1,EXP(-1*(B8303-C8303)/(Utilities!$B$11*IterData!H8303)))</f>
        <v>1</v>
      </c>
    </row>
    <row r="8304" spans="8:11" x14ac:dyDescent="0.3">
      <c r="H8304">
        <v>0.5</v>
      </c>
      <c r="I8304" s="11">
        <f t="shared" si="129"/>
        <v>0</v>
      </c>
      <c r="J8304" s="11">
        <f>1/(H8304*Utilities!$B$11)</f>
        <v>8</v>
      </c>
      <c r="K8304" s="11">
        <f>IF(B8304&lt;C8304,1,EXP(-1*(B8304-C8304)/(Utilities!$B$11*IterData!H8304)))</f>
        <v>1</v>
      </c>
    </row>
    <row r="8305" spans="8:11" x14ac:dyDescent="0.3">
      <c r="H8305">
        <v>0.5</v>
      </c>
      <c r="I8305" s="11">
        <f t="shared" si="129"/>
        <v>0</v>
      </c>
      <c r="J8305" s="11">
        <f>1/(H8305*Utilities!$B$11)</f>
        <v>8</v>
      </c>
      <c r="K8305" s="11">
        <f>IF(B8305&lt;C8305,1,EXP(-1*(B8305-C8305)/(Utilities!$B$11*IterData!H8305)))</f>
        <v>1</v>
      </c>
    </row>
    <row r="8306" spans="8:11" x14ac:dyDescent="0.3">
      <c r="H8306">
        <v>0.5</v>
      </c>
      <c r="I8306" s="11">
        <f t="shared" si="129"/>
        <v>0</v>
      </c>
      <c r="J8306" s="11">
        <f>1/(H8306*Utilities!$B$11)</f>
        <v>8</v>
      </c>
      <c r="K8306" s="11">
        <f>IF(B8306&lt;C8306,1,EXP(-1*(B8306-C8306)/(Utilities!$B$11*IterData!H8306)))</f>
        <v>1</v>
      </c>
    </row>
    <row r="8307" spans="8:11" x14ac:dyDescent="0.3">
      <c r="H8307">
        <v>0.5</v>
      </c>
      <c r="I8307" s="11">
        <f t="shared" si="129"/>
        <v>0</v>
      </c>
      <c r="J8307" s="11">
        <f>1/(H8307*Utilities!$B$11)</f>
        <v>8</v>
      </c>
      <c r="K8307" s="11">
        <f>IF(B8307&lt;C8307,1,EXP(-1*(B8307-C8307)/(Utilities!$B$11*IterData!H8307)))</f>
        <v>1</v>
      </c>
    </row>
    <row r="8308" spans="8:11" x14ac:dyDescent="0.3">
      <c r="H8308">
        <v>0.5</v>
      </c>
      <c r="I8308" s="11">
        <f t="shared" si="129"/>
        <v>0</v>
      </c>
      <c r="J8308" s="11">
        <f>1/(H8308*Utilities!$B$11)</f>
        <v>8</v>
      </c>
      <c r="K8308" s="11">
        <f>IF(B8308&lt;C8308,1,EXP(-1*(B8308-C8308)/(Utilities!$B$11*IterData!H8308)))</f>
        <v>1</v>
      </c>
    </row>
    <row r="8309" spans="8:11" x14ac:dyDescent="0.3">
      <c r="H8309">
        <v>0.5</v>
      </c>
      <c r="I8309" s="11">
        <f t="shared" si="129"/>
        <v>0</v>
      </c>
      <c r="J8309" s="11">
        <f>1/(H8309*Utilities!$B$11)</f>
        <v>8</v>
      </c>
      <c r="K8309" s="11">
        <f>IF(B8309&lt;C8309,1,EXP(-1*(B8309-C8309)/(Utilities!$B$11*IterData!H8309)))</f>
        <v>1</v>
      </c>
    </row>
    <row r="8310" spans="8:11" x14ac:dyDescent="0.3">
      <c r="H8310">
        <v>0.5</v>
      </c>
      <c r="I8310" s="11">
        <f t="shared" si="129"/>
        <v>0</v>
      </c>
      <c r="J8310" s="11">
        <f>1/(H8310*Utilities!$B$11)</f>
        <v>8</v>
      </c>
      <c r="K8310" s="11">
        <f>IF(B8310&lt;C8310,1,EXP(-1*(B8310-C8310)/(Utilities!$B$11*IterData!H8310)))</f>
        <v>1</v>
      </c>
    </row>
    <row r="8311" spans="8:11" x14ac:dyDescent="0.3">
      <c r="H8311">
        <v>0.5</v>
      </c>
      <c r="I8311" s="11">
        <f t="shared" si="129"/>
        <v>0</v>
      </c>
      <c r="J8311" s="11">
        <f>1/(H8311*Utilities!$B$11)</f>
        <v>8</v>
      </c>
      <c r="K8311" s="11">
        <f>IF(B8311&lt;C8311,1,EXP(-1*(B8311-C8311)/(Utilities!$B$11*IterData!H8311)))</f>
        <v>1</v>
      </c>
    </row>
    <row r="8312" spans="8:11" x14ac:dyDescent="0.3">
      <c r="H8312">
        <v>0.5</v>
      </c>
      <c r="I8312" s="11">
        <f t="shared" si="129"/>
        <v>0</v>
      </c>
      <c r="J8312" s="11">
        <f>1/(H8312*Utilities!$B$11)</f>
        <v>8</v>
      </c>
      <c r="K8312" s="11">
        <f>IF(B8312&lt;C8312,1,EXP(-1*(B8312-C8312)/(Utilities!$B$11*IterData!H8312)))</f>
        <v>1</v>
      </c>
    </row>
    <row r="8313" spans="8:11" x14ac:dyDescent="0.3">
      <c r="H8313">
        <v>0.5</v>
      </c>
      <c r="I8313" s="11">
        <f t="shared" si="129"/>
        <v>0</v>
      </c>
      <c r="J8313" s="11">
        <f>1/(H8313*Utilities!$B$11)</f>
        <v>8</v>
      </c>
      <c r="K8313" s="11">
        <f>IF(B8313&lt;C8313,1,EXP(-1*(B8313-C8313)/(Utilities!$B$11*IterData!H8313)))</f>
        <v>1</v>
      </c>
    </row>
    <row r="8314" spans="8:11" x14ac:dyDescent="0.3">
      <c r="H8314">
        <v>0.5</v>
      </c>
      <c r="I8314" s="11">
        <f t="shared" si="129"/>
        <v>0</v>
      </c>
      <c r="J8314" s="11">
        <f>1/(H8314*Utilities!$B$11)</f>
        <v>8</v>
      </c>
      <c r="K8314" s="11">
        <f>IF(B8314&lt;C8314,1,EXP(-1*(B8314-C8314)/(Utilities!$B$11*IterData!H8314)))</f>
        <v>1</v>
      </c>
    </row>
    <row r="8315" spans="8:11" x14ac:dyDescent="0.3">
      <c r="H8315">
        <v>0.5</v>
      </c>
      <c r="I8315" s="11">
        <f t="shared" si="129"/>
        <v>0</v>
      </c>
      <c r="J8315" s="11">
        <f>1/(H8315*Utilities!$B$11)</f>
        <v>8</v>
      </c>
      <c r="K8315" s="11">
        <f>IF(B8315&lt;C8315,1,EXP(-1*(B8315-C8315)/(Utilities!$B$11*IterData!H8315)))</f>
        <v>1</v>
      </c>
    </row>
    <row r="8316" spans="8:11" x14ac:dyDescent="0.3">
      <c r="H8316">
        <v>0.5</v>
      </c>
      <c r="I8316" s="11">
        <f t="shared" si="129"/>
        <v>0</v>
      </c>
      <c r="J8316" s="11">
        <f>1/(H8316*Utilities!$B$11)</f>
        <v>8</v>
      </c>
      <c r="K8316" s="11">
        <f>IF(B8316&lt;C8316,1,EXP(-1*(B8316-C8316)/(Utilities!$B$11*IterData!H8316)))</f>
        <v>1</v>
      </c>
    </row>
    <row r="8317" spans="8:11" x14ac:dyDescent="0.3">
      <c r="H8317">
        <v>0.5</v>
      </c>
      <c r="I8317" s="11">
        <f t="shared" si="129"/>
        <v>0</v>
      </c>
      <c r="J8317" s="11">
        <f>1/(H8317*Utilities!$B$11)</f>
        <v>8</v>
      </c>
      <c r="K8317" s="11">
        <f>IF(B8317&lt;C8317,1,EXP(-1*(B8317-C8317)/(Utilities!$B$11*IterData!H8317)))</f>
        <v>1</v>
      </c>
    </row>
    <row r="8318" spans="8:11" x14ac:dyDescent="0.3">
      <c r="H8318">
        <v>0.5</v>
      </c>
      <c r="I8318" s="11">
        <f t="shared" si="129"/>
        <v>0</v>
      </c>
      <c r="J8318" s="11">
        <f>1/(H8318*Utilities!$B$11)</f>
        <v>8</v>
      </c>
      <c r="K8318" s="11">
        <f>IF(B8318&lt;C8318,1,EXP(-1*(B8318-C8318)/(Utilities!$B$11*IterData!H8318)))</f>
        <v>1</v>
      </c>
    </row>
    <row r="8319" spans="8:11" x14ac:dyDescent="0.3">
      <c r="H8319">
        <v>0.5</v>
      </c>
      <c r="I8319" s="11">
        <f t="shared" si="129"/>
        <v>0</v>
      </c>
      <c r="J8319" s="11">
        <f>1/(H8319*Utilities!$B$11)</f>
        <v>8</v>
      </c>
      <c r="K8319" s="11">
        <f>IF(B8319&lt;C8319,1,EXP(-1*(B8319-C8319)/(Utilities!$B$11*IterData!H8319)))</f>
        <v>1</v>
      </c>
    </row>
    <row r="8320" spans="8:11" x14ac:dyDescent="0.3">
      <c r="H8320">
        <v>0.5</v>
      </c>
      <c r="I8320" s="11">
        <f t="shared" si="129"/>
        <v>0</v>
      </c>
      <c r="J8320" s="11">
        <f>1/(H8320*Utilities!$B$11)</f>
        <v>8</v>
      </c>
      <c r="K8320" s="11">
        <f>IF(B8320&lt;C8320,1,EXP(-1*(B8320-C8320)/(Utilities!$B$11*IterData!H8320)))</f>
        <v>1</v>
      </c>
    </row>
    <row r="8321" spans="8:11" x14ac:dyDescent="0.3">
      <c r="H8321">
        <v>0.5</v>
      </c>
      <c r="I8321" s="11">
        <f t="shared" si="129"/>
        <v>0</v>
      </c>
      <c r="J8321" s="11">
        <f>1/(H8321*Utilities!$B$11)</f>
        <v>8</v>
      </c>
      <c r="K8321" s="11">
        <f>IF(B8321&lt;C8321,1,EXP(-1*(B8321-C8321)/(Utilities!$B$11*IterData!H8321)))</f>
        <v>1</v>
      </c>
    </row>
    <row r="8322" spans="8:11" x14ac:dyDescent="0.3">
      <c r="H8322">
        <v>0.5</v>
      </c>
      <c r="I8322" s="11">
        <f t="shared" si="129"/>
        <v>0</v>
      </c>
      <c r="J8322" s="11">
        <f>1/(H8322*Utilities!$B$11)</f>
        <v>8</v>
      </c>
      <c r="K8322" s="11">
        <f>IF(B8322&lt;C8322,1,EXP(-1*(B8322-C8322)/(Utilities!$B$11*IterData!H8322)))</f>
        <v>1</v>
      </c>
    </row>
    <row r="8323" spans="8:11" x14ac:dyDescent="0.3">
      <c r="H8323">
        <v>0.5</v>
      </c>
      <c r="I8323" s="11">
        <f t="shared" ref="I8323:I8386" si="130">B8323-C8323</f>
        <v>0</v>
      </c>
      <c r="J8323" s="11">
        <f>1/(H8323*Utilities!$B$11)</f>
        <v>8</v>
      </c>
      <c r="K8323" s="11">
        <f>IF(B8323&lt;C8323,1,EXP(-1*(B8323-C8323)/(Utilities!$B$11*IterData!H8323)))</f>
        <v>1</v>
      </c>
    </row>
    <row r="8324" spans="8:11" x14ac:dyDescent="0.3">
      <c r="H8324">
        <v>0.5</v>
      </c>
      <c r="I8324" s="11">
        <f t="shared" si="130"/>
        <v>0</v>
      </c>
      <c r="J8324" s="11">
        <f>1/(H8324*Utilities!$B$11)</f>
        <v>8</v>
      </c>
      <c r="K8324" s="11">
        <f>IF(B8324&lt;C8324,1,EXP(-1*(B8324-C8324)/(Utilities!$B$11*IterData!H8324)))</f>
        <v>1</v>
      </c>
    </row>
    <row r="8325" spans="8:11" x14ac:dyDescent="0.3">
      <c r="H8325">
        <v>0.5</v>
      </c>
      <c r="I8325" s="11">
        <f t="shared" si="130"/>
        <v>0</v>
      </c>
      <c r="J8325" s="11">
        <f>1/(H8325*Utilities!$B$11)</f>
        <v>8</v>
      </c>
      <c r="K8325" s="11">
        <f>IF(B8325&lt;C8325,1,EXP(-1*(B8325-C8325)/(Utilities!$B$11*IterData!H8325)))</f>
        <v>1</v>
      </c>
    </row>
    <row r="8326" spans="8:11" x14ac:dyDescent="0.3">
      <c r="H8326">
        <v>0.5</v>
      </c>
      <c r="I8326" s="11">
        <f t="shared" si="130"/>
        <v>0</v>
      </c>
      <c r="J8326" s="11">
        <f>1/(H8326*Utilities!$B$11)</f>
        <v>8</v>
      </c>
      <c r="K8326" s="11">
        <f>IF(B8326&lt;C8326,1,EXP(-1*(B8326-C8326)/(Utilities!$B$11*IterData!H8326)))</f>
        <v>1</v>
      </c>
    </row>
    <row r="8327" spans="8:11" x14ac:dyDescent="0.3">
      <c r="H8327">
        <v>0.5</v>
      </c>
      <c r="I8327" s="11">
        <f t="shared" si="130"/>
        <v>0</v>
      </c>
      <c r="J8327" s="11">
        <f>1/(H8327*Utilities!$B$11)</f>
        <v>8</v>
      </c>
      <c r="K8327" s="11">
        <f>IF(B8327&lt;C8327,1,EXP(-1*(B8327-C8327)/(Utilities!$B$11*IterData!H8327)))</f>
        <v>1</v>
      </c>
    </row>
    <row r="8328" spans="8:11" x14ac:dyDescent="0.3">
      <c r="H8328">
        <v>0.5</v>
      </c>
      <c r="I8328" s="11">
        <f t="shared" si="130"/>
        <v>0</v>
      </c>
      <c r="J8328" s="11">
        <f>1/(H8328*Utilities!$B$11)</f>
        <v>8</v>
      </c>
      <c r="K8328" s="11">
        <f>IF(B8328&lt;C8328,1,EXP(-1*(B8328-C8328)/(Utilities!$B$11*IterData!H8328)))</f>
        <v>1</v>
      </c>
    </row>
    <row r="8329" spans="8:11" x14ac:dyDescent="0.3">
      <c r="H8329">
        <v>0.5</v>
      </c>
      <c r="I8329" s="11">
        <f t="shared" si="130"/>
        <v>0</v>
      </c>
      <c r="J8329" s="11">
        <f>1/(H8329*Utilities!$B$11)</f>
        <v>8</v>
      </c>
      <c r="K8329" s="11">
        <f>IF(B8329&lt;C8329,1,EXP(-1*(B8329-C8329)/(Utilities!$B$11*IterData!H8329)))</f>
        <v>1</v>
      </c>
    </row>
    <row r="8330" spans="8:11" x14ac:dyDescent="0.3">
      <c r="H8330">
        <v>0.5</v>
      </c>
      <c r="I8330" s="11">
        <f t="shared" si="130"/>
        <v>0</v>
      </c>
      <c r="J8330" s="11">
        <f>1/(H8330*Utilities!$B$11)</f>
        <v>8</v>
      </c>
      <c r="K8330" s="11">
        <f>IF(B8330&lt;C8330,1,EXP(-1*(B8330-C8330)/(Utilities!$B$11*IterData!H8330)))</f>
        <v>1</v>
      </c>
    </row>
    <row r="8331" spans="8:11" x14ac:dyDescent="0.3">
      <c r="H8331">
        <v>0.5</v>
      </c>
      <c r="I8331" s="11">
        <f t="shared" si="130"/>
        <v>0</v>
      </c>
      <c r="J8331" s="11">
        <f>1/(H8331*Utilities!$B$11)</f>
        <v>8</v>
      </c>
      <c r="K8331" s="11">
        <f>IF(B8331&lt;C8331,1,EXP(-1*(B8331-C8331)/(Utilities!$B$11*IterData!H8331)))</f>
        <v>1</v>
      </c>
    </row>
    <row r="8332" spans="8:11" x14ac:dyDescent="0.3">
      <c r="H8332">
        <v>0.5</v>
      </c>
      <c r="I8332" s="11">
        <f t="shared" si="130"/>
        <v>0</v>
      </c>
      <c r="J8332" s="11">
        <f>1/(H8332*Utilities!$B$11)</f>
        <v>8</v>
      </c>
      <c r="K8332" s="11">
        <f>IF(B8332&lt;C8332,1,EXP(-1*(B8332-C8332)/(Utilities!$B$11*IterData!H8332)))</f>
        <v>1</v>
      </c>
    </row>
    <row r="8333" spans="8:11" x14ac:dyDescent="0.3">
      <c r="H8333">
        <v>0.5</v>
      </c>
      <c r="I8333" s="11">
        <f t="shared" si="130"/>
        <v>0</v>
      </c>
      <c r="J8333" s="11">
        <f>1/(H8333*Utilities!$B$11)</f>
        <v>8</v>
      </c>
      <c r="K8333" s="11">
        <f>IF(B8333&lt;C8333,1,EXP(-1*(B8333-C8333)/(Utilities!$B$11*IterData!H8333)))</f>
        <v>1</v>
      </c>
    </row>
    <row r="8334" spans="8:11" x14ac:dyDescent="0.3">
      <c r="H8334">
        <v>0.5</v>
      </c>
      <c r="I8334" s="11">
        <f t="shared" si="130"/>
        <v>0</v>
      </c>
      <c r="J8334" s="11">
        <f>1/(H8334*Utilities!$B$11)</f>
        <v>8</v>
      </c>
      <c r="K8334" s="11">
        <f>IF(B8334&lt;C8334,1,EXP(-1*(B8334-C8334)/(Utilities!$B$11*IterData!H8334)))</f>
        <v>1</v>
      </c>
    </row>
    <row r="8335" spans="8:11" x14ac:dyDescent="0.3">
      <c r="H8335">
        <v>0.5</v>
      </c>
      <c r="I8335" s="11">
        <f t="shared" si="130"/>
        <v>0</v>
      </c>
      <c r="J8335" s="11">
        <f>1/(H8335*Utilities!$B$11)</f>
        <v>8</v>
      </c>
      <c r="K8335" s="11">
        <f>IF(B8335&lt;C8335,1,EXP(-1*(B8335-C8335)/(Utilities!$B$11*IterData!H8335)))</f>
        <v>1</v>
      </c>
    </row>
    <row r="8336" spans="8:11" x14ac:dyDescent="0.3">
      <c r="H8336">
        <v>0.5</v>
      </c>
      <c r="I8336" s="11">
        <f t="shared" si="130"/>
        <v>0</v>
      </c>
      <c r="J8336" s="11">
        <f>1/(H8336*Utilities!$B$11)</f>
        <v>8</v>
      </c>
      <c r="K8336" s="11">
        <f>IF(B8336&lt;C8336,1,EXP(-1*(B8336-C8336)/(Utilities!$B$11*IterData!H8336)))</f>
        <v>1</v>
      </c>
    </row>
    <row r="8337" spans="8:11" x14ac:dyDescent="0.3">
      <c r="H8337">
        <v>0.5</v>
      </c>
      <c r="I8337" s="11">
        <f t="shared" si="130"/>
        <v>0</v>
      </c>
      <c r="J8337" s="11">
        <f>1/(H8337*Utilities!$B$11)</f>
        <v>8</v>
      </c>
      <c r="K8337" s="11">
        <f>IF(B8337&lt;C8337,1,EXP(-1*(B8337-C8337)/(Utilities!$B$11*IterData!H8337)))</f>
        <v>1</v>
      </c>
    </row>
    <row r="8338" spans="8:11" x14ac:dyDescent="0.3">
      <c r="H8338">
        <v>0.5</v>
      </c>
      <c r="I8338" s="11">
        <f t="shared" si="130"/>
        <v>0</v>
      </c>
      <c r="J8338" s="11">
        <f>1/(H8338*Utilities!$B$11)</f>
        <v>8</v>
      </c>
      <c r="K8338" s="11">
        <f>IF(B8338&lt;C8338,1,EXP(-1*(B8338-C8338)/(Utilities!$B$11*IterData!H8338)))</f>
        <v>1</v>
      </c>
    </row>
    <row r="8339" spans="8:11" x14ac:dyDescent="0.3">
      <c r="H8339">
        <v>0.5</v>
      </c>
      <c r="I8339" s="11">
        <f t="shared" si="130"/>
        <v>0</v>
      </c>
      <c r="J8339" s="11">
        <f>1/(H8339*Utilities!$B$11)</f>
        <v>8</v>
      </c>
      <c r="K8339" s="11">
        <f>IF(B8339&lt;C8339,1,EXP(-1*(B8339-C8339)/(Utilities!$B$11*IterData!H8339)))</f>
        <v>1</v>
      </c>
    </row>
    <row r="8340" spans="8:11" x14ac:dyDescent="0.3">
      <c r="H8340">
        <v>0.5</v>
      </c>
      <c r="I8340" s="11">
        <f t="shared" si="130"/>
        <v>0</v>
      </c>
      <c r="J8340" s="11">
        <f>1/(H8340*Utilities!$B$11)</f>
        <v>8</v>
      </c>
      <c r="K8340" s="11">
        <f>IF(B8340&lt;C8340,1,EXP(-1*(B8340-C8340)/(Utilities!$B$11*IterData!H8340)))</f>
        <v>1</v>
      </c>
    </row>
    <row r="8341" spans="8:11" x14ac:dyDescent="0.3">
      <c r="H8341">
        <v>0.5</v>
      </c>
      <c r="I8341" s="11">
        <f t="shared" si="130"/>
        <v>0</v>
      </c>
      <c r="J8341" s="11">
        <f>1/(H8341*Utilities!$B$11)</f>
        <v>8</v>
      </c>
      <c r="K8341" s="11">
        <f>IF(B8341&lt;C8341,1,EXP(-1*(B8341-C8341)/(Utilities!$B$11*IterData!H8341)))</f>
        <v>1</v>
      </c>
    </row>
    <row r="8342" spans="8:11" x14ac:dyDescent="0.3">
      <c r="H8342">
        <v>0.5</v>
      </c>
      <c r="I8342" s="11">
        <f t="shared" si="130"/>
        <v>0</v>
      </c>
      <c r="J8342" s="11">
        <f>1/(H8342*Utilities!$B$11)</f>
        <v>8</v>
      </c>
      <c r="K8342" s="11">
        <f>IF(B8342&lt;C8342,1,EXP(-1*(B8342-C8342)/(Utilities!$B$11*IterData!H8342)))</f>
        <v>1</v>
      </c>
    </row>
    <row r="8343" spans="8:11" x14ac:dyDescent="0.3">
      <c r="H8343">
        <v>0.5</v>
      </c>
      <c r="I8343" s="11">
        <f t="shared" si="130"/>
        <v>0</v>
      </c>
      <c r="J8343" s="11">
        <f>1/(H8343*Utilities!$B$11)</f>
        <v>8</v>
      </c>
      <c r="K8343" s="11">
        <f>IF(B8343&lt;C8343,1,EXP(-1*(B8343-C8343)/(Utilities!$B$11*IterData!H8343)))</f>
        <v>1</v>
      </c>
    </row>
    <row r="8344" spans="8:11" x14ac:dyDescent="0.3">
      <c r="H8344">
        <v>0.5</v>
      </c>
      <c r="I8344" s="11">
        <f t="shared" si="130"/>
        <v>0</v>
      </c>
      <c r="J8344" s="11">
        <f>1/(H8344*Utilities!$B$11)</f>
        <v>8</v>
      </c>
      <c r="K8344" s="11">
        <f>IF(B8344&lt;C8344,1,EXP(-1*(B8344-C8344)/(Utilities!$B$11*IterData!H8344)))</f>
        <v>1</v>
      </c>
    </row>
    <row r="8345" spans="8:11" x14ac:dyDescent="0.3">
      <c r="H8345">
        <v>0.5</v>
      </c>
      <c r="I8345" s="11">
        <f t="shared" si="130"/>
        <v>0</v>
      </c>
      <c r="J8345" s="11">
        <f>1/(H8345*Utilities!$B$11)</f>
        <v>8</v>
      </c>
      <c r="K8345" s="11">
        <f>IF(B8345&lt;C8345,1,EXP(-1*(B8345-C8345)/(Utilities!$B$11*IterData!H8345)))</f>
        <v>1</v>
      </c>
    </row>
    <row r="8346" spans="8:11" x14ac:dyDescent="0.3">
      <c r="H8346">
        <v>0.5</v>
      </c>
      <c r="I8346" s="11">
        <f t="shared" si="130"/>
        <v>0</v>
      </c>
      <c r="J8346" s="11">
        <f>1/(H8346*Utilities!$B$11)</f>
        <v>8</v>
      </c>
      <c r="K8346" s="11">
        <f>IF(B8346&lt;C8346,1,EXP(-1*(B8346-C8346)/(Utilities!$B$11*IterData!H8346)))</f>
        <v>1</v>
      </c>
    </row>
    <row r="8347" spans="8:11" x14ac:dyDescent="0.3">
      <c r="H8347">
        <v>0.5</v>
      </c>
      <c r="I8347" s="11">
        <f t="shared" si="130"/>
        <v>0</v>
      </c>
      <c r="J8347" s="11">
        <f>1/(H8347*Utilities!$B$11)</f>
        <v>8</v>
      </c>
      <c r="K8347" s="11">
        <f>IF(B8347&lt;C8347,1,EXP(-1*(B8347-C8347)/(Utilities!$B$11*IterData!H8347)))</f>
        <v>1</v>
      </c>
    </row>
    <row r="8348" spans="8:11" x14ac:dyDescent="0.3">
      <c r="H8348">
        <v>0.5</v>
      </c>
      <c r="I8348" s="11">
        <f t="shared" si="130"/>
        <v>0</v>
      </c>
      <c r="J8348" s="11">
        <f>1/(H8348*Utilities!$B$11)</f>
        <v>8</v>
      </c>
      <c r="K8348" s="11">
        <f>IF(B8348&lt;C8348,1,EXP(-1*(B8348-C8348)/(Utilities!$B$11*IterData!H8348)))</f>
        <v>1</v>
      </c>
    </row>
    <row r="8349" spans="8:11" x14ac:dyDescent="0.3">
      <c r="H8349">
        <v>0.5</v>
      </c>
      <c r="I8349" s="11">
        <f t="shared" si="130"/>
        <v>0</v>
      </c>
      <c r="J8349" s="11">
        <f>1/(H8349*Utilities!$B$11)</f>
        <v>8</v>
      </c>
      <c r="K8349" s="11">
        <f>IF(B8349&lt;C8349,1,EXP(-1*(B8349-C8349)/(Utilities!$B$11*IterData!H8349)))</f>
        <v>1</v>
      </c>
    </row>
    <row r="8350" spans="8:11" x14ac:dyDescent="0.3">
      <c r="H8350">
        <v>0.5</v>
      </c>
      <c r="I8350" s="11">
        <f t="shared" si="130"/>
        <v>0</v>
      </c>
      <c r="J8350" s="11">
        <f>1/(H8350*Utilities!$B$11)</f>
        <v>8</v>
      </c>
      <c r="K8350" s="11">
        <f>IF(B8350&lt;C8350,1,EXP(-1*(B8350-C8350)/(Utilities!$B$11*IterData!H8350)))</f>
        <v>1</v>
      </c>
    </row>
    <row r="8351" spans="8:11" x14ac:dyDescent="0.3">
      <c r="H8351">
        <v>0.5</v>
      </c>
      <c r="I8351" s="11">
        <f t="shared" si="130"/>
        <v>0</v>
      </c>
      <c r="J8351" s="11">
        <f>1/(H8351*Utilities!$B$11)</f>
        <v>8</v>
      </c>
      <c r="K8351" s="11">
        <f>IF(B8351&lt;C8351,1,EXP(-1*(B8351-C8351)/(Utilities!$B$11*IterData!H8351)))</f>
        <v>1</v>
      </c>
    </row>
    <row r="8352" spans="8:11" x14ac:dyDescent="0.3">
      <c r="H8352">
        <v>0.5</v>
      </c>
      <c r="I8352" s="11">
        <f t="shared" si="130"/>
        <v>0</v>
      </c>
      <c r="J8352" s="11">
        <f>1/(H8352*Utilities!$B$11)</f>
        <v>8</v>
      </c>
      <c r="K8352" s="11">
        <f>IF(B8352&lt;C8352,1,EXP(-1*(B8352-C8352)/(Utilities!$B$11*IterData!H8352)))</f>
        <v>1</v>
      </c>
    </row>
    <row r="8353" spans="8:11" x14ac:dyDescent="0.3">
      <c r="H8353">
        <v>0.5</v>
      </c>
      <c r="I8353" s="11">
        <f t="shared" si="130"/>
        <v>0</v>
      </c>
      <c r="J8353" s="11">
        <f>1/(H8353*Utilities!$B$11)</f>
        <v>8</v>
      </c>
      <c r="K8353" s="11">
        <f>IF(B8353&lt;C8353,1,EXP(-1*(B8353-C8353)/(Utilities!$B$11*IterData!H8353)))</f>
        <v>1</v>
      </c>
    </row>
    <row r="8354" spans="8:11" x14ac:dyDescent="0.3">
      <c r="H8354">
        <v>0.5</v>
      </c>
      <c r="I8354" s="11">
        <f t="shared" si="130"/>
        <v>0</v>
      </c>
      <c r="J8354" s="11">
        <f>1/(H8354*Utilities!$B$11)</f>
        <v>8</v>
      </c>
      <c r="K8354" s="11">
        <f>IF(B8354&lt;C8354,1,EXP(-1*(B8354-C8354)/(Utilities!$B$11*IterData!H8354)))</f>
        <v>1</v>
      </c>
    </row>
    <row r="8355" spans="8:11" x14ac:dyDescent="0.3">
      <c r="H8355">
        <v>0.5</v>
      </c>
      <c r="I8355" s="11">
        <f t="shared" si="130"/>
        <v>0</v>
      </c>
      <c r="J8355" s="11">
        <f>1/(H8355*Utilities!$B$11)</f>
        <v>8</v>
      </c>
      <c r="K8355" s="11">
        <f>IF(B8355&lt;C8355,1,EXP(-1*(B8355-C8355)/(Utilities!$B$11*IterData!H8355)))</f>
        <v>1</v>
      </c>
    </row>
    <row r="8356" spans="8:11" x14ac:dyDescent="0.3">
      <c r="H8356">
        <v>0.5</v>
      </c>
      <c r="I8356" s="11">
        <f t="shared" si="130"/>
        <v>0</v>
      </c>
      <c r="J8356" s="11">
        <f>1/(H8356*Utilities!$B$11)</f>
        <v>8</v>
      </c>
      <c r="K8356" s="11">
        <f>IF(B8356&lt;C8356,1,EXP(-1*(B8356-C8356)/(Utilities!$B$11*IterData!H8356)))</f>
        <v>1</v>
      </c>
    </row>
    <row r="8357" spans="8:11" x14ac:dyDescent="0.3">
      <c r="H8357">
        <v>0.5</v>
      </c>
      <c r="I8357" s="11">
        <f t="shared" si="130"/>
        <v>0</v>
      </c>
      <c r="J8357" s="11">
        <f>1/(H8357*Utilities!$B$11)</f>
        <v>8</v>
      </c>
      <c r="K8357" s="11">
        <f>IF(B8357&lt;C8357,1,EXP(-1*(B8357-C8357)/(Utilities!$B$11*IterData!H8357)))</f>
        <v>1</v>
      </c>
    </row>
    <row r="8358" spans="8:11" x14ac:dyDescent="0.3">
      <c r="H8358">
        <v>0.5</v>
      </c>
      <c r="I8358" s="11">
        <f t="shared" si="130"/>
        <v>0</v>
      </c>
      <c r="J8358" s="11">
        <f>1/(H8358*Utilities!$B$11)</f>
        <v>8</v>
      </c>
      <c r="K8358" s="11">
        <f>IF(B8358&lt;C8358,1,EXP(-1*(B8358-C8358)/(Utilities!$B$11*IterData!H8358)))</f>
        <v>1</v>
      </c>
    </row>
    <row r="8359" spans="8:11" x14ac:dyDescent="0.3">
      <c r="H8359">
        <v>0.5</v>
      </c>
      <c r="I8359" s="11">
        <f t="shared" si="130"/>
        <v>0</v>
      </c>
      <c r="J8359" s="11">
        <f>1/(H8359*Utilities!$B$11)</f>
        <v>8</v>
      </c>
      <c r="K8359" s="11">
        <f>IF(B8359&lt;C8359,1,EXP(-1*(B8359-C8359)/(Utilities!$B$11*IterData!H8359)))</f>
        <v>1</v>
      </c>
    </row>
    <row r="8360" spans="8:11" x14ac:dyDescent="0.3">
      <c r="H8360">
        <v>0.5</v>
      </c>
      <c r="I8360" s="11">
        <f t="shared" si="130"/>
        <v>0</v>
      </c>
      <c r="J8360" s="11">
        <f>1/(H8360*Utilities!$B$11)</f>
        <v>8</v>
      </c>
      <c r="K8360" s="11">
        <f>IF(B8360&lt;C8360,1,EXP(-1*(B8360-C8360)/(Utilities!$B$11*IterData!H8360)))</f>
        <v>1</v>
      </c>
    </row>
    <row r="8361" spans="8:11" x14ac:dyDescent="0.3">
      <c r="H8361">
        <v>0.5</v>
      </c>
      <c r="I8361" s="11">
        <f t="shared" si="130"/>
        <v>0</v>
      </c>
      <c r="J8361" s="11">
        <f>1/(H8361*Utilities!$B$11)</f>
        <v>8</v>
      </c>
      <c r="K8361" s="11">
        <f>IF(B8361&lt;C8361,1,EXP(-1*(B8361-C8361)/(Utilities!$B$11*IterData!H8361)))</f>
        <v>1</v>
      </c>
    </row>
    <row r="8362" spans="8:11" x14ac:dyDescent="0.3">
      <c r="H8362">
        <v>0.5</v>
      </c>
      <c r="I8362" s="11">
        <f t="shared" si="130"/>
        <v>0</v>
      </c>
      <c r="J8362" s="11">
        <f>1/(H8362*Utilities!$B$11)</f>
        <v>8</v>
      </c>
      <c r="K8362" s="11">
        <f>IF(B8362&lt;C8362,1,EXP(-1*(B8362-C8362)/(Utilities!$B$11*IterData!H8362)))</f>
        <v>1</v>
      </c>
    </row>
    <row r="8363" spans="8:11" x14ac:dyDescent="0.3">
      <c r="H8363">
        <v>0.5</v>
      </c>
      <c r="I8363" s="11">
        <f t="shared" si="130"/>
        <v>0</v>
      </c>
      <c r="J8363" s="11">
        <f>1/(H8363*Utilities!$B$11)</f>
        <v>8</v>
      </c>
      <c r="K8363" s="11">
        <f>IF(B8363&lt;C8363,1,EXP(-1*(B8363-C8363)/(Utilities!$B$11*IterData!H8363)))</f>
        <v>1</v>
      </c>
    </row>
    <row r="8364" spans="8:11" x14ac:dyDescent="0.3">
      <c r="H8364">
        <v>0.5</v>
      </c>
      <c r="I8364" s="11">
        <f t="shared" si="130"/>
        <v>0</v>
      </c>
      <c r="J8364" s="11">
        <f>1/(H8364*Utilities!$B$11)</f>
        <v>8</v>
      </c>
      <c r="K8364" s="11">
        <f>IF(B8364&lt;C8364,1,EXP(-1*(B8364-C8364)/(Utilities!$B$11*IterData!H8364)))</f>
        <v>1</v>
      </c>
    </row>
    <row r="8365" spans="8:11" x14ac:dyDescent="0.3">
      <c r="H8365">
        <v>0.5</v>
      </c>
      <c r="I8365" s="11">
        <f t="shared" si="130"/>
        <v>0</v>
      </c>
      <c r="J8365" s="11">
        <f>1/(H8365*Utilities!$B$11)</f>
        <v>8</v>
      </c>
      <c r="K8365" s="11">
        <f>IF(B8365&lt;C8365,1,EXP(-1*(B8365-C8365)/(Utilities!$B$11*IterData!H8365)))</f>
        <v>1</v>
      </c>
    </row>
    <row r="8366" spans="8:11" x14ac:dyDescent="0.3">
      <c r="H8366">
        <v>0.5</v>
      </c>
      <c r="I8366" s="11">
        <f t="shared" si="130"/>
        <v>0</v>
      </c>
      <c r="J8366" s="11">
        <f>1/(H8366*Utilities!$B$11)</f>
        <v>8</v>
      </c>
      <c r="K8366" s="11">
        <f>IF(B8366&lt;C8366,1,EXP(-1*(B8366-C8366)/(Utilities!$B$11*IterData!H8366)))</f>
        <v>1</v>
      </c>
    </row>
    <row r="8367" spans="8:11" x14ac:dyDescent="0.3">
      <c r="H8367">
        <v>0.5</v>
      </c>
      <c r="I8367" s="11">
        <f t="shared" si="130"/>
        <v>0</v>
      </c>
      <c r="J8367" s="11">
        <f>1/(H8367*Utilities!$B$11)</f>
        <v>8</v>
      </c>
      <c r="K8367" s="11">
        <f>IF(B8367&lt;C8367,1,EXP(-1*(B8367-C8367)/(Utilities!$B$11*IterData!H8367)))</f>
        <v>1</v>
      </c>
    </row>
    <row r="8368" spans="8:11" x14ac:dyDescent="0.3">
      <c r="H8368">
        <v>0.5</v>
      </c>
      <c r="I8368" s="11">
        <f t="shared" si="130"/>
        <v>0</v>
      </c>
      <c r="J8368" s="11">
        <f>1/(H8368*Utilities!$B$11)</f>
        <v>8</v>
      </c>
      <c r="K8368" s="11">
        <f>IF(B8368&lt;C8368,1,EXP(-1*(B8368-C8368)/(Utilities!$B$11*IterData!H8368)))</f>
        <v>1</v>
      </c>
    </row>
    <row r="8369" spans="8:11" x14ac:dyDescent="0.3">
      <c r="H8369">
        <v>0.5</v>
      </c>
      <c r="I8369" s="11">
        <f t="shared" si="130"/>
        <v>0</v>
      </c>
      <c r="J8369" s="11">
        <f>1/(H8369*Utilities!$B$11)</f>
        <v>8</v>
      </c>
      <c r="K8369" s="11">
        <f>IF(B8369&lt;C8369,1,EXP(-1*(B8369-C8369)/(Utilities!$B$11*IterData!H8369)))</f>
        <v>1</v>
      </c>
    </row>
    <row r="8370" spans="8:11" x14ac:dyDescent="0.3">
      <c r="H8370">
        <v>0.5</v>
      </c>
      <c r="I8370" s="11">
        <f t="shared" si="130"/>
        <v>0</v>
      </c>
      <c r="J8370" s="11">
        <f>1/(H8370*Utilities!$B$11)</f>
        <v>8</v>
      </c>
      <c r="K8370" s="11">
        <f>IF(B8370&lt;C8370,1,EXP(-1*(B8370-C8370)/(Utilities!$B$11*IterData!H8370)))</f>
        <v>1</v>
      </c>
    </row>
    <row r="8371" spans="8:11" x14ac:dyDescent="0.3">
      <c r="H8371">
        <v>0.5</v>
      </c>
      <c r="I8371" s="11">
        <f t="shared" si="130"/>
        <v>0</v>
      </c>
      <c r="J8371" s="11">
        <f>1/(H8371*Utilities!$B$11)</f>
        <v>8</v>
      </c>
      <c r="K8371" s="11">
        <f>IF(B8371&lt;C8371,1,EXP(-1*(B8371-C8371)/(Utilities!$B$11*IterData!H8371)))</f>
        <v>1</v>
      </c>
    </row>
    <row r="8372" spans="8:11" x14ac:dyDescent="0.3">
      <c r="H8372">
        <v>0.5</v>
      </c>
      <c r="I8372" s="11">
        <f t="shared" si="130"/>
        <v>0</v>
      </c>
      <c r="J8372" s="11">
        <f>1/(H8372*Utilities!$B$11)</f>
        <v>8</v>
      </c>
      <c r="K8372" s="11">
        <f>IF(B8372&lt;C8372,1,EXP(-1*(B8372-C8372)/(Utilities!$B$11*IterData!H8372)))</f>
        <v>1</v>
      </c>
    </row>
    <row r="8373" spans="8:11" x14ac:dyDescent="0.3">
      <c r="H8373">
        <v>0.5</v>
      </c>
      <c r="I8373" s="11">
        <f t="shared" si="130"/>
        <v>0</v>
      </c>
      <c r="J8373" s="11">
        <f>1/(H8373*Utilities!$B$11)</f>
        <v>8</v>
      </c>
      <c r="K8373" s="11">
        <f>IF(B8373&lt;C8373,1,EXP(-1*(B8373-C8373)/(Utilities!$B$11*IterData!H8373)))</f>
        <v>1</v>
      </c>
    </row>
    <row r="8374" spans="8:11" x14ac:dyDescent="0.3">
      <c r="H8374">
        <v>0.5</v>
      </c>
      <c r="I8374" s="11">
        <f t="shared" si="130"/>
        <v>0</v>
      </c>
      <c r="J8374" s="11">
        <f>1/(H8374*Utilities!$B$11)</f>
        <v>8</v>
      </c>
      <c r="K8374" s="11">
        <f>IF(B8374&lt;C8374,1,EXP(-1*(B8374-C8374)/(Utilities!$B$11*IterData!H8374)))</f>
        <v>1</v>
      </c>
    </row>
    <row r="8375" spans="8:11" x14ac:dyDescent="0.3">
      <c r="H8375">
        <v>0.5</v>
      </c>
      <c r="I8375" s="11">
        <f t="shared" si="130"/>
        <v>0</v>
      </c>
      <c r="J8375" s="11">
        <f>1/(H8375*Utilities!$B$11)</f>
        <v>8</v>
      </c>
      <c r="K8375" s="11">
        <f>IF(B8375&lt;C8375,1,EXP(-1*(B8375-C8375)/(Utilities!$B$11*IterData!H8375)))</f>
        <v>1</v>
      </c>
    </row>
    <row r="8376" spans="8:11" x14ac:dyDescent="0.3">
      <c r="H8376">
        <v>0.5</v>
      </c>
      <c r="I8376" s="11">
        <f t="shared" si="130"/>
        <v>0</v>
      </c>
      <c r="J8376" s="11">
        <f>1/(H8376*Utilities!$B$11)</f>
        <v>8</v>
      </c>
      <c r="K8376" s="11">
        <f>IF(B8376&lt;C8376,1,EXP(-1*(B8376-C8376)/(Utilities!$B$11*IterData!H8376)))</f>
        <v>1</v>
      </c>
    </row>
    <row r="8377" spans="8:11" x14ac:dyDescent="0.3">
      <c r="H8377">
        <v>0.5</v>
      </c>
      <c r="I8377" s="11">
        <f t="shared" si="130"/>
        <v>0</v>
      </c>
      <c r="J8377" s="11">
        <f>1/(H8377*Utilities!$B$11)</f>
        <v>8</v>
      </c>
      <c r="K8377" s="11">
        <f>IF(B8377&lt;C8377,1,EXP(-1*(B8377-C8377)/(Utilities!$B$11*IterData!H8377)))</f>
        <v>1</v>
      </c>
    </row>
    <row r="8378" spans="8:11" x14ac:dyDescent="0.3">
      <c r="H8378">
        <v>0.5</v>
      </c>
      <c r="I8378" s="11">
        <f t="shared" si="130"/>
        <v>0</v>
      </c>
      <c r="J8378" s="11">
        <f>1/(H8378*Utilities!$B$11)</f>
        <v>8</v>
      </c>
      <c r="K8378" s="11">
        <f>IF(B8378&lt;C8378,1,EXP(-1*(B8378-C8378)/(Utilities!$B$11*IterData!H8378)))</f>
        <v>1</v>
      </c>
    </row>
    <row r="8379" spans="8:11" x14ac:dyDescent="0.3">
      <c r="H8379">
        <v>0.5</v>
      </c>
      <c r="I8379" s="11">
        <f t="shared" si="130"/>
        <v>0</v>
      </c>
      <c r="J8379" s="11">
        <f>1/(H8379*Utilities!$B$11)</f>
        <v>8</v>
      </c>
      <c r="K8379" s="11">
        <f>IF(B8379&lt;C8379,1,EXP(-1*(B8379-C8379)/(Utilities!$B$11*IterData!H8379)))</f>
        <v>1</v>
      </c>
    </row>
    <row r="8380" spans="8:11" x14ac:dyDescent="0.3">
      <c r="H8380">
        <v>0.5</v>
      </c>
      <c r="I8380" s="11">
        <f t="shared" si="130"/>
        <v>0</v>
      </c>
      <c r="J8380" s="11">
        <f>1/(H8380*Utilities!$B$11)</f>
        <v>8</v>
      </c>
      <c r="K8380" s="11">
        <f>IF(B8380&lt;C8380,1,EXP(-1*(B8380-C8380)/(Utilities!$B$11*IterData!H8380)))</f>
        <v>1</v>
      </c>
    </row>
    <row r="8381" spans="8:11" x14ac:dyDescent="0.3">
      <c r="H8381">
        <v>0.5</v>
      </c>
      <c r="I8381" s="11">
        <f t="shared" si="130"/>
        <v>0</v>
      </c>
      <c r="J8381" s="11">
        <f>1/(H8381*Utilities!$B$11)</f>
        <v>8</v>
      </c>
      <c r="K8381" s="11">
        <f>IF(B8381&lt;C8381,1,EXP(-1*(B8381-C8381)/(Utilities!$B$11*IterData!H8381)))</f>
        <v>1</v>
      </c>
    </row>
    <row r="8382" spans="8:11" x14ac:dyDescent="0.3">
      <c r="H8382">
        <v>0.5</v>
      </c>
      <c r="I8382" s="11">
        <f t="shared" si="130"/>
        <v>0</v>
      </c>
      <c r="J8382" s="11">
        <f>1/(H8382*Utilities!$B$11)</f>
        <v>8</v>
      </c>
      <c r="K8382" s="11">
        <f>IF(B8382&lt;C8382,1,EXP(-1*(B8382-C8382)/(Utilities!$B$11*IterData!H8382)))</f>
        <v>1</v>
      </c>
    </row>
    <row r="8383" spans="8:11" x14ac:dyDescent="0.3">
      <c r="H8383">
        <v>0.5</v>
      </c>
      <c r="I8383" s="11">
        <f t="shared" si="130"/>
        <v>0</v>
      </c>
      <c r="J8383" s="11">
        <f>1/(H8383*Utilities!$B$11)</f>
        <v>8</v>
      </c>
      <c r="K8383" s="11">
        <f>IF(B8383&lt;C8383,1,EXP(-1*(B8383-C8383)/(Utilities!$B$11*IterData!H8383)))</f>
        <v>1</v>
      </c>
    </row>
    <row r="8384" spans="8:11" x14ac:dyDescent="0.3">
      <c r="H8384">
        <v>0.5</v>
      </c>
      <c r="I8384" s="11">
        <f t="shared" si="130"/>
        <v>0</v>
      </c>
      <c r="J8384" s="11">
        <f>1/(H8384*Utilities!$B$11)</f>
        <v>8</v>
      </c>
      <c r="K8384" s="11">
        <f>IF(B8384&lt;C8384,1,EXP(-1*(B8384-C8384)/(Utilities!$B$11*IterData!H8384)))</f>
        <v>1</v>
      </c>
    </row>
    <row r="8385" spans="8:11" x14ac:dyDescent="0.3">
      <c r="H8385">
        <v>0.5</v>
      </c>
      <c r="I8385" s="11">
        <f t="shared" si="130"/>
        <v>0</v>
      </c>
      <c r="J8385" s="11">
        <f>1/(H8385*Utilities!$B$11)</f>
        <v>8</v>
      </c>
      <c r="K8385" s="11">
        <f>IF(B8385&lt;C8385,1,EXP(-1*(B8385-C8385)/(Utilities!$B$11*IterData!H8385)))</f>
        <v>1</v>
      </c>
    </row>
    <row r="8386" spans="8:11" x14ac:dyDescent="0.3">
      <c r="H8386">
        <v>0.5</v>
      </c>
      <c r="I8386" s="11">
        <f t="shared" si="130"/>
        <v>0</v>
      </c>
      <c r="J8386" s="11">
        <f>1/(H8386*Utilities!$B$11)</f>
        <v>8</v>
      </c>
      <c r="K8386" s="11">
        <f>IF(B8386&lt;C8386,1,EXP(-1*(B8386-C8386)/(Utilities!$B$11*IterData!H8386)))</f>
        <v>1</v>
      </c>
    </row>
    <row r="8387" spans="8:11" x14ac:dyDescent="0.3">
      <c r="H8387">
        <v>0.5</v>
      </c>
      <c r="I8387" s="11">
        <f t="shared" ref="I8387:I8450" si="131">B8387-C8387</f>
        <v>0</v>
      </c>
      <c r="J8387" s="11">
        <f>1/(H8387*Utilities!$B$11)</f>
        <v>8</v>
      </c>
      <c r="K8387" s="11">
        <f>IF(B8387&lt;C8387,1,EXP(-1*(B8387-C8387)/(Utilities!$B$11*IterData!H8387)))</f>
        <v>1</v>
      </c>
    </row>
    <row r="8388" spans="8:11" x14ac:dyDescent="0.3">
      <c r="H8388">
        <v>0.5</v>
      </c>
      <c r="I8388" s="11">
        <f t="shared" si="131"/>
        <v>0</v>
      </c>
      <c r="J8388" s="11">
        <f>1/(H8388*Utilities!$B$11)</f>
        <v>8</v>
      </c>
      <c r="K8388" s="11">
        <f>IF(B8388&lt;C8388,1,EXP(-1*(B8388-C8388)/(Utilities!$B$11*IterData!H8388)))</f>
        <v>1</v>
      </c>
    </row>
    <row r="8389" spans="8:11" x14ac:dyDescent="0.3">
      <c r="H8389">
        <v>0.5</v>
      </c>
      <c r="I8389" s="11">
        <f t="shared" si="131"/>
        <v>0</v>
      </c>
      <c r="J8389" s="11">
        <f>1/(H8389*Utilities!$B$11)</f>
        <v>8</v>
      </c>
      <c r="K8389" s="11">
        <f>IF(B8389&lt;C8389,1,EXP(-1*(B8389-C8389)/(Utilities!$B$11*IterData!H8389)))</f>
        <v>1</v>
      </c>
    </row>
    <row r="8390" spans="8:11" x14ac:dyDescent="0.3">
      <c r="H8390">
        <v>0.5</v>
      </c>
      <c r="I8390" s="11">
        <f t="shared" si="131"/>
        <v>0</v>
      </c>
      <c r="J8390" s="11">
        <f>1/(H8390*Utilities!$B$11)</f>
        <v>8</v>
      </c>
      <c r="K8390" s="11">
        <f>IF(B8390&lt;C8390,1,EXP(-1*(B8390-C8390)/(Utilities!$B$11*IterData!H8390)))</f>
        <v>1</v>
      </c>
    </row>
    <row r="8391" spans="8:11" x14ac:dyDescent="0.3">
      <c r="H8391">
        <v>0.5</v>
      </c>
      <c r="I8391" s="11">
        <f t="shared" si="131"/>
        <v>0</v>
      </c>
      <c r="J8391" s="11">
        <f>1/(H8391*Utilities!$B$11)</f>
        <v>8</v>
      </c>
      <c r="K8391" s="11">
        <f>IF(B8391&lt;C8391,1,EXP(-1*(B8391-C8391)/(Utilities!$B$11*IterData!H8391)))</f>
        <v>1</v>
      </c>
    </row>
    <row r="8392" spans="8:11" x14ac:dyDescent="0.3">
      <c r="H8392">
        <v>0.5</v>
      </c>
      <c r="I8392" s="11">
        <f t="shared" si="131"/>
        <v>0</v>
      </c>
      <c r="J8392" s="11">
        <f>1/(H8392*Utilities!$B$11)</f>
        <v>8</v>
      </c>
      <c r="K8392" s="11">
        <f>IF(B8392&lt;C8392,1,EXP(-1*(B8392-C8392)/(Utilities!$B$11*IterData!H8392)))</f>
        <v>1</v>
      </c>
    </row>
    <row r="8393" spans="8:11" x14ac:dyDescent="0.3">
      <c r="H8393">
        <v>0.5</v>
      </c>
      <c r="I8393" s="11">
        <f t="shared" si="131"/>
        <v>0</v>
      </c>
      <c r="J8393" s="11">
        <f>1/(H8393*Utilities!$B$11)</f>
        <v>8</v>
      </c>
      <c r="K8393" s="11">
        <f>IF(B8393&lt;C8393,1,EXP(-1*(B8393-C8393)/(Utilities!$B$11*IterData!H8393)))</f>
        <v>1</v>
      </c>
    </row>
    <row r="8394" spans="8:11" x14ac:dyDescent="0.3">
      <c r="H8394">
        <v>0.5</v>
      </c>
      <c r="I8394" s="11">
        <f t="shared" si="131"/>
        <v>0</v>
      </c>
      <c r="J8394" s="11">
        <f>1/(H8394*Utilities!$B$11)</f>
        <v>8</v>
      </c>
      <c r="K8394" s="11">
        <f>IF(B8394&lt;C8394,1,EXP(-1*(B8394-C8394)/(Utilities!$B$11*IterData!H8394)))</f>
        <v>1</v>
      </c>
    </row>
    <row r="8395" spans="8:11" x14ac:dyDescent="0.3">
      <c r="H8395">
        <v>0.5</v>
      </c>
      <c r="I8395" s="11">
        <f t="shared" si="131"/>
        <v>0</v>
      </c>
      <c r="J8395" s="11">
        <f>1/(H8395*Utilities!$B$11)</f>
        <v>8</v>
      </c>
      <c r="K8395" s="11">
        <f>IF(B8395&lt;C8395,1,EXP(-1*(B8395-C8395)/(Utilities!$B$11*IterData!H8395)))</f>
        <v>1</v>
      </c>
    </row>
    <row r="8396" spans="8:11" x14ac:dyDescent="0.3">
      <c r="H8396">
        <v>0.5</v>
      </c>
      <c r="I8396" s="11">
        <f t="shared" si="131"/>
        <v>0</v>
      </c>
      <c r="J8396" s="11">
        <f>1/(H8396*Utilities!$B$11)</f>
        <v>8</v>
      </c>
      <c r="K8396" s="11">
        <f>IF(B8396&lt;C8396,1,EXP(-1*(B8396-C8396)/(Utilities!$B$11*IterData!H8396)))</f>
        <v>1</v>
      </c>
    </row>
    <row r="8397" spans="8:11" x14ac:dyDescent="0.3">
      <c r="H8397">
        <v>0.5</v>
      </c>
      <c r="I8397" s="11">
        <f t="shared" si="131"/>
        <v>0</v>
      </c>
      <c r="J8397" s="11">
        <f>1/(H8397*Utilities!$B$11)</f>
        <v>8</v>
      </c>
      <c r="K8397" s="11">
        <f>IF(B8397&lt;C8397,1,EXP(-1*(B8397-C8397)/(Utilities!$B$11*IterData!H8397)))</f>
        <v>1</v>
      </c>
    </row>
    <row r="8398" spans="8:11" x14ac:dyDescent="0.3">
      <c r="H8398">
        <v>0.5</v>
      </c>
      <c r="I8398" s="11">
        <f t="shared" si="131"/>
        <v>0</v>
      </c>
      <c r="J8398" s="11">
        <f>1/(H8398*Utilities!$B$11)</f>
        <v>8</v>
      </c>
      <c r="K8398" s="11">
        <f>IF(B8398&lt;C8398,1,EXP(-1*(B8398-C8398)/(Utilities!$B$11*IterData!H8398)))</f>
        <v>1</v>
      </c>
    </row>
    <row r="8399" spans="8:11" x14ac:dyDescent="0.3">
      <c r="H8399">
        <v>0.5</v>
      </c>
      <c r="I8399" s="11">
        <f t="shared" si="131"/>
        <v>0</v>
      </c>
      <c r="J8399" s="11">
        <f>1/(H8399*Utilities!$B$11)</f>
        <v>8</v>
      </c>
      <c r="K8399" s="11">
        <f>IF(B8399&lt;C8399,1,EXP(-1*(B8399-C8399)/(Utilities!$B$11*IterData!H8399)))</f>
        <v>1</v>
      </c>
    </row>
    <row r="8400" spans="8:11" x14ac:dyDescent="0.3">
      <c r="H8400">
        <v>0.5</v>
      </c>
      <c r="I8400" s="11">
        <f t="shared" si="131"/>
        <v>0</v>
      </c>
      <c r="J8400" s="11">
        <f>1/(H8400*Utilities!$B$11)</f>
        <v>8</v>
      </c>
      <c r="K8400" s="11">
        <f>IF(B8400&lt;C8400,1,EXP(-1*(B8400-C8400)/(Utilities!$B$11*IterData!H8400)))</f>
        <v>1</v>
      </c>
    </row>
    <row r="8401" spans="8:11" x14ac:dyDescent="0.3">
      <c r="H8401">
        <v>0.5</v>
      </c>
      <c r="I8401" s="11">
        <f t="shared" si="131"/>
        <v>0</v>
      </c>
      <c r="J8401" s="11">
        <f>1/(H8401*Utilities!$B$11)</f>
        <v>8</v>
      </c>
      <c r="K8401" s="11">
        <f>IF(B8401&lt;C8401,1,EXP(-1*(B8401-C8401)/(Utilities!$B$11*IterData!H8401)))</f>
        <v>1</v>
      </c>
    </row>
    <row r="8402" spans="8:11" x14ac:dyDescent="0.3">
      <c r="H8402">
        <v>0.5</v>
      </c>
      <c r="I8402" s="11">
        <f t="shared" si="131"/>
        <v>0</v>
      </c>
      <c r="J8402" s="11">
        <f>1/(H8402*Utilities!$B$11)</f>
        <v>8</v>
      </c>
      <c r="K8402" s="11">
        <f>IF(B8402&lt;C8402,1,EXP(-1*(B8402-C8402)/(Utilities!$B$11*IterData!H8402)))</f>
        <v>1</v>
      </c>
    </row>
    <row r="8403" spans="8:11" x14ac:dyDescent="0.3">
      <c r="H8403">
        <v>0.5</v>
      </c>
      <c r="I8403" s="11">
        <f t="shared" si="131"/>
        <v>0</v>
      </c>
      <c r="J8403" s="11">
        <f>1/(H8403*Utilities!$B$11)</f>
        <v>8</v>
      </c>
      <c r="K8403" s="11">
        <f>IF(B8403&lt;C8403,1,EXP(-1*(B8403-C8403)/(Utilities!$B$11*IterData!H8403)))</f>
        <v>1</v>
      </c>
    </row>
    <row r="8404" spans="8:11" x14ac:dyDescent="0.3">
      <c r="H8404">
        <v>0.5</v>
      </c>
      <c r="I8404" s="11">
        <f t="shared" si="131"/>
        <v>0</v>
      </c>
      <c r="J8404" s="11">
        <f>1/(H8404*Utilities!$B$11)</f>
        <v>8</v>
      </c>
      <c r="K8404" s="11">
        <f>IF(B8404&lt;C8404,1,EXP(-1*(B8404-C8404)/(Utilities!$B$11*IterData!H8404)))</f>
        <v>1</v>
      </c>
    </row>
    <row r="8405" spans="8:11" x14ac:dyDescent="0.3">
      <c r="H8405">
        <v>0.5</v>
      </c>
      <c r="I8405" s="11">
        <f t="shared" si="131"/>
        <v>0</v>
      </c>
      <c r="J8405" s="11">
        <f>1/(H8405*Utilities!$B$11)</f>
        <v>8</v>
      </c>
      <c r="K8405" s="11">
        <f>IF(B8405&lt;C8405,1,EXP(-1*(B8405-C8405)/(Utilities!$B$11*IterData!H8405)))</f>
        <v>1</v>
      </c>
    </row>
    <row r="8406" spans="8:11" x14ac:dyDescent="0.3">
      <c r="H8406">
        <v>0.5</v>
      </c>
      <c r="I8406" s="11">
        <f t="shared" si="131"/>
        <v>0</v>
      </c>
      <c r="J8406" s="11">
        <f>1/(H8406*Utilities!$B$11)</f>
        <v>8</v>
      </c>
      <c r="K8406" s="11">
        <f>IF(B8406&lt;C8406,1,EXP(-1*(B8406-C8406)/(Utilities!$B$11*IterData!H8406)))</f>
        <v>1</v>
      </c>
    </row>
    <row r="8407" spans="8:11" x14ac:dyDescent="0.3">
      <c r="H8407">
        <v>0.5</v>
      </c>
      <c r="I8407" s="11">
        <f t="shared" si="131"/>
        <v>0</v>
      </c>
      <c r="J8407" s="11">
        <f>1/(H8407*Utilities!$B$11)</f>
        <v>8</v>
      </c>
      <c r="K8407" s="11">
        <f>IF(B8407&lt;C8407,1,EXP(-1*(B8407-C8407)/(Utilities!$B$11*IterData!H8407)))</f>
        <v>1</v>
      </c>
    </row>
    <row r="8408" spans="8:11" x14ac:dyDescent="0.3">
      <c r="H8408">
        <v>0.5</v>
      </c>
      <c r="I8408" s="11">
        <f t="shared" si="131"/>
        <v>0</v>
      </c>
      <c r="J8408" s="11">
        <f>1/(H8408*Utilities!$B$11)</f>
        <v>8</v>
      </c>
      <c r="K8408" s="11">
        <f>IF(B8408&lt;C8408,1,EXP(-1*(B8408-C8408)/(Utilities!$B$11*IterData!H8408)))</f>
        <v>1</v>
      </c>
    </row>
    <row r="8409" spans="8:11" x14ac:dyDescent="0.3">
      <c r="H8409">
        <v>0.5</v>
      </c>
      <c r="I8409" s="11">
        <f t="shared" si="131"/>
        <v>0</v>
      </c>
      <c r="J8409" s="11">
        <f>1/(H8409*Utilities!$B$11)</f>
        <v>8</v>
      </c>
      <c r="K8409" s="11">
        <f>IF(B8409&lt;C8409,1,EXP(-1*(B8409-C8409)/(Utilities!$B$11*IterData!H8409)))</f>
        <v>1</v>
      </c>
    </row>
    <row r="8410" spans="8:11" x14ac:dyDescent="0.3">
      <c r="H8410">
        <v>0.5</v>
      </c>
      <c r="I8410" s="11">
        <f t="shared" si="131"/>
        <v>0</v>
      </c>
      <c r="J8410" s="11">
        <f>1/(H8410*Utilities!$B$11)</f>
        <v>8</v>
      </c>
      <c r="K8410" s="11">
        <f>IF(B8410&lt;C8410,1,EXP(-1*(B8410-C8410)/(Utilities!$B$11*IterData!H8410)))</f>
        <v>1</v>
      </c>
    </row>
    <row r="8411" spans="8:11" x14ac:dyDescent="0.3">
      <c r="H8411">
        <v>0.5</v>
      </c>
      <c r="I8411" s="11">
        <f t="shared" si="131"/>
        <v>0</v>
      </c>
      <c r="J8411" s="11">
        <f>1/(H8411*Utilities!$B$11)</f>
        <v>8</v>
      </c>
      <c r="K8411" s="11">
        <f>IF(B8411&lt;C8411,1,EXP(-1*(B8411-C8411)/(Utilities!$B$11*IterData!H8411)))</f>
        <v>1</v>
      </c>
    </row>
    <row r="8412" spans="8:11" x14ac:dyDescent="0.3">
      <c r="H8412">
        <v>0.5</v>
      </c>
      <c r="I8412" s="11">
        <f t="shared" si="131"/>
        <v>0</v>
      </c>
      <c r="J8412" s="11">
        <f>1/(H8412*Utilities!$B$11)</f>
        <v>8</v>
      </c>
      <c r="K8412" s="11">
        <f>IF(B8412&lt;C8412,1,EXP(-1*(B8412-C8412)/(Utilities!$B$11*IterData!H8412)))</f>
        <v>1</v>
      </c>
    </row>
    <row r="8413" spans="8:11" x14ac:dyDescent="0.3">
      <c r="H8413">
        <v>0.5</v>
      </c>
      <c r="I8413" s="11">
        <f t="shared" si="131"/>
        <v>0</v>
      </c>
      <c r="J8413" s="11">
        <f>1/(H8413*Utilities!$B$11)</f>
        <v>8</v>
      </c>
      <c r="K8413" s="11">
        <f>IF(B8413&lt;C8413,1,EXP(-1*(B8413-C8413)/(Utilities!$B$11*IterData!H8413)))</f>
        <v>1</v>
      </c>
    </row>
    <row r="8414" spans="8:11" x14ac:dyDescent="0.3">
      <c r="H8414">
        <v>0.5</v>
      </c>
      <c r="I8414" s="11">
        <f t="shared" si="131"/>
        <v>0</v>
      </c>
      <c r="J8414" s="11">
        <f>1/(H8414*Utilities!$B$11)</f>
        <v>8</v>
      </c>
      <c r="K8414" s="11">
        <f>IF(B8414&lt;C8414,1,EXP(-1*(B8414-C8414)/(Utilities!$B$11*IterData!H8414)))</f>
        <v>1</v>
      </c>
    </row>
    <row r="8415" spans="8:11" x14ac:dyDescent="0.3">
      <c r="H8415">
        <v>0.5</v>
      </c>
      <c r="I8415" s="11">
        <f t="shared" si="131"/>
        <v>0</v>
      </c>
      <c r="J8415" s="11">
        <f>1/(H8415*Utilities!$B$11)</f>
        <v>8</v>
      </c>
      <c r="K8415" s="11">
        <f>IF(B8415&lt;C8415,1,EXP(-1*(B8415-C8415)/(Utilities!$B$11*IterData!H8415)))</f>
        <v>1</v>
      </c>
    </row>
    <row r="8416" spans="8:11" x14ac:dyDescent="0.3">
      <c r="H8416">
        <v>0.5</v>
      </c>
      <c r="I8416" s="11">
        <f t="shared" si="131"/>
        <v>0</v>
      </c>
      <c r="J8416" s="11">
        <f>1/(H8416*Utilities!$B$11)</f>
        <v>8</v>
      </c>
      <c r="K8416" s="11">
        <f>IF(B8416&lt;C8416,1,EXP(-1*(B8416-C8416)/(Utilities!$B$11*IterData!H8416)))</f>
        <v>1</v>
      </c>
    </row>
    <row r="8417" spans="8:11" x14ac:dyDescent="0.3">
      <c r="H8417">
        <v>0.5</v>
      </c>
      <c r="I8417" s="11">
        <f t="shared" si="131"/>
        <v>0</v>
      </c>
      <c r="J8417" s="11">
        <f>1/(H8417*Utilities!$B$11)</f>
        <v>8</v>
      </c>
      <c r="K8417" s="11">
        <f>IF(B8417&lt;C8417,1,EXP(-1*(B8417-C8417)/(Utilities!$B$11*IterData!H8417)))</f>
        <v>1</v>
      </c>
    </row>
    <row r="8418" spans="8:11" x14ac:dyDescent="0.3">
      <c r="H8418">
        <v>0.5</v>
      </c>
      <c r="I8418" s="11">
        <f t="shared" si="131"/>
        <v>0</v>
      </c>
      <c r="J8418" s="11">
        <f>1/(H8418*Utilities!$B$11)</f>
        <v>8</v>
      </c>
      <c r="K8418" s="11">
        <f>IF(B8418&lt;C8418,1,EXP(-1*(B8418-C8418)/(Utilities!$B$11*IterData!H8418)))</f>
        <v>1</v>
      </c>
    </row>
    <row r="8419" spans="8:11" x14ac:dyDescent="0.3">
      <c r="H8419">
        <v>0.5</v>
      </c>
      <c r="I8419" s="11">
        <f t="shared" si="131"/>
        <v>0</v>
      </c>
      <c r="J8419" s="11">
        <f>1/(H8419*Utilities!$B$11)</f>
        <v>8</v>
      </c>
      <c r="K8419" s="11">
        <f>IF(B8419&lt;C8419,1,EXP(-1*(B8419-C8419)/(Utilities!$B$11*IterData!H8419)))</f>
        <v>1</v>
      </c>
    </row>
    <row r="8420" spans="8:11" x14ac:dyDescent="0.3">
      <c r="H8420">
        <v>0.5</v>
      </c>
      <c r="I8420" s="11">
        <f t="shared" si="131"/>
        <v>0</v>
      </c>
      <c r="J8420" s="11">
        <f>1/(H8420*Utilities!$B$11)</f>
        <v>8</v>
      </c>
      <c r="K8420" s="11">
        <f>IF(B8420&lt;C8420,1,EXP(-1*(B8420-C8420)/(Utilities!$B$11*IterData!H8420)))</f>
        <v>1</v>
      </c>
    </row>
    <row r="8421" spans="8:11" x14ac:dyDescent="0.3">
      <c r="H8421">
        <v>0.5</v>
      </c>
      <c r="I8421" s="11">
        <f t="shared" si="131"/>
        <v>0</v>
      </c>
      <c r="J8421" s="11">
        <f>1/(H8421*Utilities!$B$11)</f>
        <v>8</v>
      </c>
      <c r="K8421" s="11">
        <f>IF(B8421&lt;C8421,1,EXP(-1*(B8421-C8421)/(Utilities!$B$11*IterData!H8421)))</f>
        <v>1</v>
      </c>
    </row>
    <row r="8422" spans="8:11" x14ac:dyDescent="0.3">
      <c r="H8422">
        <v>0.5</v>
      </c>
      <c r="I8422" s="11">
        <f t="shared" si="131"/>
        <v>0</v>
      </c>
      <c r="J8422" s="11">
        <f>1/(H8422*Utilities!$B$11)</f>
        <v>8</v>
      </c>
      <c r="K8422" s="11">
        <f>IF(B8422&lt;C8422,1,EXP(-1*(B8422-C8422)/(Utilities!$B$11*IterData!H8422)))</f>
        <v>1</v>
      </c>
    </row>
    <row r="8423" spans="8:11" x14ac:dyDescent="0.3">
      <c r="H8423">
        <v>0.5</v>
      </c>
      <c r="I8423" s="11">
        <f t="shared" si="131"/>
        <v>0</v>
      </c>
      <c r="J8423" s="11">
        <f>1/(H8423*Utilities!$B$11)</f>
        <v>8</v>
      </c>
      <c r="K8423" s="11">
        <f>IF(B8423&lt;C8423,1,EXP(-1*(B8423-C8423)/(Utilities!$B$11*IterData!H8423)))</f>
        <v>1</v>
      </c>
    </row>
    <row r="8424" spans="8:11" x14ac:dyDescent="0.3">
      <c r="H8424">
        <v>0.5</v>
      </c>
      <c r="I8424" s="11">
        <f t="shared" si="131"/>
        <v>0</v>
      </c>
      <c r="J8424" s="11">
        <f>1/(H8424*Utilities!$B$11)</f>
        <v>8</v>
      </c>
      <c r="K8424" s="11">
        <f>IF(B8424&lt;C8424,1,EXP(-1*(B8424-C8424)/(Utilities!$B$11*IterData!H8424)))</f>
        <v>1</v>
      </c>
    </row>
    <row r="8425" spans="8:11" x14ac:dyDescent="0.3">
      <c r="H8425">
        <v>0.5</v>
      </c>
      <c r="I8425" s="11">
        <f t="shared" si="131"/>
        <v>0</v>
      </c>
      <c r="J8425" s="11">
        <f>1/(H8425*Utilities!$B$11)</f>
        <v>8</v>
      </c>
      <c r="K8425" s="11">
        <f>IF(B8425&lt;C8425,1,EXP(-1*(B8425-C8425)/(Utilities!$B$11*IterData!H8425)))</f>
        <v>1</v>
      </c>
    </row>
    <row r="8426" spans="8:11" x14ac:dyDescent="0.3">
      <c r="H8426">
        <v>0.5</v>
      </c>
      <c r="I8426" s="11">
        <f t="shared" si="131"/>
        <v>0</v>
      </c>
      <c r="J8426" s="11">
        <f>1/(H8426*Utilities!$B$11)</f>
        <v>8</v>
      </c>
      <c r="K8426" s="11">
        <f>IF(B8426&lt;C8426,1,EXP(-1*(B8426-C8426)/(Utilities!$B$11*IterData!H8426)))</f>
        <v>1</v>
      </c>
    </row>
    <row r="8427" spans="8:11" x14ac:dyDescent="0.3">
      <c r="H8427">
        <v>0.5</v>
      </c>
      <c r="I8427" s="11">
        <f t="shared" si="131"/>
        <v>0</v>
      </c>
      <c r="J8427" s="11">
        <f>1/(H8427*Utilities!$B$11)</f>
        <v>8</v>
      </c>
      <c r="K8427" s="11">
        <f>IF(B8427&lt;C8427,1,EXP(-1*(B8427-C8427)/(Utilities!$B$11*IterData!H8427)))</f>
        <v>1</v>
      </c>
    </row>
    <row r="8428" spans="8:11" x14ac:dyDescent="0.3">
      <c r="H8428">
        <v>0.5</v>
      </c>
      <c r="I8428" s="11">
        <f t="shared" si="131"/>
        <v>0</v>
      </c>
      <c r="J8428" s="11">
        <f>1/(H8428*Utilities!$B$11)</f>
        <v>8</v>
      </c>
      <c r="K8428" s="11">
        <f>IF(B8428&lt;C8428,1,EXP(-1*(B8428-C8428)/(Utilities!$B$11*IterData!H8428)))</f>
        <v>1</v>
      </c>
    </row>
    <row r="8429" spans="8:11" x14ac:dyDescent="0.3">
      <c r="H8429">
        <v>0.5</v>
      </c>
      <c r="I8429" s="11">
        <f t="shared" si="131"/>
        <v>0</v>
      </c>
      <c r="J8429" s="11">
        <f>1/(H8429*Utilities!$B$11)</f>
        <v>8</v>
      </c>
      <c r="K8429" s="11">
        <f>IF(B8429&lt;C8429,1,EXP(-1*(B8429-C8429)/(Utilities!$B$11*IterData!H8429)))</f>
        <v>1</v>
      </c>
    </row>
    <row r="8430" spans="8:11" x14ac:dyDescent="0.3">
      <c r="H8430">
        <v>0.5</v>
      </c>
      <c r="I8430" s="11">
        <f t="shared" si="131"/>
        <v>0</v>
      </c>
      <c r="J8430" s="11">
        <f>1/(H8430*Utilities!$B$11)</f>
        <v>8</v>
      </c>
      <c r="K8430" s="11">
        <f>IF(B8430&lt;C8430,1,EXP(-1*(B8430-C8430)/(Utilities!$B$11*IterData!H8430)))</f>
        <v>1</v>
      </c>
    </row>
    <row r="8431" spans="8:11" x14ac:dyDescent="0.3">
      <c r="H8431">
        <v>0.5</v>
      </c>
      <c r="I8431" s="11">
        <f t="shared" si="131"/>
        <v>0</v>
      </c>
      <c r="J8431" s="11">
        <f>1/(H8431*Utilities!$B$11)</f>
        <v>8</v>
      </c>
      <c r="K8431" s="11">
        <f>IF(B8431&lt;C8431,1,EXP(-1*(B8431-C8431)/(Utilities!$B$11*IterData!H8431)))</f>
        <v>1</v>
      </c>
    </row>
    <row r="8432" spans="8:11" x14ac:dyDescent="0.3">
      <c r="H8432">
        <v>0.5</v>
      </c>
      <c r="I8432" s="11">
        <f t="shared" si="131"/>
        <v>0</v>
      </c>
      <c r="J8432" s="11">
        <f>1/(H8432*Utilities!$B$11)</f>
        <v>8</v>
      </c>
      <c r="K8432" s="11">
        <f>IF(B8432&lt;C8432,1,EXP(-1*(B8432-C8432)/(Utilities!$B$11*IterData!H8432)))</f>
        <v>1</v>
      </c>
    </row>
    <row r="8433" spans="8:11" x14ac:dyDescent="0.3">
      <c r="H8433">
        <v>0.5</v>
      </c>
      <c r="I8433" s="11">
        <f t="shared" si="131"/>
        <v>0</v>
      </c>
      <c r="J8433" s="11">
        <f>1/(H8433*Utilities!$B$11)</f>
        <v>8</v>
      </c>
      <c r="K8433" s="11">
        <f>IF(B8433&lt;C8433,1,EXP(-1*(B8433-C8433)/(Utilities!$B$11*IterData!H8433)))</f>
        <v>1</v>
      </c>
    </row>
    <row r="8434" spans="8:11" x14ac:dyDescent="0.3">
      <c r="H8434">
        <v>0.5</v>
      </c>
      <c r="I8434" s="11">
        <f t="shared" si="131"/>
        <v>0</v>
      </c>
      <c r="J8434" s="11">
        <f>1/(H8434*Utilities!$B$11)</f>
        <v>8</v>
      </c>
      <c r="K8434" s="11">
        <f>IF(B8434&lt;C8434,1,EXP(-1*(B8434-C8434)/(Utilities!$B$11*IterData!H8434)))</f>
        <v>1</v>
      </c>
    </row>
    <row r="8435" spans="8:11" x14ac:dyDescent="0.3">
      <c r="H8435">
        <v>0.5</v>
      </c>
      <c r="I8435" s="11">
        <f t="shared" si="131"/>
        <v>0</v>
      </c>
      <c r="J8435" s="11">
        <f>1/(H8435*Utilities!$B$11)</f>
        <v>8</v>
      </c>
      <c r="K8435" s="11">
        <f>IF(B8435&lt;C8435,1,EXP(-1*(B8435-C8435)/(Utilities!$B$11*IterData!H8435)))</f>
        <v>1</v>
      </c>
    </row>
    <row r="8436" spans="8:11" x14ac:dyDescent="0.3">
      <c r="H8436">
        <v>0.5</v>
      </c>
      <c r="I8436" s="11">
        <f t="shared" si="131"/>
        <v>0</v>
      </c>
      <c r="J8436" s="11">
        <f>1/(H8436*Utilities!$B$11)</f>
        <v>8</v>
      </c>
      <c r="K8436" s="11">
        <f>IF(B8436&lt;C8436,1,EXP(-1*(B8436-C8436)/(Utilities!$B$11*IterData!H8436)))</f>
        <v>1</v>
      </c>
    </row>
    <row r="8437" spans="8:11" x14ac:dyDescent="0.3">
      <c r="H8437">
        <v>0.5</v>
      </c>
      <c r="I8437" s="11">
        <f t="shared" si="131"/>
        <v>0</v>
      </c>
      <c r="J8437" s="11">
        <f>1/(H8437*Utilities!$B$11)</f>
        <v>8</v>
      </c>
      <c r="K8437" s="11">
        <f>IF(B8437&lt;C8437,1,EXP(-1*(B8437-C8437)/(Utilities!$B$11*IterData!H8437)))</f>
        <v>1</v>
      </c>
    </row>
    <row r="8438" spans="8:11" x14ac:dyDescent="0.3">
      <c r="H8438">
        <v>0.5</v>
      </c>
      <c r="I8438" s="11">
        <f t="shared" si="131"/>
        <v>0</v>
      </c>
      <c r="J8438" s="11">
        <f>1/(H8438*Utilities!$B$11)</f>
        <v>8</v>
      </c>
      <c r="K8438" s="11">
        <f>IF(B8438&lt;C8438,1,EXP(-1*(B8438-C8438)/(Utilities!$B$11*IterData!H8438)))</f>
        <v>1</v>
      </c>
    </row>
    <row r="8439" spans="8:11" x14ac:dyDescent="0.3">
      <c r="H8439">
        <v>0.5</v>
      </c>
      <c r="I8439" s="11">
        <f t="shared" si="131"/>
        <v>0</v>
      </c>
      <c r="J8439" s="11">
        <f>1/(H8439*Utilities!$B$11)</f>
        <v>8</v>
      </c>
      <c r="K8439" s="11">
        <f>IF(B8439&lt;C8439,1,EXP(-1*(B8439-C8439)/(Utilities!$B$11*IterData!H8439)))</f>
        <v>1</v>
      </c>
    </row>
    <row r="8440" spans="8:11" x14ac:dyDescent="0.3">
      <c r="H8440">
        <v>0.5</v>
      </c>
      <c r="I8440" s="11">
        <f t="shared" si="131"/>
        <v>0</v>
      </c>
      <c r="J8440" s="11">
        <f>1/(H8440*Utilities!$B$11)</f>
        <v>8</v>
      </c>
      <c r="K8440" s="11">
        <f>IF(B8440&lt;C8440,1,EXP(-1*(B8440-C8440)/(Utilities!$B$11*IterData!H8440)))</f>
        <v>1</v>
      </c>
    </row>
    <row r="8441" spans="8:11" x14ac:dyDescent="0.3">
      <c r="H8441">
        <v>0.5</v>
      </c>
      <c r="I8441" s="11">
        <f t="shared" si="131"/>
        <v>0</v>
      </c>
      <c r="J8441" s="11">
        <f>1/(H8441*Utilities!$B$11)</f>
        <v>8</v>
      </c>
      <c r="K8441" s="11">
        <f>IF(B8441&lt;C8441,1,EXP(-1*(B8441-C8441)/(Utilities!$B$11*IterData!H8441)))</f>
        <v>1</v>
      </c>
    </row>
    <row r="8442" spans="8:11" x14ac:dyDescent="0.3">
      <c r="H8442">
        <v>0.5</v>
      </c>
      <c r="I8442" s="11">
        <f t="shared" si="131"/>
        <v>0</v>
      </c>
      <c r="J8442" s="11">
        <f>1/(H8442*Utilities!$B$11)</f>
        <v>8</v>
      </c>
      <c r="K8442" s="11">
        <f>IF(B8442&lt;C8442,1,EXP(-1*(B8442-C8442)/(Utilities!$B$11*IterData!H8442)))</f>
        <v>1</v>
      </c>
    </row>
    <row r="8443" spans="8:11" x14ac:dyDescent="0.3">
      <c r="H8443">
        <v>0.5</v>
      </c>
      <c r="I8443" s="11">
        <f t="shared" si="131"/>
        <v>0</v>
      </c>
      <c r="J8443" s="11">
        <f>1/(H8443*Utilities!$B$11)</f>
        <v>8</v>
      </c>
      <c r="K8443" s="11">
        <f>IF(B8443&lt;C8443,1,EXP(-1*(B8443-C8443)/(Utilities!$B$11*IterData!H8443)))</f>
        <v>1</v>
      </c>
    </row>
    <row r="8444" spans="8:11" x14ac:dyDescent="0.3">
      <c r="H8444">
        <v>0.5</v>
      </c>
      <c r="I8444" s="11">
        <f t="shared" si="131"/>
        <v>0</v>
      </c>
      <c r="J8444" s="11">
        <f>1/(H8444*Utilities!$B$11)</f>
        <v>8</v>
      </c>
      <c r="K8444" s="11">
        <f>IF(B8444&lt;C8444,1,EXP(-1*(B8444-C8444)/(Utilities!$B$11*IterData!H8444)))</f>
        <v>1</v>
      </c>
    </row>
    <row r="8445" spans="8:11" x14ac:dyDescent="0.3">
      <c r="H8445">
        <v>0.5</v>
      </c>
      <c r="I8445" s="11">
        <f t="shared" si="131"/>
        <v>0</v>
      </c>
      <c r="J8445" s="11">
        <f>1/(H8445*Utilities!$B$11)</f>
        <v>8</v>
      </c>
      <c r="K8445" s="11">
        <f>IF(B8445&lt;C8445,1,EXP(-1*(B8445-C8445)/(Utilities!$B$11*IterData!H8445)))</f>
        <v>1</v>
      </c>
    </row>
    <row r="8446" spans="8:11" x14ac:dyDescent="0.3">
      <c r="H8446">
        <v>0.5</v>
      </c>
      <c r="I8446" s="11">
        <f t="shared" si="131"/>
        <v>0</v>
      </c>
      <c r="J8446" s="11">
        <f>1/(H8446*Utilities!$B$11)</f>
        <v>8</v>
      </c>
      <c r="K8446" s="11">
        <f>IF(B8446&lt;C8446,1,EXP(-1*(B8446-C8446)/(Utilities!$B$11*IterData!H8446)))</f>
        <v>1</v>
      </c>
    </row>
    <row r="8447" spans="8:11" x14ac:dyDescent="0.3">
      <c r="H8447">
        <v>0.5</v>
      </c>
      <c r="I8447" s="11">
        <f t="shared" si="131"/>
        <v>0</v>
      </c>
      <c r="J8447" s="11">
        <f>1/(H8447*Utilities!$B$11)</f>
        <v>8</v>
      </c>
      <c r="K8447" s="11">
        <f>IF(B8447&lt;C8447,1,EXP(-1*(B8447-C8447)/(Utilities!$B$11*IterData!H8447)))</f>
        <v>1</v>
      </c>
    </row>
    <row r="8448" spans="8:11" x14ac:dyDescent="0.3">
      <c r="H8448">
        <v>0.5</v>
      </c>
      <c r="I8448" s="11">
        <f t="shared" si="131"/>
        <v>0</v>
      </c>
      <c r="J8448" s="11">
        <f>1/(H8448*Utilities!$B$11)</f>
        <v>8</v>
      </c>
      <c r="K8448" s="11">
        <f>IF(B8448&lt;C8448,1,EXP(-1*(B8448-C8448)/(Utilities!$B$11*IterData!H8448)))</f>
        <v>1</v>
      </c>
    </row>
    <row r="8449" spans="8:11" x14ac:dyDescent="0.3">
      <c r="H8449">
        <v>0.5</v>
      </c>
      <c r="I8449" s="11">
        <f t="shared" si="131"/>
        <v>0</v>
      </c>
      <c r="J8449" s="11">
        <f>1/(H8449*Utilities!$B$11)</f>
        <v>8</v>
      </c>
      <c r="K8449" s="11">
        <f>IF(B8449&lt;C8449,1,EXP(-1*(B8449-C8449)/(Utilities!$B$11*IterData!H8449)))</f>
        <v>1</v>
      </c>
    </row>
    <row r="8450" spans="8:11" x14ac:dyDescent="0.3">
      <c r="H8450">
        <v>0.5</v>
      </c>
      <c r="I8450" s="11">
        <f t="shared" si="131"/>
        <v>0</v>
      </c>
      <c r="J8450" s="11">
        <f>1/(H8450*Utilities!$B$11)</f>
        <v>8</v>
      </c>
      <c r="K8450" s="11">
        <f>IF(B8450&lt;C8450,1,EXP(-1*(B8450-C8450)/(Utilities!$B$11*IterData!H8450)))</f>
        <v>1</v>
      </c>
    </row>
    <row r="8451" spans="8:11" x14ac:dyDescent="0.3">
      <c r="H8451">
        <v>0.5</v>
      </c>
      <c r="I8451" s="11">
        <f t="shared" ref="I8451:I8514" si="132">B8451-C8451</f>
        <v>0</v>
      </c>
      <c r="J8451" s="11">
        <f>1/(H8451*Utilities!$B$11)</f>
        <v>8</v>
      </c>
      <c r="K8451" s="11">
        <f>IF(B8451&lt;C8451,1,EXP(-1*(B8451-C8451)/(Utilities!$B$11*IterData!H8451)))</f>
        <v>1</v>
      </c>
    </row>
    <row r="8452" spans="8:11" x14ac:dyDescent="0.3">
      <c r="H8452">
        <v>0.5</v>
      </c>
      <c r="I8452" s="11">
        <f t="shared" si="132"/>
        <v>0</v>
      </c>
      <c r="J8452" s="11">
        <f>1/(H8452*Utilities!$B$11)</f>
        <v>8</v>
      </c>
      <c r="K8452" s="11">
        <f>IF(B8452&lt;C8452,1,EXP(-1*(B8452-C8452)/(Utilities!$B$11*IterData!H8452)))</f>
        <v>1</v>
      </c>
    </row>
    <row r="8453" spans="8:11" x14ac:dyDescent="0.3">
      <c r="H8453">
        <v>0.5</v>
      </c>
      <c r="I8453" s="11">
        <f t="shared" si="132"/>
        <v>0</v>
      </c>
      <c r="J8453" s="11">
        <f>1/(H8453*Utilities!$B$11)</f>
        <v>8</v>
      </c>
      <c r="K8453" s="11">
        <f>IF(B8453&lt;C8453,1,EXP(-1*(B8453-C8453)/(Utilities!$B$11*IterData!H8453)))</f>
        <v>1</v>
      </c>
    </row>
    <row r="8454" spans="8:11" x14ac:dyDescent="0.3">
      <c r="H8454">
        <v>0.5</v>
      </c>
      <c r="I8454" s="11">
        <f t="shared" si="132"/>
        <v>0</v>
      </c>
      <c r="J8454" s="11">
        <f>1/(H8454*Utilities!$B$11)</f>
        <v>8</v>
      </c>
      <c r="K8454" s="11">
        <f>IF(B8454&lt;C8454,1,EXP(-1*(B8454-C8454)/(Utilities!$B$11*IterData!H8454)))</f>
        <v>1</v>
      </c>
    </row>
    <row r="8455" spans="8:11" x14ac:dyDescent="0.3">
      <c r="H8455">
        <v>0.5</v>
      </c>
      <c r="I8455" s="11">
        <f t="shared" si="132"/>
        <v>0</v>
      </c>
      <c r="J8455" s="11">
        <f>1/(H8455*Utilities!$B$11)</f>
        <v>8</v>
      </c>
      <c r="K8455" s="11">
        <f>IF(B8455&lt;C8455,1,EXP(-1*(B8455-C8455)/(Utilities!$B$11*IterData!H8455)))</f>
        <v>1</v>
      </c>
    </row>
    <row r="8456" spans="8:11" x14ac:dyDescent="0.3">
      <c r="H8456">
        <v>0.5</v>
      </c>
      <c r="I8456" s="11">
        <f t="shared" si="132"/>
        <v>0</v>
      </c>
      <c r="J8456" s="11">
        <f>1/(H8456*Utilities!$B$11)</f>
        <v>8</v>
      </c>
      <c r="K8456" s="11">
        <f>IF(B8456&lt;C8456,1,EXP(-1*(B8456-C8456)/(Utilities!$B$11*IterData!H8456)))</f>
        <v>1</v>
      </c>
    </row>
    <row r="8457" spans="8:11" x14ac:dyDescent="0.3">
      <c r="H8457">
        <v>0.5</v>
      </c>
      <c r="I8457" s="11">
        <f t="shared" si="132"/>
        <v>0</v>
      </c>
      <c r="J8457" s="11">
        <f>1/(H8457*Utilities!$B$11)</f>
        <v>8</v>
      </c>
      <c r="K8457" s="11">
        <f>IF(B8457&lt;C8457,1,EXP(-1*(B8457-C8457)/(Utilities!$B$11*IterData!H8457)))</f>
        <v>1</v>
      </c>
    </row>
    <row r="8458" spans="8:11" x14ac:dyDescent="0.3">
      <c r="H8458">
        <v>0.5</v>
      </c>
      <c r="I8458" s="11">
        <f t="shared" si="132"/>
        <v>0</v>
      </c>
      <c r="J8458" s="11">
        <f>1/(H8458*Utilities!$B$11)</f>
        <v>8</v>
      </c>
      <c r="K8458" s="11">
        <f>IF(B8458&lt;C8458,1,EXP(-1*(B8458-C8458)/(Utilities!$B$11*IterData!H8458)))</f>
        <v>1</v>
      </c>
    </row>
    <row r="8459" spans="8:11" x14ac:dyDescent="0.3">
      <c r="H8459">
        <v>0.5</v>
      </c>
      <c r="I8459" s="11">
        <f t="shared" si="132"/>
        <v>0</v>
      </c>
      <c r="J8459" s="11">
        <f>1/(H8459*Utilities!$B$11)</f>
        <v>8</v>
      </c>
      <c r="K8459" s="11">
        <f>IF(B8459&lt;C8459,1,EXP(-1*(B8459-C8459)/(Utilities!$B$11*IterData!H8459)))</f>
        <v>1</v>
      </c>
    </row>
    <row r="8460" spans="8:11" x14ac:dyDescent="0.3">
      <c r="H8460">
        <v>0.5</v>
      </c>
      <c r="I8460" s="11">
        <f t="shared" si="132"/>
        <v>0</v>
      </c>
      <c r="J8460" s="11">
        <f>1/(H8460*Utilities!$B$11)</f>
        <v>8</v>
      </c>
      <c r="K8460" s="11">
        <f>IF(B8460&lt;C8460,1,EXP(-1*(B8460-C8460)/(Utilities!$B$11*IterData!H8460)))</f>
        <v>1</v>
      </c>
    </row>
    <row r="8461" spans="8:11" x14ac:dyDescent="0.3">
      <c r="H8461">
        <v>0.5</v>
      </c>
      <c r="I8461" s="11">
        <f t="shared" si="132"/>
        <v>0</v>
      </c>
      <c r="J8461" s="11">
        <f>1/(H8461*Utilities!$B$11)</f>
        <v>8</v>
      </c>
      <c r="K8461" s="11">
        <f>IF(B8461&lt;C8461,1,EXP(-1*(B8461-C8461)/(Utilities!$B$11*IterData!H8461)))</f>
        <v>1</v>
      </c>
    </row>
    <row r="8462" spans="8:11" x14ac:dyDescent="0.3">
      <c r="H8462">
        <v>0.5</v>
      </c>
      <c r="I8462" s="11">
        <f t="shared" si="132"/>
        <v>0</v>
      </c>
      <c r="J8462" s="11">
        <f>1/(H8462*Utilities!$B$11)</f>
        <v>8</v>
      </c>
      <c r="K8462" s="11">
        <f>IF(B8462&lt;C8462,1,EXP(-1*(B8462-C8462)/(Utilities!$B$11*IterData!H8462)))</f>
        <v>1</v>
      </c>
    </row>
    <row r="8463" spans="8:11" x14ac:dyDescent="0.3">
      <c r="H8463">
        <v>0.5</v>
      </c>
      <c r="I8463" s="11">
        <f t="shared" si="132"/>
        <v>0</v>
      </c>
      <c r="J8463" s="11">
        <f>1/(H8463*Utilities!$B$11)</f>
        <v>8</v>
      </c>
      <c r="K8463" s="11">
        <f>IF(B8463&lt;C8463,1,EXP(-1*(B8463-C8463)/(Utilities!$B$11*IterData!H8463)))</f>
        <v>1</v>
      </c>
    </row>
    <row r="8464" spans="8:11" x14ac:dyDescent="0.3">
      <c r="H8464">
        <v>0.5</v>
      </c>
      <c r="I8464" s="11">
        <f t="shared" si="132"/>
        <v>0</v>
      </c>
      <c r="J8464" s="11">
        <f>1/(H8464*Utilities!$B$11)</f>
        <v>8</v>
      </c>
      <c r="K8464" s="11">
        <f>IF(B8464&lt;C8464,1,EXP(-1*(B8464-C8464)/(Utilities!$B$11*IterData!H8464)))</f>
        <v>1</v>
      </c>
    </row>
    <row r="8465" spans="8:11" x14ac:dyDescent="0.3">
      <c r="H8465">
        <v>0.5</v>
      </c>
      <c r="I8465" s="11">
        <f t="shared" si="132"/>
        <v>0</v>
      </c>
      <c r="J8465" s="11">
        <f>1/(H8465*Utilities!$B$11)</f>
        <v>8</v>
      </c>
      <c r="K8465" s="11">
        <f>IF(B8465&lt;C8465,1,EXP(-1*(B8465-C8465)/(Utilities!$B$11*IterData!H8465)))</f>
        <v>1</v>
      </c>
    </row>
    <row r="8466" spans="8:11" x14ac:dyDescent="0.3">
      <c r="H8466">
        <v>0.5</v>
      </c>
      <c r="I8466" s="11">
        <f t="shared" si="132"/>
        <v>0</v>
      </c>
      <c r="J8466" s="11">
        <f>1/(H8466*Utilities!$B$11)</f>
        <v>8</v>
      </c>
      <c r="K8466" s="11">
        <f>IF(B8466&lt;C8466,1,EXP(-1*(B8466-C8466)/(Utilities!$B$11*IterData!H8466)))</f>
        <v>1</v>
      </c>
    </row>
    <row r="8467" spans="8:11" x14ac:dyDescent="0.3">
      <c r="H8467">
        <v>0.5</v>
      </c>
      <c r="I8467" s="11">
        <f t="shared" si="132"/>
        <v>0</v>
      </c>
      <c r="J8467" s="11">
        <f>1/(H8467*Utilities!$B$11)</f>
        <v>8</v>
      </c>
      <c r="K8467" s="11">
        <f>IF(B8467&lt;C8467,1,EXP(-1*(B8467-C8467)/(Utilities!$B$11*IterData!H8467)))</f>
        <v>1</v>
      </c>
    </row>
    <row r="8468" spans="8:11" x14ac:dyDescent="0.3">
      <c r="H8468">
        <v>0.5</v>
      </c>
      <c r="I8468" s="11">
        <f t="shared" si="132"/>
        <v>0</v>
      </c>
      <c r="J8468" s="11">
        <f>1/(H8468*Utilities!$B$11)</f>
        <v>8</v>
      </c>
      <c r="K8468" s="11">
        <f>IF(B8468&lt;C8468,1,EXP(-1*(B8468-C8468)/(Utilities!$B$11*IterData!H8468)))</f>
        <v>1</v>
      </c>
    </row>
    <row r="8469" spans="8:11" x14ac:dyDescent="0.3">
      <c r="H8469">
        <v>0.5</v>
      </c>
      <c r="I8469" s="11">
        <f t="shared" si="132"/>
        <v>0</v>
      </c>
      <c r="J8469" s="11">
        <f>1/(H8469*Utilities!$B$11)</f>
        <v>8</v>
      </c>
      <c r="K8469" s="11">
        <f>IF(B8469&lt;C8469,1,EXP(-1*(B8469-C8469)/(Utilities!$B$11*IterData!H8469)))</f>
        <v>1</v>
      </c>
    </row>
    <row r="8470" spans="8:11" x14ac:dyDescent="0.3">
      <c r="H8470">
        <v>0.5</v>
      </c>
      <c r="I8470" s="11">
        <f t="shared" si="132"/>
        <v>0</v>
      </c>
      <c r="J8470" s="11">
        <f>1/(H8470*Utilities!$B$11)</f>
        <v>8</v>
      </c>
      <c r="K8470" s="11">
        <f>IF(B8470&lt;C8470,1,EXP(-1*(B8470-C8470)/(Utilities!$B$11*IterData!H8470)))</f>
        <v>1</v>
      </c>
    </row>
    <row r="8471" spans="8:11" x14ac:dyDescent="0.3">
      <c r="H8471">
        <v>0.5</v>
      </c>
      <c r="I8471" s="11">
        <f t="shared" si="132"/>
        <v>0</v>
      </c>
      <c r="J8471" s="11">
        <f>1/(H8471*Utilities!$B$11)</f>
        <v>8</v>
      </c>
      <c r="K8471" s="11">
        <f>IF(B8471&lt;C8471,1,EXP(-1*(B8471-C8471)/(Utilities!$B$11*IterData!H8471)))</f>
        <v>1</v>
      </c>
    </row>
    <row r="8472" spans="8:11" x14ac:dyDescent="0.3">
      <c r="H8472">
        <v>0.5</v>
      </c>
      <c r="I8472" s="11">
        <f t="shared" si="132"/>
        <v>0</v>
      </c>
      <c r="J8472" s="11">
        <f>1/(H8472*Utilities!$B$11)</f>
        <v>8</v>
      </c>
      <c r="K8472" s="11">
        <f>IF(B8472&lt;C8472,1,EXP(-1*(B8472-C8472)/(Utilities!$B$11*IterData!H8472)))</f>
        <v>1</v>
      </c>
    </row>
    <row r="8473" spans="8:11" x14ac:dyDescent="0.3">
      <c r="H8473">
        <v>0.5</v>
      </c>
      <c r="I8473" s="11">
        <f t="shared" si="132"/>
        <v>0</v>
      </c>
      <c r="J8473" s="11">
        <f>1/(H8473*Utilities!$B$11)</f>
        <v>8</v>
      </c>
      <c r="K8473" s="11">
        <f>IF(B8473&lt;C8473,1,EXP(-1*(B8473-C8473)/(Utilities!$B$11*IterData!H8473)))</f>
        <v>1</v>
      </c>
    </row>
    <row r="8474" spans="8:11" x14ac:dyDescent="0.3">
      <c r="H8474">
        <v>0.5</v>
      </c>
      <c r="I8474" s="11">
        <f t="shared" si="132"/>
        <v>0</v>
      </c>
      <c r="J8474" s="11">
        <f>1/(H8474*Utilities!$B$11)</f>
        <v>8</v>
      </c>
      <c r="K8474" s="11">
        <f>IF(B8474&lt;C8474,1,EXP(-1*(B8474-C8474)/(Utilities!$B$11*IterData!H8474)))</f>
        <v>1</v>
      </c>
    </row>
    <row r="8475" spans="8:11" x14ac:dyDescent="0.3">
      <c r="H8475">
        <v>0.5</v>
      </c>
      <c r="I8475" s="11">
        <f t="shared" si="132"/>
        <v>0</v>
      </c>
      <c r="J8475" s="11">
        <f>1/(H8475*Utilities!$B$11)</f>
        <v>8</v>
      </c>
      <c r="K8475" s="11">
        <f>IF(B8475&lt;C8475,1,EXP(-1*(B8475-C8475)/(Utilities!$B$11*IterData!H8475)))</f>
        <v>1</v>
      </c>
    </row>
    <row r="8476" spans="8:11" x14ac:dyDescent="0.3">
      <c r="H8476">
        <v>0.5</v>
      </c>
      <c r="I8476" s="11">
        <f t="shared" si="132"/>
        <v>0</v>
      </c>
      <c r="J8476" s="11">
        <f>1/(H8476*Utilities!$B$11)</f>
        <v>8</v>
      </c>
      <c r="K8476" s="11">
        <f>IF(B8476&lt;C8476,1,EXP(-1*(B8476-C8476)/(Utilities!$B$11*IterData!H8476)))</f>
        <v>1</v>
      </c>
    </row>
    <row r="8477" spans="8:11" x14ac:dyDescent="0.3">
      <c r="H8477">
        <v>0.5</v>
      </c>
      <c r="I8477" s="11">
        <f t="shared" si="132"/>
        <v>0</v>
      </c>
      <c r="J8477" s="11">
        <f>1/(H8477*Utilities!$B$11)</f>
        <v>8</v>
      </c>
      <c r="K8477" s="11">
        <f>IF(B8477&lt;C8477,1,EXP(-1*(B8477-C8477)/(Utilities!$B$11*IterData!H8477)))</f>
        <v>1</v>
      </c>
    </row>
    <row r="8478" spans="8:11" x14ac:dyDescent="0.3">
      <c r="H8478">
        <v>0.5</v>
      </c>
      <c r="I8478" s="11">
        <f t="shared" si="132"/>
        <v>0</v>
      </c>
      <c r="J8478" s="11">
        <f>1/(H8478*Utilities!$B$11)</f>
        <v>8</v>
      </c>
      <c r="K8478" s="11">
        <f>IF(B8478&lt;C8478,1,EXP(-1*(B8478-C8478)/(Utilities!$B$11*IterData!H8478)))</f>
        <v>1</v>
      </c>
    </row>
    <row r="8479" spans="8:11" x14ac:dyDescent="0.3">
      <c r="H8479">
        <v>0.5</v>
      </c>
      <c r="I8479" s="11">
        <f t="shared" si="132"/>
        <v>0</v>
      </c>
      <c r="J8479" s="11">
        <f>1/(H8479*Utilities!$B$11)</f>
        <v>8</v>
      </c>
      <c r="K8479" s="11">
        <f>IF(B8479&lt;C8479,1,EXP(-1*(B8479-C8479)/(Utilities!$B$11*IterData!H8479)))</f>
        <v>1</v>
      </c>
    </row>
    <row r="8480" spans="8:11" x14ac:dyDescent="0.3">
      <c r="H8480">
        <v>0.5</v>
      </c>
      <c r="I8480" s="11">
        <f t="shared" si="132"/>
        <v>0</v>
      </c>
      <c r="J8480" s="11">
        <f>1/(H8480*Utilities!$B$11)</f>
        <v>8</v>
      </c>
      <c r="K8480" s="11">
        <f>IF(B8480&lt;C8480,1,EXP(-1*(B8480-C8480)/(Utilities!$B$11*IterData!H8480)))</f>
        <v>1</v>
      </c>
    </row>
    <row r="8481" spans="8:11" x14ac:dyDescent="0.3">
      <c r="H8481">
        <v>0.5</v>
      </c>
      <c r="I8481" s="11">
        <f t="shared" si="132"/>
        <v>0</v>
      </c>
      <c r="J8481" s="11">
        <f>1/(H8481*Utilities!$B$11)</f>
        <v>8</v>
      </c>
      <c r="K8481" s="11">
        <f>IF(B8481&lt;C8481,1,EXP(-1*(B8481-C8481)/(Utilities!$B$11*IterData!H8481)))</f>
        <v>1</v>
      </c>
    </row>
    <row r="8482" spans="8:11" x14ac:dyDescent="0.3">
      <c r="H8482">
        <v>0.5</v>
      </c>
      <c r="I8482" s="11">
        <f t="shared" si="132"/>
        <v>0</v>
      </c>
      <c r="J8482" s="11">
        <f>1/(H8482*Utilities!$B$11)</f>
        <v>8</v>
      </c>
      <c r="K8482" s="11">
        <f>IF(B8482&lt;C8482,1,EXP(-1*(B8482-C8482)/(Utilities!$B$11*IterData!H8482)))</f>
        <v>1</v>
      </c>
    </row>
    <row r="8483" spans="8:11" x14ac:dyDescent="0.3">
      <c r="H8483">
        <v>0.5</v>
      </c>
      <c r="I8483" s="11">
        <f t="shared" si="132"/>
        <v>0</v>
      </c>
      <c r="J8483" s="11">
        <f>1/(H8483*Utilities!$B$11)</f>
        <v>8</v>
      </c>
      <c r="K8483" s="11">
        <f>IF(B8483&lt;C8483,1,EXP(-1*(B8483-C8483)/(Utilities!$B$11*IterData!H8483)))</f>
        <v>1</v>
      </c>
    </row>
    <row r="8484" spans="8:11" x14ac:dyDescent="0.3">
      <c r="H8484">
        <v>0.5</v>
      </c>
      <c r="I8484" s="11">
        <f t="shared" si="132"/>
        <v>0</v>
      </c>
      <c r="J8484" s="11">
        <f>1/(H8484*Utilities!$B$11)</f>
        <v>8</v>
      </c>
      <c r="K8484" s="11">
        <f>IF(B8484&lt;C8484,1,EXP(-1*(B8484-C8484)/(Utilities!$B$11*IterData!H8484)))</f>
        <v>1</v>
      </c>
    </row>
    <row r="8485" spans="8:11" x14ac:dyDescent="0.3">
      <c r="H8485">
        <v>0.5</v>
      </c>
      <c r="I8485" s="11">
        <f t="shared" si="132"/>
        <v>0</v>
      </c>
      <c r="J8485" s="11">
        <f>1/(H8485*Utilities!$B$11)</f>
        <v>8</v>
      </c>
      <c r="K8485" s="11">
        <f>IF(B8485&lt;C8485,1,EXP(-1*(B8485-C8485)/(Utilities!$B$11*IterData!H8485)))</f>
        <v>1</v>
      </c>
    </row>
    <row r="8486" spans="8:11" x14ac:dyDescent="0.3">
      <c r="H8486">
        <v>0.5</v>
      </c>
      <c r="I8486" s="11">
        <f t="shared" si="132"/>
        <v>0</v>
      </c>
      <c r="J8486" s="11">
        <f>1/(H8486*Utilities!$B$11)</f>
        <v>8</v>
      </c>
      <c r="K8486" s="11">
        <f>IF(B8486&lt;C8486,1,EXP(-1*(B8486-C8486)/(Utilities!$B$11*IterData!H8486)))</f>
        <v>1</v>
      </c>
    </row>
    <row r="8487" spans="8:11" x14ac:dyDescent="0.3">
      <c r="H8487">
        <v>0.5</v>
      </c>
      <c r="I8487" s="11">
        <f t="shared" si="132"/>
        <v>0</v>
      </c>
      <c r="J8487" s="11">
        <f>1/(H8487*Utilities!$B$11)</f>
        <v>8</v>
      </c>
      <c r="K8487" s="11">
        <f>IF(B8487&lt;C8487,1,EXP(-1*(B8487-C8487)/(Utilities!$B$11*IterData!H8487)))</f>
        <v>1</v>
      </c>
    </row>
    <row r="8488" spans="8:11" x14ac:dyDescent="0.3">
      <c r="H8488">
        <v>0.5</v>
      </c>
      <c r="I8488" s="11">
        <f t="shared" si="132"/>
        <v>0</v>
      </c>
      <c r="J8488" s="11">
        <f>1/(H8488*Utilities!$B$11)</f>
        <v>8</v>
      </c>
      <c r="K8488" s="11">
        <f>IF(B8488&lt;C8488,1,EXP(-1*(B8488-C8488)/(Utilities!$B$11*IterData!H8488)))</f>
        <v>1</v>
      </c>
    </row>
    <row r="8489" spans="8:11" x14ac:dyDescent="0.3">
      <c r="H8489">
        <v>0.5</v>
      </c>
      <c r="I8489" s="11">
        <f t="shared" si="132"/>
        <v>0</v>
      </c>
      <c r="J8489" s="11">
        <f>1/(H8489*Utilities!$B$11)</f>
        <v>8</v>
      </c>
      <c r="K8489" s="11">
        <f>IF(B8489&lt;C8489,1,EXP(-1*(B8489-C8489)/(Utilities!$B$11*IterData!H8489)))</f>
        <v>1</v>
      </c>
    </row>
    <row r="8490" spans="8:11" x14ac:dyDescent="0.3">
      <c r="H8490">
        <v>0.5</v>
      </c>
      <c r="I8490" s="11">
        <f t="shared" si="132"/>
        <v>0</v>
      </c>
      <c r="J8490" s="11">
        <f>1/(H8490*Utilities!$B$11)</f>
        <v>8</v>
      </c>
      <c r="K8490" s="11">
        <f>IF(B8490&lt;C8490,1,EXP(-1*(B8490-C8490)/(Utilities!$B$11*IterData!H8490)))</f>
        <v>1</v>
      </c>
    </row>
    <row r="8491" spans="8:11" x14ac:dyDescent="0.3">
      <c r="H8491">
        <v>0.5</v>
      </c>
      <c r="I8491" s="11">
        <f t="shared" si="132"/>
        <v>0</v>
      </c>
      <c r="J8491" s="11">
        <f>1/(H8491*Utilities!$B$11)</f>
        <v>8</v>
      </c>
      <c r="K8491" s="11">
        <f>IF(B8491&lt;C8491,1,EXP(-1*(B8491-C8491)/(Utilities!$B$11*IterData!H8491)))</f>
        <v>1</v>
      </c>
    </row>
    <row r="8492" spans="8:11" x14ac:dyDescent="0.3">
      <c r="H8492">
        <v>0.5</v>
      </c>
      <c r="I8492" s="11">
        <f t="shared" si="132"/>
        <v>0</v>
      </c>
      <c r="J8492" s="11">
        <f>1/(H8492*Utilities!$B$11)</f>
        <v>8</v>
      </c>
      <c r="K8492" s="11">
        <f>IF(B8492&lt;C8492,1,EXP(-1*(B8492-C8492)/(Utilities!$B$11*IterData!H8492)))</f>
        <v>1</v>
      </c>
    </row>
    <row r="8493" spans="8:11" x14ac:dyDescent="0.3">
      <c r="H8493">
        <v>0.5</v>
      </c>
      <c r="I8493" s="11">
        <f t="shared" si="132"/>
        <v>0</v>
      </c>
      <c r="J8493" s="11">
        <f>1/(H8493*Utilities!$B$11)</f>
        <v>8</v>
      </c>
      <c r="K8493" s="11">
        <f>IF(B8493&lt;C8493,1,EXP(-1*(B8493-C8493)/(Utilities!$B$11*IterData!H8493)))</f>
        <v>1</v>
      </c>
    </row>
    <row r="8494" spans="8:11" x14ac:dyDescent="0.3">
      <c r="H8494">
        <v>0.5</v>
      </c>
      <c r="I8494" s="11">
        <f t="shared" si="132"/>
        <v>0</v>
      </c>
      <c r="J8494" s="11">
        <f>1/(H8494*Utilities!$B$11)</f>
        <v>8</v>
      </c>
      <c r="K8494" s="11">
        <f>IF(B8494&lt;C8494,1,EXP(-1*(B8494-C8494)/(Utilities!$B$11*IterData!H8494)))</f>
        <v>1</v>
      </c>
    </row>
    <row r="8495" spans="8:11" x14ac:dyDescent="0.3">
      <c r="H8495">
        <v>0.5</v>
      </c>
      <c r="I8495" s="11">
        <f t="shared" si="132"/>
        <v>0</v>
      </c>
      <c r="J8495" s="11">
        <f>1/(H8495*Utilities!$B$11)</f>
        <v>8</v>
      </c>
      <c r="K8495" s="11">
        <f>IF(B8495&lt;C8495,1,EXP(-1*(B8495-C8495)/(Utilities!$B$11*IterData!H8495)))</f>
        <v>1</v>
      </c>
    </row>
    <row r="8496" spans="8:11" x14ac:dyDescent="0.3">
      <c r="H8496">
        <v>0.5</v>
      </c>
      <c r="I8496" s="11">
        <f t="shared" si="132"/>
        <v>0</v>
      </c>
      <c r="J8496" s="11">
        <f>1/(H8496*Utilities!$B$11)</f>
        <v>8</v>
      </c>
      <c r="K8496" s="11">
        <f>IF(B8496&lt;C8496,1,EXP(-1*(B8496-C8496)/(Utilities!$B$11*IterData!H8496)))</f>
        <v>1</v>
      </c>
    </row>
    <row r="8497" spans="8:11" x14ac:dyDescent="0.3">
      <c r="H8497">
        <v>0.5</v>
      </c>
      <c r="I8497" s="11">
        <f t="shared" si="132"/>
        <v>0</v>
      </c>
      <c r="J8497" s="11">
        <f>1/(H8497*Utilities!$B$11)</f>
        <v>8</v>
      </c>
      <c r="K8497" s="11">
        <f>IF(B8497&lt;C8497,1,EXP(-1*(B8497-C8497)/(Utilities!$B$11*IterData!H8497)))</f>
        <v>1</v>
      </c>
    </row>
    <row r="8498" spans="8:11" x14ac:dyDescent="0.3">
      <c r="H8498">
        <v>0.5</v>
      </c>
      <c r="I8498" s="11">
        <f t="shared" si="132"/>
        <v>0</v>
      </c>
      <c r="J8498" s="11">
        <f>1/(H8498*Utilities!$B$11)</f>
        <v>8</v>
      </c>
      <c r="K8498" s="11">
        <f>IF(B8498&lt;C8498,1,EXP(-1*(B8498-C8498)/(Utilities!$B$11*IterData!H8498)))</f>
        <v>1</v>
      </c>
    </row>
    <row r="8499" spans="8:11" x14ac:dyDescent="0.3">
      <c r="H8499">
        <v>0.5</v>
      </c>
      <c r="I8499" s="11">
        <f t="shared" si="132"/>
        <v>0</v>
      </c>
      <c r="J8499" s="11">
        <f>1/(H8499*Utilities!$B$11)</f>
        <v>8</v>
      </c>
      <c r="K8499" s="11">
        <f>IF(B8499&lt;C8499,1,EXP(-1*(B8499-C8499)/(Utilities!$B$11*IterData!H8499)))</f>
        <v>1</v>
      </c>
    </row>
    <row r="8500" spans="8:11" x14ac:dyDescent="0.3">
      <c r="H8500">
        <v>0.5</v>
      </c>
      <c r="I8500" s="11">
        <f t="shared" si="132"/>
        <v>0</v>
      </c>
      <c r="J8500" s="11">
        <f>1/(H8500*Utilities!$B$11)</f>
        <v>8</v>
      </c>
      <c r="K8500" s="11">
        <f>IF(B8500&lt;C8500,1,EXP(-1*(B8500-C8500)/(Utilities!$B$11*IterData!H8500)))</f>
        <v>1</v>
      </c>
    </row>
    <row r="8501" spans="8:11" x14ac:dyDescent="0.3">
      <c r="H8501">
        <v>0.5</v>
      </c>
      <c r="I8501" s="11">
        <f t="shared" si="132"/>
        <v>0</v>
      </c>
      <c r="J8501" s="11">
        <f>1/(H8501*Utilities!$B$11)</f>
        <v>8</v>
      </c>
      <c r="K8501" s="11">
        <f>IF(B8501&lt;C8501,1,EXP(-1*(B8501-C8501)/(Utilities!$B$11*IterData!H8501)))</f>
        <v>1</v>
      </c>
    </row>
    <row r="8502" spans="8:11" x14ac:dyDescent="0.3">
      <c r="H8502">
        <v>0.5</v>
      </c>
      <c r="I8502" s="11">
        <f t="shared" si="132"/>
        <v>0</v>
      </c>
      <c r="J8502" s="11">
        <f>1/(H8502*Utilities!$B$11)</f>
        <v>8</v>
      </c>
      <c r="K8502" s="11">
        <f>IF(B8502&lt;C8502,1,EXP(-1*(B8502-C8502)/(Utilities!$B$11*IterData!H8502)))</f>
        <v>1</v>
      </c>
    </row>
    <row r="8503" spans="8:11" x14ac:dyDescent="0.3">
      <c r="H8503">
        <v>0.5</v>
      </c>
      <c r="I8503" s="11">
        <f t="shared" si="132"/>
        <v>0</v>
      </c>
      <c r="J8503" s="11">
        <f>1/(H8503*Utilities!$B$11)</f>
        <v>8</v>
      </c>
      <c r="K8503" s="11">
        <f>IF(B8503&lt;C8503,1,EXP(-1*(B8503-C8503)/(Utilities!$B$11*IterData!H8503)))</f>
        <v>1</v>
      </c>
    </row>
    <row r="8504" spans="8:11" x14ac:dyDescent="0.3">
      <c r="H8504">
        <v>0.5</v>
      </c>
      <c r="I8504" s="11">
        <f t="shared" si="132"/>
        <v>0</v>
      </c>
      <c r="J8504" s="11">
        <f>1/(H8504*Utilities!$B$11)</f>
        <v>8</v>
      </c>
      <c r="K8504" s="11">
        <f>IF(B8504&lt;C8504,1,EXP(-1*(B8504-C8504)/(Utilities!$B$11*IterData!H8504)))</f>
        <v>1</v>
      </c>
    </row>
    <row r="8505" spans="8:11" x14ac:dyDescent="0.3">
      <c r="H8505">
        <v>0.5</v>
      </c>
      <c r="I8505" s="11">
        <f t="shared" si="132"/>
        <v>0</v>
      </c>
      <c r="J8505" s="11">
        <f>1/(H8505*Utilities!$B$11)</f>
        <v>8</v>
      </c>
      <c r="K8505" s="11">
        <f>IF(B8505&lt;C8505,1,EXP(-1*(B8505-C8505)/(Utilities!$B$11*IterData!H8505)))</f>
        <v>1</v>
      </c>
    </row>
    <row r="8506" spans="8:11" x14ac:dyDescent="0.3">
      <c r="H8506">
        <v>0.5</v>
      </c>
      <c r="I8506" s="11">
        <f t="shared" si="132"/>
        <v>0</v>
      </c>
      <c r="J8506" s="11">
        <f>1/(H8506*Utilities!$B$11)</f>
        <v>8</v>
      </c>
      <c r="K8506" s="11">
        <f>IF(B8506&lt;C8506,1,EXP(-1*(B8506-C8506)/(Utilities!$B$11*IterData!H8506)))</f>
        <v>1</v>
      </c>
    </row>
    <row r="8507" spans="8:11" x14ac:dyDescent="0.3">
      <c r="H8507">
        <v>0.5</v>
      </c>
      <c r="I8507" s="11">
        <f t="shared" si="132"/>
        <v>0</v>
      </c>
      <c r="J8507" s="11">
        <f>1/(H8507*Utilities!$B$11)</f>
        <v>8</v>
      </c>
      <c r="K8507" s="11">
        <f>IF(B8507&lt;C8507,1,EXP(-1*(B8507-C8507)/(Utilities!$B$11*IterData!H8507)))</f>
        <v>1</v>
      </c>
    </row>
    <row r="8508" spans="8:11" x14ac:dyDescent="0.3">
      <c r="H8508">
        <v>0.5</v>
      </c>
      <c r="I8508" s="11">
        <f t="shared" si="132"/>
        <v>0</v>
      </c>
      <c r="J8508" s="11">
        <f>1/(H8508*Utilities!$B$11)</f>
        <v>8</v>
      </c>
      <c r="K8508" s="11">
        <f>IF(B8508&lt;C8508,1,EXP(-1*(B8508-C8508)/(Utilities!$B$11*IterData!H8508)))</f>
        <v>1</v>
      </c>
    </row>
    <row r="8509" spans="8:11" x14ac:dyDescent="0.3">
      <c r="H8509">
        <v>0.5</v>
      </c>
      <c r="I8509" s="11">
        <f t="shared" si="132"/>
        <v>0</v>
      </c>
      <c r="J8509" s="11">
        <f>1/(H8509*Utilities!$B$11)</f>
        <v>8</v>
      </c>
      <c r="K8509" s="11">
        <f>IF(B8509&lt;C8509,1,EXP(-1*(B8509-C8509)/(Utilities!$B$11*IterData!H8509)))</f>
        <v>1</v>
      </c>
    </row>
    <row r="8510" spans="8:11" x14ac:dyDescent="0.3">
      <c r="H8510">
        <v>0.5</v>
      </c>
      <c r="I8510" s="11">
        <f t="shared" si="132"/>
        <v>0</v>
      </c>
      <c r="J8510" s="11">
        <f>1/(H8510*Utilities!$B$11)</f>
        <v>8</v>
      </c>
      <c r="K8510" s="11">
        <f>IF(B8510&lt;C8510,1,EXP(-1*(B8510-C8510)/(Utilities!$B$11*IterData!H8510)))</f>
        <v>1</v>
      </c>
    </row>
    <row r="8511" spans="8:11" x14ac:dyDescent="0.3">
      <c r="H8511">
        <v>0.5</v>
      </c>
      <c r="I8511" s="11">
        <f t="shared" si="132"/>
        <v>0</v>
      </c>
      <c r="J8511" s="11">
        <f>1/(H8511*Utilities!$B$11)</f>
        <v>8</v>
      </c>
      <c r="K8511" s="11">
        <f>IF(B8511&lt;C8511,1,EXP(-1*(B8511-C8511)/(Utilities!$B$11*IterData!H8511)))</f>
        <v>1</v>
      </c>
    </row>
    <row r="8512" spans="8:11" x14ac:dyDescent="0.3">
      <c r="H8512">
        <v>0.5</v>
      </c>
      <c r="I8512" s="11">
        <f t="shared" si="132"/>
        <v>0</v>
      </c>
      <c r="J8512" s="11">
        <f>1/(H8512*Utilities!$B$11)</f>
        <v>8</v>
      </c>
      <c r="K8512" s="11">
        <f>IF(B8512&lt;C8512,1,EXP(-1*(B8512-C8512)/(Utilities!$B$11*IterData!H8512)))</f>
        <v>1</v>
      </c>
    </row>
    <row r="8513" spans="8:11" x14ac:dyDescent="0.3">
      <c r="H8513">
        <v>0.5</v>
      </c>
      <c r="I8513" s="11">
        <f t="shared" si="132"/>
        <v>0</v>
      </c>
      <c r="J8513" s="11">
        <f>1/(H8513*Utilities!$B$11)</f>
        <v>8</v>
      </c>
      <c r="K8513" s="11">
        <f>IF(B8513&lt;C8513,1,EXP(-1*(B8513-C8513)/(Utilities!$B$11*IterData!H8513)))</f>
        <v>1</v>
      </c>
    </row>
    <row r="8514" spans="8:11" x14ac:dyDescent="0.3">
      <c r="H8514">
        <v>0.5</v>
      </c>
      <c r="I8514" s="11">
        <f t="shared" si="132"/>
        <v>0</v>
      </c>
      <c r="J8514" s="11">
        <f>1/(H8514*Utilities!$B$11)</f>
        <v>8</v>
      </c>
      <c r="K8514" s="11">
        <f>IF(B8514&lt;C8514,1,EXP(-1*(B8514-C8514)/(Utilities!$B$11*IterData!H8514)))</f>
        <v>1</v>
      </c>
    </row>
    <row r="8515" spans="8:11" x14ac:dyDescent="0.3">
      <c r="H8515">
        <v>0.5</v>
      </c>
      <c r="I8515" s="11">
        <f t="shared" ref="I8515:I8578" si="133">B8515-C8515</f>
        <v>0</v>
      </c>
      <c r="J8515" s="11">
        <f>1/(H8515*Utilities!$B$11)</f>
        <v>8</v>
      </c>
      <c r="K8515" s="11">
        <f>IF(B8515&lt;C8515,1,EXP(-1*(B8515-C8515)/(Utilities!$B$11*IterData!H8515)))</f>
        <v>1</v>
      </c>
    </row>
    <row r="8516" spans="8:11" x14ac:dyDescent="0.3">
      <c r="H8516">
        <v>0.5</v>
      </c>
      <c r="I8516" s="11">
        <f t="shared" si="133"/>
        <v>0</v>
      </c>
      <c r="J8516" s="11">
        <f>1/(H8516*Utilities!$B$11)</f>
        <v>8</v>
      </c>
      <c r="K8516" s="11">
        <f>IF(B8516&lt;C8516,1,EXP(-1*(B8516-C8516)/(Utilities!$B$11*IterData!H8516)))</f>
        <v>1</v>
      </c>
    </row>
    <row r="8517" spans="8:11" x14ac:dyDescent="0.3">
      <c r="H8517">
        <v>0.5</v>
      </c>
      <c r="I8517" s="11">
        <f t="shared" si="133"/>
        <v>0</v>
      </c>
      <c r="J8517" s="11">
        <f>1/(H8517*Utilities!$B$11)</f>
        <v>8</v>
      </c>
      <c r="K8517" s="11">
        <f>IF(B8517&lt;C8517,1,EXP(-1*(B8517-C8517)/(Utilities!$B$11*IterData!H8517)))</f>
        <v>1</v>
      </c>
    </row>
    <row r="8518" spans="8:11" x14ac:dyDescent="0.3">
      <c r="H8518">
        <v>0.5</v>
      </c>
      <c r="I8518" s="11">
        <f t="shared" si="133"/>
        <v>0</v>
      </c>
      <c r="J8518" s="11">
        <f>1/(H8518*Utilities!$B$11)</f>
        <v>8</v>
      </c>
      <c r="K8518" s="11">
        <f>IF(B8518&lt;C8518,1,EXP(-1*(B8518-C8518)/(Utilities!$B$11*IterData!H8518)))</f>
        <v>1</v>
      </c>
    </row>
    <row r="8519" spans="8:11" x14ac:dyDescent="0.3">
      <c r="H8519">
        <v>0.5</v>
      </c>
      <c r="I8519" s="11">
        <f t="shared" si="133"/>
        <v>0</v>
      </c>
      <c r="J8519" s="11">
        <f>1/(H8519*Utilities!$B$11)</f>
        <v>8</v>
      </c>
      <c r="K8519" s="11">
        <f>IF(B8519&lt;C8519,1,EXP(-1*(B8519-C8519)/(Utilities!$B$11*IterData!H8519)))</f>
        <v>1</v>
      </c>
    </row>
    <row r="8520" spans="8:11" x14ac:dyDescent="0.3">
      <c r="H8520">
        <v>0.5</v>
      </c>
      <c r="I8520" s="11">
        <f t="shared" si="133"/>
        <v>0</v>
      </c>
      <c r="J8520" s="11">
        <f>1/(H8520*Utilities!$B$11)</f>
        <v>8</v>
      </c>
      <c r="K8520" s="11">
        <f>IF(B8520&lt;C8520,1,EXP(-1*(B8520-C8520)/(Utilities!$B$11*IterData!H8520)))</f>
        <v>1</v>
      </c>
    </row>
    <row r="8521" spans="8:11" x14ac:dyDescent="0.3">
      <c r="H8521">
        <v>0.5</v>
      </c>
      <c r="I8521" s="11">
        <f t="shared" si="133"/>
        <v>0</v>
      </c>
      <c r="J8521" s="11">
        <f>1/(H8521*Utilities!$B$11)</f>
        <v>8</v>
      </c>
      <c r="K8521" s="11">
        <f>IF(B8521&lt;C8521,1,EXP(-1*(B8521-C8521)/(Utilities!$B$11*IterData!H8521)))</f>
        <v>1</v>
      </c>
    </row>
    <row r="8522" spans="8:11" x14ac:dyDescent="0.3">
      <c r="H8522">
        <v>0.5</v>
      </c>
      <c r="I8522" s="11">
        <f t="shared" si="133"/>
        <v>0</v>
      </c>
      <c r="J8522" s="11">
        <f>1/(H8522*Utilities!$B$11)</f>
        <v>8</v>
      </c>
      <c r="K8522" s="11">
        <f>IF(B8522&lt;C8522,1,EXP(-1*(B8522-C8522)/(Utilities!$B$11*IterData!H8522)))</f>
        <v>1</v>
      </c>
    </row>
    <row r="8523" spans="8:11" x14ac:dyDescent="0.3">
      <c r="H8523">
        <v>0.5</v>
      </c>
      <c r="I8523" s="11">
        <f t="shared" si="133"/>
        <v>0</v>
      </c>
      <c r="J8523" s="11">
        <f>1/(H8523*Utilities!$B$11)</f>
        <v>8</v>
      </c>
      <c r="K8523" s="11">
        <f>IF(B8523&lt;C8523,1,EXP(-1*(B8523-C8523)/(Utilities!$B$11*IterData!H8523)))</f>
        <v>1</v>
      </c>
    </row>
    <row r="8524" spans="8:11" x14ac:dyDescent="0.3">
      <c r="H8524">
        <v>0.5</v>
      </c>
      <c r="I8524" s="11">
        <f t="shared" si="133"/>
        <v>0</v>
      </c>
      <c r="J8524" s="11">
        <f>1/(H8524*Utilities!$B$11)</f>
        <v>8</v>
      </c>
      <c r="K8524" s="11">
        <f>IF(B8524&lt;C8524,1,EXP(-1*(B8524-C8524)/(Utilities!$B$11*IterData!H8524)))</f>
        <v>1</v>
      </c>
    </row>
    <row r="8525" spans="8:11" x14ac:dyDescent="0.3">
      <c r="H8525">
        <v>0.5</v>
      </c>
      <c r="I8525" s="11">
        <f t="shared" si="133"/>
        <v>0</v>
      </c>
      <c r="J8525" s="11">
        <f>1/(H8525*Utilities!$B$11)</f>
        <v>8</v>
      </c>
      <c r="K8525" s="11">
        <f>IF(B8525&lt;C8525,1,EXP(-1*(B8525-C8525)/(Utilities!$B$11*IterData!H8525)))</f>
        <v>1</v>
      </c>
    </row>
    <row r="8526" spans="8:11" x14ac:dyDescent="0.3">
      <c r="H8526">
        <v>0.5</v>
      </c>
      <c r="I8526" s="11">
        <f t="shared" si="133"/>
        <v>0</v>
      </c>
      <c r="J8526" s="11">
        <f>1/(H8526*Utilities!$B$11)</f>
        <v>8</v>
      </c>
      <c r="K8526" s="11">
        <f>IF(B8526&lt;C8526,1,EXP(-1*(B8526-C8526)/(Utilities!$B$11*IterData!H8526)))</f>
        <v>1</v>
      </c>
    </row>
    <row r="8527" spans="8:11" x14ac:dyDescent="0.3">
      <c r="H8527">
        <v>0.5</v>
      </c>
      <c r="I8527" s="11">
        <f t="shared" si="133"/>
        <v>0</v>
      </c>
      <c r="J8527" s="11">
        <f>1/(H8527*Utilities!$B$11)</f>
        <v>8</v>
      </c>
      <c r="K8527" s="11">
        <f>IF(B8527&lt;C8527,1,EXP(-1*(B8527-C8527)/(Utilities!$B$11*IterData!H8527)))</f>
        <v>1</v>
      </c>
    </row>
    <row r="8528" spans="8:11" x14ac:dyDescent="0.3">
      <c r="H8528">
        <v>0.5</v>
      </c>
      <c r="I8528" s="11">
        <f t="shared" si="133"/>
        <v>0</v>
      </c>
      <c r="J8528" s="11">
        <f>1/(H8528*Utilities!$B$11)</f>
        <v>8</v>
      </c>
      <c r="K8528" s="11">
        <f>IF(B8528&lt;C8528,1,EXP(-1*(B8528-C8528)/(Utilities!$B$11*IterData!H8528)))</f>
        <v>1</v>
      </c>
    </row>
    <row r="8529" spans="8:11" x14ac:dyDescent="0.3">
      <c r="H8529">
        <v>0.5</v>
      </c>
      <c r="I8529" s="11">
        <f t="shared" si="133"/>
        <v>0</v>
      </c>
      <c r="J8529" s="11">
        <f>1/(H8529*Utilities!$B$11)</f>
        <v>8</v>
      </c>
      <c r="K8529" s="11">
        <f>IF(B8529&lt;C8529,1,EXP(-1*(B8529-C8529)/(Utilities!$B$11*IterData!H8529)))</f>
        <v>1</v>
      </c>
    </row>
    <row r="8530" spans="8:11" x14ac:dyDescent="0.3">
      <c r="H8530">
        <v>0.5</v>
      </c>
      <c r="I8530" s="11">
        <f t="shared" si="133"/>
        <v>0</v>
      </c>
      <c r="J8530" s="11">
        <f>1/(H8530*Utilities!$B$11)</f>
        <v>8</v>
      </c>
      <c r="K8530" s="11">
        <f>IF(B8530&lt;C8530,1,EXP(-1*(B8530-C8530)/(Utilities!$B$11*IterData!H8530)))</f>
        <v>1</v>
      </c>
    </row>
    <row r="8531" spans="8:11" x14ac:dyDescent="0.3">
      <c r="H8531">
        <v>0.5</v>
      </c>
      <c r="I8531" s="11">
        <f t="shared" si="133"/>
        <v>0</v>
      </c>
      <c r="J8531" s="11">
        <f>1/(H8531*Utilities!$B$11)</f>
        <v>8</v>
      </c>
      <c r="K8531" s="11">
        <f>IF(B8531&lt;C8531,1,EXP(-1*(B8531-C8531)/(Utilities!$B$11*IterData!H8531)))</f>
        <v>1</v>
      </c>
    </row>
    <row r="8532" spans="8:11" x14ac:dyDescent="0.3">
      <c r="H8532">
        <v>0.5</v>
      </c>
      <c r="I8532" s="11">
        <f t="shared" si="133"/>
        <v>0</v>
      </c>
      <c r="J8532" s="11">
        <f>1/(H8532*Utilities!$B$11)</f>
        <v>8</v>
      </c>
      <c r="K8532" s="11">
        <f>IF(B8532&lt;C8532,1,EXP(-1*(B8532-C8532)/(Utilities!$B$11*IterData!H8532)))</f>
        <v>1</v>
      </c>
    </row>
    <row r="8533" spans="8:11" x14ac:dyDescent="0.3">
      <c r="H8533">
        <v>0.5</v>
      </c>
      <c r="I8533" s="11">
        <f t="shared" si="133"/>
        <v>0</v>
      </c>
      <c r="J8533" s="11">
        <f>1/(H8533*Utilities!$B$11)</f>
        <v>8</v>
      </c>
      <c r="K8533" s="11">
        <f>IF(B8533&lt;C8533,1,EXP(-1*(B8533-C8533)/(Utilities!$B$11*IterData!H8533)))</f>
        <v>1</v>
      </c>
    </row>
    <row r="8534" spans="8:11" x14ac:dyDescent="0.3">
      <c r="H8534">
        <v>0.5</v>
      </c>
      <c r="I8534" s="11">
        <f t="shared" si="133"/>
        <v>0</v>
      </c>
      <c r="J8534" s="11">
        <f>1/(H8534*Utilities!$B$11)</f>
        <v>8</v>
      </c>
      <c r="K8534" s="11">
        <f>IF(B8534&lt;C8534,1,EXP(-1*(B8534-C8534)/(Utilities!$B$11*IterData!H8534)))</f>
        <v>1</v>
      </c>
    </row>
    <row r="8535" spans="8:11" x14ac:dyDescent="0.3">
      <c r="H8535">
        <v>0.5</v>
      </c>
      <c r="I8535" s="11">
        <f t="shared" si="133"/>
        <v>0</v>
      </c>
      <c r="J8535" s="11">
        <f>1/(H8535*Utilities!$B$11)</f>
        <v>8</v>
      </c>
      <c r="K8535" s="11">
        <f>IF(B8535&lt;C8535,1,EXP(-1*(B8535-C8535)/(Utilities!$B$11*IterData!H8535)))</f>
        <v>1</v>
      </c>
    </row>
    <row r="8536" spans="8:11" x14ac:dyDescent="0.3">
      <c r="H8536">
        <v>0.5</v>
      </c>
      <c r="I8536" s="11">
        <f t="shared" si="133"/>
        <v>0</v>
      </c>
      <c r="J8536" s="11">
        <f>1/(H8536*Utilities!$B$11)</f>
        <v>8</v>
      </c>
      <c r="K8536" s="11">
        <f>IF(B8536&lt;C8536,1,EXP(-1*(B8536-C8536)/(Utilities!$B$11*IterData!H8536)))</f>
        <v>1</v>
      </c>
    </row>
    <row r="8537" spans="8:11" x14ac:dyDescent="0.3">
      <c r="H8537">
        <v>0.5</v>
      </c>
      <c r="I8537" s="11">
        <f t="shared" si="133"/>
        <v>0</v>
      </c>
      <c r="J8537" s="11">
        <f>1/(H8537*Utilities!$B$11)</f>
        <v>8</v>
      </c>
      <c r="K8537" s="11">
        <f>IF(B8537&lt;C8537,1,EXP(-1*(B8537-C8537)/(Utilities!$B$11*IterData!H8537)))</f>
        <v>1</v>
      </c>
    </row>
    <row r="8538" spans="8:11" x14ac:dyDescent="0.3">
      <c r="H8538">
        <v>0.5</v>
      </c>
      <c r="I8538" s="11">
        <f t="shared" si="133"/>
        <v>0</v>
      </c>
      <c r="J8538" s="11">
        <f>1/(H8538*Utilities!$B$11)</f>
        <v>8</v>
      </c>
      <c r="K8538" s="11">
        <f>IF(B8538&lt;C8538,1,EXP(-1*(B8538-C8538)/(Utilities!$B$11*IterData!H8538)))</f>
        <v>1</v>
      </c>
    </row>
    <row r="8539" spans="8:11" x14ac:dyDescent="0.3">
      <c r="H8539">
        <v>0.5</v>
      </c>
      <c r="I8539" s="11">
        <f t="shared" si="133"/>
        <v>0</v>
      </c>
      <c r="J8539" s="11">
        <f>1/(H8539*Utilities!$B$11)</f>
        <v>8</v>
      </c>
      <c r="K8539" s="11">
        <f>IF(B8539&lt;C8539,1,EXP(-1*(B8539-C8539)/(Utilities!$B$11*IterData!H8539)))</f>
        <v>1</v>
      </c>
    </row>
    <row r="8540" spans="8:11" x14ac:dyDescent="0.3">
      <c r="H8540">
        <v>0.5</v>
      </c>
      <c r="I8540" s="11">
        <f t="shared" si="133"/>
        <v>0</v>
      </c>
      <c r="J8540" s="11">
        <f>1/(H8540*Utilities!$B$11)</f>
        <v>8</v>
      </c>
      <c r="K8540" s="11">
        <f>IF(B8540&lt;C8540,1,EXP(-1*(B8540-C8540)/(Utilities!$B$11*IterData!H8540)))</f>
        <v>1</v>
      </c>
    </row>
    <row r="8541" spans="8:11" x14ac:dyDescent="0.3">
      <c r="H8541">
        <v>0.5</v>
      </c>
      <c r="I8541" s="11">
        <f t="shared" si="133"/>
        <v>0</v>
      </c>
      <c r="J8541" s="11">
        <f>1/(H8541*Utilities!$B$11)</f>
        <v>8</v>
      </c>
      <c r="K8541" s="11">
        <f>IF(B8541&lt;C8541,1,EXP(-1*(B8541-C8541)/(Utilities!$B$11*IterData!H8541)))</f>
        <v>1</v>
      </c>
    </row>
    <row r="8542" spans="8:11" x14ac:dyDescent="0.3">
      <c r="H8542">
        <v>0.5</v>
      </c>
      <c r="I8542" s="11">
        <f t="shared" si="133"/>
        <v>0</v>
      </c>
      <c r="J8542" s="11">
        <f>1/(H8542*Utilities!$B$11)</f>
        <v>8</v>
      </c>
      <c r="K8542" s="11">
        <f>IF(B8542&lt;C8542,1,EXP(-1*(B8542-C8542)/(Utilities!$B$11*IterData!H8542)))</f>
        <v>1</v>
      </c>
    </row>
    <row r="8543" spans="8:11" x14ac:dyDescent="0.3">
      <c r="H8543">
        <v>0.5</v>
      </c>
      <c r="I8543" s="11">
        <f t="shared" si="133"/>
        <v>0</v>
      </c>
      <c r="J8543" s="11">
        <f>1/(H8543*Utilities!$B$11)</f>
        <v>8</v>
      </c>
      <c r="K8543" s="11">
        <f>IF(B8543&lt;C8543,1,EXP(-1*(B8543-C8543)/(Utilities!$B$11*IterData!H8543)))</f>
        <v>1</v>
      </c>
    </row>
    <row r="8544" spans="8:11" x14ac:dyDescent="0.3">
      <c r="H8544">
        <v>0.5</v>
      </c>
      <c r="I8544" s="11">
        <f t="shared" si="133"/>
        <v>0</v>
      </c>
      <c r="J8544" s="11">
        <f>1/(H8544*Utilities!$B$11)</f>
        <v>8</v>
      </c>
      <c r="K8544" s="11">
        <f>IF(B8544&lt;C8544,1,EXP(-1*(B8544-C8544)/(Utilities!$B$11*IterData!H8544)))</f>
        <v>1</v>
      </c>
    </row>
    <row r="8545" spans="8:11" x14ac:dyDescent="0.3">
      <c r="H8545">
        <v>0.5</v>
      </c>
      <c r="I8545" s="11">
        <f t="shared" si="133"/>
        <v>0</v>
      </c>
      <c r="J8545" s="11">
        <f>1/(H8545*Utilities!$B$11)</f>
        <v>8</v>
      </c>
      <c r="K8545" s="11">
        <f>IF(B8545&lt;C8545,1,EXP(-1*(B8545-C8545)/(Utilities!$B$11*IterData!H8545)))</f>
        <v>1</v>
      </c>
    </row>
    <row r="8546" spans="8:11" x14ac:dyDescent="0.3">
      <c r="H8546">
        <v>0.5</v>
      </c>
      <c r="I8546" s="11">
        <f t="shared" si="133"/>
        <v>0</v>
      </c>
      <c r="J8546" s="11">
        <f>1/(H8546*Utilities!$B$11)</f>
        <v>8</v>
      </c>
      <c r="K8546" s="11">
        <f>IF(B8546&lt;C8546,1,EXP(-1*(B8546-C8546)/(Utilities!$B$11*IterData!H8546)))</f>
        <v>1</v>
      </c>
    </row>
    <row r="8547" spans="8:11" x14ac:dyDescent="0.3">
      <c r="H8547">
        <v>0.5</v>
      </c>
      <c r="I8547" s="11">
        <f t="shared" si="133"/>
        <v>0</v>
      </c>
      <c r="J8547" s="11">
        <f>1/(H8547*Utilities!$B$11)</f>
        <v>8</v>
      </c>
      <c r="K8547" s="11">
        <f>IF(B8547&lt;C8547,1,EXP(-1*(B8547-C8547)/(Utilities!$B$11*IterData!H8547)))</f>
        <v>1</v>
      </c>
    </row>
    <row r="8548" spans="8:11" x14ac:dyDescent="0.3">
      <c r="H8548">
        <v>0.5</v>
      </c>
      <c r="I8548" s="11">
        <f t="shared" si="133"/>
        <v>0</v>
      </c>
      <c r="J8548" s="11">
        <f>1/(H8548*Utilities!$B$11)</f>
        <v>8</v>
      </c>
      <c r="K8548" s="11">
        <f>IF(B8548&lt;C8548,1,EXP(-1*(B8548-C8548)/(Utilities!$B$11*IterData!H8548)))</f>
        <v>1</v>
      </c>
    </row>
    <row r="8549" spans="8:11" x14ac:dyDescent="0.3">
      <c r="H8549">
        <v>0.5</v>
      </c>
      <c r="I8549" s="11">
        <f t="shared" si="133"/>
        <v>0</v>
      </c>
      <c r="J8549" s="11">
        <f>1/(H8549*Utilities!$B$11)</f>
        <v>8</v>
      </c>
      <c r="K8549" s="11">
        <f>IF(B8549&lt;C8549,1,EXP(-1*(B8549-C8549)/(Utilities!$B$11*IterData!H8549)))</f>
        <v>1</v>
      </c>
    </row>
    <row r="8550" spans="8:11" x14ac:dyDescent="0.3">
      <c r="H8550">
        <v>0.5</v>
      </c>
      <c r="I8550" s="11">
        <f t="shared" si="133"/>
        <v>0</v>
      </c>
      <c r="J8550" s="11">
        <f>1/(H8550*Utilities!$B$11)</f>
        <v>8</v>
      </c>
      <c r="K8550" s="11">
        <f>IF(B8550&lt;C8550,1,EXP(-1*(B8550-C8550)/(Utilities!$B$11*IterData!H8550)))</f>
        <v>1</v>
      </c>
    </row>
    <row r="8551" spans="8:11" x14ac:dyDescent="0.3">
      <c r="H8551">
        <v>0.5</v>
      </c>
      <c r="I8551" s="11">
        <f t="shared" si="133"/>
        <v>0</v>
      </c>
      <c r="J8551" s="11">
        <f>1/(H8551*Utilities!$B$11)</f>
        <v>8</v>
      </c>
      <c r="K8551" s="11">
        <f>IF(B8551&lt;C8551,1,EXP(-1*(B8551-C8551)/(Utilities!$B$11*IterData!H8551)))</f>
        <v>1</v>
      </c>
    </row>
    <row r="8552" spans="8:11" x14ac:dyDescent="0.3">
      <c r="H8552">
        <v>0.5</v>
      </c>
      <c r="I8552" s="11">
        <f t="shared" si="133"/>
        <v>0</v>
      </c>
      <c r="J8552" s="11">
        <f>1/(H8552*Utilities!$B$11)</f>
        <v>8</v>
      </c>
      <c r="K8552" s="11">
        <f>IF(B8552&lt;C8552,1,EXP(-1*(B8552-C8552)/(Utilities!$B$11*IterData!H8552)))</f>
        <v>1</v>
      </c>
    </row>
    <row r="8553" spans="8:11" x14ac:dyDescent="0.3">
      <c r="H8553">
        <v>0.5</v>
      </c>
      <c r="I8553" s="11">
        <f t="shared" si="133"/>
        <v>0</v>
      </c>
      <c r="J8553" s="11">
        <f>1/(H8553*Utilities!$B$11)</f>
        <v>8</v>
      </c>
      <c r="K8553" s="11">
        <f>IF(B8553&lt;C8553,1,EXP(-1*(B8553-C8553)/(Utilities!$B$11*IterData!H8553)))</f>
        <v>1</v>
      </c>
    </row>
    <row r="8554" spans="8:11" x14ac:dyDescent="0.3">
      <c r="H8554">
        <v>0.5</v>
      </c>
      <c r="I8554" s="11">
        <f t="shared" si="133"/>
        <v>0</v>
      </c>
      <c r="J8554" s="11">
        <f>1/(H8554*Utilities!$B$11)</f>
        <v>8</v>
      </c>
      <c r="K8554" s="11">
        <f>IF(B8554&lt;C8554,1,EXP(-1*(B8554-C8554)/(Utilities!$B$11*IterData!H8554)))</f>
        <v>1</v>
      </c>
    </row>
    <row r="8555" spans="8:11" x14ac:dyDescent="0.3">
      <c r="H8555">
        <v>0.5</v>
      </c>
      <c r="I8555" s="11">
        <f t="shared" si="133"/>
        <v>0</v>
      </c>
      <c r="J8555" s="11">
        <f>1/(H8555*Utilities!$B$11)</f>
        <v>8</v>
      </c>
      <c r="K8555" s="11">
        <f>IF(B8555&lt;C8555,1,EXP(-1*(B8555-C8555)/(Utilities!$B$11*IterData!H8555)))</f>
        <v>1</v>
      </c>
    </row>
    <row r="8556" spans="8:11" x14ac:dyDescent="0.3">
      <c r="H8556">
        <v>0.5</v>
      </c>
      <c r="I8556" s="11">
        <f t="shared" si="133"/>
        <v>0</v>
      </c>
      <c r="J8556" s="11">
        <f>1/(H8556*Utilities!$B$11)</f>
        <v>8</v>
      </c>
      <c r="K8556" s="11">
        <f>IF(B8556&lt;C8556,1,EXP(-1*(B8556-C8556)/(Utilities!$B$11*IterData!H8556)))</f>
        <v>1</v>
      </c>
    </row>
    <row r="8557" spans="8:11" x14ac:dyDescent="0.3">
      <c r="H8557">
        <v>0.5</v>
      </c>
      <c r="I8557" s="11">
        <f t="shared" si="133"/>
        <v>0</v>
      </c>
      <c r="J8557" s="11">
        <f>1/(H8557*Utilities!$B$11)</f>
        <v>8</v>
      </c>
      <c r="K8557" s="11">
        <f>IF(B8557&lt;C8557,1,EXP(-1*(B8557-C8557)/(Utilities!$B$11*IterData!H8557)))</f>
        <v>1</v>
      </c>
    </row>
    <row r="8558" spans="8:11" x14ac:dyDescent="0.3">
      <c r="H8558">
        <v>0.5</v>
      </c>
      <c r="I8558" s="11">
        <f t="shared" si="133"/>
        <v>0</v>
      </c>
      <c r="J8558" s="11">
        <f>1/(H8558*Utilities!$B$11)</f>
        <v>8</v>
      </c>
      <c r="K8558" s="11">
        <f>IF(B8558&lt;C8558,1,EXP(-1*(B8558-C8558)/(Utilities!$B$11*IterData!H8558)))</f>
        <v>1</v>
      </c>
    </row>
    <row r="8559" spans="8:11" x14ac:dyDescent="0.3">
      <c r="H8559">
        <v>0.5</v>
      </c>
      <c r="I8559" s="11">
        <f t="shared" si="133"/>
        <v>0</v>
      </c>
      <c r="J8559" s="11">
        <f>1/(H8559*Utilities!$B$11)</f>
        <v>8</v>
      </c>
      <c r="K8559" s="11">
        <f>IF(B8559&lt;C8559,1,EXP(-1*(B8559-C8559)/(Utilities!$B$11*IterData!H8559)))</f>
        <v>1</v>
      </c>
    </row>
    <row r="8560" spans="8:11" x14ac:dyDescent="0.3">
      <c r="H8560">
        <v>0.5</v>
      </c>
      <c r="I8560" s="11">
        <f t="shared" si="133"/>
        <v>0</v>
      </c>
      <c r="J8560" s="11">
        <f>1/(H8560*Utilities!$B$11)</f>
        <v>8</v>
      </c>
      <c r="K8560" s="11">
        <f>IF(B8560&lt;C8560,1,EXP(-1*(B8560-C8560)/(Utilities!$B$11*IterData!H8560)))</f>
        <v>1</v>
      </c>
    </row>
    <row r="8561" spans="8:11" x14ac:dyDescent="0.3">
      <c r="H8561">
        <v>0.5</v>
      </c>
      <c r="I8561" s="11">
        <f t="shared" si="133"/>
        <v>0</v>
      </c>
      <c r="J8561" s="11">
        <f>1/(H8561*Utilities!$B$11)</f>
        <v>8</v>
      </c>
      <c r="K8561" s="11">
        <f>IF(B8561&lt;C8561,1,EXP(-1*(B8561-C8561)/(Utilities!$B$11*IterData!H8561)))</f>
        <v>1</v>
      </c>
    </row>
    <row r="8562" spans="8:11" x14ac:dyDescent="0.3">
      <c r="H8562">
        <v>0.5</v>
      </c>
      <c r="I8562" s="11">
        <f t="shared" si="133"/>
        <v>0</v>
      </c>
      <c r="J8562" s="11">
        <f>1/(H8562*Utilities!$B$11)</f>
        <v>8</v>
      </c>
      <c r="K8562" s="11">
        <f>IF(B8562&lt;C8562,1,EXP(-1*(B8562-C8562)/(Utilities!$B$11*IterData!H8562)))</f>
        <v>1</v>
      </c>
    </row>
    <row r="8563" spans="8:11" x14ac:dyDescent="0.3">
      <c r="H8563">
        <v>0.5</v>
      </c>
      <c r="I8563" s="11">
        <f t="shared" si="133"/>
        <v>0</v>
      </c>
      <c r="J8563" s="11">
        <f>1/(H8563*Utilities!$B$11)</f>
        <v>8</v>
      </c>
      <c r="K8563" s="11">
        <f>IF(B8563&lt;C8563,1,EXP(-1*(B8563-C8563)/(Utilities!$B$11*IterData!H8563)))</f>
        <v>1</v>
      </c>
    </row>
    <row r="8564" spans="8:11" x14ac:dyDescent="0.3">
      <c r="H8564">
        <v>0.5</v>
      </c>
      <c r="I8564" s="11">
        <f t="shared" si="133"/>
        <v>0</v>
      </c>
      <c r="J8564" s="11">
        <f>1/(H8564*Utilities!$B$11)</f>
        <v>8</v>
      </c>
      <c r="K8564" s="11">
        <f>IF(B8564&lt;C8564,1,EXP(-1*(B8564-C8564)/(Utilities!$B$11*IterData!H8564)))</f>
        <v>1</v>
      </c>
    </row>
    <row r="8565" spans="8:11" x14ac:dyDescent="0.3">
      <c r="H8565">
        <v>0.5</v>
      </c>
      <c r="I8565" s="11">
        <f t="shared" si="133"/>
        <v>0</v>
      </c>
      <c r="J8565" s="11">
        <f>1/(H8565*Utilities!$B$11)</f>
        <v>8</v>
      </c>
      <c r="K8565" s="11">
        <f>IF(B8565&lt;C8565,1,EXP(-1*(B8565-C8565)/(Utilities!$B$11*IterData!H8565)))</f>
        <v>1</v>
      </c>
    </row>
    <row r="8566" spans="8:11" x14ac:dyDescent="0.3">
      <c r="H8566">
        <v>0.5</v>
      </c>
      <c r="I8566" s="11">
        <f t="shared" si="133"/>
        <v>0</v>
      </c>
      <c r="J8566" s="11">
        <f>1/(H8566*Utilities!$B$11)</f>
        <v>8</v>
      </c>
      <c r="K8566" s="11">
        <f>IF(B8566&lt;C8566,1,EXP(-1*(B8566-C8566)/(Utilities!$B$11*IterData!H8566)))</f>
        <v>1</v>
      </c>
    </row>
    <row r="8567" spans="8:11" x14ac:dyDescent="0.3">
      <c r="H8567">
        <v>0.5</v>
      </c>
      <c r="I8567" s="11">
        <f t="shared" si="133"/>
        <v>0</v>
      </c>
      <c r="J8567" s="11">
        <f>1/(H8567*Utilities!$B$11)</f>
        <v>8</v>
      </c>
      <c r="K8567" s="11">
        <f>IF(B8567&lt;C8567,1,EXP(-1*(B8567-C8567)/(Utilities!$B$11*IterData!H8567)))</f>
        <v>1</v>
      </c>
    </row>
    <row r="8568" spans="8:11" x14ac:dyDescent="0.3">
      <c r="H8568">
        <v>0.5</v>
      </c>
      <c r="I8568" s="11">
        <f t="shared" si="133"/>
        <v>0</v>
      </c>
      <c r="J8568" s="11">
        <f>1/(H8568*Utilities!$B$11)</f>
        <v>8</v>
      </c>
      <c r="K8568" s="11">
        <f>IF(B8568&lt;C8568,1,EXP(-1*(B8568-C8568)/(Utilities!$B$11*IterData!H8568)))</f>
        <v>1</v>
      </c>
    </row>
    <row r="8569" spans="8:11" x14ac:dyDescent="0.3">
      <c r="H8569">
        <v>0.5</v>
      </c>
      <c r="I8569" s="11">
        <f t="shared" si="133"/>
        <v>0</v>
      </c>
      <c r="J8569" s="11">
        <f>1/(H8569*Utilities!$B$11)</f>
        <v>8</v>
      </c>
      <c r="K8569" s="11">
        <f>IF(B8569&lt;C8569,1,EXP(-1*(B8569-C8569)/(Utilities!$B$11*IterData!H8569)))</f>
        <v>1</v>
      </c>
    </row>
    <row r="8570" spans="8:11" x14ac:dyDescent="0.3">
      <c r="H8570">
        <v>0.5</v>
      </c>
      <c r="I8570" s="11">
        <f t="shared" si="133"/>
        <v>0</v>
      </c>
      <c r="J8570" s="11">
        <f>1/(H8570*Utilities!$B$11)</f>
        <v>8</v>
      </c>
      <c r="K8570" s="11">
        <f>IF(B8570&lt;C8570,1,EXP(-1*(B8570-C8570)/(Utilities!$B$11*IterData!H8570)))</f>
        <v>1</v>
      </c>
    </row>
    <row r="8571" spans="8:11" x14ac:dyDescent="0.3">
      <c r="H8571">
        <v>0.5</v>
      </c>
      <c r="I8571" s="11">
        <f t="shared" si="133"/>
        <v>0</v>
      </c>
      <c r="J8571" s="11">
        <f>1/(H8571*Utilities!$B$11)</f>
        <v>8</v>
      </c>
      <c r="K8571" s="11">
        <f>IF(B8571&lt;C8571,1,EXP(-1*(B8571-C8571)/(Utilities!$B$11*IterData!H8571)))</f>
        <v>1</v>
      </c>
    </row>
    <row r="8572" spans="8:11" x14ac:dyDescent="0.3">
      <c r="H8572">
        <v>0.5</v>
      </c>
      <c r="I8572" s="11">
        <f t="shared" si="133"/>
        <v>0</v>
      </c>
      <c r="J8572" s="11">
        <f>1/(H8572*Utilities!$B$11)</f>
        <v>8</v>
      </c>
      <c r="K8572" s="11">
        <f>IF(B8572&lt;C8572,1,EXP(-1*(B8572-C8572)/(Utilities!$B$11*IterData!H8572)))</f>
        <v>1</v>
      </c>
    </row>
    <row r="8573" spans="8:11" x14ac:dyDescent="0.3">
      <c r="H8573">
        <v>0.5</v>
      </c>
      <c r="I8573" s="11">
        <f t="shared" si="133"/>
        <v>0</v>
      </c>
      <c r="J8573" s="11">
        <f>1/(H8573*Utilities!$B$11)</f>
        <v>8</v>
      </c>
      <c r="K8573" s="11">
        <f>IF(B8573&lt;C8573,1,EXP(-1*(B8573-C8573)/(Utilities!$B$11*IterData!H8573)))</f>
        <v>1</v>
      </c>
    </row>
    <row r="8574" spans="8:11" x14ac:dyDescent="0.3">
      <c r="H8574">
        <v>0.5</v>
      </c>
      <c r="I8574" s="11">
        <f t="shared" si="133"/>
        <v>0</v>
      </c>
      <c r="J8574" s="11">
        <f>1/(H8574*Utilities!$B$11)</f>
        <v>8</v>
      </c>
      <c r="K8574" s="11">
        <f>IF(B8574&lt;C8574,1,EXP(-1*(B8574-C8574)/(Utilities!$B$11*IterData!H8574)))</f>
        <v>1</v>
      </c>
    </row>
    <row r="8575" spans="8:11" x14ac:dyDescent="0.3">
      <c r="H8575">
        <v>0.5</v>
      </c>
      <c r="I8575" s="11">
        <f t="shared" si="133"/>
        <v>0</v>
      </c>
      <c r="J8575" s="11">
        <f>1/(H8575*Utilities!$B$11)</f>
        <v>8</v>
      </c>
      <c r="K8575" s="11">
        <f>IF(B8575&lt;C8575,1,EXP(-1*(B8575-C8575)/(Utilities!$B$11*IterData!H8575)))</f>
        <v>1</v>
      </c>
    </row>
    <row r="8576" spans="8:11" x14ac:dyDescent="0.3">
      <c r="H8576">
        <v>0.5</v>
      </c>
      <c r="I8576" s="11">
        <f t="shared" si="133"/>
        <v>0</v>
      </c>
      <c r="J8576" s="11">
        <f>1/(H8576*Utilities!$B$11)</f>
        <v>8</v>
      </c>
      <c r="K8576" s="11">
        <f>IF(B8576&lt;C8576,1,EXP(-1*(B8576-C8576)/(Utilities!$B$11*IterData!H8576)))</f>
        <v>1</v>
      </c>
    </row>
    <row r="8577" spans="8:11" x14ac:dyDescent="0.3">
      <c r="H8577">
        <v>0.5</v>
      </c>
      <c r="I8577" s="11">
        <f t="shared" si="133"/>
        <v>0</v>
      </c>
      <c r="J8577" s="11">
        <f>1/(H8577*Utilities!$B$11)</f>
        <v>8</v>
      </c>
      <c r="K8577" s="11">
        <f>IF(B8577&lt;C8577,1,EXP(-1*(B8577-C8577)/(Utilities!$B$11*IterData!H8577)))</f>
        <v>1</v>
      </c>
    </row>
    <row r="8578" spans="8:11" x14ac:dyDescent="0.3">
      <c r="H8578">
        <v>0.5</v>
      </c>
      <c r="I8578" s="11">
        <f t="shared" si="133"/>
        <v>0</v>
      </c>
      <c r="J8578" s="11">
        <f>1/(H8578*Utilities!$B$11)</f>
        <v>8</v>
      </c>
      <c r="K8578" s="11">
        <f>IF(B8578&lt;C8578,1,EXP(-1*(B8578-C8578)/(Utilities!$B$11*IterData!H8578)))</f>
        <v>1</v>
      </c>
    </row>
    <row r="8579" spans="8:11" x14ac:dyDescent="0.3">
      <c r="H8579">
        <v>0.5</v>
      </c>
      <c r="I8579" s="11">
        <f t="shared" ref="I8579:I8642" si="134">B8579-C8579</f>
        <v>0</v>
      </c>
      <c r="J8579" s="11">
        <f>1/(H8579*Utilities!$B$11)</f>
        <v>8</v>
      </c>
      <c r="K8579" s="11">
        <f>IF(B8579&lt;C8579,1,EXP(-1*(B8579-C8579)/(Utilities!$B$11*IterData!H8579)))</f>
        <v>1</v>
      </c>
    </row>
    <row r="8580" spans="8:11" x14ac:dyDescent="0.3">
      <c r="H8580">
        <v>0.5</v>
      </c>
      <c r="I8580" s="11">
        <f t="shared" si="134"/>
        <v>0</v>
      </c>
      <c r="J8580" s="11">
        <f>1/(H8580*Utilities!$B$11)</f>
        <v>8</v>
      </c>
      <c r="K8580" s="11">
        <f>IF(B8580&lt;C8580,1,EXP(-1*(B8580-C8580)/(Utilities!$B$11*IterData!H8580)))</f>
        <v>1</v>
      </c>
    </row>
    <row r="8581" spans="8:11" x14ac:dyDescent="0.3">
      <c r="H8581">
        <v>0.5</v>
      </c>
      <c r="I8581" s="11">
        <f t="shared" si="134"/>
        <v>0</v>
      </c>
      <c r="J8581" s="11">
        <f>1/(H8581*Utilities!$B$11)</f>
        <v>8</v>
      </c>
      <c r="K8581" s="11">
        <f>IF(B8581&lt;C8581,1,EXP(-1*(B8581-C8581)/(Utilities!$B$11*IterData!H8581)))</f>
        <v>1</v>
      </c>
    </row>
    <row r="8582" spans="8:11" x14ac:dyDescent="0.3">
      <c r="H8582">
        <v>0.5</v>
      </c>
      <c r="I8582" s="11">
        <f t="shared" si="134"/>
        <v>0</v>
      </c>
      <c r="J8582" s="11">
        <f>1/(H8582*Utilities!$B$11)</f>
        <v>8</v>
      </c>
      <c r="K8582" s="11">
        <f>IF(B8582&lt;C8582,1,EXP(-1*(B8582-C8582)/(Utilities!$B$11*IterData!H8582)))</f>
        <v>1</v>
      </c>
    </row>
    <row r="8583" spans="8:11" x14ac:dyDescent="0.3">
      <c r="H8583">
        <v>0.5</v>
      </c>
      <c r="I8583" s="11">
        <f t="shared" si="134"/>
        <v>0</v>
      </c>
      <c r="J8583" s="11">
        <f>1/(H8583*Utilities!$B$11)</f>
        <v>8</v>
      </c>
      <c r="K8583" s="11">
        <f>IF(B8583&lt;C8583,1,EXP(-1*(B8583-C8583)/(Utilities!$B$11*IterData!H8583)))</f>
        <v>1</v>
      </c>
    </row>
    <row r="8584" spans="8:11" x14ac:dyDescent="0.3">
      <c r="H8584">
        <v>0.5</v>
      </c>
      <c r="I8584" s="11">
        <f t="shared" si="134"/>
        <v>0</v>
      </c>
      <c r="J8584" s="11">
        <f>1/(H8584*Utilities!$B$11)</f>
        <v>8</v>
      </c>
      <c r="K8584" s="11">
        <f>IF(B8584&lt;C8584,1,EXP(-1*(B8584-C8584)/(Utilities!$B$11*IterData!H8584)))</f>
        <v>1</v>
      </c>
    </row>
    <row r="8585" spans="8:11" x14ac:dyDescent="0.3">
      <c r="H8585">
        <v>0.5</v>
      </c>
      <c r="I8585" s="11">
        <f t="shared" si="134"/>
        <v>0</v>
      </c>
      <c r="J8585" s="11">
        <f>1/(H8585*Utilities!$B$11)</f>
        <v>8</v>
      </c>
      <c r="K8585" s="11">
        <f>IF(B8585&lt;C8585,1,EXP(-1*(B8585-C8585)/(Utilities!$B$11*IterData!H8585)))</f>
        <v>1</v>
      </c>
    </row>
    <row r="8586" spans="8:11" x14ac:dyDescent="0.3">
      <c r="H8586">
        <v>0.5</v>
      </c>
      <c r="I8586" s="11">
        <f t="shared" si="134"/>
        <v>0</v>
      </c>
      <c r="J8586" s="11">
        <f>1/(H8586*Utilities!$B$11)</f>
        <v>8</v>
      </c>
      <c r="K8586" s="11">
        <f>IF(B8586&lt;C8586,1,EXP(-1*(B8586-C8586)/(Utilities!$B$11*IterData!H8586)))</f>
        <v>1</v>
      </c>
    </row>
    <row r="8587" spans="8:11" x14ac:dyDescent="0.3">
      <c r="H8587">
        <v>0.5</v>
      </c>
      <c r="I8587" s="11">
        <f t="shared" si="134"/>
        <v>0</v>
      </c>
      <c r="J8587" s="11">
        <f>1/(H8587*Utilities!$B$11)</f>
        <v>8</v>
      </c>
      <c r="K8587" s="11">
        <f>IF(B8587&lt;C8587,1,EXP(-1*(B8587-C8587)/(Utilities!$B$11*IterData!H8587)))</f>
        <v>1</v>
      </c>
    </row>
    <row r="8588" spans="8:11" x14ac:dyDescent="0.3">
      <c r="H8588">
        <v>0.5</v>
      </c>
      <c r="I8588" s="11">
        <f t="shared" si="134"/>
        <v>0</v>
      </c>
      <c r="J8588" s="11">
        <f>1/(H8588*Utilities!$B$11)</f>
        <v>8</v>
      </c>
      <c r="K8588" s="11">
        <f>IF(B8588&lt;C8588,1,EXP(-1*(B8588-C8588)/(Utilities!$B$11*IterData!H8588)))</f>
        <v>1</v>
      </c>
    </row>
    <row r="8589" spans="8:11" x14ac:dyDescent="0.3">
      <c r="H8589">
        <v>0.5</v>
      </c>
      <c r="I8589" s="11">
        <f t="shared" si="134"/>
        <v>0</v>
      </c>
      <c r="J8589" s="11">
        <f>1/(H8589*Utilities!$B$11)</f>
        <v>8</v>
      </c>
      <c r="K8589" s="11">
        <f>IF(B8589&lt;C8589,1,EXP(-1*(B8589-C8589)/(Utilities!$B$11*IterData!H8589)))</f>
        <v>1</v>
      </c>
    </row>
    <row r="8590" spans="8:11" x14ac:dyDescent="0.3">
      <c r="H8590">
        <v>0.5</v>
      </c>
      <c r="I8590" s="11">
        <f t="shared" si="134"/>
        <v>0</v>
      </c>
      <c r="J8590" s="11">
        <f>1/(H8590*Utilities!$B$11)</f>
        <v>8</v>
      </c>
      <c r="K8590" s="11">
        <f>IF(B8590&lt;C8590,1,EXP(-1*(B8590-C8590)/(Utilities!$B$11*IterData!H8590)))</f>
        <v>1</v>
      </c>
    </row>
    <row r="8591" spans="8:11" x14ac:dyDescent="0.3">
      <c r="H8591">
        <v>0.5</v>
      </c>
      <c r="I8591" s="11">
        <f t="shared" si="134"/>
        <v>0</v>
      </c>
      <c r="J8591" s="11">
        <f>1/(H8591*Utilities!$B$11)</f>
        <v>8</v>
      </c>
      <c r="K8591" s="11">
        <f>IF(B8591&lt;C8591,1,EXP(-1*(B8591-C8591)/(Utilities!$B$11*IterData!H8591)))</f>
        <v>1</v>
      </c>
    </row>
    <row r="8592" spans="8:11" x14ac:dyDescent="0.3">
      <c r="H8592">
        <v>0.5</v>
      </c>
      <c r="I8592" s="11">
        <f t="shared" si="134"/>
        <v>0</v>
      </c>
      <c r="J8592" s="11">
        <f>1/(H8592*Utilities!$B$11)</f>
        <v>8</v>
      </c>
      <c r="K8592" s="11">
        <f>IF(B8592&lt;C8592,1,EXP(-1*(B8592-C8592)/(Utilities!$B$11*IterData!H8592)))</f>
        <v>1</v>
      </c>
    </row>
    <row r="8593" spans="8:11" x14ac:dyDescent="0.3">
      <c r="H8593">
        <v>0.5</v>
      </c>
      <c r="I8593" s="11">
        <f t="shared" si="134"/>
        <v>0</v>
      </c>
      <c r="J8593" s="11">
        <f>1/(H8593*Utilities!$B$11)</f>
        <v>8</v>
      </c>
      <c r="K8593" s="11">
        <f>IF(B8593&lt;C8593,1,EXP(-1*(B8593-C8593)/(Utilities!$B$11*IterData!H8593)))</f>
        <v>1</v>
      </c>
    </row>
    <row r="8594" spans="8:11" x14ac:dyDescent="0.3">
      <c r="H8594">
        <v>0.5</v>
      </c>
      <c r="I8594" s="11">
        <f t="shared" si="134"/>
        <v>0</v>
      </c>
      <c r="J8594" s="11">
        <f>1/(H8594*Utilities!$B$11)</f>
        <v>8</v>
      </c>
      <c r="K8594" s="11">
        <f>IF(B8594&lt;C8594,1,EXP(-1*(B8594-C8594)/(Utilities!$B$11*IterData!H8594)))</f>
        <v>1</v>
      </c>
    </row>
    <row r="8595" spans="8:11" x14ac:dyDescent="0.3">
      <c r="H8595">
        <v>0.5</v>
      </c>
      <c r="I8595" s="11">
        <f t="shared" si="134"/>
        <v>0</v>
      </c>
      <c r="J8595" s="11">
        <f>1/(H8595*Utilities!$B$11)</f>
        <v>8</v>
      </c>
      <c r="K8595" s="11">
        <f>IF(B8595&lt;C8595,1,EXP(-1*(B8595-C8595)/(Utilities!$B$11*IterData!H8595)))</f>
        <v>1</v>
      </c>
    </row>
    <row r="8596" spans="8:11" x14ac:dyDescent="0.3">
      <c r="H8596">
        <v>0.5</v>
      </c>
      <c r="I8596" s="11">
        <f t="shared" si="134"/>
        <v>0</v>
      </c>
      <c r="J8596" s="11">
        <f>1/(H8596*Utilities!$B$11)</f>
        <v>8</v>
      </c>
      <c r="K8596" s="11">
        <f>IF(B8596&lt;C8596,1,EXP(-1*(B8596-C8596)/(Utilities!$B$11*IterData!H8596)))</f>
        <v>1</v>
      </c>
    </row>
    <row r="8597" spans="8:11" x14ac:dyDescent="0.3">
      <c r="H8597">
        <v>0.5</v>
      </c>
      <c r="I8597" s="11">
        <f t="shared" si="134"/>
        <v>0</v>
      </c>
      <c r="J8597" s="11">
        <f>1/(H8597*Utilities!$B$11)</f>
        <v>8</v>
      </c>
      <c r="K8597" s="11">
        <f>IF(B8597&lt;C8597,1,EXP(-1*(B8597-C8597)/(Utilities!$B$11*IterData!H8597)))</f>
        <v>1</v>
      </c>
    </row>
    <row r="8598" spans="8:11" x14ac:dyDescent="0.3">
      <c r="H8598">
        <v>0.5</v>
      </c>
      <c r="I8598" s="11">
        <f t="shared" si="134"/>
        <v>0</v>
      </c>
      <c r="J8598" s="11">
        <f>1/(H8598*Utilities!$B$11)</f>
        <v>8</v>
      </c>
      <c r="K8598" s="11">
        <f>IF(B8598&lt;C8598,1,EXP(-1*(B8598-C8598)/(Utilities!$B$11*IterData!H8598)))</f>
        <v>1</v>
      </c>
    </row>
    <row r="8599" spans="8:11" x14ac:dyDescent="0.3">
      <c r="H8599">
        <v>0.5</v>
      </c>
      <c r="I8599" s="11">
        <f t="shared" si="134"/>
        <v>0</v>
      </c>
      <c r="J8599" s="11">
        <f>1/(H8599*Utilities!$B$11)</f>
        <v>8</v>
      </c>
      <c r="K8599" s="11">
        <f>IF(B8599&lt;C8599,1,EXP(-1*(B8599-C8599)/(Utilities!$B$11*IterData!H8599)))</f>
        <v>1</v>
      </c>
    </row>
    <row r="8600" spans="8:11" x14ac:dyDescent="0.3">
      <c r="H8600">
        <v>0.5</v>
      </c>
      <c r="I8600" s="11">
        <f t="shared" si="134"/>
        <v>0</v>
      </c>
      <c r="J8600" s="11">
        <f>1/(H8600*Utilities!$B$11)</f>
        <v>8</v>
      </c>
      <c r="K8600" s="11">
        <f>IF(B8600&lt;C8600,1,EXP(-1*(B8600-C8600)/(Utilities!$B$11*IterData!H8600)))</f>
        <v>1</v>
      </c>
    </row>
    <row r="8601" spans="8:11" x14ac:dyDescent="0.3">
      <c r="H8601">
        <v>0.5</v>
      </c>
      <c r="I8601" s="11">
        <f t="shared" si="134"/>
        <v>0</v>
      </c>
      <c r="J8601" s="11">
        <f>1/(H8601*Utilities!$B$11)</f>
        <v>8</v>
      </c>
      <c r="K8601" s="11">
        <f>IF(B8601&lt;C8601,1,EXP(-1*(B8601-C8601)/(Utilities!$B$11*IterData!H8601)))</f>
        <v>1</v>
      </c>
    </row>
    <row r="8602" spans="8:11" x14ac:dyDescent="0.3">
      <c r="H8602">
        <v>0.5</v>
      </c>
      <c r="I8602" s="11">
        <f t="shared" si="134"/>
        <v>0</v>
      </c>
      <c r="J8602" s="11">
        <f>1/(H8602*Utilities!$B$11)</f>
        <v>8</v>
      </c>
      <c r="K8602" s="11">
        <f>IF(B8602&lt;C8602,1,EXP(-1*(B8602-C8602)/(Utilities!$B$11*IterData!H8602)))</f>
        <v>1</v>
      </c>
    </row>
    <row r="8603" spans="8:11" x14ac:dyDescent="0.3">
      <c r="H8603">
        <v>0.5</v>
      </c>
      <c r="I8603" s="11">
        <f t="shared" si="134"/>
        <v>0</v>
      </c>
      <c r="J8603" s="11">
        <f>1/(H8603*Utilities!$B$11)</f>
        <v>8</v>
      </c>
      <c r="K8603" s="11">
        <f>IF(B8603&lt;C8603,1,EXP(-1*(B8603-C8603)/(Utilities!$B$11*IterData!H8603)))</f>
        <v>1</v>
      </c>
    </row>
    <row r="8604" spans="8:11" x14ac:dyDescent="0.3">
      <c r="H8604">
        <v>0.5</v>
      </c>
      <c r="I8604" s="11">
        <f t="shared" si="134"/>
        <v>0</v>
      </c>
      <c r="J8604" s="11">
        <f>1/(H8604*Utilities!$B$11)</f>
        <v>8</v>
      </c>
      <c r="K8604" s="11">
        <f>IF(B8604&lt;C8604,1,EXP(-1*(B8604-C8604)/(Utilities!$B$11*IterData!H8604)))</f>
        <v>1</v>
      </c>
    </row>
    <row r="8605" spans="8:11" x14ac:dyDescent="0.3">
      <c r="H8605">
        <v>0.5</v>
      </c>
      <c r="I8605" s="11">
        <f t="shared" si="134"/>
        <v>0</v>
      </c>
      <c r="J8605" s="11">
        <f>1/(H8605*Utilities!$B$11)</f>
        <v>8</v>
      </c>
      <c r="K8605" s="11">
        <f>IF(B8605&lt;C8605,1,EXP(-1*(B8605-C8605)/(Utilities!$B$11*IterData!H8605)))</f>
        <v>1</v>
      </c>
    </row>
    <row r="8606" spans="8:11" x14ac:dyDescent="0.3">
      <c r="H8606">
        <v>0.5</v>
      </c>
      <c r="I8606" s="11">
        <f t="shared" si="134"/>
        <v>0</v>
      </c>
      <c r="J8606" s="11">
        <f>1/(H8606*Utilities!$B$11)</f>
        <v>8</v>
      </c>
      <c r="K8606" s="11">
        <f>IF(B8606&lt;C8606,1,EXP(-1*(B8606-C8606)/(Utilities!$B$11*IterData!H8606)))</f>
        <v>1</v>
      </c>
    </row>
    <row r="8607" spans="8:11" x14ac:dyDescent="0.3">
      <c r="H8607">
        <v>0.5</v>
      </c>
      <c r="I8607" s="11">
        <f t="shared" si="134"/>
        <v>0</v>
      </c>
      <c r="J8607" s="11">
        <f>1/(H8607*Utilities!$B$11)</f>
        <v>8</v>
      </c>
      <c r="K8607" s="11">
        <f>IF(B8607&lt;C8607,1,EXP(-1*(B8607-C8607)/(Utilities!$B$11*IterData!H8607)))</f>
        <v>1</v>
      </c>
    </row>
    <row r="8608" spans="8:11" x14ac:dyDescent="0.3">
      <c r="H8608">
        <v>0.5</v>
      </c>
      <c r="I8608" s="11">
        <f t="shared" si="134"/>
        <v>0</v>
      </c>
      <c r="J8608" s="11">
        <f>1/(H8608*Utilities!$B$11)</f>
        <v>8</v>
      </c>
      <c r="K8608" s="11">
        <f>IF(B8608&lt;C8608,1,EXP(-1*(B8608-C8608)/(Utilities!$B$11*IterData!H8608)))</f>
        <v>1</v>
      </c>
    </row>
    <row r="8609" spans="8:11" x14ac:dyDescent="0.3">
      <c r="H8609">
        <v>0.5</v>
      </c>
      <c r="I8609" s="11">
        <f t="shared" si="134"/>
        <v>0</v>
      </c>
      <c r="J8609" s="11">
        <f>1/(H8609*Utilities!$B$11)</f>
        <v>8</v>
      </c>
      <c r="K8609" s="11">
        <f>IF(B8609&lt;C8609,1,EXP(-1*(B8609-C8609)/(Utilities!$B$11*IterData!H8609)))</f>
        <v>1</v>
      </c>
    </row>
    <row r="8610" spans="8:11" x14ac:dyDescent="0.3">
      <c r="H8610">
        <v>0.5</v>
      </c>
      <c r="I8610" s="11">
        <f t="shared" si="134"/>
        <v>0</v>
      </c>
      <c r="J8610" s="11">
        <f>1/(H8610*Utilities!$B$11)</f>
        <v>8</v>
      </c>
      <c r="K8610" s="11">
        <f>IF(B8610&lt;C8610,1,EXP(-1*(B8610-C8610)/(Utilities!$B$11*IterData!H8610)))</f>
        <v>1</v>
      </c>
    </row>
    <row r="8611" spans="8:11" x14ac:dyDescent="0.3">
      <c r="H8611">
        <v>0.5</v>
      </c>
      <c r="I8611" s="11">
        <f t="shared" si="134"/>
        <v>0</v>
      </c>
      <c r="J8611" s="11">
        <f>1/(H8611*Utilities!$B$11)</f>
        <v>8</v>
      </c>
      <c r="K8611" s="11">
        <f>IF(B8611&lt;C8611,1,EXP(-1*(B8611-C8611)/(Utilities!$B$11*IterData!H8611)))</f>
        <v>1</v>
      </c>
    </row>
    <row r="8612" spans="8:11" x14ac:dyDescent="0.3">
      <c r="H8612">
        <v>0.5</v>
      </c>
      <c r="I8612" s="11">
        <f t="shared" si="134"/>
        <v>0</v>
      </c>
      <c r="J8612" s="11">
        <f>1/(H8612*Utilities!$B$11)</f>
        <v>8</v>
      </c>
      <c r="K8612" s="11">
        <f>IF(B8612&lt;C8612,1,EXP(-1*(B8612-C8612)/(Utilities!$B$11*IterData!H8612)))</f>
        <v>1</v>
      </c>
    </row>
    <row r="8613" spans="8:11" x14ac:dyDescent="0.3">
      <c r="H8613">
        <v>0.5</v>
      </c>
      <c r="I8613" s="11">
        <f t="shared" si="134"/>
        <v>0</v>
      </c>
      <c r="J8613" s="11">
        <f>1/(H8613*Utilities!$B$11)</f>
        <v>8</v>
      </c>
      <c r="K8613" s="11">
        <f>IF(B8613&lt;C8613,1,EXP(-1*(B8613-C8613)/(Utilities!$B$11*IterData!H8613)))</f>
        <v>1</v>
      </c>
    </row>
    <row r="8614" spans="8:11" x14ac:dyDescent="0.3">
      <c r="H8614">
        <v>0.5</v>
      </c>
      <c r="I8614" s="11">
        <f t="shared" si="134"/>
        <v>0</v>
      </c>
      <c r="J8614" s="11">
        <f>1/(H8614*Utilities!$B$11)</f>
        <v>8</v>
      </c>
      <c r="K8614" s="11">
        <f>IF(B8614&lt;C8614,1,EXP(-1*(B8614-C8614)/(Utilities!$B$11*IterData!H8614)))</f>
        <v>1</v>
      </c>
    </row>
    <row r="8615" spans="8:11" x14ac:dyDescent="0.3">
      <c r="H8615">
        <v>0.5</v>
      </c>
      <c r="I8615" s="11">
        <f t="shared" si="134"/>
        <v>0</v>
      </c>
      <c r="J8615" s="11">
        <f>1/(H8615*Utilities!$B$11)</f>
        <v>8</v>
      </c>
      <c r="K8615" s="11">
        <f>IF(B8615&lt;C8615,1,EXP(-1*(B8615-C8615)/(Utilities!$B$11*IterData!H8615)))</f>
        <v>1</v>
      </c>
    </row>
    <row r="8616" spans="8:11" x14ac:dyDescent="0.3">
      <c r="H8616">
        <v>0.5</v>
      </c>
      <c r="I8616" s="11">
        <f t="shared" si="134"/>
        <v>0</v>
      </c>
      <c r="J8616" s="11">
        <f>1/(H8616*Utilities!$B$11)</f>
        <v>8</v>
      </c>
      <c r="K8616" s="11">
        <f>IF(B8616&lt;C8616,1,EXP(-1*(B8616-C8616)/(Utilities!$B$11*IterData!H8616)))</f>
        <v>1</v>
      </c>
    </row>
    <row r="8617" spans="8:11" x14ac:dyDescent="0.3">
      <c r="H8617">
        <v>0.5</v>
      </c>
      <c r="I8617" s="11">
        <f t="shared" si="134"/>
        <v>0</v>
      </c>
      <c r="J8617" s="11">
        <f>1/(H8617*Utilities!$B$11)</f>
        <v>8</v>
      </c>
      <c r="K8617" s="11">
        <f>IF(B8617&lt;C8617,1,EXP(-1*(B8617-C8617)/(Utilities!$B$11*IterData!H8617)))</f>
        <v>1</v>
      </c>
    </row>
    <row r="8618" spans="8:11" x14ac:dyDescent="0.3">
      <c r="H8618">
        <v>0.5</v>
      </c>
      <c r="I8618" s="11">
        <f t="shared" si="134"/>
        <v>0</v>
      </c>
      <c r="J8618" s="11">
        <f>1/(H8618*Utilities!$B$11)</f>
        <v>8</v>
      </c>
      <c r="K8618" s="11">
        <f>IF(B8618&lt;C8618,1,EXP(-1*(B8618-C8618)/(Utilities!$B$11*IterData!H8618)))</f>
        <v>1</v>
      </c>
    </row>
    <row r="8619" spans="8:11" x14ac:dyDescent="0.3">
      <c r="H8619">
        <v>0.5</v>
      </c>
      <c r="I8619" s="11">
        <f t="shared" si="134"/>
        <v>0</v>
      </c>
      <c r="J8619" s="11">
        <f>1/(H8619*Utilities!$B$11)</f>
        <v>8</v>
      </c>
      <c r="K8619" s="11">
        <f>IF(B8619&lt;C8619,1,EXP(-1*(B8619-C8619)/(Utilities!$B$11*IterData!H8619)))</f>
        <v>1</v>
      </c>
    </row>
    <row r="8620" spans="8:11" x14ac:dyDescent="0.3">
      <c r="H8620">
        <v>0.5</v>
      </c>
      <c r="I8620" s="11">
        <f t="shared" si="134"/>
        <v>0</v>
      </c>
      <c r="J8620" s="11">
        <f>1/(H8620*Utilities!$B$11)</f>
        <v>8</v>
      </c>
      <c r="K8620" s="11">
        <f>IF(B8620&lt;C8620,1,EXP(-1*(B8620-C8620)/(Utilities!$B$11*IterData!H8620)))</f>
        <v>1</v>
      </c>
    </row>
    <row r="8621" spans="8:11" x14ac:dyDescent="0.3">
      <c r="H8621">
        <v>0.5</v>
      </c>
      <c r="I8621" s="11">
        <f t="shared" si="134"/>
        <v>0</v>
      </c>
      <c r="J8621" s="11">
        <f>1/(H8621*Utilities!$B$11)</f>
        <v>8</v>
      </c>
      <c r="K8621" s="11">
        <f>IF(B8621&lt;C8621,1,EXP(-1*(B8621-C8621)/(Utilities!$B$11*IterData!H8621)))</f>
        <v>1</v>
      </c>
    </row>
    <row r="8622" spans="8:11" x14ac:dyDescent="0.3">
      <c r="H8622">
        <v>0.5</v>
      </c>
      <c r="I8622" s="11">
        <f t="shared" si="134"/>
        <v>0</v>
      </c>
      <c r="J8622" s="11">
        <f>1/(H8622*Utilities!$B$11)</f>
        <v>8</v>
      </c>
      <c r="K8622" s="11">
        <f>IF(B8622&lt;C8622,1,EXP(-1*(B8622-C8622)/(Utilities!$B$11*IterData!H8622)))</f>
        <v>1</v>
      </c>
    </row>
    <row r="8623" spans="8:11" x14ac:dyDescent="0.3">
      <c r="H8623">
        <v>0.5</v>
      </c>
      <c r="I8623" s="11">
        <f t="shared" si="134"/>
        <v>0</v>
      </c>
      <c r="J8623" s="11">
        <f>1/(H8623*Utilities!$B$11)</f>
        <v>8</v>
      </c>
      <c r="K8623" s="11">
        <f>IF(B8623&lt;C8623,1,EXP(-1*(B8623-C8623)/(Utilities!$B$11*IterData!H8623)))</f>
        <v>1</v>
      </c>
    </row>
    <row r="8624" spans="8:11" x14ac:dyDescent="0.3">
      <c r="H8624">
        <v>0.5</v>
      </c>
      <c r="I8624" s="11">
        <f t="shared" si="134"/>
        <v>0</v>
      </c>
      <c r="J8624" s="11">
        <f>1/(H8624*Utilities!$B$11)</f>
        <v>8</v>
      </c>
      <c r="K8624" s="11">
        <f>IF(B8624&lt;C8624,1,EXP(-1*(B8624-C8624)/(Utilities!$B$11*IterData!H8624)))</f>
        <v>1</v>
      </c>
    </row>
    <row r="8625" spans="8:11" x14ac:dyDescent="0.3">
      <c r="H8625">
        <v>0.5</v>
      </c>
      <c r="I8625" s="11">
        <f t="shared" si="134"/>
        <v>0</v>
      </c>
      <c r="J8625" s="11">
        <f>1/(H8625*Utilities!$B$11)</f>
        <v>8</v>
      </c>
      <c r="K8625" s="11">
        <f>IF(B8625&lt;C8625,1,EXP(-1*(B8625-C8625)/(Utilities!$B$11*IterData!H8625)))</f>
        <v>1</v>
      </c>
    </row>
    <row r="8626" spans="8:11" x14ac:dyDescent="0.3">
      <c r="H8626">
        <v>0.5</v>
      </c>
      <c r="I8626" s="11">
        <f t="shared" si="134"/>
        <v>0</v>
      </c>
      <c r="J8626" s="11">
        <f>1/(H8626*Utilities!$B$11)</f>
        <v>8</v>
      </c>
      <c r="K8626" s="11">
        <f>IF(B8626&lt;C8626,1,EXP(-1*(B8626-C8626)/(Utilities!$B$11*IterData!H8626)))</f>
        <v>1</v>
      </c>
    </row>
    <row r="8627" spans="8:11" x14ac:dyDescent="0.3">
      <c r="H8627">
        <v>0.5</v>
      </c>
      <c r="I8627" s="11">
        <f t="shared" si="134"/>
        <v>0</v>
      </c>
      <c r="J8627" s="11">
        <f>1/(H8627*Utilities!$B$11)</f>
        <v>8</v>
      </c>
      <c r="K8627" s="11">
        <f>IF(B8627&lt;C8627,1,EXP(-1*(B8627-C8627)/(Utilities!$B$11*IterData!H8627)))</f>
        <v>1</v>
      </c>
    </row>
    <row r="8628" spans="8:11" x14ac:dyDescent="0.3">
      <c r="H8628">
        <v>0.5</v>
      </c>
      <c r="I8628" s="11">
        <f t="shared" si="134"/>
        <v>0</v>
      </c>
      <c r="J8628" s="11">
        <f>1/(H8628*Utilities!$B$11)</f>
        <v>8</v>
      </c>
      <c r="K8628" s="11">
        <f>IF(B8628&lt;C8628,1,EXP(-1*(B8628-C8628)/(Utilities!$B$11*IterData!H8628)))</f>
        <v>1</v>
      </c>
    </row>
    <row r="8629" spans="8:11" x14ac:dyDescent="0.3">
      <c r="H8629">
        <v>0.5</v>
      </c>
      <c r="I8629" s="11">
        <f t="shared" si="134"/>
        <v>0</v>
      </c>
      <c r="J8629" s="11">
        <f>1/(H8629*Utilities!$B$11)</f>
        <v>8</v>
      </c>
      <c r="K8629" s="11">
        <f>IF(B8629&lt;C8629,1,EXP(-1*(B8629-C8629)/(Utilities!$B$11*IterData!H8629)))</f>
        <v>1</v>
      </c>
    </row>
    <row r="8630" spans="8:11" x14ac:dyDescent="0.3">
      <c r="H8630">
        <v>0.5</v>
      </c>
      <c r="I8630" s="11">
        <f t="shared" si="134"/>
        <v>0</v>
      </c>
      <c r="J8630" s="11">
        <f>1/(H8630*Utilities!$B$11)</f>
        <v>8</v>
      </c>
      <c r="K8630" s="11">
        <f>IF(B8630&lt;C8630,1,EXP(-1*(B8630-C8630)/(Utilities!$B$11*IterData!H8630)))</f>
        <v>1</v>
      </c>
    </row>
    <row r="8631" spans="8:11" x14ac:dyDescent="0.3">
      <c r="H8631">
        <v>0.5</v>
      </c>
      <c r="I8631" s="11">
        <f t="shared" si="134"/>
        <v>0</v>
      </c>
      <c r="J8631" s="11">
        <f>1/(H8631*Utilities!$B$11)</f>
        <v>8</v>
      </c>
      <c r="K8631" s="11">
        <f>IF(B8631&lt;C8631,1,EXP(-1*(B8631-C8631)/(Utilities!$B$11*IterData!H8631)))</f>
        <v>1</v>
      </c>
    </row>
    <row r="8632" spans="8:11" x14ac:dyDescent="0.3">
      <c r="H8632">
        <v>0.5</v>
      </c>
      <c r="I8632" s="11">
        <f t="shared" si="134"/>
        <v>0</v>
      </c>
      <c r="J8632" s="11">
        <f>1/(H8632*Utilities!$B$11)</f>
        <v>8</v>
      </c>
      <c r="K8632" s="11">
        <f>IF(B8632&lt;C8632,1,EXP(-1*(B8632-C8632)/(Utilities!$B$11*IterData!H8632)))</f>
        <v>1</v>
      </c>
    </row>
    <row r="8633" spans="8:11" x14ac:dyDescent="0.3">
      <c r="H8633">
        <v>0.5</v>
      </c>
      <c r="I8633" s="11">
        <f t="shared" si="134"/>
        <v>0</v>
      </c>
      <c r="J8633" s="11">
        <f>1/(H8633*Utilities!$B$11)</f>
        <v>8</v>
      </c>
      <c r="K8633" s="11">
        <f>IF(B8633&lt;C8633,1,EXP(-1*(B8633-C8633)/(Utilities!$B$11*IterData!H8633)))</f>
        <v>1</v>
      </c>
    </row>
    <row r="8634" spans="8:11" x14ac:dyDescent="0.3">
      <c r="H8634">
        <v>0.5</v>
      </c>
      <c r="I8634" s="11">
        <f t="shared" si="134"/>
        <v>0</v>
      </c>
      <c r="J8634" s="11">
        <f>1/(H8634*Utilities!$B$11)</f>
        <v>8</v>
      </c>
      <c r="K8634" s="11">
        <f>IF(B8634&lt;C8634,1,EXP(-1*(B8634-C8634)/(Utilities!$B$11*IterData!H8634)))</f>
        <v>1</v>
      </c>
    </row>
    <row r="8635" spans="8:11" x14ac:dyDescent="0.3">
      <c r="H8635">
        <v>0.5</v>
      </c>
      <c r="I8635" s="11">
        <f t="shared" si="134"/>
        <v>0</v>
      </c>
      <c r="J8635" s="11">
        <f>1/(H8635*Utilities!$B$11)</f>
        <v>8</v>
      </c>
      <c r="K8635" s="11">
        <f>IF(B8635&lt;C8635,1,EXP(-1*(B8635-C8635)/(Utilities!$B$11*IterData!H8635)))</f>
        <v>1</v>
      </c>
    </row>
    <row r="8636" spans="8:11" x14ac:dyDescent="0.3">
      <c r="H8636">
        <v>0.5</v>
      </c>
      <c r="I8636" s="11">
        <f t="shared" si="134"/>
        <v>0</v>
      </c>
      <c r="J8636" s="11">
        <f>1/(H8636*Utilities!$B$11)</f>
        <v>8</v>
      </c>
      <c r="K8636" s="11">
        <f>IF(B8636&lt;C8636,1,EXP(-1*(B8636-C8636)/(Utilities!$B$11*IterData!H8636)))</f>
        <v>1</v>
      </c>
    </row>
    <row r="8637" spans="8:11" x14ac:dyDescent="0.3">
      <c r="H8637">
        <v>0.5</v>
      </c>
      <c r="I8637" s="11">
        <f t="shared" si="134"/>
        <v>0</v>
      </c>
      <c r="J8637" s="11">
        <f>1/(H8637*Utilities!$B$11)</f>
        <v>8</v>
      </c>
      <c r="K8637" s="11">
        <f>IF(B8637&lt;C8637,1,EXP(-1*(B8637-C8637)/(Utilities!$B$11*IterData!H8637)))</f>
        <v>1</v>
      </c>
    </row>
    <row r="8638" spans="8:11" x14ac:dyDescent="0.3">
      <c r="H8638">
        <v>0.5</v>
      </c>
      <c r="I8638" s="11">
        <f t="shared" si="134"/>
        <v>0</v>
      </c>
      <c r="J8638" s="11">
        <f>1/(H8638*Utilities!$B$11)</f>
        <v>8</v>
      </c>
      <c r="K8638" s="11">
        <f>IF(B8638&lt;C8638,1,EXP(-1*(B8638-C8638)/(Utilities!$B$11*IterData!H8638)))</f>
        <v>1</v>
      </c>
    </row>
    <row r="8639" spans="8:11" x14ac:dyDescent="0.3">
      <c r="H8639">
        <v>0.5</v>
      </c>
      <c r="I8639" s="11">
        <f t="shared" si="134"/>
        <v>0</v>
      </c>
      <c r="J8639" s="11">
        <f>1/(H8639*Utilities!$B$11)</f>
        <v>8</v>
      </c>
      <c r="K8639" s="11">
        <f>IF(B8639&lt;C8639,1,EXP(-1*(B8639-C8639)/(Utilities!$B$11*IterData!H8639)))</f>
        <v>1</v>
      </c>
    </row>
    <row r="8640" spans="8:11" x14ac:dyDescent="0.3">
      <c r="H8640">
        <v>0.5</v>
      </c>
      <c r="I8640" s="11">
        <f t="shared" si="134"/>
        <v>0</v>
      </c>
      <c r="J8640" s="11">
        <f>1/(H8640*Utilities!$B$11)</f>
        <v>8</v>
      </c>
      <c r="K8640" s="11">
        <f>IF(B8640&lt;C8640,1,EXP(-1*(B8640-C8640)/(Utilities!$B$11*IterData!H8640)))</f>
        <v>1</v>
      </c>
    </row>
    <row r="8641" spans="8:11" x14ac:dyDescent="0.3">
      <c r="H8641">
        <v>0.5</v>
      </c>
      <c r="I8641" s="11">
        <f t="shared" si="134"/>
        <v>0</v>
      </c>
      <c r="J8641" s="11">
        <f>1/(H8641*Utilities!$B$11)</f>
        <v>8</v>
      </c>
      <c r="K8641" s="11">
        <f>IF(B8641&lt;C8641,1,EXP(-1*(B8641-C8641)/(Utilities!$B$11*IterData!H8641)))</f>
        <v>1</v>
      </c>
    </row>
    <row r="8642" spans="8:11" x14ac:dyDescent="0.3">
      <c r="H8642">
        <v>0.5</v>
      </c>
      <c r="I8642" s="11">
        <f t="shared" si="134"/>
        <v>0</v>
      </c>
      <c r="J8642" s="11">
        <f>1/(H8642*Utilities!$B$11)</f>
        <v>8</v>
      </c>
      <c r="K8642" s="11">
        <f>IF(B8642&lt;C8642,1,EXP(-1*(B8642-C8642)/(Utilities!$B$11*IterData!H8642)))</f>
        <v>1</v>
      </c>
    </row>
    <row r="8643" spans="8:11" x14ac:dyDescent="0.3">
      <c r="H8643">
        <v>0.5</v>
      </c>
      <c r="I8643" s="11">
        <f t="shared" ref="I8643:I8706" si="135">B8643-C8643</f>
        <v>0</v>
      </c>
      <c r="J8643" s="11">
        <f>1/(H8643*Utilities!$B$11)</f>
        <v>8</v>
      </c>
      <c r="K8643" s="11">
        <f>IF(B8643&lt;C8643,1,EXP(-1*(B8643-C8643)/(Utilities!$B$11*IterData!H8643)))</f>
        <v>1</v>
      </c>
    </row>
    <row r="8644" spans="8:11" x14ac:dyDescent="0.3">
      <c r="H8644">
        <v>0.5</v>
      </c>
      <c r="I8644" s="11">
        <f t="shared" si="135"/>
        <v>0</v>
      </c>
      <c r="J8644" s="11">
        <f>1/(H8644*Utilities!$B$11)</f>
        <v>8</v>
      </c>
      <c r="K8644" s="11">
        <f>IF(B8644&lt;C8644,1,EXP(-1*(B8644-C8644)/(Utilities!$B$11*IterData!H8644)))</f>
        <v>1</v>
      </c>
    </row>
    <row r="8645" spans="8:11" x14ac:dyDescent="0.3">
      <c r="H8645">
        <v>0.5</v>
      </c>
      <c r="I8645" s="11">
        <f t="shared" si="135"/>
        <v>0</v>
      </c>
      <c r="J8645" s="11">
        <f>1/(H8645*Utilities!$B$11)</f>
        <v>8</v>
      </c>
      <c r="K8645" s="11">
        <f>IF(B8645&lt;C8645,1,EXP(-1*(B8645-C8645)/(Utilities!$B$11*IterData!H8645)))</f>
        <v>1</v>
      </c>
    </row>
    <row r="8646" spans="8:11" x14ac:dyDescent="0.3">
      <c r="H8646">
        <v>0.5</v>
      </c>
      <c r="I8646" s="11">
        <f t="shared" si="135"/>
        <v>0</v>
      </c>
      <c r="J8646" s="11">
        <f>1/(H8646*Utilities!$B$11)</f>
        <v>8</v>
      </c>
      <c r="K8646" s="11">
        <f>IF(B8646&lt;C8646,1,EXP(-1*(B8646-C8646)/(Utilities!$B$11*IterData!H8646)))</f>
        <v>1</v>
      </c>
    </row>
    <row r="8647" spans="8:11" x14ac:dyDescent="0.3">
      <c r="H8647">
        <v>0.5</v>
      </c>
      <c r="I8647" s="11">
        <f t="shared" si="135"/>
        <v>0</v>
      </c>
      <c r="J8647" s="11">
        <f>1/(H8647*Utilities!$B$11)</f>
        <v>8</v>
      </c>
      <c r="K8647" s="11">
        <f>IF(B8647&lt;C8647,1,EXP(-1*(B8647-C8647)/(Utilities!$B$11*IterData!H8647)))</f>
        <v>1</v>
      </c>
    </row>
    <row r="8648" spans="8:11" x14ac:dyDescent="0.3">
      <c r="H8648">
        <v>0.5</v>
      </c>
      <c r="I8648" s="11">
        <f t="shared" si="135"/>
        <v>0</v>
      </c>
      <c r="J8648" s="11">
        <f>1/(H8648*Utilities!$B$11)</f>
        <v>8</v>
      </c>
      <c r="K8648" s="11">
        <f>IF(B8648&lt;C8648,1,EXP(-1*(B8648-C8648)/(Utilities!$B$11*IterData!H8648)))</f>
        <v>1</v>
      </c>
    </row>
    <row r="8649" spans="8:11" x14ac:dyDescent="0.3">
      <c r="H8649">
        <v>0.5</v>
      </c>
      <c r="I8649" s="11">
        <f t="shared" si="135"/>
        <v>0</v>
      </c>
      <c r="J8649" s="11">
        <f>1/(H8649*Utilities!$B$11)</f>
        <v>8</v>
      </c>
      <c r="K8649" s="11">
        <f>IF(B8649&lt;C8649,1,EXP(-1*(B8649-C8649)/(Utilities!$B$11*IterData!H8649)))</f>
        <v>1</v>
      </c>
    </row>
    <row r="8650" spans="8:11" x14ac:dyDescent="0.3">
      <c r="H8650">
        <v>0.5</v>
      </c>
      <c r="I8650" s="11">
        <f t="shared" si="135"/>
        <v>0</v>
      </c>
      <c r="J8650" s="11">
        <f>1/(H8650*Utilities!$B$11)</f>
        <v>8</v>
      </c>
      <c r="K8650" s="11">
        <f>IF(B8650&lt;C8650,1,EXP(-1*(B8650-C8650)/(Utilities!$B$11*IterData!H8650)))</f>
        <v>1</v>
      </c>
    </row>
    <row r="8651" spans="8:11" x14ac:dyDescent="0.3">
      <c r="H8651">
        <v>0.5</v>
      </c>
      <c r="I8651" s="11">
        <f t="shared" si="135"/>
        <v>0</v>
      </c>
      <c r="J8651" s="11">
        <f>1/(H8651*Utilities!$B$11)</f>
        <v>8</v>
      </c>
      <c r="K8651" s="11">
        <f>IF(B8651&lt;C8651,1,EXP(-1*(B8651-C8651)/(Utilities!$B$11*IterData!H8651)))</f>
        <v>1</v>
      </c>
    </row>
    <row r="8652" spans="8:11" x14ac:dyDescent="0.3">
      <c r="H8652">
        <v>0.5</v>
      </c>
      <c r="I8652" s="11">
        <f t="shared" si="135"/>
        <v>0</v>
      </c>
      <c r="J8652" s="11">
        <f>1/(H8652*Utilities!$B$11)</f>
        <v>8</v>
      </c>
      <c r="K8652" s="11">
        <f>IF(B8652&lt;C8652,1,EXP(-1*(B8652-C8652)/(Utilities!$B$11*IterData!H8652)))</f>
        <v>1</v>
      </c>
    </row>
    <row r="8653" spans="8:11" x14ac:dyDescent="0.3">
      <c r="H8653">
        <v>0.5</v>
      </c>
      <c r="I8653" s="11">
        <f t="shared" si="135"/>
        <v>0</v>
      </c>
      <c r="J8653" s="11">
        <f>1/(H8653*Utilities!$B$11)</f>
        <v>8</v>
      </c>
      <c r="K8653" s="11">
        <f>IF(B8653&lt;C8653,1,EXP(-1*(B8653-C8653)/(Utilities!$B$11*IterData!H8653)))</f>
        <v>1</v>
      </c>
    </row>
    <row r="8654" spans="8:11" x14ac:dyDescent="0.3">
      <c r="H8654">
        <v>0.5</v>
      </c>
      <c r="I8654" s="11">
        <f t="shared" si="135"/>
        <v>0</v>
      </c>
      <c r="J8654" s="11">
        <f>1/(H8654*Utilities!$B$11)</f>
        <v>8</v>
      </c>
      <c r="K8654" s="11">
        <f>IF(B8654&lt;C8654,1,EXP(-1*(B8654-C8654)/(Utilities!$B$11*IterData!H8654)))</f>
        <v>1</v>
      </c>
    </row>
    <row r="8655" spans="8:11" x14ac:dyDescent="0.3">
      <c r="H8655">
        <v>0.5</v>
      </c>
      <c r="I8655" s="11">
        <f t="shared" si="135"/>
        <v>0</v>
      </c>
      <c r="J8655" s="11">
        <f>1/(H8655*Utilities!$B$11)</f>
        <v>8</v>
      </c>
      <c r="K8655" s="11">
        <f>IF(B8655&lt;C8655,1,EXP(-1*(B8655-C8655)/(Utilities!$B$11*IterData!H8655)))</f>
        <v>1</v>
      </c>
    </row>
    <row r="8656" spans="8:11" x14ac:dyDescent="0.3">
      <c r="H8656">
        <v>0.5</v>
      </c>
      <c r="I8656" s="11">
        <f t="shared" si="135"/>
        <v>0</v>
      </c>
      <c r="J8656" s="11">
        <f>1/(H8656*Utilities!$B$11)</f>
        <v>8</v>
      </c>
      <c r="K8656" s="11">
        <f>IF(B8656&lt;C8656,1,EXP(-1*(B8656-C8656)/(Utilities!$B$11*IterData!H8656)))</f>
        <v>1</v>
      </c>
    </row>
    <row r="8657" spans="8:11" x14ac:dyDescent="0.3">
      <c r="H8657">
        <v>0.5</v>
      </c>
      <c r="I8657" s="11">
        <f t="shared" si="135"/>
        <v>0</v>
      </c>
      <c r="J8657" s="11">
        <f>1/(H8657*Utilities!$B$11)</f>
        <v>8</v>
      </c>
      <c r="K8657" s="11">
        <f>IF(B8657&lt;C8657,1,EXP(-1*(B8657-C8657)/(Utilities!$B$11*IterData!H8657)))</f>
        <v>1</v>
      </c>
    </row>
    <row r="8658" spans="8:11" x14ac:dyDescent="0.3">
      <c r="H8658">
        <v>0.5</v>
      </c>
      <c r="I8658" s="11">
        <f t="shared" si="135"/>
        <v>0</v>
      </c>
      <c r="J8658" s="11">
        <f>1/(H8658*Utilities!$B$11)</f>
        <v>8</v>
      </c>
      <c r="K8658" s="11">
        <f>IF(B8658&lt;C8658,1,EXP(-1*(B8658-C8658)/(Utilities!$B$11*IterData!H8658)))</f>
        <v>1</v>
      </c>
    </row>
    <row r="8659" spans="8:11" x14ac:dyDescent="0.3">
      <c r="H8659">
        <v>0.5</v>
      </c>
      <c r="I8659" s="11">
        <f t="shared" si="135"/>
        <v>0</v>
      </c>
      <c r="J8659" s="11">
        <f>1/(H8659*Utilities!$B$11)</f>
        <v>8</v>
      </c>
      <c r="K8659" s="11">
        <f>IF(B8659&lt;C8659,1,EXP(-1*(B8659-C8659)/(Utilities!$B$11*IterData!H8659)))</f>
        <v>1</v>
      </c>
    </row>
    <row r="8660" spans="8:11" x14ac:dyDescent="0.3">
      <c r="H8660">
        <v>0.5</v>
      </c>
      <c r="I8660" s="11">
        <f t="shared" si="135"/>
        <v>0</v>
      </c>
      <c r="J8660" s="11">
        <f>1/(H8660*Utilities!$B$11)</f>
        <v>8</v>
      </c>
      <c r="K8660" s="11">
        <f>IF(B8660&lt;C8660,1,EXP(-1*(B8660-C8660)/(Utilities!$B$11*IterData!H8660)))</f>
        <v>1</v>
      </c>
    </row>
    <row r="8661" spans="8:11" x14ac:dyDescent="0.3">
      <c r="H8661">
        <v>0.5</v>
      </c>
      <c r="I8661" s="11">
        <f t="shared" si="135"/>
        <v>0</v>
      </c>
      <c r="J8661" s="11">
        <f>1/(H8661*Utilities!$B$11)</f>
        <v>8</v>
      </c>
      <c r="K8661" s="11">
        <f>IF(B8661&lt;C8661,1,EXP(-1*(B8661-C8661)/(Utilities!$B$11*IterData!H8661)))</f>
        <v>1</v>
      </c>
    </row>
    <row r="8662" spans="8:11" x14ac:dyDescent="0.3">
      <c r="H8662">
        <v>0.5</v>
      </c>
      <c r="I8662" s="11">
        <f t="shared" si="135"/>
        <v>0</v>
      </c>
      <c r="J8662" s="11">
        <f>1/(H8662*Utilities!$B$11)</f>
        <v>8</v>
      </c>
      <c r="K8662" s="11">
        <f>IF(B8662&lt;C8662,1,EXP(-1*(B8662-C8662)/(Utilities!$B$11*IterData!H8662)))</f>
        <v>1</v>
      </c>
    </row>
    <row r="8663" spans="8:11" x14ac:dyDescent="0.3">
      <c r="H8663">
        <v>0.5</v>
      </c>
      <c r="I8663" s="11">
        <f t="shared" si="135"/>
        <v>0</v>
      </c>
      <c r="J8663" s="11">
        <f>1/(H8663*Utilities!$B$11)</f>
        <v>8</v>
      </c>
      <c r="K8663" s="11">
        <f>IF(B8663&lt;C8663,1,EXP(-1*(B8663-C8663)/(Utilities!$B$11*IterData!H8663)))</f>
        <v>1</v>
      </c>
    </row>
    <row r="8664" spans="8:11" x14ac:dyDescent="0.3">
      <c r="H8664">
        <v>0.5</v>
      </c>
      <c r="I8664" s="11">
        <f t="shared" si="135"/>
        <v>0</v>
      </c>
      <c r="J8664" s="11">
        <f>1/(H8664*Utilities!$B$11)</f>
        <v>8</v>
      </c>
      <c r="K8664" s="11">
        <f>IF(B8664&lt;C8664,1,EXP(-1*(B8664-C8664)/(Utilities!$B$11*IterData!H8664)))</f>
        <v>1</v>
      </c>
    </row>
    <row r="8665" spans="8:11" x14ac:dyDescent="0.3">
      <c r="H8665">
        <v>0.5</v>
      </c>
      <c r="I8665" s="11">
        <f t="shared" si="135"/>
        <v>0</v>
      </c>
      <c r="J8665" s="11">
        <f>1/(H8665*Utilities!$B$11)</f>
        <v>8</v>
      </c>
      <c r="K8665" s="11">
        <f>IF(B8665&lt;C8665,1,EXP(-1*(B8665-C8665)/(Utilities!$B$11*IterData!H8665)))</f>
        <v>1</v>
      </c>
    </row>
    <row r="8666" spans="8:11" x14ac:dyDescent="0.3">
      <c r="H8666">
        <v>0.5</v>
      </c>
      <c r="I8666" s="11">
        <f t="shared" si="135"/>
        <v>0</v>
      </c>
      <c r="J8666" s="11">
        <f>1/(H8666*Utilities!$B$11)</f>
        <v>8</v>
      </c>
      <c r="K8666" s="11">
        <f>IF(B8666&lt;C8666,1,EXP(-1*(B8666-C8666)/(Utilities!$B$11*IterData!H8666)))</f>
        <v>1</v>
      </c>
    </row>
    <row r="8667" spans="8:11" x14ac:dyDescent="0.3">
      <c r="H8667">
        <v>0.5</v>
      </c>
      <c r="I8667" s="11">
        <f t="shared" si="135"/>
        <v>0</v>
      </c>
      <c r="J8667" s="11">
        <f>1/(H8667*Utilities!$B$11)</f>
        <v>8</v>
      </c>
      <c r="K8667" s="11">
        <f>IF(B8667&lt;C8667,1,EXP(-1*(B8667-C8667)/(Utilities!$B$11*IterData!H8667)))</f>
        <v>1</v>
      </c>
    </row>
    <row r="8668" spans="8:11" x14ac:dyDescent="0.3">
      <c r="H8668">
        <v>0.5</v>
      </c>
      <c r="I8668" s="11">
        <f t="shared" si="135"/>
        <v>0</v>
      </c>
      <c r="J8668" s="11">
        <f>1/(H8668*Utilities!$B$11)</f>
        <v>8</v>
      </c>
      <c r="K8668" s="11">
        <f>IF(B8668&lt;C8668,1,EXP(-1*(B8668-C8668)/(Utilities!$B$11*IterData!H8668)))</f>
        <v>1</v>
      </c>
    </row>
    <row r="8669" spans="8:11" x14ac:dyDescent="0.3">
      <c r="H8669">
        <v>0.5</v>
      </c>
      <c r="I8669" s="11">
        <f t="shared" si="135"/>
        <v>0</v>
      </c>
      <c r="J8669" s="11">
        <f>1/(H8669*Utilities!$B$11)</f>
        <v>8</v>
      </c>
      <c r="K8669" s="11">
        <f>IF(B8669&lt;C8669,1,EXP(-1*(B8669-C8669)/(Utilities!$B$11*IterData!H8669)))</f>
        <v>1</v>
      </c>
    </row>
    <row r="8670" spans="8:11" x14ac:dyDescent="0.3">
      <c r="H8670">
        <v>0.5</v>
      </c>
      <c r="I8670" s="11">
        <f t="shared" si="135"/>
        <v>0</v>
      </c>
      <c r="J8670" s="11">
        <f>1/(H8670*Utilities!$B$11)</f>
        <v>8</v>
      </c>
      <c r="K8670" s="11">
        <f>IF(B8670&lt;C8670,1,EXP(-1*(B8670-C8670)/(Utilities!$B$11*IterData!H8670)))</f>
        <v>1</v>
      </c>
    </row>
    <row r="8671" spans="8:11" x14ac:dyDescent="0.3">
      <c r="H8671">
        <v>0.5</v>
      </c>
      <c r="I8671" s="11">
        <f t="shared" si="135"/>
        <v>0</v>
      </c>
      <c r="J8671" s="11">
        <f>1/(H8671*Utilities!$B$11)</f>
        <v>8</v>
      </c>
      <c r="K8671" s="11">
        <f>IF(B8671&lt;C8671,1,EXP(-1*(B8671-C8671)/(Utilities!$B$11*IterData!H8671)))</f>
        <v>1</v>
      </c>
    </row>
    <row r="8672" spans="8:11" x14ac:dyDescent="0.3">
      <c r="H8672">
        <v>0.5</v>
      </c>
      <c r="I8672" s="11">
        <f t="shared" si="135"/>
        <v>0</v>
      </c>
      <c r="J8672" s="11">
        <f>1/(H8672*Utilities!$B$11)</f>
        <v>8</v>
      </c>
      <c r="K8672" s="11">
        <f>IF(B8672&lt;C8672,1,EXP(-1*(B8672-C8672)/(Utilities!$B$11*IterData!H8672)))</f>
        <v>1</v>
      </c>
    </row>
    <row r="8673" spans="8:11" x14ac:dyDescent="0.3">
      <c r="H8673">
        <v>0.5</v>
      </c>
      <c r="I8673" s="11">
        <f t="shared" si="135"/>
        <v>0</v>
      </c>
      <c r="J8673" s="11">
        <f>1/(H8673*Utilities!$B$11)</f>
        <v>8</v>
      </c>
      <c r="K8673" s="11">
        <f>IF(B8673&lt;C8673,1,EXP(-1*(B8673-C8673)/(Utilities!$B$11*IterData!H8673)))</f>
        <v>1</v>
      </c>
    </row>
    <row r="8674" spans="8:11" x14ac:dyDescent="0.3">
      <c r="H8674">
        <v>0.5</v>
      </c>
      <c r="I8674" s="11">
        <f t="shared" si="135"/>
        <v>0</v>
      </c>
      <c r="J8674" s="11">
        <f>1/(H8674*Utilities!$B$11)</f>
        <v>8</v>
      </c>
      <c r="K8674" s="11">
        <f>IF(B8674&lt;C8674,1,EXP(-1*(B8674-C8674)/(Utilities!$B$11*IterData!H8674)))</f>
        <v>1</v>
      </c>
    </row>
    <row r="8675" spans="8:11" x14ac:dyDescent="0.3">
      <c r="H8675">
        <v>0.5</v>
      </c>
      <c r="I8675" s="11">
        <f t="shared" si="135"/>
        <v>0</v>
      </c>
      <c r="J8675" s="11">
        <f>1/(H8675*Utilities!$B$11)</f>
        <v>8</v>
      </c>
      <c r="K8675" s="11">
        <f>IF(B8675&lt;C8675,1,EXP(-1*(B8675-C8675)/(Utilities!$B$11*IterData!H8675)))</f>
        <v>1</v>
      </c>
    </row>
    <row r="8676" spans="8:11" x14ac:dyDescent="0.3">
      <c r="H8676">
        <v>0.5</v>
      </c>
      <c r="I8676" s="11">
        <f t="shared" si="135"/>
        <v>0</v>
      </c>
      <c r="J8676" s="11">
        <f>1/(H8676*Utilities!$B$11)</f>
        <v>8</v>
      </c>
      <c r="K8676" s="11">
        <f>IF(B8676&lt;C8676,1,EXP(-1*(B8676-C8676)/(Utilities!$B$11*IterData!H8676)))</f>
        <v>1</v>
      </c>
    </row>
    <row r="8677" spans="8:11" x14ac:dyDescent="0.3">
      <c r="H8677">
        <v>0.5</v>
      </c>
      <c r="I8677" s="11">
        <f t="shared" si="135"/>
        <v>0</v>
      </c>
      <c r="J8677" s="11">
        <f>1/(H8677*Utilities!$B$11)</f>
        <v>8</v>
      </c>
      <c r="K8677" s="11">
        <f>IF(B8677&lt;C8677,1,EXP(-1*(B8677-C8677)/(Utilities!$B$11*IterData!H8677)))</f>
        <v>1</v>
      </c>
    </row>
    <row r="8678" spans="8:11" x14ac:dyDescent="0.3">
      <c r="H8678">
        <v>0.5</v>
      </c>
      <c r="I8678" s="11">
        <f t="shared" si="135"/>
        <v>0</v>
      </c>
      <c r="J8678" s="11">
        <f>1/(H8678*Utilities!$B$11)</f>
        <v>8</v>
      </c>
      <c r="K8678" s="11">
        <f>IF(B8678&lt;C8678,1,EXP(-1*(B8678-C8678)/(Utilities!$B$11*IterData!H8678)))</f>
        <v>1</v>
      </c>
    </row>
    <row r="8679" spans="8:11" x14ac:dyDescent="0.3">
      <c r="H8679">
        <v>0.5</v>
      </c>
      <c r="I8679" s="11">
        <f t="shared" si="135"/>
        <v>0</v>
      </c>
      <c r="J8679" s="11">
        <f>1/(H8679*Utilities!$B$11)</f>
        <v>8</v>
      </c>
      <c r="K8679" s="11">
        <f>IF(B8679&lt;C8679,1,EXP(-1*(B8679-C8679)/(Utilities!$B$11*IterData!H8679)))</f>
        <v>1</v>
      </c>
    </row>
    <row r="8680" spans="8:11" x14ac:dyDescent="0.3">
      <c r="H8680">
        <v>0.5</v>
      </c>
      <c r="I8680" s="11">
        <f t="shared" si="135"/>
        <v>0</v>
      </c>
      <c r="J8680" s="11">
        <f>1/(H8680*Utilities!$B$11)</f>
        <v>8</v>
      </c>
      <c r="K8680" s="11">
        <f>IF(B8680&lt;C8680,1,EXP(-1*(B8680-C8680)/(Utilities!$B$11*IterData!H8680)))</f>
        <v>1</v>
      </c>
    </row>
    <row r="8681" spans="8:11" x14ac:dyDescent="0.3">
      <c r="H8681">
        <v>0.5</v>
      </c>
      <c r="I8681" s="11">
        <f t="shared" si="135"/>
        <v>0</v>
      </c>
      <c r="J8681" s="11">
        <f>1/(H8681*Utilities!$B$11)</f>
        <v>8</v>
      </c>
      <c r="K8681" s="11">
        <f>IF(B8681&lt;C8681,1,EXP(-1*(B8681-C8681)/(Utilities!$B$11*IterData!H8681)))</f>
        <v>1</v>
      </c>
    </row>
    <row r="8682" spans="8:11" x14ac:dyDescent="0.3">
      <c r="H8682">
        <v>0.5</v>
      </c>
      <c r="I8682" s="11">
        <f t="shared" si="135"/>
        <v>0</v>
      </c>
      <c r="J8682" s="11">
        <f>1/(H8682*Utilities!$B$11)</f>
        <v>8</v>
      </c>
      <c r="K8682" s="11">
        <f>IF(B8682&lt;C8682,1,EXP(-1*(B8682-C8682)/(Utilities!$B$11*IterData!H8682)))</f>
        <v>1</v>
      </c>
    </row>
    <row r="8683" spans="8:11" x14ac:dyDescent="0.3">
      <c r="H8683">
        <v>0.5</v>
      </c>
      <c r="I8683" s="11">
        <f t="shared" si="135"/>
        <v>0</v>
      </c>
      <c r="J8683" s="11">
        <f>1/(H8683*Utilities!$B$11)</f>
        <v>8</v>
      </c>
      <c r="K8683" s="11">
        <f>IF(B8683&lt;C8683,1,EXP(-1*(B8683-C8683)/(Utilities!$B$11*IterData!H8683)))</f>
        <v>1</v>
      </c>
    </row>
    <row r="8684" spans="8:11" x14ac:dyDescent="0.3">
      <c r="H8684">
        <v>0.5</v>
      </c>
      <c r="I8684" s="11">
        <f t="shared" si="135"/>
        <v>0</v>
      </c>
      <c r="J8684" s="11">
        <f>1/(H8684*Utilities!$B$11)</f>
        <v>8</v>
      </c>
      <c r="K8684" s="11">
        <f>IF(B8684&lt;C8684,1,EXP(-1*(B8684-C8684)/(Utilities!$B$11*IterData!H8684)))</f>
        <v>1</v>
      </c>
    </row>
    <row r="8685" spans="8:11" x14ac:dyDescent="0.3">
      <c r="H8685">
        <v>0.5</v>
      </c>
      <c r="I8685" s="11">
        <f t="shared" si="135"/>
        <v>0</v>
      </c>
      <c r="J8685" s="11">
        <f>1/(H8685*Utilities!$B$11)</f>
        <v>8</v>
      </c>
      <c r="K8685" s="11">
        <f>IF(B8685&lt;C8685,1,EXP(-1*(B8685-C8685)/(Utilities!$B$11*IterData!H8685)))</f>
        <v>1</v>
      </c>
    </row>
    <row r="8686" spans="8:11" x14ac:dyDescent="0.3">
      <c r="H8686">
        <v>0.5</v>
      </c>
      <c r="I8686" s="11">
        <f t="shared" si="135"/>
        <v>0</v>
      </c>
      <c r="J8686" s="11">
        <f>1/(H8686*Utilities!$B$11)</f>
        <v>8</v>
      </c>
      <c r="K8686" s="11">
        <f>IF(B8686&lt;C8686,1,EXP(-1*(B8686-C8686)/(Utilities!$B$11*IterData!H8686)))</f>
        <v>1</v>
      </c>
    </row>
    <row r="8687" spans="8:11" x14ac:dyDescent="0.3">
      <c r="H8687">
        <v>0.5</v>
      </c>
      <c r="I8687" s="11">
        <f t="shared" si="135"/>
        <v>0</v>
      </c>
      <c r="J8687" s="11">
        <f>1/(H8687*Utilities!$B$11)</f>
        <v>8</v>
      </c>
      <c r="K8687" s="11">
        <f>IF(B8687&lt;C8687,1,EXP(-1*(B8687-C8687)/(Utilities!$B$11*IterData!H8687)))</f>
        <v>1</v>
      </c>
    </row>
    <row r="8688" spans="8:11" x14ac:dyDescent="0.3">
      <c r="H8688">
        <v>0.5</v>
      </c>
      <c r="I8688" s="11">
        <f t="shared" si="135"/>
        <v>0</v>
      </c>
      <c r="J8688" s="11">
        <f>1/(H8688*Utilities!$B$11)</f>
        <v>8</v>
      </c>
      <c r="K8688" s="11">
        <f>IF(B8688&lt;C8688,1,EXP(-1*(B8688-C8688)/(Utilities!$B$11*IterData!H8688)))</f>
        <v>1</v>
      </c>
    </row>
    <row r="8689" spans="8:11" x14ac:dyDescent="0.3">
      <c r="H8689">
        <v>0.5</v>
      </c>
      <c r="I8689" s="11">
        <f t="shared" si="135"/>
        <v>0</v>
      </c>
      <c r="J8689" s="11">
        <f>1/(H8689*Utilities!$B$11)</f>
        <v>8</v>
      </c>
      <c r="K8689" s="11">
        <f>IF(B8689&lt;C8689,1,EXP(-1*(B8689-C8689)/(Utilities!$B$11*IterData!H8689)))</f>
        <v>1</v>
      </c>
    </row>
    <row r="8690" spans="8:11" x14ac:dyDescent="0.3">
      <c r="H8690">
        <v>0.5</v>
      </c>
      <c r="I8690" s="11">
        <f t="shared" si="135"/>
        <v>0</v>
      </c>
      <c r="J8690" s="11">
        <f>1/(H8690*Utilities!$B$11)</f>
        <v>8</v>
      </c>
      <c r="K8690" s="11">
        <f>IF(B8690&lt;C8690,1,EXP(-1*(B8690-C8690)/(Utilities!$B$11*IterData!H8690)))</f>
        <v>1</v>
      </c>
    </row>
    <row r="8691" spans="8:11" x14ac:dyDescent="0.3">
      <c r="H8691">
        <v>0.5</v>
      </c>
      <c r="I8691" s="11">
        <f t="shared" si="135"/>
        <v>0</v>
      </c>
      <c r="J8691" s="11">
        <f>1/(H8691*Utilities!$B$11)</f>
        <v>8</v>
      </c>
      <c r="K8691" s="11">
        <f>IF(B8691&lt;C8691,1,EXP(-1*(B8691-C8691)/(Utilities!$B$11*IterData!H8691)))</f>
        <v>1</v>
      </c>
    </row>
    <row r="8692" spans="8:11" x14ac:dyDescent="0.3">
      <c r="H8692">
        <v>0.5</v>
      </c>
      <c r="I8692" s="11">
        <f t="shared" si="135"/>
        <v>0</v>
      </c>
      <c r="J8692" s="11">
        <f>1/(H8692*Utilities!$B$11)</f>
        <v>8</v>
      </c>
      <c r="K8692" s="11">
        <f>IF(B8692&lt;C8692,1,EXP(-1*(B8692-C8692)/(Utilities!$B$11*IterData!H8692)))</f>
        <v>1</v>
      </c>
    </row>
    <row r="8693" spans="8:11" x14ac:dyDescent="0.3">
      <c r="H8693">
        <v>0.5</v>
      </c>
      <c r="I8693" s="11">
        <f t="shared" si="135"/>
        <v>0</v>
      </c>
      <c r="J8693" s="11">
        <f>1/(H8693*Utilities!$B$11)</f>
        <v>8</v>
      </c>
      <c r="K8693" s="11">
        <f>IF(B8693&lt;C8693,1,EXP(-1*(B8693-C8693)/(Utilities!$B$11*IterData!H8693)))</f>
        <v>1</v>
      </c>
    </row>
    <row r="8694" spans="8:11" x14ac:dyDescent="0.3">
      <c r="H8694">
        <v>0.5</v>
      </c>
      <c r="I8694" s="11">
        <f t="shared" si="135"/>
        <v>0</v>
      </c>
      <c r="J8694" s="11">
        <f>1/(H8694*Utilities!$B$11)</f>
        <v>8</v>
      </c>
      <c r="K8694" s="11">
        <f>IF(B8694&lt;C8694,1,EXP(-1*(B8694-C8694)/(Utilities!$B$11*IterData!H8694)))</f>
        <v>1</v>
      </c>
    </row>
    <row r="8695" spans="8:11" x14ac:dyDescent="0.3">
      <c r="H8695">
        <v>0.5</v>
      </c>
      <c r="I8695" s="11">
        <f t="shared" si="135"/>
        <v>0</v>
      </c>
      <c r="J8695" s="11">
        <f>1/(H8695*Utilities!$B$11)</f>
        <v>8</v>
      </c>
      <c r="K8695" s="11">
        <f>IF(B8695&lt;C8695,1,EXP(-1*(B8695-C8695)/(Utilities!$B$11*IterData!H8695)))</f>
        <v>1</v>
      </c>
    </row>
    <row r="8696" spans="8:11" x14ac:dyDescent="0.3">
      <c r="H8696">
        <v>0.5</v>
      </c>
      <c r="I8696" s="11">
        <f t="shared" si="135"/>
        <v>0</v>
      </c>
      <c r="J8696" s="11">
        <f>1/(H8696*Utilities!$B$11)</f>
        <v>8</v>
      </c>
      <c r="K8696" s="11">
        <f>IF(B8696&lt;C8696,1,EXP(-1*(B8696-C8696)/(Utilities!$B$11*IterData!H8696)))</f>
        <v>1</v>
      </c>
    </row>
    <row r="8697" spans="8:11" x14ac:dyDescent="0.3">
      <c r="H8697">
        <v>0.5</v>
      </c>
      <c r="I8697" s="11">
        <f t="shared" si="135"/>
        <v>0</v>
      </c>
      <c r="J8697" s="11">
        <f>1/(H8697*Utilities!$B$11)</f>
        <v>8</v>
      </c>
      <c r="K8697" s="11">
        <f>IF(B8697&lt;C8697,1,EXP(-1*(B8697-C8697)/(Utilities!$B$11*IterData!H8697)))</f>
        <v>1</v>
      </c>
    </row>
    <row r="8698" spans="8:11" x14ac:dyDescent="0.3">
      <c r="H8698">
        <v>0.5</v>
      </c>
      <c r="I8698" s="11">
        <f t="shared" si="135"/>
        <v>0</v>
      </c>
      <c r="J8698" s="11">
        <f>1/(H8698*Utilities!$B$11)</f>
        <v>8</v>
      </c>
      <c r="K8698" s="11">
        <f>IF(B8698&lt;C8698,1,EXP(-1*(B8698-C8698)/(Utilities!$B$11*IterData!H8698)))</f>
        <v>1</v>
      </c>
    </row>
    <row r="8699" spans="8:11" x14ac:dyDescent="0.3">
      <c r="H8699">
        <v>0.5</v>
      </c>
      <c r="I8699" s="11">
        <f t="shared" si="135"/>
        <v>0</v>
      </c>
      <c r="J8699" s="11">
        <f>1/(H8699*Utilities!$B$11)</f>
        <v>8</v>
      </c>
      <c r="K8699" s="11">
        <f>IF(B8699&lt;C8699,1,EXP(-1*(B8699-C8699)/(Utilities!$B$11*IterData!H8699)))</f>
        <v>1</v>
      </c>
    </row>
    <row r="8700" spans="8:11" x14ac:dyDescent="0.3">
      <c r="H8700">
        <v>0.5</v>
      </c>
      <c r="I8700" s="11">
        <f t="shared" si="135"/>
        <v>0</v>
      </c>
      <c r="J8700" s="11">
        <f>1/(H8700*Utilities!$B$11)</f>
        <v>8</v>
      </c>
      <c r="K8700" s="11">
        <f>IF(B8700&lt;C8700,1,EXP(-1*(B8700-C8700)/(Utilities!$B$11*IterData!H8700)))</f>
        <v>1</v>
      </c>
    </row>
    <row r="8701" spans="8:11" x14ac:dyDescent="0.3">
      <c r="H8701">
        <v>0.5</v>
      </c>
      <c r="I8701" s="11">
        <f t="shared" si="135"/>
        <v>0</v>
      </c>
      <c r="J8701" s="11">
        <f>1/(H8701*Utilities!$B$11)</f>
        <v>8</v>
      </c>
      <c r="K8701" s="11">
        <f>IF(B8701&lt;C8701,1,EXP(-1*(B8701-C8701)/(Utilities!$B$11*IterData!H8701)))</f>
        <v>1</v>
      </c>
    </row>
    <row r="8702" spans="8:11" x14ac:dyDescent="0.3">
      <c r="H8702">
        <v>0.5</v>
      </c>
      <c r="I8702" s="11">
        <f t="shared" si="135"/>
        <v>0</v>
      </c>
      <c r="J8702" s="11">
        <f>1/(H8702*Utilities!$B$11)</f>
        <v>8</v>
      </c>
      <c r="K8702" s="11">
        <f>IF(B8702&lt;C8702,1,EXP(-1*(B8702-C8702)/(Utilities!$B$11*IterData!H8702)))</f>
        <v>1</v>
      </c>
    </row>
    <row r="8703" spans="8:11" x14ac:dyDescent="0.3">
      <c r="H8703">
        <v>0.5</v>
      </c>
      <c r="I8703" s="11">
        <f t="shared" si="135"/>
        <v>0</v>
      </c>
      <c r="J8703" s="11">
        <f>1/(H8703*Utilities!$B$11)</f>
        <v>8</v>
      </c>
      <c r="K8703" s="11">
        <f>IF(B8703&lt;C8703,1,EXP(-1*(B8703-C8703)/(Utilities!$B$11*IterData!H8703)))</f>
        <v>1</v>
      </c>
    </row>
    <row r="8704" spans="8:11" x14ac:dyDescent="0.3">
      <c r="H8704">
        <v>0.5</v>
      </c>
      <c r="I8704" s="11">
        <f t="shared" si="135"/>
        <v>0</v>
      </c>
      <c r="J8704" s="11">
        <f>1/(H8704*Utilities!$B$11)</f>
        <v>8</v>
      </c>
      <c r="K8704" s="11">
        <f>IF(B8704&lt;C8704,1,EXP(-1*(B8704-C8704)/(Utilities!$B$11*IterData!H8704)))</f>
        <v>1</v>
      </c>
    </row>
    <row r="8705" spans="8:11" x14ac:dyDescent="0.3">
      <c r="H8705">
        <v>0.5</v>
      </c>
      <c r="I8705" s="11">
        <f t="shared" si="135"/>
        <v>0</v>
      </c>
      <c r="J8705" s="11">
        <f>1/(H8705*Utilities!$B$11)</f>
        <v>8</v>
      </c>
      <c r="K8705" s="11">
        <f>IF(B8705&lt;C8705,1,EXP(-1*(B8705-C8705)/(Utilities!$B$11*IterData!H8705)))</f>
        <v>1</v>
      </c>
    </row>
    <row r="8706" spans="8:11" x14ac:dyDescent="0.3">
      <c r="H8706">
        <v>0.5</v>
      </c>
      <c r="I8706" s="11">
        <f t="shared" si="135"/>
        <v>0</v>
      </c>
      <c r="J8706" s="11">
        <f>1/(H8706*Utilities!$B$11)</f>
        <v>8</v>
      </c>
      <c r="K8706" s="11">
        <f>IF(B8706&lt;C8706,1,EXP(-1*(B8706-C8706)/(Utilities!$B$11*IterData!H8706)))</f>
        <v>1</v>
      </c>
    </row>
    <row r="8707" spans="8:11" x14ac:dyDescent="0.3">
      <c r="H8707">
        <v>0.5</v>
      </c>
      <c r="I8707" s="11">
        <f t="shared" ref="I8707:I8770" si="136">B8707-C8707</f>
        <v>0</v>
      </c>
      <c r="J8707" s="11">
        <f>1/(H8707*Utilities!$B$11)</f>
        <v>8</v>
      </c>
      <c r="K8707" s="11">
        <f>IF(B8707&lt;C8707,1,EXP(-1*(B8707-C8707)/(Utilities!$B$11*IterData!H8707)))</f>
        <v>1</v>
      </c>
    </row>
    <row r="8708" spans="8:11" x14ac:dyDescent="0.3">
      <c r="H8708">
        <v>0.5</v>
      </c>
      <c r="I8708" s="11">
        <f t="shared" si="136"/>
        <v>0</v>
      </c>
      <c r="J8708" s="11">
        <f>1/(H8708*Utilities!$B$11)</f>
        <v>8</v>
      </c>
      <c r="K8708" s="11">
        <f>IF(B8708&lt;C8708,1,EXP(-1*(B8708-C8708)/(Utilities!$B$11*IterData!H8708)))</f>
        <v>1</v>
      </c>
    </row>
    <row r="8709" spans="8:11" x14ac:dyDescent="0.3">
      <c r="H8709">
        <v>0.5</v>
      </c>
      <c r="I8709" s="11">
        <f t="shared" si="136"/>
        <v>0</v>
      </c>
      <c r="J8709" s="11">
        <f>1/(H8709*Utilities!$B$11)</f>
        <v>8</v>
      </c>
      <c r="K8709" s="11">
        <f>IF(B8709&lt;C8709,1,EXP(-1*(B8709-C8709)/(Utilities!$B$11*IterData!H8709)))</f>
        <v>1</v>
      </c>
    </row>
    <row r="8710" spans="8:11" x14ac:dyDescent="0.3">
      <c r="H8710">
        <v>0.5</v>
      </c>
      <c r="I8710" s="11">
        <f t="shared" si="136"/>
        <v>0</v>
      </c>
      <c r="J8710" s="11">
        <f>1/(H8710*Utilities!$B$11)</f>
        <v>8</v>
      </c>
      <c r="K8710" s="11">
        <f>IF(B8710&lt;C8710,1,EXP(-1*(B8710-C8710)/(Utilities!$B$11*IterData!H8710)))</f>
        <v>1</v>
      </c>
    </row>
    <row r="8711" spans="8:11" x14ac:dyDescent="0.3">
      <c r="H8711">
        <v>0.5</v>
      </c>
      <c r="I8711" s="11">
        <f t="shared" si="136"/>
        <v>0</v>
      </c>
      <c r="J8711" s="11">
        <f>1/(H8711*Utilities!$B$11)</f>
        <v>8</v>
      </c>
      <c r="K8711" s="11">
        <f>IF(B8711&lt;C8711,1,EXP(-1*(B8711-C8711)/(Utilities!$B$11*IterData!H8711)))</f>
        <v>1</v>
      </c>
    </row>
    <row r="8712" spans="8:11" x14ac:dyDescent="0.3">
      <c r="H8712">
        <v>0.5</v>
      </c>
      <c r="I8712" s="11">
        <f t="shared" si="136"/>
        <v>0</v>
      </c>
      <c r="J8712" s="11">
        <f>1/(H8712*Utilities!$B$11)</f>
        <v>8</v>
      </c>
      <c r="K8712" s="11">
        <f>IF(B8712&lt;C8712,1,EXP(-1*(B8712-C8712)/(Utilities!$B$11*IterData!H8712)))</f>
        <v>1</v>
      </c>
    </row>
    <row r="8713" spans="8:11" x14ac:dyDescent="0.3">
      <c r="H8713">
        <v>0.5</v>
      </c>
      <c r="I8713" s="11">
        <f t="shared" si="136"/>
        <v>0</v>
      </c>
      <c r="J8713" s="11">
        <f>1/(H8713*Utilities!$B$11)</f>
        <v>8</v>
      </c>
      <c r="K8713" s="11">
        <f>IF(B8713&lt;C8713,1,EXP(-1*(B8713-C8713)/(Utilities!$B$11*IterData!H8713)))</f>
        <v>1</v>
      </c>
    </row>
    <row r="8714" spans="8:11" x14ac:dyDescent="0.3">
      <c r="H8714">
        <v>0.5</v>
      </c>
      <c r="I8714" s="11">
        <f t="shared" si="136"/>
        <v>0</v>
      </c>
      <c r="J8714" s="11">
        <f>1/(H8714*Utilities!$B$11)</f>
        <v>8</v>
      </c>
      <c r="K8714" s="11">
        <f>IF(B8714&lt;C8714,1,EXP(-1*(B8714-C8714)/(Utilities!$B$11*IterData!H8714)))</f>
        <v>1</v>
      </c>
    </row>
    <row r="8715" spans="8:11" x14ac:dyDescent="0.3">
      <c r="H8715">
        <v>0.5</v>
      </c>
      <c r="I8715" s="11">
        <f t="shared" si="136"/>
        <v>0</v>
      </c>
      <c r="J8715" s="11">
        <f>1/(H8715*Utilities!$B$11)</f>
        <v>8</v>
      </c>
      <c r="K8715" s="11">
        <f>IF(B8715&lt;C8715,1,EXP(-1*(B8715-C8715)/(Utilities!$B$11*IterData!H8715)))</f>
        <v>1</v>
      </c>
    </row>
    <row r="8716" spans="8:11" x14ac:dyDescent="0.3">
      <c r="H8716">
        <v>0.5</v>
      </c>
      <c r="I8716" s="11">
        <f t="shared" si="136"/>
        <v>0</v>
      </c>
      <c r="J8716" s="11">
        <f>1/(H8716*Utilities!$B$11)</f>
        <v>8</v>
      </c>
      <c r="K8716" s="11">
        <f>IF(B8716&lt;C8716,1,EXP(-1*(B8716-C8716)/(Utilities!$B$11*IterData!H8716)))</f>
        <v>1</v>
      </c>
    </row>
    <row r="8717" spans="8:11" x14ac:dyDescent="0.3">
      <c r="H8717">
        <v>0.5</v>
      </c>
      <c r="I8717" s="11">
        <f t="shared" si="136"/>
        <v>0</v>
      </c>
      <c r="J8717" s="11">
        <f>1/(H8717*Utilities!$B$11)</f>
        <v>8</v>
      </c>
      <c r="K8717" s="11">
        <f>IF(B8717&lt;C8717,1,EXP(-1*(B8717-C8717)/(Utilities!$B$11*IterData!H8717)))</f>
        <v>1</v>
      </c>
    </row>
    <row r="8718" spans="8:11" x14ac:dyDescent="0.3">
      <c r="H8718">
        <v>0.5</v>
      </c>
      <c r="I8718" s="11">
        <f t="shared" si="136"/>
        <v>0</v>
      </c>
      <c r="J8718" s="11">
        <f>1/(H8718*Utilities!$B$11)</f>
        <v>8</v>
      </c>
      <c r="K8718" s="11">
        <f>IF(B8718&lt;C8718,1,EXP(-1*(B8718-C8718)/(Utilities!$B$11*IterData!H8718)))</f>
        <v>1</v>
      </c>
    </row>
    <row r="8719" spans="8:11" x14ac:dyDescent="0.3">
      <c r="H8719">
        <v>0.5</v>
      </c>
      <c r="I8719" s="11">
        <f t="shared" si="136"/>
        <v>0</v>
      </c>
      <c r="J8719" s="11">
        <f>1/(H8719*Utilities!$B$11)</f>
        <v>8</v>
      </c>
      <c r="K8719" s="11">
        <f>IF(B8719&lt;C8719,1,EXP(-1*(B8719-C8719)/(Utilities!$B$11*IterData!H8719)))</f>
        <v>1</v>
      </c>
    </row>
    <row r="8720" spans="8:11" x14ac:dyDescent="0.3">
      <c r="H8720">
        <v>0.5</v>
      </c>
      <c r="I8720" s="11">
        <f t="shared" si="136"/>
        <v>0</v>
      </c>
      <c r="J8720" s="11">
        <f>1/(H8720*Utilities!$B$11)</f>
        <v>8</v>
      </c>
      <c r="K8720" s="11">
        <f>IF(B8720&lt;C8720,1,EXP(-1*(B8720-C8720)/(Utilities!$B$11*IterData!H8720)))</f>
        <v>1</v>
      </c>
    </row>
    <row r="8721" spans="8:11" x14ac:dyDescent="0.3">
      <c r="H8721">
        <v>0.5</v>
      </c>
      <c r="I8721" s="11">
        <f t="shared" si="136"/>
        <v>0</v>
      </c>
      <c r="J8721" s="11">
        <f>1/(H8721*Utilities!$B$11)</f>
        <v>8</v>
      </c>
      <c r="K8721" s="11">
        <f>IF(B8721&lt;C8721,1,EXP(-1*(B8721-C8721)/(Utilities!$B$11*IterData!H8721)))</f>
        <v>1</v>
      </c>
    </row>
    <row r="8722" spans="8:11" x14ac:dyDescent="0.3">
      <c r="H8722">
        <v>0.5</v>
      </c>
      <c r="I8722" s="11">
        <f t="shared" si="136"/>
        <v>0</v>
      </c>
      <c r="J8722" s="11">
        <f>1/(H8722*Utilities!$B$11)</f>
        <v>8</v>
      </c>
      <c r="K8722" s="11">
        <f>IF(B8722&lt;C8722,1,EXP(-1*(B8722-C8722)/(Utilities!$B$11*IterData!H8722)))</f>
        <v>1</v>
      </c>
    </row>
    <row r="8723" spans="8:11" x14ac:dyDescent="0.3">
      <c r="H8723">
        <v>0.5</v>
      </c>
      <c r="I8723" s="11">
        <f t="shared" si="136"/>
        <v>0</v>
      </c>
      <c r="J8723" s="11">
        <f>1/(H8723*Utilities!$B$11)</f>
        <v>8</v>
      </c>
      <c r="K8723" s="11">
        <f>IF(B8723&lt;C8723,1,EXP(-1*(B8723-C8723)/(Utilities!$B$11*IterData!H8723)))</f>
        <v>1</v>
      </c>
    </row>
    <row r="8724" spans="8:11" x14ac:dyDescent="0.3">
      <c r="H8724">
        <v>0.5</v>
      </c>
      <c r="I8724" s="11">
        <f t="shared" si="136"/>
        <v>0</v>
      </c>
      <c r="J8724" s="11">
        <f>1/(H8724*Utilities!$B$11)</f>
        <v>8</v>
      </c>
      <c r="K8724" s="11">
        <f>IF(B8724&lt;C8724,1,EXP(-1*(B8724-C8724)/(Utilities!$B$11*IterData!H8724)))</f>
        <v>1</v>
      </c>
    </row>
    <row r="8725" spans="8:11" x14ac:dyDescent="0.3">
      <c r="H8725">
        <v>0.5</v>
      </c>
      <c r="I8725" s="11">
        <f t="shared" si="136"/>
        <v>0</v>
      </c>
      <c r="J8725" s="11">
        <f>1/(H8725*Utilities!$B$11)</f>
        <v>8</v>
      </c>
      <c r="K8725" s="11">
        <f>IF(B8725&lt;C8725,1,EXP(-1*(B8725-C8725)/(Utilities!$B$11*IterData!H8725)))</f>
        <v>1</v>
      </c>
    </row>
    <row r="8726" spans="8:11" x14ac:dyDescent="0.3">
      <c r="H8726">
        <v>0.5</v>
      </c>
      <c r="I8726" s="11">
        <f t="shared" si="136"/>
        <v>0</v>
      </c>
      <c r="J8726" s="11">
        <f>1/(H8726*Utilities!$B$11)</f>
        <v>8</v>
      </c>
      <c r="K8726" s="11">
        <f>IF(B8726&lt;C8726,1,EXP(-1*(B8726-C8726)/(Utilities!$B$11*IterData!H8726)))</f>
        <v>1</v>
      </c>
    </row>
    <row r="8727" spans="8:11" x14ac:dyDescent="0.3">
      <c r="H8727">
        <v>0.5</v>
      </c>
      <c r="I8727" s="11">
        <f t="shared" si="136"/>
        <v>0</v>
      </c>
      <c r="J8727" s="11">
        <f>1/(H8727*Utilities!$B$11)</f>
        <v>8</v>
      </c>
      <c r="K8727" s="11">
        <f>IF(B8727&lt;C8727,1,EXP(-1*(B8727-C8727)/(Utilities!$B$11*IterData!H8727)))</f>
        <v>1</v>
      </c>
    </row>
    <row r="8728" spans="8:11" x14ac:dyDescent="0.3">
      <c r="H8728">
        <v>0.5</v>
      </c>
      <c r="I8728" s="11">
        <f t="shared" si="136"/>
        <v>0</v>
      </c>
      <c r="J8728" s="11">
        <f>1/(H8728*Utilities!$B$11)</f>
        <v>8</v>
      </c>
      <c r="K8728" s="11">
        <f>IF(B8728&lt;C8728,1,EXP(-1*(B8728-C8728)/(Utilities!$B$11*IterData!H8728)))</f>
        <v>1</v>
      </c>
    </row>
    <row r="8729" spans="8:11" x14ac:dyDescent="0.3">
      <c r="H8729">
        <v>0.5</v>
      </c>
      <c r="I8729" s="11">
        <f t="shared" si="136"/>
        <v>0</v>
      </c>
      <c r="J8729" s="11">
        <f>1/(H8729*Utilities!$B$11)</f>
        <v>8</v>
      </c>
      <c r="K8729" s="11">
        <f>IF(B8729&lt;C8729,1,EXP(-1*(B8729-C8729)/(Utilities!$B$11*IterData!H8729)))</f>
        <v>1</v>
      </c>
    </row>
    <row r="8730" spans="8:11" x14ac:dyDescent="0.3">
      <c r="H8730">
        <v>0.5</v>
      </c>
      <c r="I8730" s="11">
        <f t="shared" si="136"/>
        <v>0</v>
      </c>
      <c r="J8730" s="11">
        <f>1/(H8730*Utilities!$B$11)</f>
        <v>8</v>
      </c>
      <c r="K8730" s="11">
        <f>IF(B8730&lt;C8730,1,EXP(-1*(B8730-C8730)/(Utilities!$B$11*IterData!H8730)))</f>
        <v>1</v>
      </c>
    </row>
    <row r="8731" spans="8:11" x14ac:dyDescent="0.3">
      <c r="H8731">
        <v>0.5</v>
      </c>
      <c r="I8731" s="11">
        <f t="shared" si="136"/>
        <v>0</v>
      </c>
      <c r="J8731" s="11">
        <f>1/(H8731*Utilities!$B$11)</f>
        <v>8</v>
      </c>
      <c r="K8731" s="11">
        <f>IF(B8731&lt;C8731,1,EXP(-1*(B8731-C8731)/(Utilities!$B$11*IterData!H8731)))</f>
        <v>1</v>
      </c>
    </row>
    <row r="8732" spans="8:11" x14ac:dyDescent="0.3">
      <c r="H8732">
        <v>0.5</v>
      </c>
      <c r="I8732" s="11">
        <f t="shared" si="136"/>
        <v>0</v>
      </c>
      <c r="J8732" s="11">
        <f>1/(H8732*Utilities!$B$11)</f>
        <v>8</v>
      </c>
      <c r="K8732" s="11">
        <f>IF(B8732&lt;C8732,1,EXP(-1*(B8732-C8732)/(Utilities!$B$11*IterData!H8732)))</f>
        <v>1</v>
      </c>
    </row>
    <row r="8733" spans="8:11" x14ac:dyDescent="0.3">
      <c r="H8733">
        <v>0.5</v>
      </c>
      <c r="I8733" s="11">
        <f t="shared" si="136"/>
        <v>0</v>
      </c>
      <c r="J8733" s="11">
        <f>1/(H8733*Utilities!$B$11)</f>
        <v>8</v>
      </c>
      <c r="K8733" s="11">
        <f>IF(B8733&lt;C8733,1,EXP(-1*(B8733-C8733)/(Utilities!$B$11*IterData!H8733)))</f>
        <v>1</v>
      </c>
    </row>
    <row r="8734" spans="8:11" x14ac:dyDescent="0.3">
      <c r="H8734">
        <v>0.5</v>
      </c>
      <c r="I8734" s="11">
        <f t="shared" si="136"/>
        <v>0</v>
      </c>
      <c r="J8734" s="11">
        <f>1/(H8734*Utilities!$B$11)</f>
        <v>8</v>
      </c>
      <c r="K8734" s="11">
        <f>IF(B8734&lt;C8734,1,EXP(-1*(B8734-C8734)/(Utilities!$B$11*IterData!H8734)))</f>
        <v>1</v>
      </c>
    </row>
    <row r="8735" spans="8:11" x14ac:dyDescent="0.3">
      <c r="H8735">
        <v>0.5</v>
      </c>
      <c r="I8735" s="11">
        <f t="shared" si="136"/>
        <v>0</v>
      </c>
      <c r="J8735" s="11">
        <f>1/(H8735*Utilities!$B$11)</f>
        <v>8</v>
      </c>
      <c r="K8735" s="11">
        <f>IF(B8735&lt;C8735,1,EXP(-1*(B8735-C8735)/(Utilities!$B$11*IterData!H8735)))</f>
        <v>1</v>
      </c>
    </row>
    <row r="8736" spans="8:11" x14ac:dyDescent="0.3">
      <c r="H8736">
        <v>0.5</v>
      </c>
      <c r="I8736" s="11">
        <f t="shared" si="136"/>
        <v>0</v>
      </c>
      <c r="J8736" s="11">
        <f>1/(H8736*Utilities!$B$11)</f>
        <v>8</v>
      </c>
      <c r="K8736" s="11">
        <f>IF(B8736&lt;C8736,1,EXP(-1*(B8736-C8736)/(Utilities!$B$11*IterData!H8736)))</f>
        <v>1</v>
      </c>
    </row>
    <row r="8737" spans="8:11" x14ac:dyDescent="0.3">
      <c r="H8737">
        <v>0.5</v>
      </c>
      <c r="I8737" s="11">
        <f t="shared" si="136"/>
        <v>0</v>
      </c>
      <c r="J8737" s="11">
        <f>1/(H8737*Utilities!$B$11)</f>
        <v>8</v>
      </c>
      <c r="K8737" s="11">
        <f>IF(B8737&lt;C8737,1,EXP(-1*(B8737-C8737)/(Utilities!$B$11*IterData!H8737)))</f>
        <v>1</v>
      </c>
    </row>
    <row r="8738" spans="8:11" x14ac:dyDescent="0.3">
      <c r="H8738">
        <v>0.5</v>
      </c>
      <c r="I8738" s="11">
        <f t="shared" si="136"/>
        <v>0</v>
      </c>
      <c r="J8738" s="11">
        <f>1/(H8738*Utilities!$B$11)</f>
        <v>8</v>
      </c>
      <c r="K8738" s="11">
        <f>IF(B8738&lt;C8738,1,EXP(-1*(B8738-C8738)/(Utilities!$B$11*IterData!H8738)))</f>
        <v>1</v>
      </c>
    </row>
    <row r="8739" spans="8:11" x14ac:dyDescent="0.3">
      <c r="H8739">
        <v>0.5</v>
      </c>
      <c r="I8739" s="11">
        <f t="shared" si="136"/>
        <v>0</v>
      </c>
      <c r="J8739" s="11">
        <f>1/(H8739*Utilities!$B$11)</f>
        <v>8</v>
      </c>
      <c r="K8739" s="11">
        <f>IF(B8739&lt;C8739,1,EXP(-1*(B8739-C8739)/(Utilities!$B$11*IterData!H8739)))</f>
        <v>1</v>
      </c>
    </row>
    <row r="8740" spans="8:11" x14ac:dyDescent="0.3">
      <c r="H8740">
        <v>0.5</v>
      </c>
      <c r="I8740" s="11">
        <f t="shared" si="136"/>
        <v>0</v>
      </c>
      <c r="J8740" s="11">
        <f>1/(H8740*Utilities!$B$11)</f>
        <v>8</v>
      </c>
      <c r="K8740" s="11">
        <f>IF(B8740&lt;C8740,1,EXP(-1*(B8740-C8740)/(Utilities!$B$11*IterData!H8740)))</f>
        <v>1</v>
      </c>
    </row>
    <row r="8741" spans="8:11" x14ac:dyDescent="0.3">
      <c r="H8741">
        <v>0.5</v>
      </c>
      <c r="I8741" s="11">
        <f t="shared" si="136"/>
        <v>0</v>
      </c>
      <c r="J8741" s="11">
        <f>1/(H8741*Utilities!$B$11)</f>
        <v>8</v>
      </c>
      <c r="K8741" s="11">
        <f>IF(B8741&lt;C8741,1,EXP(-1*(B8741-C8741)/(Utilities!$B$11*IterData!H8741)))</f>
        <v>1</v>
      </c>
    </row>
    <row r="8742" spans="8:11" x14ac:dyDescent="0.3">
      <c r="H8742">
        <v>0.5</v>
      </c>
      <c r="I8742" s="11">
        <f t="shared" si="136"/>
        <v>0</v>
      </c>
      <c r="J8742" s="11">
        <f>1/(H8742*Utilities!$B$11)</f>
        <v>8</v>
      </c>
      <c r="K8742" s="11">
        <f>IF(B8742&lt;C8742,1,EXP(-1*(B8742-C8742)/(Utilities!$B$11*IterData!H8742)))</f>
        <v>1</v>
      </c>
    </row>
    <row r="8743" spans="8:11" x14ac:dyDescent="0.3">
      <c r="H8743">
        <v>0.5</v>
      </c>
      <c r="I8743" s="11">
        <f t="shared" si="136"/>
        <v>0</v>
      </c>
      <c r="J8743" s="11">
        <f>1/(H8743*Utilities!$B$11)</f>
        <v>8</v>
      </c>
      <c r="K8743" s="11">
        <f>IF(B8743&lt;C8743,1,EXP(-1*(B8743-C8743)/(Utilities!$B$11*IterData!H8743)))</f>
        <v>1</v>
      </c>
    </row>
    <row r="8744" spans="8:11" x14ac:dyDescent="0.3">
      <c r="H8744">
        <v>0.5</v>
      </c>
      <c r="I8744" s="11">
        <f t="shared" si="136"/>
        <v>0</v>
      </c>
      <c r="J8744" s="11">
        <f>1/(H8744*Utilities!$B$11)</f>
        <v>8</v>
      </c>
      <c r="K8744" s="11">
        <f>IF(B8744&lt;C8744,1,EXP(-1*(B8744-C8744)/(Utilities!$B$11*IterData!H8744)))</f>
        <v>1</v>
      </c>
    </row>
    <row r="8745" spans="8:11" x14ac:dyDescent="0.3">
      <c r="H8745">
        <v>0.5</v>
      </c>
      <c r="I8745" s="11">
        <f t="shared" si="136"/>
        <v>0</v>
      </c>
      <c r="J8745" s="11">
        <f>1/(H8745*Utilities!$B$11)</f>
        <v>8</v>
      </c>
      <c r="K8745" s="11">
        <f>IF(B8745&lt;C8745,1,EXP(-1*(B8745-C8745)/(Utilities!$B$11*IterData!H8745)))</f>
        <v>1</v>
      </c>
    </row>
    <row r="8746" spans="8:11" x14ac:dyDescent="0.3">
      <c r="H8746">
        <v>0.5</v>
      </c>
      <c r="I8746" s="11">
        <f t="shared" si="136"/>
        <v>0</v>
      </c>
      <c r="J8746" s="11">
        <f>1/(H8746*Utilities!$B$11)</f>
        <v>8</v>
      </c>
      <c r="K8746" s="11">
        <f>IF(B8746&lt;C8746,1,EXP(-1*(B8746-C8746)/(Utilities!$B$11*IterData!H8746)))</f>
        <v>1</v>
      </c>
    </row>
    <row r="8747" spans="8:11" x14ac:dyDescent="0.3">
      <c r="H8747">
        <v>0.5</v>
      </c>
      <c r="I8747" s="11">
        <f t="shared" si="136"/>
        <v>0</v>
      </c>
      <c r="J8747" s="11">
        <f>1/(H8747*Utilities!$B$11)</f>
        <v>8</v>
      </c>
      <c r="K8747" s="11">
        <f>IF(B8747&lt;C8747,1,EXP(-1*(B8747-C8747)/(Utilities!$B$11*IterData!H8747)))</f>
        <v>1</v>
      </c>
    </row>
    <row r="8748" spans="8:11" x14ac:dyDescent="0.3">
      <c r="H8748">
        <v>0.5</v>
      </c>
      <c r="I8748" s="11">
        <f t="shared" si="136"/>
        <v>0</v>
      </c>
      <c r="J8748" s="11">
        <f>1/(H8748*Utilities!$B$11)</f>
        <v>8</v>
      </c>
      <c r="K8748" s="11">
        <f>IF(B8748&lt;C8748,1,EXP(-1*(B8748-C8748)/(Utilities!$B$11*IterData!H8748)))</f>
        <v>1</v>
      </c>
    </row>
    <row r="8749" spans="8:11" x14ac:dyDescent="0.3">
      <c r="H8749">
        <v>0.5</v>
      </c>
      <c r="I8749" s="11">
        <f t="shared" si="136"/>
        <v>0</v>
      </c>
      <c r="J8749" s="11">
        <f>1/(H8749*Utilities!$B$11)</f>
        <v>8</v>
      </c>
      <c r="K8749" s="11">
        <f>IF(B8749&lt;C8749,1,EXP(-1*(B8749-C8749)/(Utilities!$B$11*IterData!H8749)))</f>
        <v>1</v>
      </c>
    </row>
    <row r="8750" spans="8:11" x14ac:dyDescent="0.3">
      <c r="H8750">
        <v>0.5</v>
      </c>
      <c r="I8750" s="11">
        <f t="shared" si="136"/>
        <v>0</v>
      </c>
      <c r="J8750" s="11">
        <f>1/(H8750*Utilities!$B$11)</f>
        <v>8</v>
      </c>
      <c r="K8750" s="11">
        <f>IF(B8750&lt;C8750,1,EXP(-1*(B8750-C8750)/(Utilities!$B$11*IterData!H8750)))</f>
        <v>1</v>
      </c>
    </row>
    <row r="8751" spans="8:11" x14ac:dyDescent="0.3">
      <c r="H8751">
        <v>0.5</v>
      </c>
      <c r="I8751" s="11">
        <f t="shared" si="136"/>
        <v>0</v>
      </c>
      <c r="J8751" s="11">
        <f>1/(H8751*Utilities!$B$11)</f>
        <v>8</v>
      </c>
      <c r="K8751" s="11">
        <f>IF(B8751&lt;C8751,1,EXP(-1*(B8751-C8751)/(Utilities!$B$11*IterData!H8751)))</f>
        <v>1</v>
      </c>
    </row>
    <row r="8752" spans="8:11" x14ac:dyDescent="0.3">
      <c r="H8752">
        <v>0.5</v>
      </c>
      <c r="I8752" s="11">
        <f t="shared" si="136"/>
        <v>0</v>
      </c>
      <c r="J8752" s="11">
        <f>1/(H8752*Utilities!$B$11)</f>
        <v>8</v>
      </c>
      <c r="K8752" s="11">
        <f>IF(B8752&lt;C8752,1,EXP(-1*(B8752-C8752)/(Utilities!$B$11*IterData!H8752)))</f>
        <v>1</v>
      </c>
    </row>
    <row r="8753" spans="8:11" x14ac:dyDescent="0.3">
      <c r="H8753">
        <v>0.5</v>
      </c>
      <c r="I8753" s="11">
        <f t="shared" si="136"/>
        <v>0</v>
      </c>
      <c r="J8753" s="11">
        <f>1/(H8753*Utilities!$B$11)</f>
        <v>8</v>
      </c>
      <c r="K8753" s="11">
        <f>IF(B8753&lt;C8753,1,EXP(-1*(B8753-C8753)/(Utilities!$B$11*IterData!H8753)))</f>
        <v>1</v>
      </c>
    </row>
    <row r="8754" spans="8:11" x14ac:dyDescent="0.3">
      <c r="H8754">
        <v>0.5</v>
      </c>
      <c r="I8754" s="11">
        <f t="shared" si="136"/>
        <v>0</v>
      </c>
      <c r="J8754" s="11">
        <f>1/(H8754*Utilities!$B$11)</f>
        <v>8</v>
      </c>
      <c r="K8754" s="11">
        <f>IF(B8754&lt;C8754,1,EXP(-1*(B8754-C8754)/(Utilities!$B$11*IterData!H8754)))</f>
        <v>1</v>
      </c>
    </row>
    <row r="8755" spans="8:11" x14ac:dyDescent="0.3">
      <c r="H8755">
        <v>0.5</v>
      </c>
      <c r="I8755" s="11">
        <f t="shared" si="136"/>
        <v>0</v>
      </c>
      <c r="J8755" s="11">
        <f>1/(H8755*Utilities!$B$11)</f>
        <v>8</v>
      </c>
      <c r="K8755" s="11">
        <f>IF(B8755&lt;C8755,1,EXP(-1*(B8755-C8755)/(Utilities!$B$11*IterData!H8755)))</f>
        <v>1</v>
      </c>
    </row>
    <row r="8756" spans="8:11" x14ac:dyDescent="0.3">
      <c r="H8756">
        <v>0.5</v>
      </c>
      <c r="I8756" s="11">
        <f t="shared" si="136"/>
        <v>0</v>
      </c>
      <c r="J8756" s="11">
        <f>1/(H8756*Utilities!$B$11)</f>
        <v>8</v>
      </c>
      <c r="K8756" s="11">
        <f>IF(B8756&lt;C8756,1,EXP(-1*(B8756-C8756)/(Utilities!$B$11*IterData!H8756)))</f>
        <v>1</v>
      </c>
    </row>
    <row r="8757" spans="8:11" x14ac:dyDescent="0.3">
      <c r="H8757">
        <v>0.5</v>
      </c>
      <c r="I8757" s="11">
        <f t="shared" si="136"/>
        <v>0</v>
      </c>
      <c r="J8757" s="11">
        <f>1/(H8757*Utilities!$B$11)</f>
        <v>8</v>
      </c>
      <c r="K8757" s="11">
        <f>IF(B8757&lt;C8757,1,EXP(-1*(B8757-C8757)/(Utilities!$B$11*IterData!H8757)))</f>
        <v>1</v>
      </c>
    </row>
    <row r="8758" spans="8:11" x14ac:dyDescent="0.3">
      <c r="H8758">
        <v>0.5</v>
      </c>
      <c r="I8758" s="11">
        <f t="shared" si="136"/>
        <v>0</v>
      </c>
      <c r="J8758" s="11">
        <f>1/(H8758*Utilities!$B$11)</f>
        <v>8</v>
      </c>
      <c r="K8758" s="11">
        <f>IF(B8758&lt;C8758,1,EXP(-1*(B8758-C8758)/(Utilities!$B$11*IterData!H8758)))</f>
        <v>1</v>
      </c>
    </row>
    <row r="8759" spans="8:11" x14ac:dyDescent="0.3">
      <c r="H8759">
        <v>0.5</v>
      </c>
      <c r="I8759" s="11">
        <f t="shared" si="136"/>
        <v>0</v>
      </c>
      <c r="J8759" s="11">
        <f>1/(H8759*Utilities!$B$11)</f>
        <v>8</v>
      </c>
      <c r="K8759" s="11">
        <f>IF(B8759&lt;C8759,1,EXP(-1*(B8759-C8759)/(Utilities!$B$11*IterData!H8759)))</f>
        <v>1</v>
      </c>
    </row>
    <row r="8760" spans="8:11" x14ac:dyDescent="0.3">
      <c r="H8760">
        <v>0.5</v>
      </c>
      <c r="I8760" s="11">
        <f t="shared" si="136"/>
        <v>0</v>
      </c>
      <c r="J8760" s="11">
        <f>1/(H8760*Utilities!$B$11)</f>
        <v>8</v>
      </c>
      <c r="K8760" s="11">
        <f>IF(B8760&lt;C8760,1,EXP(-1*(B8760-C8760)/(Utilities!$B$11*IterData!H8760)))</f>
        <v>1</v>
      </c>
    </row>
    <row r="8761" spans="8:11" x14ac:dyDescent="0.3">
      <c r="H8761">
        <v>0.5</v>
      </c>
      <c r="I8761" s="11">
        <f t="shared" si="136"/>
        <v>0</v>
      </c>
      <c r="J8761" s="11">
        <f>1/(H8761*Utilities!$B$11)</f>
        <v>8</v>
      </c>
      <c r="K8761" s="11">
        <f>IF(B8761&lt;C8761,1,EXP(-1*(B8761-C8761)/(Utilities!$B$11*IterData!H8761)))</f>
        <v>1</v>
      </c>
    </row>
    <row r="8762" spans="8:11" x14ac:dyDescent="0.3">
      <c r="H8762">
        <v>0.5</v>
      </c>
      <c r="I8762" s="11">
        <f t="shared" si="136"/>
        <v>0</v>
      </c>
      <c r="J8762" s="11">
        <f>1/(H8762*Utilities!$B$11)</f>
        <v>8</v>
      </c>
      <c r="K8762" s="11">
        <f>IF(B8762&lt;C8762,1,EXP(-1*(B8762-C8762)/(Utilities!$B$11*IterData!H8762)))</f>
        <v>1</v>
      </c>
    </row>
    <row r="8763" spans="8:11" x14ac:dyDescent="0.3">
      <c r="H8763">
        <v>0.5</v>
      </c>
      <c r="I8763" s="11">
        <f t="shared" si="136"/>
        <v>0</v>
      </c>
      <c r="J8763" s="11">
        <f>1/(H8763*Utilities!$B$11)</f>
        <v>8</v>
      </c>
      <c r="K8763" s="11">
        <f>IF(B8763&lt;C8763,1,EXP(-1*(B8763-C8763)/(Utilities!$B$11*IterData!H8763)))</f>
        <v>1</v>
      </c>
    </row>
    <row r="8764" spans="8:11" x14ac:dyDescent="0.3">
      <c r="H8764">
        <v>0.5</v>
      </c>
      <c r="I8764" s="11">
        <f t="shared" si="136"/>
        <v>0</v>
      </c>
      <c r="J8764" s="11">
        <f>1/(H8764*Utilities!$B$11)</f>
        <v>8</v>
      </c>
      <c r="K8764" s="11">
        <f>IF(B8764&lt;C8764,1,EXP(-1*(B8764-C8764)/(Utilities!$B$11*IterData!H8764)))</f>
        <v>1</v>
      </c>
    </row>
    <row r="8765" spans="8:11" x14ac:dyDescent="0.3">
      <c r="H8765">
        <v>0.5</v>
      </c>
      <c r="I8765" s="11">
        <f t="shared" si="136"/>
        <v>0</v>
      </c>
      <c r="J8765" s="11">
        <f>1/(H8765*Utilities!$B$11)</f>
        <v>8</v>
      </c>
      <c r="K8765" s="11">
        <f>IF(B8765&lt;C8765,1,EXP(-1*(B8765-C8765)/(Utilities!$B$11*IterData!H8765)))</f>
        <v>1</v>
      </c>
    </row>
    <row r="8766" spans="8:11" x14ac:dyDescent="0.3">
      <c r="H8766">
        <v>0.5</v>
      </c>
      <c r="I8766" s="11">
        <f t="shared" si="136"/>
        <v>0</v>
      </c>
      <c r="J8766" s="11">
        <f>1/(H8766*Utilities!$B$11)</f>
        <v>8</v>
      </c>
      <c r="K8766" s="11">
        <f>IF(B8766&lt;C8766,1,EXP(-1*(B8766-C8766)/(Utilities!$B$11*IterData!H8766)))</f>
        <v>1</v>
      </c>
    </row>
    <row r="8767" spans="8:11" x14ac:dyDescent="0.3">
      <c r="H8767">
        <v>0.5</v>
      </c>
      <c r="I8767" s="11">
        <f t="shared" si="136"/>
        <v>0</v>
      </c>
      <c r="J8767" s="11">
        <f>1/(H8767*Utilities!$B$11)</f>
        <v>8</v>
      </c>
      <c r="K8767" s="11">
        <f>IF(B8767&lt;C8767,1,EXP(-1*(B8767-C8767)/(Utilities!$B$11*IterData!H8767)))</f>
        <v>1</v>
      </c>
    </row>
    <row r="8768" spans="8:11" x14ac:dyDescent="0.3">
      <c r="H8768">
        <v>0.5</v>
      </c>
      <c r="I8768" s="11">
        <f t="shared" si="136"/>
        <v>0</v>
      </c>
      <c r="J8768" s="11">
        <f>1/(H8768*Utilities!$B$11)</f>
        <v>8</v>
      </c>
      <c r="K8768" s="11">
        <f>IF(B8768&lt;C8768,1,EXP(-1*(B8768-C8768)/(Utilities!$B$11*IterData!H8768)))</f>
        <v>1</v>
      </c>
    </row>
    <row r="8769" spans="8:11" x14ac:dyDescent="0.3">
      <c r="H8769">
        <v>0.5</v>
      </c>
      <c r="I8769" s="11">
        <f t="shared" si="136"/>
        <v>0</v>
      </c>
      <c r="J8769" s="11">
        <f>1/(H8769*Utilities!$B$11)</f>
        <v>8</v>
      </c>
      <c r="K8769" s="11">
        <f>IF(B8769&lt;C8769,1,EXP(-1*(B8769-C8769)/(Utilities!$B$11*IterData!H8769)))</f>
        <v>1</v>
      </c>
    </row>
    <row r="8770" spans="8:11" x14ac:dyDescent="0.3">
      <c r="H8770">
        <v>0.5</v>
      </c>
      <c r="I8770" s="11">
        <f t="shared" si="136"/>
        <v>0</v>
      </c>
      <c r="J8770" s="11">
        <f>1/(H8770*Utilities!$B$11)</f>
        <v>8</v>
      </c>
      <c r="K8770" s="11">
        <f>IF(B8770&lt;C8770,1,EXP(-1*(B8770-C8770)/(Utilities!$B$11*IterData!H8770)))</f>
        <v>1</v>
      </c>
    </row>
    <row r="8771" spans="8:11" x14ac:dyDescent="0.3">
      <c r="H8771">
        <v>0.5</v>
      </c>
      <c r="I8771" s="11">
        <f t="shared" ref="I8771:I8834" si="137">B8771-C8771</f>
        <v>0</v>
      </c>
      <c r="J8771" s="11">
        <f>1/(H8771*Utilities!$B$11)</f>
        <v>8</v>
      </c>
      <c r="K8771" s="11">
        <f>IF(B8771&lt;C8771,1,EXP(-1*(B8771-C8771)/(Utilities!$B$11*IterData!H8771)))</f>
        <v>1</v>
      </c>
    </row>
    <row r="8772" spans="8:11" x14ac:dyDescent="0.3">
      <c r="H8772">
        <v>0.5</v>
      </c>
      <c r="I8772" s="11">
        <f t="shared" si="137"/>
        <v>0</v>
      </c>
      <c r="J8772" s="11">
        <f>1/(H8772*Utilities!$B$11)</f>
        <v>8</v>
      </c>
      <c r="K8772" s="11">
        <f>IF(B8772&lt;C8772,1,EXP(-1*(B8772-C8772)/(Utilities!$B$11*IterData!H8772)))</f>
        <v>1</v>
      </c>
    </row>
    <row r="8773" spans="8:11" x14ac:dyDescent="0.3">
      <c r="H8773">
        <v>0.5</v>
      </c>
      <c r="I8773" s="11">
        <f t="shared" si="137"/>
        <v>0</v>
      </c>
      <c r="J8773" s="11">
        <f>1/(H8773*Utilities!$B$11)</f>
        <v>8</v>
      </c>
      <c r="K8773" s="11">
        <f>IF(B8773&lt;C8773,1,EXP(-1*(B8773-C8773)/(Utilities!$B$11*IterData!H8773)))</f>
        <v>1</v>
      </c>
    </row>
    <row r="8774" spans="8:11" x14ac:dyDescent="0.3">
      <c r="H8774">
        <v>0.5</v>
      </c>
      <c r="I8774" s="11">
        <f t="shared" si="137"/>
        <v>0</v>
      </c>
      <c r="J8774" s="11">
        <f>1/(H8774*Utilities!$B$11)</f>
        <v>8</v>
      </c>
      <c r="K8774" s="11">
        <f>IF(B8774&lt;C8774,1,EXP(-1*(B8774-C8774)/(Utilities!$B$11*IterData!H8774)))</f>
        <v>1</v>
      </c>
    </row>
    <row r="8775" spans="8:11" x14ac:dyDescent="0.3">
      <c r="H8775">
        <v>0.5</v>
      </c>
      <c r="I8775" s="11">
        <f t="shared" si="137"/>
        <v>0</v>
      </c>
      <c r="J8775" s="11">
        <f>1/(H8775*Utilities!$B$11)</f>
        <v>8</v>
      </c>
      <c r="K8775" s="11">
        <f>IF(B8775&lt;C8775,1,EXP(-1*(B8775-C8775)/(Utilities!$B$11*IterData!H8775)))</f>
        <v>1</v>
      </c>
    </row>
    <row r="8776" spans="8:11" x14ac:dyDescent="0.3">
      <c r="H8776">
        <v>0.5</v>
      </c>
      <c r="I8776" s="11">
        <f t="shared" si="137"/>
        <v>0</v>
      </c>
      <c r="J8776" s="11">
        <f>1/(H8776*Utilities!$B$11)</f>
        <v>8</v>
      </c>
      <c r="K8776" s="11">
        <f>IF(B8776&lt;C8776,1,EXP(-1*(B8776-C8776)/(Utilities!$B$11*IterData!H8776)))</f>
        <v>1</v>
      </c>
    </row>
    <row r="8777" spans="8:11" x14ac:dyDescent="0.3">
      <c r="H8777">
        <v>0.5</v>
      </c>
      <c r="I8777" s="11">
        <f t="shared" si="137"/>
        <v>0</v>
      </c>
      <c r="J8777" s="11">
        <f>1/(H8777*Utilities!$B$11)</f>
        <v>8</v>
      </c>
      <c r="K8777" s="11">
        <f>IF(B8777&lt;C8777,1,EXP(-1*(B8777-C8777)/(Utilities!$B$11*IterData!H8777)))</f>
        <v>1</v>
      </c>
    </row>
    <row r="8778" spans="8:11" x14ac:dyDescent="0.3">
      <c r="H8778">
        <v>0.5</v>
      </c>
      <c r="I8778" s="11">
        <f t="shared" si="137"/>
        <v>0</v>
      </c>
      <c r="J8778" s="11">
        <f>1/(H8778*Utilities!$B$11)</f>
        <v>8</v>
      </c>
      <c r="K8778" s="11">
        <f>IF(B8778&lt;C8778,1,EXP(-1*(B8778-C8778)/(Utilities!$B$11*IterData!H8778)))</f>
        <v>1</v>
      </c>
    </row>
    <row r="8779" spans="8:11" x14ac:dyDescent="0.3">
      <c r="H8779">
        <v>0.5</v>
      </c>
      <c r="I8779" s="11">
        <f t="shared" si="137"/>
        <v>0</v>
      </c>
      <c r="J8779" s="11">
        <f>1/(H8779*Utilities!$B$11)</f>
        <v>8</v>
      </c>
      <c r="K8779" s="11">
        <f>IF(B8779&lt;C8779,1,EXP(-1*(B8779-C8779)/(Utilities!$B$11*IterData!H8779)))</f>
        <v>1</v>
      </c>
    </row>
    <row r="8780" spans="8:11" x14ac:dyDescent="0.3">
      <c r="H8780">
        <v>0.5</v>
      </c>
      <c r="I8780" s="11">
        <f t="shared" si="137"/>
        <v>0</v>
      </c>
      <c r="J8780" s="11">
        <f>1/(H8780*Utilities!$B$11)</f>
        <v>8</v>
      </c>
      <c r="K8780" s="11">
        <f>IF(B8780&lt;C8780,1,EXP(-1*(B8780-C8780)/(Utilities!$B$11*IterData!H8780)))</f>
        <v>1</v>
      </c>
    </row>
    <row r="8781" spans="8:11" x14ac:dyDescent="0.3">
      <c r="H8781">
        <v>0.5</v>
      </c>
      <c r="I8781" s="11">
        <f t="shared" si="137"/>
        <v>0</v>
      </c>
      <c r="J8781" s="11">
        <f>1/(H8781*Utilities!$B$11)</f>
        <v>8</v>
      </c>
      <c r="K8781" s="11">
        <f>IF(B8781&lt;C8781,1,EXP(-1*(B8781-C8781)/(Utilities!$B$11*IterData!H8781)))</f>
        <v>1</v>
      </c>
    </row>
    <row r="8782" spans="8:11" x14ac:dyDescent="0.3">
      <c r="H8782">
        <v>0.5</v>
      </c>
      <c r="I8782" s="11">
        <f t="shared" si="137"/>
        <v>0</v>
      </c>
      <c r="J8782" s="11">
        <f>1/(H8782*Utilities!$B$11)</f>
        <v>8</v>
      </c>
      <c r="K8782" s="11">
        <f>IF(B8782&lt;C8782,1,EXP(-1*(B8782-C8782)/(Utilities!$B$11*IterData!H8782)))</f>
        <v>1</v>
      </c>
    </row>
    <row r="8783" spans="8:11" x14ac:dyDescent="0.3">
      <c r="H8783">
        <v>0.5</v>
      </c>
      <c r="I8783" s="11">
        <f t="shared" si="137"/>
        <v>0</v>
      </c>
      <c r="J8783" s="11">
        <f>1/(H8783*Utilities!$B$11)</f>
        <v>8</v>
      </c>
      <c r="K8783" s="11">
        <f>IF(B8783&lt;C8783,1,EXP(-1*(B8783-C8783)/(Utilities!$B$11*IterData!H8783)))</f>
        <v>1</v>
      </c>
    </row>
    <row r="8784" spans="8:11" x14ac:dyDescent="0.3">
      <c r="H8784">
        <v>0.5</v>
      </c>
      <c r="I8784" s="11">
        <f t="shared" si="137"/>
        <v>0</v>
      </c>
      <c r="J8784" s="11">
        <f>1/(H8784*Utilities!$B$11)</f>
        <v>8</v>
      </c>
      <c r="K8784" s="11">
        <f>IF(B8784&lt;C8784,1,EXP(-1*(B8784-C8784)/(Utilities!$B$11*IterData!H8784)))</f>
        <v>1</v>
      </c>
    </row>
    <row r="8785" spans="8:11" x14ac:dyDescent="0.3">
      <c r="H8785">
        <v>0.5</v>
      </c>
      <c r="I8785" s="11">
        <f t="shared" si="137"/>
        <v>0</v>
      </c>
      <c r="J8785" s="11">
        <f>1/(H8785*Utilities!$B$11)</f>
        <v>8</v>
      </c>
      <c r="K8785" s="11">
        <f>IF(B8785&lt;C8785,1,EXP(-1*(B8785-C8785)/(Utilities!$B$11*IterData!H8785)))</f>
        <v>1</v>
      </c>
    </row>
    <row r="8786" spans="8:11" x14ac:dyDescent="0.3">
      <c r="H8786">
        <v>0.5</v>
      </c>
      <c r="I8786" s="11">
        <f t="shared" si="137"/>
        <v>0</v>
      </c>
      <c r="J8786" s="11">
        <f>1/(H8786*Utilities!$B$11)</f>
        <v>8</v>
      </c>
      <c r="K8786" s="11">
        <f>IF(B8786&lt;C8786,1,EXP(-1*(B8786-C8786)/(Utilities!$B$11*IterData!H8786)))</f>
        <v>1</v>
      </c>
    </row>
    <row r="8787" spans="8:11" x14ac:dyDescent="0.3">
      <c r="H8787">
        <v>0.5</v>
      </c>
      <c r="I8787" s="11">
        <f t="shared" si="137"/>
        <v>0</v>
      </c>
      <c r="J8787" s="11">
        <f>1/(H8787*Utilities!$B$11)</f>
        <v>8</v>
      </c>
      <c r="K8787" s="11">
        <f>IF(B8787&lt;C8787,1,EXP(-1*(B8787-C8787)/(Utilities!$B$11*IterData!H8787)))</f>
        <v>1</v>
      </c>
    </row>
    <row r="8788" spans="8:11" x14ac:dyDescent="0.3">
      <c r="H8788">
        <v>0.5</v>
      </c>
      <c r="I8788" s="11">
        <f t="shared" si="137"/>
        <v>0</v>
      </c>
      <c r="J8788" s="11">
        <f>1/(H8788*Utilities!$B$11)</f>
        <v>8</v>
      </c>
      <c r="K8788" s="11">
        <f>IF(B8788&lt;C8788,1,EXP(-1*(B8788-C8788)/(Utilities!$B$11*IterData!H8788)))</f>
        <v>1</v>
      </c>
    </row>
    <row r="8789" spans="8:11" x14ac:dyDescent="0.3">
      <c r="H8789">
        <v>0.5</v>
      </c>
      <c r="I8789" s="11">
        <f t="shared" si="137"/>
        <v>0</v>
      </c>
      <c r="J8789" s="11">
        <f>1/(H8789*Utilities!$B$11)</f>
        <v>8</v>
      </c>
      <c r="K8789" s="11">
        <f>IF(B8789&lt;C8789,1,EXP(-1*(B8789-C8789)/(Utilities!$B$11*IterData!H8789)))</f>
        <v>1</v>
      </c>
    </row>
    <row r="8790" spans="8:11" x14ac:dyDescent="0.3">
      <c r="H8790">
        <v>0.5</v>
      </c>
      <c r="I8790" s="11">
        <f t="shared" si="137"/>
        <v>0</v>
      </c>
      <c r="J8790" s="11">
        <f>1/(H8790*Utilities!$B$11)</f>
        <v>8</v>
      </c>
      <c r="K8790" s="11">
        <f>IF(B8790&lt;C8790,1,EXP(-1*(B8790-C8790)/(Utilities!$B$11*IterData!H8790)))</f>
        <v>1</v>
      </c>
    </row>
    <row r="8791" spans="8:11" x14ac:dyDescent="0.3">
      <c r="H8791">
        <v>0.5</v>
      </c>
      <c r="I8791" s="11">
        <f t="shared" si="137"/>
        <v>0</v>
      </c>
      <c r="J8791" s="11">
        <f>1/(H8791*Utilities!$B$11)</f>
        <v>8</v>
      </c>
      <c r="K8791" s="11">
        <f>IF(B8791&lt;C8791,1,EXP(-1*(B8791-C8791)/(Utilities!$B$11*IterData!H8791)))</f>
        <v>1</v>
      </c>
    </row>
    <row r="8792" spans="8:11" x14ac:dyDescent="0.3">
      <c r="H8792">
        <v>0.5</v>
      </c>
      <c r="I8792" s="11">
        <f t="shared" si="137"/>
        <v>0</v>
      </c>
      <c r="J8792" s="11">
        <f>1/(H8792*Utilities!$B$11)</f>
        <v>8</v>
      </c>
      <c r="K8792" s="11">
        <f>IF(B8792&lt;C8792,1,EXP(-1*(B8792-C8792)/(Utilities!$B$11*IterData!H8792)))</f>
        <v>1</v>
      </c>
    </row>
    <row r="8793" spans="8:11" x14ac:dyDescent="0.3">
      <c r="H8793">
        <v>0.5</v>
      </c>
      <c r="I8793" s="11">
        <f t="shared" si="137"/>
        <v>0</v>
      </c>
      <c r="J8793" s="11">
        <f>1/(H8793*Utilities!$B$11)</f>
        <v>8</v>
      </c>
      <c r="K8793" s="11">
        <f>IF(B8793&lt;C8793,1,EXP(-1*(B8793-C8793)/(Utilities!$B$11*IterData!H8793)))</f>
        <v>1</v>
      </c>
    </row>
    <row r="8794" spans="8:11" x14ac:dyDescent="0.3">
      <c r="H8794">
        <v>0.5</v>
      </c>
      <c r="I8794" s="11">
        <f t="shared" si="137"/>
        <v>0</v>
      </c>
      <c r="J8794" s="11">
        <f>1/(H8794*Utilities!$B$11)</f>
        <v>8</v>
      </c>
      <c r="K8794" s="11">
        <f>IF(B8794&lt;C8794,1,EXP(-1*(B8794-C8794)/(Utilities!$B$11*IterData!H8794)))</f>
        <v>1</v>
      </c>
    </row>
    <row r="8795" spans="8:11" x14ac:dyDescent="0.3">
      <c r="H8795">
        <v>0.5</v>
      </c>
      <c r="I8795" s="11">
        <f t="shared" si="137"/>
        <v>0</v>
      </c>
      <c r="J8795" s="11">
        <f>1/(H8795*Utilities!$B$11)</f>
        <v>8</v>
      </c>
      <c r="K8795" s="11">
        <f>IF(B8795&lt;C8795,1,EXP(-1*(B8795-C8795)/(Utilities!$B$11*IterData!H8795)))</f>
        <v>1</v>
      </c>
    </row>
    <row r="8796" spans="8:11" x14ac:dyDescent="0.3">
      <c r="H8796">
        <v>0.5</v>
      </c>
      <c r="I8796" s="11">
        <f t="shared" si="137"/>
        <v>0</v>
      </c>
      <c r="J8796" s="11">
        <f>1/(H8796*Utilities!$B$11)</f>
        <v>8</v>
      </c>
      <c r="K8796" s="11">
        <f>IF(B8796&lt;C8796,1,EXP(-1*(B8796-C8796)/(Utilities!$B$11*IterData!H8796)))</f>
        <v>1</v>
      </c>
    </row>
    <row r="8797" spans="8:11" x14ac:dyDescent="0.3">
      <c r="H8797">
        <v>0.5</v>
      </c>
      <c r="I8797" s="11">
        <f t="shared" si="137"/>
        <v>0</v>
      </c>
      <c r="J8797" s="11">
        <f>1/(H8797*Utilities!$B$11)</f>
        <v>8</v>
      </c>
      <c r="K8797" s="11">
        <f>IF(B8797&lt;C8797,1,EXP(-1*(B8797-C8797)/(Utilities!$B$11*IterData!H8797)))</f>
        <v>1</v>
      </c>
    </row>
    <row r="8798" spans="8:11" x14ac:dyDescent="0.3">
      <c r="H8798">
        <v>0.5</v>
      </c>
      <c r="I8798" s="11">
        <f t="shared" si="137"/>
        <v>0</v>
      </c>
      <c r="J8798" s="11">
        <f>1/(H8798*Utilities!$B$11)</f>
        <v>8</v>
      </c>
      <c r="K8798" s="11">
        <f>IF(B8798&lt;C8798,1,EXP(-1*(B8798-C8798)/(Utilities!$B$11*IterData!H8798)))</f>
        <v>1</v>
      </c>
    </row>
    <row r="8799" spans="8:11" x14ac:dyDescent="0.3">
      <c r="H8799">
        <v>0.5</v>
      </c>
      <c r="I8799" s="11">
        <f t="shared" si="137"/>
        <v>0</v>
      </c>
      <c r="J8799" s="11">
        <f>1/(H8799*Utilities!$B$11)</f>
        <v>8</v>
      </c>
      <c r="K8799" s="11">
        <f>IF(B8799&lt;C8799,1,EXP(-1*(B8799-C8799)/(Utilities!$B$11*IterData!H8799)))</f>
        <v>1</v>
      </c>
    </row>
    <row r="8800" spans="8:11" x14ac:dyDescent="0.3">
      <c r="H8800">
        <v>0.5</v>
      </c>
      <c r="I8800" s="11">
        <f t="shared" si="137"/>
        <v>0</v>
      </c>
      <c r="J8800" s="11">
        <f>1/(H8800*Utilities!$B$11)</f>
        <v>8</v>
      </c>
      <c r="K8800" s="11">
        <f>IF(B8800&lt;C8800,1,EXP(-1*(B8800-C8800)/(Utilities!$B$11*IterData!H8800)))</f>
        <v>1</v>
      </c>
    </row>
    <row r="8801" spans="8:11" x14ac:dyDescent="0.3">
      <c r="H8801">
        <v>0.5</v>
      </c>
      <c r="I8801" s="11">
        <f t="shared" si="137"/>
        <v>0</v>
      </c>
      <c r="J8801" s="11">
        <f>1/(H8801*Utilities!$B$11)</f>
        <v>8</v>
      </c>
      <c r="K8801" s="11">
        <f>IF(B8801&lt;C8801,1,EXP(-1*(B8801-C8801)/(Utilities!$B$11*IterData!H8801)))</f>
        <v>1</v>
      </c>
    </row>
    <row r="8802" spans="8:11" x14ac:dyDescent="0.3">
      <c r="H8802">
        <v>0.5</v>
      </c>
      <c r="I8802" s="11">
        <f t="shared" si="137"/>
        <v>0</v>
      </c>
      <c r="J8802" s="11">
        <f>1/(H8802*Utilities!$B$11)</f>
        <v>8</v>
      </c>
      <c r="K8802" s="11">
        <f>IF(B8802&lt;C8802,1,EXP(-1*(B8802-C8802)/(Utilities!$B$11*IterData!H8802)))</f>
        <v>1</v>
      </c>
    </row>
    <row r="8803" spans="8:11" x14ac:dyDescent="0.3">
      <c r="H8803">
        <v>0.5</v>
      </c>
      <c r="I8803" s="11">
        <f t="shared" si="137"/>
        <v>0</v>
      </c>
      <c r="J8803" s="11">
        <f>1/(H8803*Utilities!$B$11)</f>
        <v>8</v>
      </c>
      <c r="K8803" s="11">
        <f>IF(B8803&lt;C8803,1,EXP(-1*(B8803-C8803)/(Utilities!$B$11*IterData!H8803)))</f>
        <v>1</v>
      </c>
    </row>
    <row r="8804" spans="8:11" x14ac:dyDescent="0.3">
      <c r="H8804">
        <v>0.5</v>
      </c>
      <c r="I8804" s="11">
        <f t="shared" si="137"/>
        <v>0</v>
      </c>
      <c r="J8804" s="11">
        <f>1/(H8804*Utilities!$B$11)</f>
        <v>8</v>
      </c>
      <c r="K8804" s="11">
        <f>IF(B8804&lt;C8804,1,EXP(-1*(B8804-C8804)/(Utilities!$B$11*IterData!H8804)))</f>
        <v>1</v>
      </c>
    </row>
    <row r="8805" spans="8:11" x14ac:dyDescent="0.3">
      <c r="H8805">
        <v>0.5</v>
      </c>
      <c r="I8805" s="11">
        <f t="shared" si="137"/>
        <v>0</v>
      </c>
      <c r="J8805" s="11">
        <f>1/(H8805*Utilities!$B$11)</f>
        <v>8</v>
      </c>
      <c r="K8805" s="11">
        <f>IF(B8805&lt;C8805,1,EXP(-1*(B8805-C8805)/(Utilities!$B$11*IterData!H8805)))</f>
        <v>1</v>
      </c>
    </row>
    <row r="8806" spans="8:11" x14ac:dyDescent="0.3">
      <c r="H8806">
        <v>0.5</v>
      </c>
      <c r="I8806" s="11">
        <f t="shared" si="137"/>
        <v>0</v>
      </c>
      <c r="J8806" s="11">
        <f>1/(H8806*Utilities!$B$11)</f>
        <v>8</v>
      </c>
      <c r="K8806" s="11">
        <f>IF(B8806&lt;C8806,1,EXP(-1*(B8806-C8806)/(Utilities!$B$11*IterData!H8806)))</f>
        <v>1</v>
      </c>
    </row>
    <row r="8807" spans="8:11" x14ac:dyDescent="0.3">
      <c r="H8807">
        <v>0.5</v>
      </c>
      <c r="I8807" s="11">
        <f t="shared" si="137"/>
        <v>0</v>
      </c>
      <c r="J8807" s="11">
        <f>1/(H8807*Utilities!$B$11)</f>
        <v>8</v>
      </c>
      <c r="K8807" s="11">
        <f>IF(B8807&lt;C8807,1,EXP(-1*(B8807-C8807)/(Utilities!$B$11*IterData!H8807)))</f>
        <v>1</v>
      </c>
    </row>
    <row r="8808" spans="8:11" x14ac:dyDescent="0.3">
      <c r="H8808">
        <v>0.5</v>
      </c>
      <c r="I8808" s="11">
        <f t="shared" si="137"/>
        <v>0</v>
      </c>
      <c r="J8808" s="11">
        <f>1/(H8808*Utilities!$B$11)</f>
        <v>8</v>
      </c>
      <c r="K8808" s="11">
        <f>IF(B8808&lt;C8808,1,EXP(-1*(B8808-C8808)/(Utilities!$B$11*IterData!H8808)))</f>
        <v>1</v>
      </c>
    </row>
    <row r="8809" spans="8:11" x14ac:dyDescent="0.3">
      <c r="H8809">
        <v>0.5</v>
      </c>
      <c r="I8809" s="11">
        <f t="shared" si="137"/>
        <v>0</v>
      </c>
      <c r="J8809" s="11">
        <f>1/(H8809*Utilities!$B$11)</f>
        <v>8</v>
      </c>
      <c r="K8809" s="11">
        <f>IF(B8809&lt;C8809,1,EXP(-1*(B8809-C8809)/(Utilities!$B$11*IterData!H8809)))</f>
        <v>1</v>
      </c>
    </row>
    <row r="8810" spans="8:11" x14ac:dyDescent="0.3">
      <c r="H8810">
        <v>0.5</v>
      </c>
      <c r="I8810" s="11">
        <f t="shared" si="137"/>
        <v>0</v>
      </c>
      <c r="J8810" s="11">
        <f>1/(H8810*Utilities!$B$11)</f>
        <v>8</v>
      </c>
      <c r="K8810" s="11">
        <f>IF(B8810&lt;C8810,1,EXP(-1*(B8810-C8810)/(Utilities!$B$11*IterData!H8810)))</f>
        <v>1</v>
      </c>
    </row>
    <row r="8811" spans="8:11" x14ac:dyDescent="0.3">
      <c r="H8811">
        <v>0.5</v>
      </c>
      <c r="I8811" s="11">
        <f t="shared" si="137"/>
        <v>0</v>
      </c>
      <c r="J8811" s="11">
        <f>1/(H8811*Utilities!$B$11)</f>
        <v>8</v>
      </c>
      <c r="K8811" s="11">
        <f>IF(B8811&lt;C8811,1,EXP(-1*(B8811-C8811)/(Utilities!$B$11*IterData!H8811)))</f>
        <v>1</v>
      </c>
    </row>
    <row r="8812" spans="8:11" x14ac:dyDescent="0.3">
      <c r="H8812">
        <v>0.5</v>
      </c>
      <c r="I8812" s="11">
        <f t="shared" si="137"/>
        <v>0</v>
      </c>
      <c r="J8812" s="11">
        <f>1/(H8812*Utilities!$B$11)</f>
        <v>8</v>
      </c>
      <c r="K8812" s="11">
        <f>IF(B8812&lt;C8812,1,EXP(-1*(B8812-C8812)/(Utilities!$B$11*IterData!H8812)))</f>
        <v>1</v>
      </c>
    </row>
    <row r="8813" spans="8:11" x14ac:dyDescent="0.3">
      <c r="H8813">
        <v>0.5</v>
      </c>
      <c r="I8813" s="11">
        <f t="shared" si="137"/>
        <v>0</v>
      </c>
      <c r="J8813" s="11">
        <f>1/(H8813*Utilities!$B$11)</f>
        <v>8</v>
      </c>
      <c r="K8813" s="11">
        <f>IF(B8813&lt;C8813,1,EXP(-1*(B8813-C8813)/(Utilities!$B$11*IterData!H8813)))</f>
        <v>1</v>
      </c>
    </row>
    <row r="8814" spans="8:11" x14ac:dyDescent="0.3">
      <c r="H8814">
        <v>0.5</v>
      </c>
      <c r="I8814" s="11">
        <f t="shared" si="137"/>
        <v>0</v>
      </c>
      <c r="J8814" s="11">
        <f>1/(H8814*Utilities!$B$11)</f>
        <v>8</v>
      </c>
      <c r="K8814" s="11">
        <f>IF(B8814&lt;C8814,1,EXP(-1*(B8814-C8814)/(Utilities!$B$11*IterData!H8814)))</f>
        <v>1</v>
      </c>
    </row>
    <row r="8815" spans="8:11" x14ac:dyDescent="0.3">
      <c r="H8815">
        <v>0.5</v>
      </c>
      <c r="I8815" s="11">
        <f t="shared" si="137"/>
        <v>0</v>
      </c>
      <c r="J8815" s="11">
        <f>1/(H8815*Utilities!$B$11)</f>
        <v>8</v>
      </c>
      <c r="K8815" s="11">
        <f>IF(B8815&lt;C8815,1,EXP(-1*(B8815-C8815)/(Utilities!$B$11*IterData!H8815)))</f>
        <v>1</v>
      </c>
    </row>
    <row r="8816" spans="8:11" x14ac:dyDescent="0.3">
      <c r="H8816">
        <v>0.5</v>
      </c>
      <c r="I8816" s="11">
        <f t="shared" si="137"/>
        <v>0</v>
      </c>
      <c r="J8816" s="11">
        <f>1/(H8816*Utilities!$B$11)</f>
        <v>8</v>
      </c>
      <c r="K8816" s="11">
        <f>IF(B8816&lt;C8816,1,EXP(-1*(B8816-C8816)/(Utilities!$B$11*IterData!H8816)))</f>
        <v>1</v>
      </c>
    </row>
    <row r="8817" spans="8:11" x14ac:dyDescent="0.3">
      <c r="H8817">
        <v>0.5</v>
      </c>
      <c r="I8817" s="11">
        <f t="shared" si="137"/>
        <v>0</v>
      </c>
      <c r="J8817" s="11">
        <f>1/(H8817*Utilities!$B$11)</f>
        <v>8</v>
      </c>
      <c r="K8817" s="11">
        <f>IF(B8817&lt;C8817,1,EXP(-1*(B8817-C8817)/(Utilities!$B$11*IterData!H8817)))</f>
        <v>1</v>
      </c>
    </row>
    <row r="8818" spans="8:11" x14ac:dyDescent="0.3">
      <c r="H8818">
        <v>0.5</v>
      </c>
      <c r="I8818" s="11">
        <f t="shared" si="137"/>
        <v>0</v>
      </c>
      <c r="J8818" s="11">
        <f>1/(H8818*Utilities!$B$11)</f>
        <v>8</v>
      </c>
      <c r="K8818" s="11">
        <f>IF(B8818&lt;C8818,1,EXP(-1*(B8818-C8818)/(Utilities!$B$11*IterData!H8818)))</f>
        <v>1</v>
      </c>
    </row>
    <row r="8819" spans="8:11" x14ac:dyDescent="0.3">
      <c r="H8819">
        <v>0.5</v>
      </c>
      <c r="I8819" s="11">
        <f t="shared" si="137"/>
        <v>0</v>
      </c>
      <c r="J8819" s="11">
        <f>1/(H8819*Utilities!$B$11)</f>
        <v>8</v>
      </c>
      <c r="K8819" s="11">
        <f>IF(B8819&lt;C8819,1,EXP(-1*(B8819-C8819)/(Utilities!$B$11*IterData!H8819)))</f>
        <v>1</v>
      </c>
    </row>
    <row r="8820" spans="8:11" x14ac:dyDescent="0.3">
      <c r="H8820">
        <v>0.5</v>
      </c>
      <c r="I8820" s="11">
        <f t="shared" si="137"/>
        <v>0</v>
      </c>
      <c r="J8820" s="11">
        <f>1/(H8820*Utilities!$B$11)</f>
        <v>8</v>
      </c>
      <c r="K8820" s="11">
        <f>IF(B8820&lt;C8820,1,EXP(-1*(B8820-C8820)/(Utilities!$B$11*IterData!H8820)))</f>
        <v>1</v>
      </c>
    </row>
    <row r="8821" spans="8:11" x14ac:dyDescent="0.3">
      <c r="H8821">
        <v>0.5</v>
      </c>
      <c r="I8821" s="11">
        <f t="shared" si="137"/>
        <v>0</v>
      </c>
      <c r="J8821" s="11">
        <f>1/(H8821*Utilities!$B$11)</f>
        <v>8</v>
      </c>
      <c r="K8821" s="11">
        <f>IF(B8821&lt;C8821,1,EXP(-1*(B8821-C8821)/(Utilities!$B$11*IterData!H8821)))</f>
        <v>1</v>
      </c>
    </row>
    <row r="8822" spans="8:11" x14ac:dyDescent="0.3">
      <c r="H8822">
        <v>0.5</v>
      </c>
      <c r="I8822" s="11">
        <f t="shared" si="137"/>
        <v>0</v>
      </c>
      <c r="J8822" s="11">
        <f>1/(H8822*Utilities!$B$11)</f>
        <v>8</v>
      </c>
      <c r="K8822" s="11">
        <f>IF(B8822&lt;C8822,1,EXP(-1*(B8822-C8822)/(Utilities!$B$11*IterData!H8822)))</f>
        <v>1</v>
      </c>
    </row>
    <row r="8823" spans="8:11" x14ac:dyDescent="0.3">
      <c r="H8823">
        <v>0.5</v>
      </c>
      <c r="I8823" s="11">
        <f t="shared" si="137"/>
        <v>0</v>
      </c>
      <c r="J8823" s="11">
        <f>1/(H8823*Utilities!$B$11)</f>
        <v>8</v>
      </c>
      <c r="K8823" s="11">
        <f>IF(B8823&lt;C8823,1,EXP(-1*(B8823-C8823)/(Utilities!$B$11*IterData!H8823)))</f>
        <v>1</v>
      </c>
    </row>
    <row r="8824" spans="8:11" x14ac:dyDescent="0.3">
      <c r="H8824">
        <v>0.5</v>
      </c>
      <c r="I8824" s="11">
        <f t="shared" si="137"/>
        <v>0</v>
      </c>
      <c r="J8824" s="11">
        <f>1/(H8824*Utilities!$B$11)</f>
        <v>8</v>
      </c>
      <c r="K8824" s="11">
        <f>IF(B8824&lt;C8824,1,EXP(-1*(B8824-C8824)/(Utilities!$B$11*IterData!H8824)))</f>
        <v>1</v>
      </c>
    </row>
    <row r="8825" spans="8:11" x14ac:dyDescent="0.3">
      <c r="H8825">
        <v>0.5</v>
      </c>
      <c r="I8825" s="11">
        <f t="shared" si="137"/>
        <v>0</v>
      </c>
      <c r="J8825" s="11">
        <f>1/(H8825*Utilities!$B$11)</f>
        <v>8</v>
      </c>
      <c r="K8825" s="11">
        <f>IF(B8825&lt;C8825,1,EXP(-1*(B8825-C8825)/(Utilities!$B$11*IterData!H8825)))</f>
        <v>1</v>
      </c>
    </row>
    <row r="8826" spans="8:11" x14ac:dyDescent="0.3">
      <c r="H8826">
        <v>0.5</v>
      </c>
      <c r="I8826" s="11">
        <f t="shared" si="137"/>
        <v>0</v>
      </c>
      <c r="J8826" s="11">
        <f>1/(H8826*Utilities!$B$11)</f>
        <v>8</v>
      </c>
      <c r="K8826" s="11">
        <f>IF(B8826&lt;C8826,1,EXP(-1*(B8826-C8826)/(Utilities!$B$11*IterData!H8826)))</f>
        <v>1</v>
      </c>
    </row>
    <row r="8827" spans="8:11" x14ac:dyDescent="0.3">
      <c r="H8827">
        <v>0.5</v>
      </c>
      <c r="I8827" s="11">
        <f t="shared" si="137"/>
        <v>0</v>
      </c>
      <c r="J8827" s="11">
        <f>1/(H8827*Utilities!$B$11)</f>
        <v>8</v>
      </c>
      <c r="K8827" s="11">
        <f>IF(B8827&lt;C8827,1,EXP(-1*(B8827-C8827)/(Utilities!$B$11*IterData!H8827)))</f>
        <v>1</v>
      </c>
    </row>
    <row r="8828" spans="8:11" x14ac:dyDescent="0.3">
      <c r="H8828">
        <v>0.5</v>
      </c>
      <c r="I8828" s="11">
        <f t="shared" si="137"/>
        <v>0</v>
      </c>
      <c r="J8828" s="11">
        <f>1/(H8828*Utilities!$B$11)</f>
        <v>8</v>
      </c>
      <c r="K8828" s="11">
        <f>IF(B8828&lt;C8828,1,EXP(-1*(B8828-C8828)/(Utilities!$B$11*IterData!H8828)))</f>
        <v>1</v>
      </c>
    </row>
    <row r="8829" spans="8:11" x14ac:dyDescent="0.3">
      <c r="H8829">
        <v>0.5</v>
      </c>
      <c r="I8829" s="11">
        <f t="shared" si="137"/>
        <v>0</v>
      </c>
      <c r="J8829" s="11">
        <f>1/(H8829*Utilities!$B$11)</f>
        <v>8</v>
      </c>
      <c r="K8829" s="11">
        <f>IF(B8829&lt;C8829,1,EXP(-1*(B8829-C8829)/(Utilities!$B$11*IterData!H8829)))</f>
        <v>1</v>
      </c>
    </row>
    <row r="8830" spans="8:11" x14ac:dyDescent="0.3">
      <c r="H8830">
        <v>0.5</v>
      </c>
      <c r="I8830" s="11">
        <f t="shared" si="137"/>
        <v>0</v>
      </c>
      <c r="J8830" s="11">
        <f>1/(H8830*Utilities!$B$11)</f>
        <v>8</v>
      </c>
      <c r="K8830" s="11">
        <f>IF(B8830&lt;C8830,1,EXP(-1*(B8830-C8830)/(Utilities!$B$11*IterData!H8830)))</f>
        <v>1</v>
      </c>
    </row>
    <row r="8831" spans="8:11" x14ac:dyDescent="0.3">
      <c r="H8831">
        <v>0.5</v>
      </c>
      <c r="I8831" s="11">
        <f t="shared" si="137"/>
        <v>0</v>
      </c>
      <c r="J8831" s="11">
        <f>1/(H8831*Utilities!$B$11)</f>
        <v>8</v>
      </c>
      <c r="K8831" s="11">
        <f>IF(B8831&lt;C8831,1,EXP(-1*(B8831-C8831)/(Utilities!$B$11*IterData!H8831)))</f>
        <v>1</v>
      </c>
    </row>
    <row r="8832" spans="8:11" x14ac:dyDescent="0.3">
      <c r="H8832">
        <v>0.5</v>
      </c>
      <c r="I8832" s="11">
        <f t="shared" si="137"/>
        <v>0</v>
      </c>
      <c r="J8832" s="11">
        <f>1/(H8832*Utilities!$B$11)</f>
        <v>8</v>
      </c>
      <c r="K8832" s="11">
        <f>IF(B8832&lt;C8832,1,EXP(-1*(B8832-C8832)/(Utilities!$B$11*IterData!H8832)))</f>
        <v>1</v>
      </c>
    </row>
    <row r="8833" spans="8:11" x14ac:dyDescent="0.3">
      <c r="H8833">
        <v>0.5</v>
      </c>
      <c r="I8833" s="11">
        <f t="shared" si="137"/>
        <v>0</v>
      </c>
      <c r="J8833" s="11">
        <f>1/(H8833*Utilities!$B$11)</f>
        <v>8</v>
      </c>
      <c r="K8833" s="11">
        <f>IF(B8833&lt;C8833,1,EXP(-1*(B8833-C8833)/(Utilities!$B$11*IterData!H8833)))</f>
        <v>1</v>
      </c>
    </row>
    <row r="8834" spans="8:11" x14ac:dyDescent="0.3">
      <c r="H8834">
        <v>0.5</v>
      </c>
      <c r="I8834" s="11">
        <f t="shared" si="137"/>
        <v>0</v>
      </c>
      <c r="J8834" s="11">
        <f>1/(H8834*Utilities!$B$11)</f>
        <v>8</v>
      </c>
      <c r="K8834" s="11">
        <f>IF(B8834&lt;C8834,1,EXP(-1*(B8834-C8834)/(Utilities!$B$11*IterData!H8834)))</f>
        <v>1</v>
      </c>
    </row>
    <row r="8835" spans="8:11" x14ac:dyDescent="0.3">
      <c r="H8835">
        <v>0.5</v>
      </c>
      <c r="I8835" s="11">
        <f t="shared" ref="I8835:I8898" si="138">B8835-C8835</f>
        <v>0</v>
      </c>
      <c r="J8835" s="11">
        <f>1/(H8835*Utilities!$B$11)</f>
        <v>8</v>
      </c>
      <c r="K8835" s="11">
        <f>IF(B8835&lt;C8835,1,EXP(-1*(B8835-C8835)/(Utilities!$B$11*IterData!H8835)))</f>
        <v>1</v>
      </c>
    </row>
    <row r="8836" spans="8:11" x14ac:dyDescent="0.3">
      <c r="H8836">
        <v>0.5</v>
      </c>
      <c r="I8836" s="11">
        <f t="shared" si="138"/>
        <v>0</v>
      </c>
      <c r="J8836" s="11">
        <f>1/(H8836*Utilities!$B$11)</f>
        <v>8</v>
      </c>
      <c r="K8836" s="11">
        <f>IF(B8836&lt;C8836,1,EXP(-1*(B8836-C8836)/(Utilities!$B$11*IterData!H8836)))</f>
        <v>1</v>
      </c>
    </row>
    <row r="8837" spans="8:11" x14ac:dyDescent="0.3">
      <c r="H8837">
        <v>0.5</v>
      </c>
      <c r="I8837" s="11">
        <f t="shared" si="138"/>
        <v>0</v>
      </c>
      <c r="J8837" s="11">
        <f>1/(H8837*Utilities!$B$11)</f>
        <v>8</v>
      </c>
      <c r="K8837" s="11">
        <f>IF(B8837&lt;C8837,1,EXP(-1*(B8837-C8837)/(Utilities!$B$11*IterData!H8837)))</f>
        <v>1</v>
      </c>
    </row>
    <row r="8838" spans="8:11" x14ac:dyDescent="0.3">
      <c r="H8838">
        <v>0.5</v>
      </c>
      <c r="I8838" s="11">
        <f t="shared" si="138"/>
        <v>0</v>
      </c>
      <c r="J8838" s="11">
        <f>1/(H8838*Utilities!$B$11)</f>
        <v>8</v>
      </c>
      <c r="K8838" s="11">
        <f>IF(B8838&lt;C8838,1,EXP(-1*(B8838-C8838)/(Utilities!$B$11*IterData!H8838)))</f>
        <v>1</v>
      </c>
    </row>
    <row r="8839" spans="8:11" x14ac:dyDescent="0.3">
      <c r="H8839">
        <v>0.5</v>
      </c>
      <c r="I8839" s="11">
        <f t="shared" si="138"/>
        <v>0</v>
      </c>
      <c r="J8839" s="11">
        <f>1/(H8839*Utilities!$B$11)</f>
        <v>8</v>
      </c>
      <c r="K8839" s="11">
        <f>IF(B8839&lt;C8839,1,EXP(-1*(B8839-C8839)/(Utilities!$B$11*IterData!H8839)))</f>
        <v>1</v>
      </c>
    </row>
    <row r="8840" spans="8:11" x14ac:dyDescent="0.3">
      <c r="H8840">
        <v>0.5</v>
      </c>
      <c r="I8840" s="11">
        <f t="shared" si="138"/>
        <v>0</v>
      </c>
      <c r="J8840" s="11">
        <f>1/(H8840*Utilities!$B$11)</f>
        <v>8</v>
      </c>
      <c r="K8840" s="11">
        <f>IF(B8840&lt;C8840,1,EXP(-1*(B8840-C8840)/(Utilities!$B$11*IterData!H8840)))</f>
        <v>1</v>
      </c>
    </row>
    <row r="8841" spans="8:11" x14ac:dyDescent="0.3">
      <c r="H8841">
        <v>0.5</v>
      </c>
      <c r="I8841" s="11">
        <f t="shared" si="138"/>
        <v>0</v>
      </c>
      <c r="J8841" s="11">
        <f>1/(H8841*Utilities!$B$11)</f>
        <v>8</v>
      </c>
      <c r="K8841" s="11">
        <f>IF(B8841&lt;C8841,1,EXP(-1*(B8841-C8841)/(Utilities!$B$11*IterData!H8841)))</f>
        <v>1</v>
      </c>
    </row>
    <row r="8842" spans="8:11" x14ac:dyDescent="0.3">
      <c r="H8842">
        <v>0.5</v>
      </c>
      <c r="I8842" s="11">
        <f t="shared" si="138"/>
        <v>0</v>
      </c>
      <c r="J8842" s="11">
        <f>1/(H8842*Utilities!$B$11)</f>
        <v>8</v>
      </c>
      <c r="K8842" s="11">
        <f>IF(B8842&lt;C8842,1,EXP(-1*(B8842-C8842)/(Utilities!$B$11*IterData!H8842)))</f>
        <v>1</v>
      </c>
    </row>
    <row r="8843" spans="8:11" x14ac:dyDescent="0.3">
      <c r="H8843">
        <v>0.5</v>
      </c>
      <c r="I8843" s="11">
        <f t="shared" si="138"/>
        <v>0</v>
      </c>
      <c r="J8843" s="11">
        <f>1/(H8843*Utilities!$B$11)</f>
        <v>8</v>
      </c>
      <c r="K8843" s="11">
        <f>IF(B8843&lt;C8843,1,EXP(-1*(B8843-C8843)/(Utilities!$B$11*IterData!H8843)))</f>
        <v>1</v>
      </c>
    </row>
    <row r="8844" spans="8:11" x14ac:dyDescent="0.3">
      <c r="H8844">
        <v>0.5</v>
      </c>
      <c r="I8844" s="11">
        <f t="shared" si="138"/>
        <v>0</v>
      </c>
      <c r="J8844" s="11">
        <f>1/(H8844*Utilities!$B$11)</f>
        <v>8</v>
      </c>
      <c r="K8844" s="11">
        <f>IF(B8844&lt;C8844,1,EXP(-1*(B8844-C8844)/(Utilities!$B$11*IterData!H8844)))</f>
        <v>1</v>
      </c>
    </row>
    <row r="8845" spans="8:11" x14ac:dyDescent="0.3">
      <c r="H8845">
        <v>0.5</v>
      </c>
      <c r="I8845" s="11">
        <f t="shared" si="138"/>
        <v>0</v>
      </c>
      <c r="J8845" s="11">
        <f>1/(H8845*Utilities!$B$11)</f>
        <v>8</v>
      </c>
      <c r="K8845" s="11">
        <f>IF(B8845&lt;C8845,1,EXP(-1*(B8845-C8845)/(Utilities!$B$11*IterData!H8845)))</f>
        <v>1</v>
      </c>
    </row>
    <row r="8846" spans="8:11" x14ac:dyDescent="0.3">
      <c r="H8846">
        <v>0.5</v>
      </c>
      <c r="I8846" s="11">
        <f t="shared" si="138"/>
        <v>0</v>
      </c>
      <c r="J8846" s="11">
        <f>1/(H8846*Utilities!$B$11)</f>
        <v>8</v>
      </c>
      <c r="K8846" s="11">
        <f>IF(B8846&lt;C8846,1,EXP(-1*(B8846-C8846)/(Utilities!$B$11*IterData!H8846)))</f>
        <v>1</v>
      </c>
    </row>
    <row r="8847" spans="8:11" x14ac:dyDescent="0.3">
      <c r="H8847">
        <v>0.5</v>
      </c>
      <c r="I8847" s="11">
        <f t="shared" si="138"/>
        <v>0</v>
      </c>
      <c r="J8847" s="11">
        <f>1/(H8847*Utilities!$B$11)</f>
        <v>8</v>
      </c>
      <c r="K8847" s="11">
        <f>IF(B8847&lt;C8847,1,EXP(-1*(B8847-C8847)/(Utilities!$B$11*IterData!H8847)))</f>
        <v>1</v>
      </c>
    </row>
    <row r="8848" spans="8:11" x14ac:dyDescent="0.3">
      <c r="H8848">
        <v>0.5</v>
      </c>
      <c r="I8848" s="11">
        <f t="shared" si="138"/>
        <v>0</v>
      </c>
      <c r="J8848" s="11">
        <f>1/(H8848*Utilities!$B$11)</f>
        <v>8</v>
      </c>
      <c r="K8848" s="11">
        <f>IF(B8848&lt;C8848,1,EXP(-1*(B8848-C8848)/(Utilities!$B$11*IterData!H8848)))</f>
        <v>1</v>
      </c>
    </row>
    <row r="8849" spans="8:11" x14ac:dyDescent="0.3">
      <c r="H8849">
        <v>0.5</v>
      </c>
      <c r="I8849" s="11">
        <f t="shared" si="138"/>
        <v>0</v>
      </c>
      <c r="J8849" s="11">
        <f>1/(H8849*Utilities!$B$11)</f>
        <v>8</v>
      </c>
      <c r="K8849" s="11">
        <f>IF(B8849&lt;C8849,1,EXP(-1*(B8849-C8849)/(Utilities!$B$11*IterData!H8849)))</f>
        <v>1</v>
      </c>
    </row>
    <row r="8850" spans="8:11" x14ac:dyDescent="0.3">
      <c r="H8850">
        <v>0.5</v>
      </c>
      <c r="I8850" s="11">
        <f t="shared" si="138"/>
        <v>0</v>
      </c>
      <c r="J8850" s="11">
        <f>1/(H8850*Utilities!$B$11)</f>
        <v>8</v>
      </c>
      <c r="K8850" s="11">
        <f>IF(B8850&lt;C8850,1,EXP(-1*(B8850-C8850)/(Utilities!$B$11*IterData!H8850)))</f>
        <v>1</v>
      </c>
    </row>
    <row r="8851" spans="8:11" x14ac:dyDescent="0.3">
      <c r="H8851">
        <v>0.5</v>
      </c>
      <c r="I8851" s="11">
        <f t="shared" si="138"/>
        <v>0</v>
      </c>
      <c r="J8851" s="11">
        <f>1/(H8851*Utilities!$B$11)</f>
        <v>8</v>
      </c>
      <c r="K8851" s="11">
        <f>IF(B8851&lt;C8851,1,EXP(-1*(B8851-C8851)/(Utilities!$B$11*IterData!H8851)))</f>
        <v>1</v>
      </c>
    </row>
    <row r="8852" spans="8:11" x14ac:dyDescent="0.3">
      <c r="H8852">
        <v>0.5</v>
      </c>
      <c r="I8852" s="11">
        <f t="shared" si="138"/>
        <v>0</v>
      </c>
      <c r="J8852" s="11">
        <f>1/(H8852*Utilities!$B$11)</f>
        <v>8</v>
      </c>
      <c r="K8852" s="11">
        <f>IF(B8852&lt;C8852,1,EXP(-1*(B8852-C8852)/(Utilities!$B$11*IterData!H8852)))</f>
        <v>1</v>
      </c>
    </row>
    <row r="8853" spans="8:11" x14ac:dyDescent="0.3">
      <c r="H8853">
        <v>0.5</v>
      </c>
      <c r="I8853" s="11">
        <f t="shared" si="138"/>
        <v>0</v>
      </c>
      <c r="J8853" s="11">
        <f>1/(H8853*Utilities!$B$11)</f>
        <v>8</v>
      </c>
      <c r="K8853" s="11">
        <f>IF(B8853&lt;C8853,1,EXP(-1*(B8853-C8853)/(Utilities!$B$11*IterData!H8853)))</f>
        <v>1</v>
      </c>
    </row>
    <row r="8854" spans="8:11" x14ac:dyDescent="0.3">
      <c r="H8854">
        <v>0.5</v>
      </c>
      <c r="I8854" s="11">
        <f t="shared" si="138"/>
        <v>0</v>
      </c>
      <c r="J8854" s="11">
        <f>1/(H8854*Utilities!$B$11)</f>
        <v>8</v>
      </c>
      <c r="K8854" s="11">
        <f>IF(B8854&lt;C8854,1,EXP(-1*(B8854-C8854)/(Utilities!$B$11*IterData!H8854)))</f>
        <v>1</v>
      </c>
    </row>
    <row r="8855" spans="8:11" x14ac:dyDescent="0.3">
      <c r="H8855">
        <v>0.5</v>
      </c>
      <c r="I8855" s="11">
        <f t="shared" si="138"/>
        <v>0</v>
      </c>
      <c r="J8855" s="11">
        <f>1/(H8855*Utilities!$B$11)</f>
        <v>8</v>
      </c>
      <c r="K8855" s="11">
        <f>IF(B8855&lt;C8855,1,EXP(-1*(B8855-C8855)/(Utilities!$B$11*IterData!H8855)))</f>
        <v>1</v>
      </c>
    </row>
    <row r="8856" spans="8:11" x14ac:dyDescent="0.3">
      <c r="H8856">
        <v>0.5</v>
      </c>
      <c r="I8856" s="11">
        <f t="shared" si="138"/>
        <v>0</v>
      </c>
      <c r="J8856" s="11">
        <f>1/(H8856*Utilities!$B$11)</f>
        <v>8</v>
      </c>
      <c r="K8856" s="11">
        <f>IF(B8856&lt;C8856,1,EXP(-1*(B8856-C8856)/(Utilities!$B$11*IterData!H8856)))</f>
        <v>1</v>
      </c>
    </row>
    <row r="8857" spans="8:11" x14ac:dyDescent="0.3">
      <c r="H8857">
        <v>0.5</v>
      </c>
      <c r="I8857" s="11">
        <f t="shared" si="138"/>
        <v>0</v>
      </c>
      <c r="J8857" s="11">
        <f>1/(H8857*Utilities!$B$11)</f>
        <v>8</v>
      </c>
      <c r="K8857" s="11">
        <f>IF(B8857&lt;C8857,1,EXP(-1*(B8857-C8857)/(Utilities!$B$11*IterData!H8857)))</f>
        <v>1</v>
      </c>
    </row>
    <row r="8858" spans="8:11" x14ac:dyDescent="0.3">
      <c r="H8858">
        <v>0.5</v>
      </c>
      <c r="I8858" s="11">
        <f t="shared" si="138"/>
        <v>0</v>
      </c>
      <c r="J8858" s="11">
        <f>1/(H8858*Utilities!$B$11)</f>
        <v>8</v>
      </c>
      <c r="K8858" s="11">
        <f>IF(B8858&lt;C8858,1,EXP(-1*(B8858-C8858)/(Utilities!$B$11*IterData!H8858)))</f>
        <v>1</v>
      </c>
    </row>
    <row r="8859" spans="8:11" x14ac:dyDescent="0.3">
      <c r="H8859">
        <v>0.5</v>
      </c>
      <c r="I8859" s="11">
        <f t="shared" si="138"/>
        <v>0</v>
      </c>
      <c r="J8859" s="11">
        <f>1/(H8859*Utilities!$B$11)</f>
        <v>8</v>
      </c>
      <c r="K8859" s="11">
        <f>IF(B8859&lt;C8859,1,EXP(-1*(B8859-C8859)/(Utilities!$B$11*IterData!H8859)))</f>
        <v>1</v>
      </c>
    </row>
    <row r="8860" spans="8:11" x14ac:dyDescent="0.3">
      <c r="H8860">
        <v>0.5</v>
      </c>
      <c r="I8860" s="11">
        <f t="shared" si="138"/>
        <v>0</v>
      </c>
      <c r="J8860" s="11">
        <f>1/(H8860*Utilities!$B$11)</f>
        <v>8</v>
      </c>
      <c r="K8860" s="11">
        <f>IF(B8860&lt;C8860,1,EXP(-1*(B8860-C8860)/(Utilities!$B$11*IterData!H8860)))</f>
        <v>1</v>
      </c>
    </row>
    <row r="8861" spans="8:11" x14ac:dyDescent="0.3">
      <c r="H8861">
        <v>0.5</v>
      </c>
      <c r="I8861" s="11">
        <f t="shared" si="138"/>
        <v>0</v>
      </c>
      <c r="J8861" s="11">
        <f>1/(H8861*Utilities!$B$11)</f>
        <v>8</v>
      </c>
      <c r="K8861" s="11">
        <f>IF(B8861&lt;C8861,1,EXP(-1*(B8861-C8861)/(Utilities!$B$11*IterData!H8861)))</f>
        <v>1</v>
      </c>
    </row>
    <row r="8862" spans="8:11" x14ac:dyDescent="0.3">
      <c r="H8862">
        <v>0.5</v>
      </c>
      <c r="I8862" s="11">
        <f t="shared" si="138"/>
        <v>0</v>
      </c>
      <c r="J8862" s="11">
        <f>1/(H8862*Utilities!$B$11)</f>
        <v>8</v>
      </c>
      <c r="K8862" s="11">
        <f>IF(B8862&lt;C8862,1,EXP(-1*(B8862-C8862)/(Utilities!$B$11*IterData!H8862)))</f>
        <v>1</v>
      </c>
    </row>
    <row r="8863" spans="8:11" x14ac:dyDescent="0.3">
      <c r="H8863">
        <v>0.5</v>
      </c>
      <c r="I8863" s="11">
        <f t="shared" si="138"/>
        <v>0</v>
      </c>
      <c r="J8863" s="11">
        <f>1/(H8863*Utilities!$B$11)</f>
        <v>8</v>
      </c>
      <c r="K8863" s="11">
        <f>IF(B8863&lt;C8863,1,EXP(-1*(B8863-C8863)/(Utilities!$B$11*IterData!H8863)))</f>
        <v>1</v>
      </c>
    </row>
    <row r="8864" spans="8:11" x14ac:dyDescent="0.3">
      <c r="H8864">
        <v>0.5</v>
      </c>
      <c r="I8864" s="11">
        <f t="shared" si="138"/>
        <v>0</v>
      </c>
      <c r="J8864" s="11">
        <f>1/(H8864*Utilities!$B$11)</f>
        <v>8</v>
      </c>
      <c r="K8864" s="11">
        <f>IF(B8864&lt;C8864,1,EXP(-1*(B8864-C8864)/(Utilities!$B$11*IterData!H8864)))</f>
        <v>1</v>
      </c>
    </row>
    <row r="8865" spans="8:11" x14ac:dyDescent="0.3">
      <c r="H8865">
        <v>0.5</v>
      </c>
      <c r="I8865" s="11">
        <f t="shared" si="138"/>
        <v>0</v>
      </c>
      <c r="J8865" s="11">
        <f>1/(H8865*Utilities!$B$11)</f>
        <v>8</v>
      </c>
      <c r="K8865" s="11">
        <f>IF(B8865&lt;C8865,1,EXP(-1*(B8865-C8865)/(Utilities!$B$11*IterData!H8865)))</f>
        <v>1</v>
      </c>
    </row>
    <row r="8866" spans="8:11" x14ac:dyDescent="0.3">
      <c r="H8866">
        <v>0.5</v>
      </c>
      <c r="I8866" s="11">
        <f t="shared" si="138"/>
        <v>0</v>
      </c>
      <c r="J8866" s="11">
        <f>1/(H8866*Utilities!$B$11)</f>
        <v>8</v>
      </c>
      <c r="K8866" s="11">
        <f>IF(B8866&lt;C8866,1,EXP(-1*(B8866-C8866)/(Utilities!$B$11*IterData!H8866)))</f>
        <v>1</v>
      </c>
    </row>
    <row r="8867" spans="8:11" x14ac:dyDescent="0.3">
      <c r="H8867">
        <v>0.5</v>
      </c>
      <c r="I8867" s="11">
        <f t="shared" si="138"/>
        <v>0</v>
      </c>
      <c r="J8867" s="11">
        <f>1/(H8867*Utilities!$B$11)</f>
        <v>8</v>
      </c>
      <c r="K8867" s="11">
        <f>IF(B8867&lt;C8867,1,EXP(-1*(B8867-C8867)/(Utilities!$B$11*IterData!H8867)))</f>
        <v>1</v>
      </c>
    </row>
    <row r="8868" spans="8:11" x14ac:dyDescent="0.3">
      <c r="H8868">
        <v>0.5</v>
      </c>
      <c r="I8868" s="11">
        <f t="shared" si="138"/>
        <v>0</v>
      </c>
      <c r="J8868" s="11">
        <f>1/(H8868*Utilities!$B$11)</f>
        <v>8</v>
      </c>
      <c r="K8868" s="11">
        <f>IF(B8868&lt;C8868,1,EXP(-1*(B8868-C8868)/(Utilities!$B$11*IterData!H8868)))</f>
        <v>1</v>
      </c>
    </row>
    <row r="8869" spans="8:11" x14ac:dyDescent="0.3">
      <c r="H8869">
        <v>0.5</v>
      </c>
      <c r="I8869" s="11">
        <f t="shared" si="138"/>
        <v>0</v>
      </c>
      <c r="J8869" s="11">
        <f>1/(H8869*Utilities!$B$11)</f>
        <v>8</v>
      </c>
      <c r="K8869" s="11">
        <f>IF(B8869&lt;C8869,1,EXP(-1*(B8869-C8869)/(Utilities!$B$11*IterData!H8869)))</f>
        <v>1</v>
      </c>
    </row>
    <row r="8870" spans="8:11" x14ac:dyDescent="0.3">
      <c r="H8870">
        <v>0.5</v>
      </c>
      <c r="I8870" s="11">
        <f t="shared" si="138"/>
        <v>0</v>
      </c>
      <c r="J8870" s="11">
        <f>1/(H8870*Utilities!$B$11)</f>
        <v>8</v>
      </c>
      <c r="K8870" s="11">
        <f>IF(B8870&lt;C8870,1,EXP(-1*(B8870-C8870)/(Utilities!$B$11*IterData!H8870)))</f>
        <v>1</v>
      </c>
    </row>
    <row r="8871" spans="8:11" x14ac:dyDescent="0.3">
      <c r="H8871">
        <v>0.5</v>
      </c>
      <c r="I8871" s="11">
        <f t="shared" si="138"/>
        <v>0</v>
      </c>
      <c r="J8871" s="11">
        <f>1/(H8871*Utilities!$B$11)</f>
        <v>8</v>
      </c>
      <c r="K8871" s="11">
        <f>IF(B8871&lt;C8871,1,EXP(-1*(B8871-C8871)/(Utilities!$B$11*IterData!H8871)))</f>
        <v>1</v>
      </c>
    </row>
    <row r="8872" spans="8:11" x14ac:dyDescent="0.3">
      <c r="H8872">
        <v>0.5</v>
      </c>
      <c r="I8872" s="11">
        <f t="shared" si="138"/>
        <v>0</v>
      </c>
      <c r="J8872" s="11">
        <f>1/(H8872*Utilities!$B$11)</f>
        <v>8</v>
      </c>
      <c r="K8872" s="11">
        <f>IF(B8872&lt;C8872,1,EXP(-1*(B8872-C8872)/(Utilities!$B$11*IterData!H8872)))</f>
        <v>1</v>
      </c>
    </row>
    <row r="8873" spans="8:11" x14ac:dyDescent="0.3">
      <c r="H8873">
        <v>0.5</v>
      </c>
      <c r="I8873" s="11">
        <f t="shared" si="138"/>
        <v>0</v>
      </c>
      <c r="J8873" s="11">
        <f>1/(H8873*Utilities!$B$11)</f>
        <v>8</v>
      </c>
      <c r="K8873" s="11">
        <f>IF(B8873&lt;C8873,1,EXP(-1*(B8873-C8873)/(Utilities!$B$11*IterData!H8873)))</f>
        <v>1</v>
      </c>
    </row>
    <row r="8874" spans="8:11" x14ac:dyDescent="0.3">
      <c r="H8874">
        <v>0.5</v>
      </c>
      <c r="I8874" s="11">
        <f t="shared" si="138"/>
        <v>0</v>
      </c>
      <c r="J8874" s="11">
        <f>1/(H8874*Utilities!$B$11)</f>
        <v>8</v>
      </c>
      <c r="K8874" s="11">
        <f>IF(B8874&lt;C8874,1,EXP(-1*(B8874-C8874)/(Utilities!$B$11*IterData!H8874)))</f>
        <v>1</v>
      </c>
    </row>
    <row r="8875" spans="8:11" x14ac:dyDescent="0.3">
      <c r="H8875">
        <v>0.5</v>
      </c>
      <c r="I8875" s="11">
        <f t="shared" si="138"/>
        <v>0</v>
      </c>
      <c r="J8875" s="11">
        <f>1/(H8875*Utilities!$B$11)</f>
        <v>8</v>
      </c>
      <c r="K8875" s="11">
        <f>IF(B8875&lt;C8875,1,EXP(-1*(B8875-C8875)/(Utilities!$B$11*IterData!H8875)))</f>
        <v>1</v>
      </c>
    </row>
    <row r="8876" spans="8:11" x14ac:dyDescent="0.3">
      <c r="H8876">
        <v>0.5</v>
      </c>
      <c r="I8876" s="11">
        <f t="shared" si="138"/>
        <v>0</v>
      </c>
      <c r="J8876" s="11">
        <f>1/(H8876*Utilities!$B$11)</f>
        <v>8</v>
      </c>
      <c r="K8876" s="11">
        <f>IF(B8876&lt;C8876,1,EXP(-1*(B8876-C8876)/(Utilities!$B$11*IterData!H8876)))</f>
        <v>1</v>
      </c>
    </row>
    <row r="8877" spans="8:11" x14ac:dyDescent="0.3">
      <c r="H8877">
        <v>0.5</v>
      </c>
      <c r="I8877" s="11">
        <f t="shared" si="138"/>
        <v>0</v>
      </c>
      <c r="J8877" s="11">
        <f>1/(H8877*Utilities!$B$11)</f>
        <v>8</v>
      </c>
      <c r="K8877" s="11">
        <f>IF(B8877&lt;C8877,1,EXP(-1*(B8877-C8877)/(Utilities!$B$11*IterData!H8877)))</f>
        <v>1</v>
      </c>
    </row>
    <row r="8878" spans="8:11" x14ac:dyDescent="0.3">
      <c r="H8878">
        <v>0.5</v>
      </c>
      <c r="I8878" s="11">
        <f t="shared" si="138"/>
        <v>0</v>
      </c>
      <c r="J8878" s="11">
        <f>1/(H8878*Utilities!$B$11)</f>
        <v>8</v>
      </c>
      <c r="K8878" s="11">
        <f>IF(B8878&lt;C8878,1,EXP(-1*(B8878-C8878)/(Utilities!$B$11*IterData!H8878)))</f>
        <v>1</v>
      </c>
    </row>
    <row r="8879" spans="8:11" x14ac:dyDescent="0.3">
      <c r="H8879">
        <v>0.5</v>
      </c>
      <c r="I8879" s="11">
        <f t="shared" si="138"/>
        <v>0</v>
      </c>
      <c r="J8879" s="11">
        <f>1/(H8879*Utilities!$B$11)</f>
        <v>8</v>
      </c>
      <c r="K8879" s="11">
        <f>IF(B8879&lt;C8879,1,EXP(-1*(B8879-C8879)/(Utilities!$B$11*IterData!H8879)))</f>
        <v>1</v>
      </c>
    </row>
    <row r="8880" spans="8:11" x14ac:dyDescent="0.3">
      <c r="H8880">
        <v>0.5</v>
      </c>
      <c r="I8880" s="11">
        <f t="shared" si="138"/>
        <v>0</v>
      </c>
      <c r="J8880" s="11">
        <f>1/(H8880*Utilities!$B$11)</f>
        <v>8</v>
      </c>
      <c r="K8880" s="11">
        <f>IF(B8880&lt;C8880,1,EXP(-1*(B8880-C8880)/(Utilities!$B$11*IterData!H8880)))</f>
        <v>1</v>
      </c>
    </row>
    <row r="8881" spans="8:11" x14ac:dyDescent="0.3">
      <c r="H8881">
        <v>0.5</v>
      </c>
      <c r="I8881" s="11">
        <f t="shared" si="138"/>
        <v>0</v>
      </c>
      <c r="J8881" s="11">
        <f>1/(H8881*Utilities!$B$11)</f>
        <v>8</v>
      </c>
      <c r="K8881" s="11">
        <f>IF(B8881&lt;C8881,1,EXP(-1*(B8881-C8881)/(Utilities!$B$11*IterData!H8881)))</f>
        <v>1</v>
      </c>
    </row>
    <row r="8882" spans="8:11" x14ac:dyDescent="0.3">
      <c r="H8882">
        <v>0.5</v>
      </c>
      <c r="I8882" s="11">
        <f t="shared" si="138"/>
        <v>0</v>
      </c>
      <c r="J8882" s="11">
        <f>1/(H8882*Utilities!$B$11)</f>
        <v>8</v>
      </c>
      <c r="K8882" s="11">
        <f>IF(B8882&lt;C8882,1,EXP(-1*(B8882-C8882)/(Utilities!$B$11*IterData!H8882)))</f>
        <v>1</v>
      </c>
    </row>
    <row r="8883" spans="8:11" x14ac:dyDescent="0.3">
      <c r="H8883">
        <v>0.5</v>
      </c>
      <c r="I8883" s="11">
        <f t="shared" si="138"/>
        <v>0</v>
      </c>
      <c r="J8883" s="11">
        <f>1/(H8883*Utilities!$B$11)</f>
        <v>8</v>
      </c>
      <c r="K8883" s="11">
        <f>IF(B8883&lt;C8883,1,EXP(-1*(B8883-C8883)/(Utilities!$B$11*IterData!H8883)))</f>
        <v>1</v>
      </c>
    </row>
    <row r="8884" spans="8:11" x14ac:dyDescent="0.3">
      <c r="H8884">
        <v>0.5</v>
      </c>
      <c r="I8884" s="11">
        <f t="shared" si="138"/>
        <v>0</v>
      </c>
      <c r="J8884" s="11">
        <f>1/(H8884*Utilities!$B$11)</f>
        <v>8</v>
      </c>
      <c r="K8884" s="11">
        <f>IF(B8884&lt;C8884,1,EXP(-1*(B8884-C8884)/(Utilities!$B$11*IterData!H8884)))</f>
        <v>1</v>
      </c>
    </row>
    <row r="8885" spans="8:11" x14ac:dyDescent="0.3">
      <c r="H8885">
        <v>0.5</v>
      </c>
      <c r="I8885" s="11">
        <f t="shared" si="138"/>
        <v>0</v>
      </c>
      <c r="J8885" s="11">
        <f>1/(H8885*Utilities!$B$11)</f>
        <v>8</v>
      </c>
      <c r="K8885" s="11">
        <f>IF(B8885&lt;C8885,1,EXP(-1*(B8885-C8885)/(Utilities!$B$11*IterData!H8885)))</f>
        <v>1</v>
      </c>
    </row>
    <row r="8886" spans="8:11" x14ac:dyDescent="0.3">
      <c r="H8886">
        <v>0.5</v>
      </c>
      <c r="I8886" s="11">
        <f t="shared" si="138"/>
        <v>0</v>
      </c>
      <c r="J8886" s="11">
        <f>1/(H8886*Utilities!$B$11)</f>
        <v>8</v>
      </c>
      <c r="K8886" s="11">
        <f>IF(B8886&lt;C8886,1,EXP(-1*(B8886-C8886)/(Utilities!$B$11*IterData!H8886)))</f>
        <v>1</v>
      </c>
    </row>
    <row r="8887" spans="8:11" x14ac:dyDescent="0.3">
      <c r="H8887">
        <v>0.5</v>
      </c>
      <c r="I8887" s="11">
        <f t="shared" si="138"/>
        <v>0</v>
      </c>
      <c r="J8887" s="11">
        <f>1/(H8887*Utilities!$B$11)</f>
        <v>8</v>
      </c>
      <c r="K8887" s="11">
        <f>IF(B8887&lt;C8887,1,EXP(-1*(B8887-C8887)/(Utilities!$B$11*IterData!H8887)))</f>
        <v>1</v>
      </c>
    </row>
    <row r="8888" spans="8:11" x14ac:dyDescent="0.3">
      <c r="H8888">
        <v>0.5</v>
      </c>
      <c r="I8888" s="11">
        <f t="shared" si="138"/>
        <v>0</v>
      </c>
      <c r="J8888" s="11">
        <f>1/(H8888*Utilities!$B$11)</f>
        <v>8</v>
      </c>
      <c r="K8888" s="11">
        <f>IF(B8888&lt;C8888,1,EXP(-1*(B8888-C8888)/(Utilities!$B$11*IterData!H8888)))</f>
        <v>1</v>
      </c>
    </row>
    <row r="8889" spans="8:11" x14ac:dyDescent="0.3">
      <c r="H8889">
        <v>0.5</v>
      </c>
      <c r="I8889" s="11">
        <f t="shared" si="138"/>
        <v>0</v>
      </c>
      <c r="J8889" s="11">
        <f>1/(H8889*Utilities!$B$11)</f>
        <v>8</v>
      </c>
      <c r="K8889" s="11">
        <f>IF(B8889&lt;C8889,1,EXP(-1*(B8889-C8889)/(Utilities!$B$11*IterData!H8889)))</f>
        <v>1</v>
      </c>
    </row>
    <row r="8890" spans="8:11" x14ac:dyDescent="0.3">
      <c r="H8890">
        <v>0.5</v>
      </c>
      <c r="I8890" s="11">
        <f t="shared" si="138"/>
        <v>0</v>
      </c>
      <c r="J8890" s="11">
        <f>1/(H8890*Utilities!$B$11)</f>
        <v>8</v>
      </c>
      <c r="K8890" s="11">
        <f>IF(B8890&lt;C8890,1,EXP(-1*(B8890-C8890)/(Utilities!$B$11*IterData!H8890)))</f>
        <v>1</v>
      </c>
    </row>
    <row r="8891" spans="8:11" x14ac:dyDescent="0.3">
      <c r="H8891">
        <v>0.5</v>
      </c>
      <c r="I8891" s="11">
        <f t="shared" si="138"/>
        <v>0</v>
      </c>
      <c r="J8891" s="11">
        <f>1/(H8891*Utilities!$B$11)</f>
        <v>8</v>
      </c>
      <c r="K8891" s="11">
        <f>IF(B8891&lt;C8891,1,EXP(-1*(B8891-C8891)/(Utilities!$B$11*IterData!H8891)))</f>
        <v>1</v>
      </c>
    </row>
    <row r="8892" spans="8:11" x14ac:dyDescent="0.3">
      <c r="H8892">
        <v>0.5</v>
      </c>
      <c r="I8892" s="11">
        <f t="shared" si="138"/>
        <v>0</v>
      </c>
      <c r="J8892" s="11">
        <f>1/(H8892*Utilities!$B$11)</f>
        <v>8</v>
      </c>
      <c r="K8892" s="11">
        <f>IF(B8892&lt;C8892,1,EXP(-1*(B8892-C8892)/(Utilities!$B$11*IterData!H8892)))</f>
        <v>1</v>
      </c>
    </row>
    <row r="8893" spans="8:11" x14ac:dyDescent="0.3">
      <c r="H8893">
        <v>0.5</v>
      </c>
      <c r="I8893" s="11">
        <f t="shared" si="138"/>
        <v>0</v>
      </c>
      <c r="J8893" s="11">
        <f>1/(H8893*Utilities!$B$11)</f>
        <v>8</v>
      </c>
      <c r="K8893" s="11">
        <f>IF(B8893&lt;C8893,1,EXP(-1*(B8893-C8893)/(Utilities!$B$11*IterData!H8893)))</f>
        <v>1</v>
      </c>
    </row>
    <row r="8894" spans="8:11" x14ac:dyDescent="0.3">
      <c r="H8894">
        <v>0.5</v>
      </c>
      <c r="I8894" s="11">
        <f t="shared" si="138"/>
        <v>0</v>
      </c>
      <c r="J8894" s="11">
        <f>1/(H8894*Utilities!$B$11)</f>
        <v>8</v>
      </c>
      <c r="K8894" s="11">
        <f>IF(B8894&lt;C8894,1,EXP(-1*(B8894-C8894)/(Utilities!$B$11*IterData!H8894)))</f>
        <v>1</v>
      </c>
    </row>
    <row r="8895" spans="8:11" x14ac:dyDescent="0.3">
      <c r="H8895">
        <v>0.5</v>
      </c>
      <c r="I8895" s="11">
        <f t="shared" si="138"/>
        <v>0</v>
      </c>
      <c r="J8895" s="11">
        <f>1/(H8895*Utilities!$B$11)</f>
        <v>8</v>
      </c>
      <c r="K8895" s="11">
        <f>IF(B8895&lt;C8895,1,EXP(-1*(B8895-C8895)/(Utilities!$B$11*IterData!H8895)))</f>
        <v>1</v>
      </c>
    </row>
    <row r="8896" spans="8:11" x14ac:dyDescent="0.3">
      <c r="H8896">
        <v>0.5</v>
      </c>
      <c r="I8896" s="11">
        <f t="shared" si="138"/>
        <v>0</v>
      </c>
      <c r="J8896" s="11">
        <f>1/(H8896*Utilities!$B$11)</f>
        <v>8</v>
      </c>
      <c r="K8896" s="11">
        <f>IF(B8896&lt;C8896,1,EXP(-1*(B8896-C8896)/(Utilities!$B$11*IterData!H8896)))</f>
        <v>1</v>
      </c>
    </row>
    <row r="8897" spans="8:11" x14ac:dyDescent="0.3">
      <c r="H8897">
        <v>0.5</v>
      </c>
      <c r="I8897" s="11">
        <f t="shared" si="138"/>
        <v>0</v>
      </c>
      <c r="J8897" s="11">
        <f>1/(H8897*Utilities!$B$11)</f>
        <v>8</v>
      </c>
      <c r="K8897" s="11">
        <f>IF(B8897&lt;C8897,1,EXP(-1*(B8897-C8897)/(Utilities!$B$11*IterData!H8897)))</f>
        <v>1</v>
      </c>
    </row>
    <row r="8898" spans="8:11" x14ac:dyDescent="0.3">
      <c r="H8898">
        <v>0.5</v>
      </c>
      <c r="I8898" s="11">
        <f t="shared" si="138"/>
        <v>0</v>
      </c>
      <c r="J8898" s="11">
        <f>1/(H8898*Utilities!$B$11)</f>
        <v>8</v>
      </c>
      <c r="K8898" s="11">
        <f>IF(B8898&lt;C8898,1,EXP(-1*(B8898-C8898)/(Utilities!$B$11*IterData!H8898)))</f>
        <v>1</v>
      </c>
    </row>
    <row r="8899" spans="8:11" x14ac:dyDescent="0.3">
      <c r="H8899">
        <v>0.5</v>
      </c>
      <c r="I8899" s="11">
        <f t="shared" ref="I8899:I8962" si="139">B8899-C8899</f>
        <v>0</v>
      </c>
      <c r="J8899" s="11">
        <f>1/(H8899*Utilities!$B$11)</f>
        <v>8</v>
      </c>
      <c r="K8899" s="11">
        <f>IF(B8899&lt;C8899,1,EXP(-1*(B8899-C8899)/(Utilities!$B$11*IterData!H8899)))</f>
        <v>1</v>
      </c>
    </row>
    <row r="8900" spans="8:11" x14ac:dyDescent="0.3">
      <c r="H8900">
        <v>0.5</v>
      </c>
      <c r="I8900" s="11">
        <f t="shared" si="139"/>
        <v>0</v>
      </c>
      <c r="J8900" s="11">
        <f>1/(H8900*Utilities!$B$11)</f>
        <v>8</v>
      </c>
      <c r="K8900" s="11">
        <f>IF(B8900&lt;C8900,1,EXP(-1*(B8900-C8900)/(Utilities!$B$11*IterData!H8900)))</f>
        <v>1</v>
      </c>
    </row>
    <row r="8901" spans="8:11" x14ac:dyDescent="0.3">
      <c r="H8901">
        <v>0.5</v>
      </c>
      <c r="I8901" s="11">
        <f t="shared" si="139"/>
        <v>0</v>
      </c>
      <c r="J8901" s="11">
        <f>1/(H8901*Utilities!$B$11)</f>
        <v>8</v>
      </c>
      <c r="K8901" s="11">
        <f>IF(B8901&lt;C8901,1,EXP(-1*(B8901-C8901)/(Utilities!$B$11*IterData!H8901)))</f>
        <v>1</v>
      </c>
    </row>
    <row r="8902" spans="8:11" x14ac:dyDescent="0.3">
      <c r="H8902">
        <v>0.5</v>
      </c>
      <c r="I8902" s="11">
        <f t="shared" si="139"/>
        <v>0</v>
      </c>
      <c r="J8902" s="11">
        <f>1/(H8902*Utilities!$B$11)</f>
        <v>8</v>
      </c>
      <c r="K8902" s="11">
        <f>IF(B8902&lt;C8902,1,EXP(-1*(B8902-C8902)/(Utilities!$B$11*IterData!H8902)))</f>
        <v>1</v>
      </c>
    </row>
    <row r="8903" spans="8:11" x14ac:dyDescent="0.3">
      <c r="H8903">
        <v>0.5</v>
      </c>
      <c r="I8903" s="11">
        <f t="shared" si="139"/>
        <v>0</v>
      </c>
      <c r="J8903" s="11">
        <f>1/(H8903*Utilities!$B$11)</f>
        <v>8</v>
      </c>
      <c r="K8903" s="11">
        <f>IF(B8903&lt;C8903,1,EXP(-1*(B8903-C8903)/(Utilities!$B$11*IterData!H8903)))</f>
        <v>1</v>
      </c>
    </row>
    <row r="8904" spans="8:11" x14ac:dyDescent="0.3">
      <c r="H8904">
        <v>0.5</v>
      </c>
      <c r="I8904" s="11">
        <f t="shared" si="139"/>
        <v>0</v>
      </c>
      <c r="J8904" s="11">
        <f>1/(H8904*Utilities!$B$11)</f>
        <v>8</v>
      </c>
      <c r="K8904" s="11">
        <f>IF(B8904&lt;C8904,1,EXP(-1*(B8904-C8904)/(Utilities!$B$11*IterData!H8904)))</f>
        <v>1</v>
      </c>
    </row>
    <row r="8905" spans="8:11" x14ac:dyDescent="0.3">
      <c r="H8905">
        <v>0.5</v>
      </c>
      <c r="I8905" s="11">
        <f t="shared" si="139"/>
        <v>0</v>
      </c>
      <c r="J8905" s="11">
        <f>1/(H8905*Utilities!$B$11)</f>
        <v>8</v>
      </c>
      <c r="K8905" s="11">
        <f>IF(B8905&lt;C8905,1,EXP(-1*(B8905-C8905)/(Utilities!$B$11*IterData!H8905)))</f>
        <v>1</v>
      </c>
    </row>
    <row r="8906" spans="8:11" x14ac:dyDescent="0.3">
      <c r="H8906">
        <v>0.5</v>
      </c>
      <c r="I8906" s="11">
        <f t="shared" si="139"/>
        <v>0</v>
      </c>
      <c r="J8906" s="11">
        <f>1/(H8906*Utilities!$B$11)</f>
        <v>8</v>
      </c>
      <c r="K8906" s="11">
        <f>IF(B8906&lt;C8906,1,EXP(-1*(B8906-C8906)/(Utilities!$B$11*IterData!H8906)))</f>
        <v>1</v>
      </c>
    </row>
    <row r="8907" spans="8:11" x14ac:dyDescent="0.3">
      <c r="H8907">
        <v>0.5</v>
      </c>
      <c r="I8907" s="11">
        <f t="shared" si="139"/>
        <v>0</v>
      </c>
      <c r="J8907" s="11">
        <f>1/(H8907*Utilities!$B$11)</f>
        <v>8</v>
      </c>
      <c r="K8907" s="11">
        <f>IF(B8907&lt;C8907,1,EXP(-1*(B8907-C8907)/(Utilities!$B$11*IterData!H8907)))</f>
        <v>1</v>
      </c>
    </row>
    <row r="8908" spans="8:11" x14ac:dyDescent="0.3">
      <c r="H8908">
        <v>0.5</v>
      </c>
      <c r="I8908" s="11">
        <f t="shared" si="139"/>
        <v>0</v>
      </c>
      <c r="J8908" s="11">
        <f>1/(H8908*Utilities!$B$11)</f>
        <v>8</v>
      </c>
      <c r="K8908" s="11">
        <f>IF(B8908&lt;C8908,1,EXP(-1*(B8908-C8908)/(Utilities!$B$11*IterData!H8908)))</f>
        <v>1</v>
      </c>
    </row>
    <row r="8909" spans="8:11" x14ac:dyDescent="0.3">
      <c r="H8909">
        <v>0.5</v>
      </c>
      <c r="I8909" s="11">
        <f t="shared" si="139"/>
        <v>0</v>
      </c>
      <c r="J8909" s="11">
        <f>1/(H8909*Utilities!$B$11)</f>
        <v>8</v>
      </c>
      <c r="K8909" s="11">
        <f>IF(B8909&lt;C8909,1,EXP(-1*(B8909-C8909)/(Utilities!$B$11*IterData!H8909)))</f>
        <v>1</v>
      </c>
    </row>
    <row r="8910" spans="8:11" x14ac:dyDescent="0.3">
      <c r="H8910">
        <v>0.5</v>
      </c>
      <c r="I8910" s="11">
        <f t="shared" si="139"/>
        <v>0</v>
      </c>
      <c r="J8910" s="11">
        <f>1/(H8910*Utilities!$B$11)</f>
        <v>8</v>
      </c>
      <c r="K8910" s="11">
        <f>IF(B8910&lt;C8910,1,EXP(-1*(B8910-C8910)/(Utilities!$B$11*IterData!H8910)))</f>
        <v>1</v>
      </c>
    </row>
    <row r="8911" spans="8:11" x14ac:dyDescent="0.3">
      <c r="H8911">
        <v>0.5</v>
      </c>
      <c r="I8911" s="11">
        <f t="shared" si="139"/>
        <v>0</v>
      </c>
      <c r="J8911" s="11">
        <f>1/(H8911*Utilities!$B$11)</f>
        <v>8</v>
      </c>
      <c r="K8911" s="11">
        <f>IF(B8911&lt;C8911,1,EXP(-1*(B8911-C8911)/(Utilities!$B$11*IterData!H8911)))</f>
        <v>1</v>
      </c>
    </row>
    <row r="8912" spans="8:11" x14ac:dyDescent="0.3">
      <c r="H8912">
        <v>0.5</v>
      </c>
      <c r="I8912" s="11">
        <f t="shared" si="139"/>
        <v>0</v>
      </c>
      <c r="J8912" s="11">
        <f>1/(H8912*Utilities!$B$11)</f>
        <v>8</v>
      </c>
      <c r="K8912" s="11">
        <f>IF(B8912&lt;C8912,1,EXP(-1*(B8912-C8912)/(Utilities!$B$11*IterData!H8912)))</f>
        <v>1</v>
      </c>
    </row>
    <row r="8913" spans="8:11" x14ac:dyDescent="0.3">
      <c r="H8913">
        <v>0.5</v>
      </c>
      <c r="I8913" s="11">
        <f t="shared" si="139"/>
        <v>0</v>
      </c>
      <c r="J8913" s="11">
        <f>1/(H8913*Utilities!$B$11)</f>
        <v>8</v>
      </c>
      <c r="K8913" s="11">
        <f>IF(B8913&lt;C8913,1,EXP(-1*(B8913-C8913)/(Utilities!$B$11*IterData!H8913)))</f>
        <v>1</v>
      </c>
    </row>
    <row r="8914" spans="8:11" x14ac:dyDescent="0.3">
      <c r="H8914">
        <v>0.5</v>
      </c>
      <c r="I8914" s="11">
        <f t="shared" si="139"/>
        <v>0</v>
      </c>
      <c r="J8914" s="11">
        <f>1/(H8914*Utilities!$B$11)</f>
        <v>8</v>
      </c>
      <c r="K8914" s="11">
        <f>IF(B8914&lt;C8914,1,EXP(-1*(B8914-C8914)/(Utilities!$B$11*IterData!H8914)))</f>
        <v>1</v>
      </c>
    </row>
    <row r="8915" spans="8:11" x14ac:dyDescent="0.3">
      <c r="H8915">
        <v>0.5</v>
      </c>
      <c r="I8915" s="11">
        <f t="shared" si="139"/>
        <v>0</v>
      </c>
      <c r="J8915" s="11">
        <f>1/(H8915*Utilities!$B$11)</f>
        <v>8</v>
      </c>
      <c r="K8915" s="11">
        <f>IF(B8915&lt;C8915,1,EXP(-1*(B8915-C8915)/(Utilities!$B$11*IterData!H8915)))</f>
        <v>1</v>
      </c>
    </row>
    <row r="8916" spans="8:11" x14ac:dyDescent="0.3">
      <c r="H8916">
        <v>0.5</v>
      </c>
      <c r="I8916" s="11">
        <f t="shared" si="139"/>
        <v>0</v>
      </c>
      <c r="J8916" s="11">
        <f>1/(H8916*Utilities!$B$11)</f>
        <v>8</v>
      </c>
      <c r="K8916" s="11">
        <f>IF(B8916&lt;C8916,1,EXP(-1*(B8916-C8916)/(Utilities!$B$11*IterData!H8916)))</f>
        <v>1</v>
      </c>
    </row>
    <row r="8917" spans="8:11" x14ac:dyDescent="0.3">
      <c r="H8917">
        <v>0.5</v>
      </c>
      <c r="I8917" s="11">
        <f t="shared" si="139"/>
        <v>0</v>
      </c>
      <c r="J8917" s="11">
        <f>1/(H8917*Utilities!$B$11)</f>
        <v>8</v>
      </c>
      <c r="K8917" s="11">
        <f>IF(B8917&lt;C8917,1,EXP(-1*(B8917-C8917)/(Utilities!$B$11*IterData!H8917)))</f>
        <v>1</v>
      </c>
    </row>
    <row r="8918" spans="8:11" x14ac:dyDescent="0.3">
      <c r="H8918">
        <v>0.5</v>
      </c>
      <c r="I8918" s="11">
        <f t="shared" si="139"/>
        <v>0</v>
      </c>
      <c r="J8918" s="11">
        <f>1/(H8918*Utilities!$B$11)</f>
        <v>8</v>
      </c>
      <c r="K8918" s="11">
        <f>IF(B8918&lt;C8918,1,EXP(-1*(B8918-C8918)/(Utilities!$B$11*IterData!H8918)))</f>
        <v>1</v>
      </c>
    </row>
    <row r="8919" spans="8:11" x14ac:dyDescent="0.3">
      <c r="H8919">
        <v>0.5</v>
      </c>
      <c r="I8919" s="11">
        <f t="shared" si="139"/>
        <v>0</v>
      </c>
      <c r="J8919" s="11">
        <f>1/(H8919*Utilities!$B$11)</f>
        <v>8</v>
      </c>
      <c r="K8919" s="11">
        <f>IF(B8919&lt;C8919,1,EXP(-1*(B8919-C8919)/(Utilities!$B$11*IterData!H8919)))</f>
        <v>1</v>
      </c>
    </row>
    <row r="8920" spans="8:11" x14ac:dyDescent="0.3">
      <c r="H8920">
        <v>0.5</v>
      </c>
      <c r="I8920" s="11">
        <f t="shared" si="139"/>
        <v>0</v>
      </c>
      <c r="J8920" s="11">
        <f>1/(H8920*Utilities!$B$11)</f>
        <v>8</v>
      </c>
      <c r="K8920" s="11">
        <f>IF(B8920&lt;C8920,1,EXP(-1*(B8920-C8920)/(Utilities!$B$11*IterData!H8920)))</f>
        <v>1</v>
      </c>
    </row>
    <row r="8921" spans="8:11" x14ac:dyDescent="0.3">
      <c r="H8921">
        <v>0.5</v>
      </c>
      <c r="I8921" s="11">
        <f t="shared" si="139"/>
        <v>0</v>
      </c>
      <c r="J8921" s="11">
        <f>1/(H8921*Utilities!$B$11)</f>
        <v>8</v>
      </c>
      <c r="K8921" s="11">
        <f>IF(B8921&lt;C8921,1,EXP(-1*(B8921-C8921)/(Utilities!$B$11*IterData!H8921)))</f>
        <v>1</v>
      </c>
    </row>
    <row r="8922" spans="8:11" x14ac:dyDescent="0.3">
      <c r="H8922">
        <v>0.5</v>
      </c>
      <c r="I8922" s="11">
        <f t="shared" si="139"/>
        <v>0</v>
      </c>
      <c r="J8922" s="11">
        <f>1/(H8922*Utilities!$B$11)</f>
        <v>8</v>
      </c>
      <c r="K8922" s="11">
        <f>IF(B8922&lt;C8922,1,EXP(-1*(B8922-C8922)/(Utilities!$B$11*IterData!H8922)))</f>
        <v>1</v>
      </c>
    </row>
    <row r="8923" spans="8:11" x14ac:dyDescent="0.3">
      <c r="H8923">
        <v>0.5</v>
      </c>
      <c r="I8923" s="11">
        <f t="shared" si="139"/>
        <v>0</v>
      </c>
      <c r="J8923" s="11">
        <f>1/(H8923*Utilities!$B$11)</f>
        <v>8</v>
      </c>
      <c r="K8923" s="11">
        <f>IF(B8923&lt;C8923,1,EXP(-1*(B8923-C8923)/(Utilities!$B$11*IterData!H8923)))</f>
        <v>1</v>
      </c>
    </row>
    <row r="8924" spans="8:11" x14ac:dyDescent="0.3">
      <c r="H8924">
        <v>0.5</v>
      </c>
      <c r="I8924" s="11">
        <f t="shared" si="139"/>
        <v>0</v>
      </c>
      <c r="J8924" s="11">
        <f>1/(H8924*Utilities!$B$11)</f>
        <v>8</v>
      </c>
      <c r="K8924" s="11">
        <f>IF(B8924&lt;C8924,1,EXP(-1*(B8924-C8924)/(Utilities!$B$11*IterData!H8924)))</f>
        <v>1</v>
      </c>
    </row>
    <row r="8925" spans="8:11" x14ac:dyDescent="0.3">
      <c r="H8925">
        <v>0.5</v>
      </c>
      <c r="I8925" s="11">
        <f t="shared" si="139"/>
        <v>0</v>
      </c>
      <c r="J8925" s="11">
        <f>1/(H8925*Utilities!$B$11)</f>
        <v>8</v>
      </c>
      <c r="K8925" s="11">
        <f>IF(B8925&lt;C8925,1,EXP(-1*(B8925-C8925)/(Utilities!$B$11*IterData!H8925)))</f>
        <v>1</v>
      </c>
    </row>
    <row r="8926" spans="8:11" x14ac:dyDescent="0.3">
      <c r="H8926">
        <v>0.5</v>
      </c>
      <c r="I8926" s="11">
        <f t="shared" si="139"/>
        <v>0</v>
      </c>
      <c r="J8926" s="11">
        <f>1/(H8926*Utilities!$B$11)</f>
        <v>8</v>
      </c>
      <c r="K8926" s="11">
        <f>IF(B8926&lt;C8926,1,EXP(-1*(B8926-C8926)/(Utilities!$B$11*IterData!H8926)))</f>
        <v>1</v>
      </c>
    </row>
    <row r="8927" spans="8:11" x14ac:dyDescent="0.3">
      <c r="H8927">
        <v>0.5</v>
      </c>
      <c r="I8927" s="11">
        <f t="shared" si="139"/>
        <v>0</v>
      </c>
      <c r="J8927" s="11">
        <f>1/(H8927*Utilities!$B$11)</f>
        <v>8</v>
      </c>
      <c r="K8927" s="11">
        <f>IF(B8927&lt;C8927,1,EXP(-1*(B8927-C8927)/(Utilities!$B$11*IterData!H8927)))</f>
        <v>1</v>
      </c>
    </row>
    <row r="8928" spans="8:11" x14ac:dyDescent="0.3">
      <c r="H8928">
        <v>0.5</v>
      </c>
      <c r="I8928" s="11">
        <f t="shared" si="139"/>
        <v>0</v>
      </c>
      <c r="J8928" s="11">
        <f>1/(H8928*Utilities!$B$11)</f>
        <v>8</v>
      </c>
      <c r="K8928" s="11">
        <f>IF(B8928&lt;C8928,1,EXP(-1*(B8928-C8928)/(Utilities!$B$11*IterData!H8928)))</f>
        <v>1</v>
      </c>
    </row>
    <row r="8929" spans="8:11" x14ac:dyDescent="0.3">
      <c r="H8929">
        <v>0.5</v>
      </c>
      <c r="I8929" s="11">
        <f t="shared" si="139"/>
        <v>0</v>
      </c>
      <c r="J8929" s="11">
        <f>1/(H8929*Utilities!$B$11)</f>
        <v>8</v>
      </c>
      <c r="K8929" s="11">
        <f>IF(B8929&lt;C8929,1,EXP(-1*(B8929-C8929)/(Utilities!$B$11*IterData!H8929)))</f>
        <v>1</v>
      </c>
    </row>
    <row r="8930" spans="8:11" x14ac:dyDescent="0.3">
      <c r="H8930">
        <v>0.5</v>
      </c>
      <c r="I8930" s="11">
        <f t="shared" si="139"/>
        <v>0</v>
      </c>
      <c r="J8930" s="11">
        <f>1/(H8930*Utilities!$B$11)</f>
        <v>8</v>
      </c>
      <c r="K8930" s="11">
        <f>IF(B8930&lt;C8930,1,EXP(-1*(B8930-C8930)/(Utilities!$B$11*IterData!H8930)))</f>
        <v>1</v>
      </c>
    </row>
    <row r="8931" spans="8:11" x14ac:dyDescent="0.3">
      <c r="H8931">
        <v>0.5</v>
      </c>
      <c r="I8931" s="11">
        <f t="shared" si="139"/>
        <v>0</v>
      </c>
      <c r="J8931" s="11">
        <f>1/(H8931*Utilities!$B$11)</f>
        <v>8</v>
      </c>
      <c r="K8931" s="11">
        <f>IF(B8931&lt;C8931,1,EXP(-1*(B8931-C8931)/(Utilities!$B$11*IterData!H8931)))</f>
        <v>1</v>
      </c>
    </row>
    <row r="8932" spans="8:11" x14ac:dyDescent="0.3">
      <c r="H8932">
        <v>0.5</v>
      </c>
      <c r="I8932" s="11">
        <f t="shared" si="139"/>
        <v>0</v>
      </c>
      <c r="J8932" s="11">
        <f>1/(H8932*Utilities!$B$11)</f>
        <v>8</v>
      </c>
      <c r="K8932" s="11">
        <f>IF(B8932&lt;C8932,1,EXP(-1*(B8932-C8932)/(Utilities!$B$11*IterData!H8932)))</f>
        <v>1</v>
      </c>
    </row>
    <row r="8933" spans="8:11" x14ac:dyDescent="0.3">
      <c r="H8933">
        <v>0.5</v>
      </c>
      <c r="I8933" s="11">
        <f t="shared" si="139"/>
        <v>0</v>
      </c>
      <c r="J8933" s="11">
        <f>1/(H8933*Utilities!$B$11)</f>
        <v>8</v>
      </c>
      <c r="K8933" s="11">
        <f>IF(B8933&lt;C8933,1,EXP(-1*(B8933-C8933)/(Utilities!$B$11*IterData!H8933)))</f>
        <v>1</v>
      </c>
    </row>
    <row r="8934" spans="8:11" x14ac:dyDescent="0.3">
      <c r="H8934">
        <v>0.5</v>
      </c>
      <c r="I8934" s="11">
        <f t="shared" si="139"/>
        <v>0</v>
      </c>
      <c r="J8934" s="11">
        <f>1/(H8934*Utilities!$B$11)</f>
        <v>8</v>
      </c>
      <c r="K8934" s="11">
        <f>IF(B8934&lt;C8934,1,EXP(-1*(B8934-C8934)/(Utilities!$B$11*IterData!H8934)))</f>
        <v>1</v>
      </c>
    </row>
    <row r="8935" spans="8:11" x14ac:dyDescent="0.3">
      <c r="H8935">
        <v>0.5</v>
      </c>
      <c r="I8935" s="11">
        <f t="shared" si="139"/>
        <v>0</v>
      </c>
      <c r="J8935" s="11">
        <f>1/(H8935*Utilities!$B$11)</f>
        <v>8</v>
      </c>
      <c r="K8935" s="11">
        <f>IF(B8935&lt;C8935,1,EXP(-1*(B8935-C8935)/(Utilities!$B$11*IterData!H8935)))</f>
        <v>1</v>
      </c>
    </row>
    <row r="8936" spans="8:11" x14ac:dyDescent="0.3">
      <c r="H8936">
        <v>0.5</v>
      </c>
      <c r="I8936" s="11">
        <f t="shared" si="139"/>
        <v>0</v>
      </c>
      <c r="J8936" s="11">
        <f>1/(H8936*Utilities!$B$11)</f>
        <v>8</v>
      </c>
      <c r="K8936" s="11">
        <f>IF(B8936&lt;C8936,1,EXP(-1*(B8936-C8936)/(Utilities!$B$11*IterData!H8936)))</f>
        <v>1</v>
      </c>
    </row>
    <row r="8937" spans="8:11" x14ac:dyDescent="0.3">
      <c r="H8937">
        <v>0.5</v>
      </c>
      <c r="I8937" s="11">
        <f t="shared" si="139"/>
        <v>0</v>
      </c>
      <c r="J8937" s="11">
        <f>1/(H8937*Utilities!$B$11)</f>
        <v>8</v>
      </c>
      <c r="K8937" s="11">
        <f>IF(B8937&lt;C8937,1,EXP(-1*(B8937-C8937)/(Utilities!$B$11*IterData!H8937)))</f>
        <v>1</v>
      </c>
    </row>
    <row r="8938" spans="8:11" x14ac:dyDescent="0.3">
      <c r="H8938">
        <v>0.5</v>
      </c>
      <c r="I8938" s="11">
        <f t="shared" si="139"/>
        <v>0</v>
      </c>
      <c r="J8938" s="11">
        <f>1/(H8938*Utilities!$B$11)</f>
        <v>8</v>
      </c>
      <c r="K8938" s="11">
        <f>IF(B8938&lt;C8938,1,EXP(-1*(B8938-C8938)/(Utilities!$B$11*IterData!H8938)))</f>
        <v>1</v>
      </c>
    </row>
    <row r="8939" spans="8:11" x14ac:dyDescent="0.3">
      <c r="H8939">
        <v>0.5</v>
      </c>
      <c r="I8939" s="11">
        <f t="shared" si="139"/>
        <v>0</v>
      </c>
      <c r="J8939" s="11">
        <f>1/(H8939*Utilities!$B$11)</f>
        <v>8</v>
      </c>
      <c r="K8939" s="11">
        <f>IF(B8939&lt;C8939,1,EXP(-1*(B8939-C8939)/(Utilities!$B$11*IterData!H8939)))</f>
        <v>1</v>
      </c>
    </row>
    <row r="8940" spans="8:11" x14ac:dyDescent="0.3">
      <c r="H8940">
        <v>0.5</v>
      </c>
      <c r="I8940" s="11">
        <f t="shared" si="139"/>
        <v>0</v>
      </c>
      <c r="J8940" s="11">
        <f>1/(H8940*Utilities!$B$11)</f>
        <v>8</v>
      </c>
      <c r="K8940" s="11">
        <f>IF(B8940&lt;C8940,1,EXP(-1*(B8940-C8940)/(Utilities!$B$11*IterData!H8940)))</f>
        <v>1</v>
      </c>
    </row>
    <row r="8941" spans="8:11" x14ac:dyDescent="0.3">
      <c r="H8941">
        <v>0.5</v>
      </c>
      <c r="I8941" s="11">
        <f t="shared" si="139"/>
        <v>0</v>
      </c>
      <c r="J8941" s="11">
        <f>1/(H8941*Utilities!$B$11)</f>
        <v>8</v>
      </c>
      <c r="K8941" s="11">
        <f>IF(B8941&lt;C8941,1,EXP(-1*(B8941-C8941)/(Utilities!$B$11*IterData!H8941)))</f>
        <v>1</v>
      </c>
    </row>
    <row r="8942" spans="8:11" x14ac:dyDescent="0.3">
      <c r="H8942">
        <v>0.5</v>
      </c>
      <c r="I8942" s="11">
        <f t="shared" si="139"/>
        <v>0</v>
      </c>
      <c r="J8942" s="11">
        <f>1/(H8942*Utilities!$B$11)</f>
        <v>8</v>
      </c>
      <c r="K8942" s="11">
        <f>IF(B8942&lt;C8942,1,EXP(-1*(B8942-C8942)/(Utilities!$B$11*IterData!H8942)))</f>
        <v>1</v>
      </c>
    </row>
    <row r="8943" spans="8:11" x14ac:dyDescent="0.3">
      <c r="H8943">
        <v>0.5</v>
      </c>
      <c r="I8943" s="11">
        <f t="shared" si="139"/>
        <v>0</v>
      </c>
      <c r="J8943" s="11">
        <f>1/(H8943*Utilities!$B$11)</f>
        <v>8</v>
      </c>
      <c r="K8943" s="11">
        <f>IF(B8943&lt;C8943,1,EXP(-1*(B8943-C8943)/(Utilities!$B$11*IterData!H8943)))</f>
        <v>1</v>
      </c>
    </row>
    <row r="8944" spans="8:11" x14ac:dyDescent="0.3">
      <c r="H8944">
        <v>0.5</v>
      </c>
      <c r="I8944" s="11">
        <f t="shared" si="139"/>
        <v>0</v>
      </c>
      <c r="J8944" s="11">
        <f>1/(H8944*Utilities!$B$11)</f>
        <v>8</v>
      </c>
      <c r="K8944" s="11">
        <f>IF(B8944&lt;C8944,1,EXP(-1*(B8944-C8944)/(Utilities!$B$11*IterData!H8944)))</f>
        <v>1</v>
      </c>
    </row>
    <row r="8945" spans="8:11" x14ac:dyDescent="0.3">
      <c r="H8945">
        <v>0.5</v>
      </c>
      <c r="I8945" s="11">
        <f t="shared" si="139"/>
        <v>0</v>
      </c>
      <c r="J8945" s="11">
        <f>1/(H8945*Utilities!$B$11)</f>
        <v>8</v>
      </c>
      <c r="K8945" s="11">
        <f>IF(B8945&lt;C8945,1,EXP(-1*(B8945-C8945)/(Utilities!$B$11*IterData!H8945)))</f>
        <v>1</v>
      </c>
    </row>
    <row r="8946" spans="8:11" x14ac:dyDescent="0.3">
      <c r="H8946">
        <v>0.5</v>
      </c>
      <c r="I8946" s="11">
        <f t="shared" si="139"/>
        <v>0</v>
      </c>
      <c r="J8946" s="11">
        <f>1/(H8946*Utilities!$B$11)</f>
        <v>8</v>
      </c>
      <c r="K8946" s="11">
        <f>IF(B8946&lt;C8946,1,EXP(-1*(B8946-C8946)/(Utilities!$B$11*IterData!H8946)))</f>
        <v>1</v>
      </c>
    </row>
    <row r="8947" spans="8:11" x14ac:dyDescent="0.3">
      <c r="H8947">
        <v>0.5</v>
      </c>
      <c r="I8947" s="11">
        <f t="shared" si="139"/>
        <v>0</v>
      </c>
      <c r="J8947" s="11">
        <f>1/(H8947*Utilities!$B$11)</f>
        <v>8</v>
      </c>
      <c r="K8947" s="11">
        <f>IF(B8947&lt;C8947,1,EXP(-1*(B8947-C8947)/(Utilities!$B$11*IterData!H8947)))</f>
        <v>1</v>
      </c>
    </row>
    <row r="8948" spans="8:11" x14ac:dyDescent="0.3">
      <c r="H8948">
        <v>0.5</v>
      </c>
      <c r="I8948" s="11">
        <f t="shared" si="139"/>
        <v>0</v>
      </c>
      <c r="J8948" s="11">
        <f>1/(H8948*Utilities!$B$11)</f>
        <v>8</v>
      </c>
      <c r="K8948" s="11">
        <f>IF(B8948&lt;C8948,1,EXP(-1*(B8948-C8948)/(Utilities!$B$11*IterData!H8948)))</f>
        <v>1</v>
      </c>
    </row>
    <row r="8949" spans="8:11" x14ac:dyDescent="0.3">
      <c r="H8949">
        <v>0.5</v>
      </c>
      <c r="I8949" s="11">
        <f t="shared" si="139"/>
        <v>0</v>
      </c>
      <c r="J8949" s="11">
        <f>1/(H8949*Utilities!$B$11)</f>
        <v>8</v>
      </c>
      <c r="K8949" s="11">
        <f>IF(B8949&lt;C8949,1,EXP(-1*(B8949-C8949)/(Utilities!$B$11*IterData!H8949)))</f>
        <v>1</v>
      </c>
    </row>
    <row r="8950" spans="8:11" x14ac:dyDescent="0.3">
      <c r="H8950">
        <v>0.5</v>
      </c>
      <c r="I8950" s="11">
        <f t="shared" si="139"/>
        <v>0</v>
      </c>
      <c r="J8950" s="11">
        <f>1/(H8950*Utilities!$B$11)</f>
        <v>8</v>
      </c>
      <c r="K8950" s="11">
        <f>IF(B8950&lt;C8950,1,EXP(-1*(B8950-C8950)/(Utilities!$B$11*IterData!H8950)))</f>
        <v>1</v>
      </c>
    </row>
    <row r="8951" spans="8:11" x14ac:dyDescent="0.3">
      <c r="H8951">
        <v>0.5</v>
      </c>
      <c r="I8951" s="11">
        <f t="shared" si="139"/>
        <v>0</v>
      </c>
      <c r="J8951" s="11">
        <f>1/(H8951*Utilities!$B$11)</f>
        <v>8</v>
      </c>
      <c r="K8951" s="11">
        <f>IF(B8951&lt;C8951,1,EXP(-1*(B8951-C8951)/(Utilities!$B$11*IterData!H8951)))</f>
        <v>1</v>
      </c>
    </row>
    <row r="8952" spans="8:11" x14ac:dyDescent="0.3">
      <c r="H8952">
        <v>0.5</v>
      </c>
      <c r="I8952" s="11">
        <f t="shared" si="139"/>
        <v>0</v>
      </c>
      <c r="J8952" s="11">
        <f>1/(H8952*Utilities!$B$11)</f>
        <v>8</v>
      </c>
      <c r="K8952" s="11">
        <f>IF(B8952&lt;C8952,1,EXP(-1*(B8952-C8952)/(Utilities!$B$11*IterData!H8952)))</f>
        <v>1</v>
      </c>
    </row>
    <row r="8953" spans="8:11" x14ac:dyDescent="0.3">
      <c r="H8953">
        <v>0.5</v>
      </c>
      <c r="I8953" s="11">
        <f t="shared" si="139"/>
        <v>0</v>
      </c>
      <c r="J8953" s="11">
        <f>1/(H8953*Utilities!$B$11)</f>
        <v>8</v>
      </c>
      <c r="K8953" s="11">
        <f>IF(B8953&lt;C8953,1,EXP(-1*(B8953-C8953)/(Utilities!$B$11*IterData!H8953)))</f>
        <v>1</v>
      </c>
    </row>
    <row r="8954" spans="8:11" x14ac:dyDescent="0.3">
      <c r="H8954">
        <v>0.5</v>
      </c>
      <c r="I8954" s="11">
        <f t="shared" si="139"/>
        <v>0</v>
      </c>
      <c r="J8954" s="11">
        <f>1/(H8954*Utilities!$B$11)</f>
        <v>8</v>
      </c>
      <c r="K8954" s="11">
        <f>IF(B8954&lt;C8954,1,EXP(-1*(B8954-C8954)/(Utilities!$B$11*IterData!H8954)))</f>
        <v>1</v>
      </c>
    </row>
    <row r="8955" spans="8:11" x14ac:dyDescent="0.3">
      <c r="H8955">
        <v>0.5</v>
      </c>
      <c r="I8955" s="11">
        <f t="shared" si="139"/>
        <v>0</v>
      </c>
      <c r="J8955" s="11">
        <f>1/(H8955*Utilities!$B$11)</f>
        <v>8</v>
      </c>
      <c r="K8955" s="11">
        <f>IF(B8955&lt;C8955,1,EXP(-1*(B8955-C8955)/(Utilities!$B$11*IterData!H8955)))</f>
        <v>1</v>
      </c>
    </row>
    <row r="8956" spans="8:11" x14ac:dyDescent="0.3">
      <c r="H8956">
        <v>0.5</v>
      </c>
      <c r="I8956" s="11">
        <f t="shared" si="139"/>
        <v>0</v>
      </c>
      <c r="J8956" s="11">
        <f>1/(H8956*Utilities!$B$11)</f>
        <v>8</v>
      </c>
      <c r="K8956" s="11">
        <f>IF(B8956&lt;C8956,1,EXP(-1*(B8956-C8956)/(Utilities!$B$11*IterData!H8956)))</f>
        <v>1</v>
      </c>
    </row>
    <row r="8957" spans="8:11" x14ac:dyDescent="0.3">
      <c r="H8957">
        <v>0.5</v>
      </c>
      <c r="I8957" s="11">
        <f t="shared" si="139"/>
        <v>0</v>
      </c>
      <c r="J8957" s="11">
        <f>1/(H8957*Utilities!$B$11)</f>
        <v>8</v>
      </c>
      <c r="K8957" s="11">
        <f>IF(B8957&lt;C8957,1,EXP(-1*(B8957-C8957)/(Utilities!$B$11*IterData!H8957)))</f>
        <v>1</v>
      </c>
    </row>
    <row r="8958" spans="8:11" x14ac:dyDescent="0.3">
      <c r="H8958">
        <v>0.5</v>
      </c>
      <c r="I8958" s="11">
        <f t="shared" si="139"/>
        <v>0</v>
      </c>
      <c r="J8958" s="11">
        <f>1/(H8958*Utilities!$B$11)</f>
        <v>8</v>
      </c>
      <c r="K8958" s="11">
        <f>IF(B8958&lt;C8958,1,EXP(-1*(B8958-C8958)/(Utilities!$B$11*IterData!H8958)))</f>
        <v>1</v>
      </c>
    </row>
    <row r="8959" spans="8:11" x14ac:dyDescent="0.3">
      <c r="H8959">
        <v>0.5</v>
      </c>
      <c r="I8959" s="11">
        <f t="shared" si="139"/>
        <v>0</v>
      </c>
      <c r="J8959" s="11">
        <f>1/(H8959*Utilities!$B$11)</f>
        <v>8</v>
      </c>
      <c r="K8959" s="11">
        <f>IF(B8959&lt;C8959,1,EXP(-1*(B8959-C8959)/(Utilities!$B$11*IterData!H8959)))</f>
        <v>1</v>
      </c>
    </row>
    <row r="8960" spans="8:11" x14ac:dyDescent="0.3">
      <c r="H8960">
        <v>0.5</v>
      </c>
      <c r="I8960" s="11">
        <f t="shared" si="139"/>
        <v>0</v>
      </c>
      <c r="J8960" s="11">
        <f>1/(H8960*Utilities!$B$11)</f>
        <v>8</v>
      </c>
      <c r="K8960" s="11">
        <f>IF(B8960&lt;C8960,1,EXP(-1*(B8960-C8960)/(Utilities!$B$11*IterData!H8960)))</f>
        <v>1</v>
      </c>
    </row>
    <row r="8961" spans="8:11" x14ac:dyDescent="0.3">
      <c r="H8961">
        <v>0.5</v>
      </c>
      <c r="I8961" s="11">
        <f t="shared" si="139"/>
        <v>0</v>
      </c>
      <c r="J8961" s="11">
        <f>1/(H8961*Utilities!$B$11)</f>
        <v>8</v>
      </c>
      <c r="K8961" s="11">
        <f>IF(B8961&lt;C8961,1,EXP(-1*(B8961-C8961)/(Utilities!$B$11*IterData!H8961)))</f>
        <v>1</v>
      </c>
    </row>
    <row r="8962" spans="8:11" x14ac:dyDescent="0.3">
      <c r="H8962">
        <v>0.5</v>
      </c>
      <c r="I8962" s="11">
        <f t="shared" si="139"/>
        <v>0</v>
      </c>
      <c r="J8962" s="11">
        <f>1/(H8962*Utilities!$B$11)</f>
        <v>8</v>
      </c>
      <c r="K8962" s="11">
        <f>IF(B8962&lt;C8962,1,EXP(-1*(B8962-C8962)/(Utilities!$B$11*IterData!H8962)))</f>
        <v>1</v>
      </c>
    </row>
    <row r="8963" spans="8:11" x14ac:dyDescent="0.3">
      <c r="H8963">
        <v>0.5</v>
      </c>
      <c r="I8963" s="11">
        <f t="shared" ref="I8963:I9026" si="140">B8963-C8963</f>
        <v>0</v>
      </c>
      <c r="J8963" s="11">
        <f>1/(H8963*Utilities!$B$11)</f>
        <v>8</v>
      </c>
      <c r="K8963" s="11">
        <f>IF(B8963&lt;C8963,1,EXP(-1*(B8963-C8963)/(Utilities!$B$11*IterData!H8963)))</f>
        <v>1</v>
      </c>
    </row>
    <row r="8964" spans="8:11" x14ac:dyDescent="0.3">
      <c r="H8964">
        <v>0.5</v>
      </c>
      <c r="I8964" s="11">
        <f t="shared" si="140"/>
        <v>0</v>
      </c>
      <c r="J8964" s="11">
        <f>1/(H8964*Utilities!$B$11)</f>
        <v>8</v>
      </c>
      <c r="K8964" s="11">
        <f>IF(B8964&lt;C8964,1,EXP(-1*(B8964-C8964)/(Utilities!$B$11*IterData!H8964)))</f>
        <v>1</v>
      </c>
    </row>
    <row r="8965" spans="8:11" x14ac:dyDescent="0.3">
      <c r="H8965">
        <v>0.5</v>
      </c>
      <c r="I8965" s="11">
        <f t="shared" si="140"/>
        <v>0</v>
      </c>
      <c r="J8965" s="11">
        <f>1/(H8965*Utilities!$B$11)</f>
        <v>8</v>
      </c>
      <c r="K8965" s="11">
        <f>IF(B8965&lt;C8965,1,EXP(-1*(B8965-C8965)/(Utilities!$B$11*IterData!H8965)))</f>
        <v>1</v>
      </c>
    </row>
    <row r="8966" spans="8:11" x14ac:dyDescent="0.3">
      <c r="H8966">
        <v>0.5</v>
      </c>
      <c r="I8966" s="11">
        <f t="shared" si="140"/>
        <v>0</v>
      </c>
      <c r="J8966" s="11">
        <f>1/(H8966*Utilities!$B$11)</f>
        <v>8</v>
      </c>
      <c r="K8966" s="11">
        <f>IF(B8966&lt;C8966,1,EXP(-1*(B8966-C8966)/(Utilities!$B$11*IterData!H8966)))</f>
        <v>1</v>
      </c>
    </row>
    <row r="8967" spans="8:11" x14ac:dyDescent="0.3">
      <c r="H8967">
        <v>0.5</v>
      </c>
      <c r="I8967" s="11">
        <f t="shared" si="140"/>
        <v>0</v>
      </c>
      <c r="J8967" s="11">
        <f>1/(H8967*Utilities!$B$11)</f>
        <v>8</v>
      </c>
      <c r="K8967" s="11">
        <f>IF(B8967&lt;C8967,1,EXP(-1*(B8967-C8967)/(Utilities!$B$11*IterData!H8967)))</f>
        <v>1</v>
      </c>
    </row>
    <row r="8968" spans="8:11" x14ac:dyDescent="0.3">
      <c r="H8968">
        <v>0.5</v>
      </c>
      <c r="I8968" s="11">
        <f t="shared" si="140"/>
        <v>0</v>
      </c>
      <c r="J8968" s="11">
        <f>1/(H8968*Utilities!$B$11)</f>
        <v>8</v>
      </c>
      <c r="K8968" s="11">
        <f>IF(B8968&lt;C8968,1,EXP(-1*(B8968-C8968)/(Utilities!$B$11*IterData!H8968)))</f>
        <v>1</v>
      </c>
    </row>
    <row r="8969" spans="8:11" x14ac:dyDescent="0.3">
      <c r="H8969">
        <v>0.5</v>
      </c>
      <c r="I8969" s="11">
        <f t="shared" si="140"/>
        <v>0</v>
      </c>
      <c r="J8969" s="11">
        <f>1/(H8969*Utilities!$B$11)</f>
        <v>8</v>
      </c>
      <c r="K8969" s="11">
        <f>IF(B8969&lt;C8969,1,EXP(-1*(B8969-C8969)/(Utilities!$B$11*IterData!H8969)))</f>
        <v>1</v>
      </c>
    </row>
    <row r="8970" spans="8:11" x14ac:dyDescent="0.3">
      <c r="H8970">
        <v>0.5</v>
      </c>
      <c r="I8970" s="11">
        <f t="shared" si="140"/>
        <v>0</v>
      </c>
      <c r="J8970" s="11">
        <f>1/(H8970*Utilities!$B$11)</f>
        <v>8</v>
      </c>
      <c r="K8970" s="11">
        <f>IF(B8970&lt;C8970,1,EXP(-1*(B8970-C8970)/(Utilities!$B$11*IterData!H8970)))</f>
        <v>1</v>
      </c>
    </row>
    <row r="8971" spans="8:11" x14ac:dyDescent="0.3">
      <c r="H8971">
        <v>0.5</v>
      </c>
      <c r="I8971" s="11">
        <f t="shared" si="140"/>
        <v>0</v>
      </c>
      <c r="J8971" s="11">
        <f>1/(H8971*Utilities!$B$11)</f>
        <v>8</v>
      </c>
      <c r="K8971" s="11">
        <f>IF(B8971&lt;C8971,1,EXP(-1*(B8971-C8971)/(Utilities!$B$11*IterData!H8971)))</f>
        <v>1</v>
      </c>
    </row>
    <row r="8972" spans="8:11" x14ac:dyDescent="0.3">
      <c r="H8972">
        <v>0.5</v>
      </c>
      <c r="I8972" s="11">
        <f t="shared" si="140"/>
        <v>0</v>
      </c>
      <c r="J8972" s="11">
        <f>1/(H8972*Utilities!$B$11)</f>
        <v>8</v>
      </c>
      <c r="K8972" s="11">
        <f>IF(B8972&lt;C8972,1,EXP(-1*(B8972-C8972)/(Utilities!$B$11*IterData!H8972)))</f>
        <v>1</v>
      </c>
    </row>
    <row r="8973" spans="8:11" x14ac:dyDescent="0.3">
      <c r="H8973">
        <v>0.5</v>
      </c>
      <c r="I8973" s="11">
        <f t="shared" si="140"/>
        <v>0</v>
      </c>
      <c r="J8973" s="11">
        <f>1/(H8973*Utilities!$B$11)</f>
        <v>8</v>
      </c>
      <c r="K8973" s="11">
        <f>IF(B8973&lt;C8973,1,EXP(-1*(B8973-C8973)/(Utilities!$B$11*IterData!H8973)))</f>
        <v>1</v>
      </c>
    </row>
    <row r="8974" spans="8:11" x14ac:dyDescent="0.3">
      <c r="H8974">
        <v>0.5</v>
      </c>
      <c r="I8974" s="11">
        <f t="shared" si="140"/>
        <v>0</v>
      </c>
      <c r="J8974" s="11">
        <f>1/(H8974*Utilities!$B$11)</f>
        <v>8</v>
      </c>
      <c r="K8974" s="11">
        <f>IF(B8974&lt;C8974,1,EXP(-1*(B8974-C8974)/(Utilities!$B$11*IterData!H8974)))</f>
        <v>1</v>
      </c>
    </row>
    <row r="8975" spans="8:11" x14ac:dyDescent="0.3">
      <c r="H8975">
        <v>0.5</v>
      </c>
      <c r="I8975" s="11">
        <f t="shared" si="140"/>
        <v>0</v>
      </c>
      <c r="J8975" s="11">
        <f>1/(H8975*Utilities!$B$11)</f>
        <v>8</v>
      </c>
      <c r="K8975" s="11">
        <f>IF(B8975&lt;C8975,1,EXP(-1*(B8975-C8975)/(Utilities!$B$11*IterData!H8975)))</f>
        <v>1</v>
      </c>
    </row>
    <row r="8976" spans="8:11" x14ac:dyDescent="0.3">
      <c r="H8976">
        <v>0.5</v>
      </c>
      <c r="I8976" s="11">
        <f t="shared" si="140"/>
        <v>0</v>
      </c>
      <c r="J8976" s="11">
        <f>1/(H8976*Utilities!$B$11)</f>
        <v>8</v>
      </c>
      <c r="K8976" s="11">
        <f>IF(B8976&lt;C8976,1,EXP(-1*(B8976-C8976)/(Utilities!$B$11*IterData!H8976)))</f>
        <v>1</v>
      </c>
    </row>
    <row r="8977" spans="8:11" x14ac:dyDescent="0.3">
      <c r="H8977">
        <v>0.5</v>
      </c>
      <c r="I8977" s="11">
        <f t="shared" si="140"/>
        <v>0</v>
      </c>
      <c r="J8977" s="11">
        <f>1/(H8977*Utilities!$B$11)</f>
        <v>8</v>
      </c>
      <c r="K8977" s="11">
        <f>IF(B8977&lt;C8977,1,EXP(-1*(B8977-C8977)/(Utilities!$B$11*IterData!H8977)))</f>
        <v>1</v>
      </c>
    </row>
    <row r="8978" spans="8:11" x14ac:dyDescent="0.3">
      <c r="H8978">
        <v>0.5</v>
      </c>
      <c r="I8978" s="11">
        <f t="shared" si="140"/>
        <v>0</v>
      </c>
      <c r="J8978" s="11">
        <f>1/(H8978*Utilities!$B$11)</f>
        <v>8</v>
      </c>
      <c r="K8978" s="11">
        <f>IF(B8978&lt;C8978,1,EXP(-1*(B8978-C8978)/(Utilities!$B$11*IterData!H8978)))</f>
        <v>1</v>
      </c>
    </row>
    <row r="8979" spans="8:11" x14ac:dyDescent="0.3">
      <c r="H8979">
        <v>0.5</v>
      </c>
      <c r="I8979" s="11">
        <f t="shared" si="140"/>
        <v>0</v>
      </c>
      <c r="J8979" s="11">
        <f>1/(H8979*Utilities!$B$11)</f>
        <v>8</v>
      </c>
      <c r="K8979" s="11">
        <f>IF(B8979&lt;C8979,1,EXP(-1*(B8979-C8979)/(Utilities!$B$11*IterData!H8979)))</f>
        <v>1</v>
      </c>
    </row>
    <row r="8980" spans="8:11" x14ac:dyDescent="0.3">
      <c r="H8980">
        <v>0.5</v>
      </c>
      <c r="I8980" s="11">
        <f t="shared" si="140"/>
        <v>0</v>
      </c>
      <c r="J8980" s="11">
        <f>1/(H8980*Utilities!$B$11)</f>
        <v>8</v>
      </c>
      <c r="K8980" s="11">
        <f>IF(B8980&lt;C8980,1,EXP(-1*(B8980-C8980)/(Utilities!$B$11*IterData!H8980)))</f>
        <v>1</v>
      </c>
    </row>
    <row r="8981" spans="8:11" x14ac:dyDescent="0.3">
      <c r="H8981">
        <v>0.5</v>
      </c>
      <c r="I8981" s="11">
        <f t="shared" si="140"/>
        <v>0</v>
      </c>
      <c r="J8981" s="11">
        <f>1/(H8981*Utilities!$B$11)</f>
        <v>8</v>
      </c>
      <c r="K8981" s="11">
        <f>IF(B8981&lt;C8981,1,EXP(-1*(B8981-C8981)/(Utilities!$B$11*IterData!H8981)))</f>
        <v>1</v>
      </c>
    </row>
    <row r="8982" spans="8:11" x14ac:dyDescent="0.3">
      <c r="H8982">
        <v>0.5</v>
      </c>
      <c r="I8982" s="11">
        <f t="shared" si="140"/>
        <v>0</v>
      </c>
      <c r="J8982" s="11">
        <f>1/(H8982*Utilities!$B$11)</f>
        <v>8</v>
      </c>
      <c r="K8982" s="11">
        <f>IF(B8982&lt;C8982,1,EXP(-1*(B8982-C8982)/(Utilities!$B$11*IterData!H8982)))</f>
        <v>1</v>
      </c>
    </row>
    <row r="8983" spans="8:11" x14ac:dyDescent="0.3">
      <c r="H8983">
        <v>0.5</v>
      </c>
      <c r="I8983" s="11">
        <f t="shared" si="140"/>
        <v>0</v>
      </c>
      <c r="J8983" s="11">
        <f>1/(H8983*Utilities!$B$11)</f>
        <v>8</v>
      </c>
      <c r="K8983" s="11">
        <f>IF(B8983&lt;C8983,1,EXP(-1*(B8983-C8983)/(Utilities!$B$11*IterData!H8983)))</f>
        <v>1</v>
      </c>
    </row>
    <row r="8984" spans="8:11" x14ac:dyDescent="0.3">
      <c r="H8984">
        <v>0.5</v>
      </c>
      <c r="I8984" s="11">
        <f t="shared" si="140"/>
        <v>0</v>
      </c>
      <c r="J8984" s="11">
        <f>1/(H8984*Utilities!$B$11)</f>
        <v>8</v>
      </c>
      <c r="K8984" s="11">
        <f>IF(B8984&lt;C8984,1,EXP(-1*(B8984-C8984)/(Utilities!$B$11*IterData!H8984)))</f>
        <v>1</v>
      </c>
    </row>
    <row r="8985" spans="8:11" x14ac:dyDescent="0.3">
      <c r="H8985">
        <v>0.5</v>
      </c>
      <c r="I8985" s="11">
        <f t="shared" si="140"/>
        <v>0</v>
      </c>
      <c r="J8985" s="11">
        <f>1/(H8985*Utilities!$B$11)</f>
        <v>8</v>
      </c>
      <c r="K8985" s="11">
        <f>IF(B8985&lt;C8985,1,EXP(-1*(B8985-C8985)/(Utilities!$B$11*IterData!H8985)))</f>
        <v>1</v>
      </c>
    </row>
    <row r="8986" spans="8:11" x14ac:dyDescent="0.3">
      <c r="H8986">
        <v>0.5</v>
      </c>
      <c r="I8986" s="11">
        <f t="shared" si="140"/>
        <v>0</v>
      </c>
      <c r="J8986" s="11">
        <f>1/(H8986*Utilities!$B$11)</f>
        <v>8</v>
      </c>
      <c r="K8986" s="11">
        <f>IF(B8986&lt;C8986,1,EXP(-1*(B8986-C8986)/(Utilities!$B$11*IterData!H8986)))</f>
        <v>1</v>
      </c>
    </row>
    <row r="8987" spans="8:11" x14ac:dyDescent="0.3">
      <c r="H8987">
        <v>0.5</v>
      </c>
      <c r="I8987" s="11">
        <f t="shared" si="140"/>
        <v>0</v>
      </c>
      <c r="J8987" s="11">
        <f>1/(H8987*Utilities!$B$11)</f>
        <v>8</v>
      </c>
      <c r="K8987" s="11">
        <f>IF(B8987&lt;C8987,1,EXP(-1*(B8987-C8987)/(Utilities!$B$11*IterData!H8987)))</f>
        <v>1</v>
      </c>
    </row>
    <row r="8988" spans="8:11" x14ac:dyDescent="0.3">
      <c r="H8988">
        <v>0.5</v>
      </c>
      <c r="I8988" s="11">
        <f t="shared" si="140"/>
        <v>0</v>
      </c>
      <c r="J8988" s="11">
        <f>1/(H8988*Utilities!$B$11)</f>
        <v>8</v>
      </c>
      <c r="K8988" s="11">
        <f>IF(B8988&lt;C8988,1,EXP(-1*(B8988-C8988)/(Utilities!$B$11*IterData!H8988)))</f>
        <v>1</v>
      </c>
    </row>
    <row r="8989" spans="8:11" x14ac:dyDescent="0.3">
      <c r="H8989">
        <v>0.5</v>
      </c>
      <c r="I8989" s="11">
        <f t="shared" si="140"/>
        <v>0</v>
      </c>
      <c r="J8989" s="11">
        <f>1/(H8989*Utilities!$B$11)</f>
        <v>8</v>
      </c>
      <c r="K8989" s="11">
        <f>IF(B8989&lt;C8989,1,EXP(-1*(B8989-C8989)/(Utilities!$B$11*IterData!H8989)))</f>
        <v>1</v>
      </c>
    </row>
    <row r="8990" spans="8:11" x14ac:dyDescent="0.3">
      <c r="H8990">
        <v>0.5</v>
      </c>
      <c r="I8990" s="11">
        <f t="shared" si="140"/>
        <v>0</v>
      </c>
      <c r="J8990" s="11">
        <f>1/(H8990*Utilities!$B$11)</f>
        <v>8</v>
      </c>
      <c r="K8990" s="11">
        <f>IF(B8990&lt;C8990,1,EXP(-1*(B8990-C8990)/(Utilities!$B$11*IterData!H8990)))</f>
        <v>1</v>
      </c>
    </row>
    <row r="8991" spans="8:11" x14ac:dyDescent="0.3">
      <c r="H8991">
        <v>0.5</v>
      </c>
      <c r="I8991" s="11">
        <f t="shared" si="140"/>
        <v>0</v>
      </c>
      <c r="J8991" s="11">
        <f>1/(H8991*Utilities!$B$11)</f>
        <v>8</v>
      </c>
      <c r="K8991" s="11">
        <f>IF(B8991&lt;C8991,1,EXP(-1*(B8991-C8991)/(Utilities!$B$11*IterData!H8991)))</f>
        <v>1</v>
      </c>
    </row>
    <row r="8992" spans="8:11" x14ac:dyDescent="0.3">
      <c r="H8992">
        <v>0.5</v>
      </c>
      <c r="I8992" s="11">
        <f t="shared" si="140"/>
        <v>0</v>
      </c>
      <c r="J8992" s="11">
        <f>1/(H8992*Utilities!$B$11)</f>
        <v>8</v>
      </c>
      <c r="K8992" s="11">
        <f>IF(B8992&lt;C8992,1,EXP(-1*(B8992-C8992)/(Utilities!$B$11*IterData!H8992)))</f>
        <v>1</v>
      </c>
    </row>
    <row r="8993" spans="8:11" x14ac:dyDescent="0.3">
      <c r="H8993">
        <v>0.5</v>
      </c>
      <c r="I8993" s="11">
        <f t="shared" si="140"/>
        <v>0</v>
      </c>
      <c r="J8993" s="11">
        <f>1/(H8993*Utilities!$B$11)</f>
        <v>8</v>
      </c>
      <c r="K8993" s="11">
        <f>IF(B8993&lt;C8993,1,EXP(-1*(B8993-C8993)/(Utilities!$B$11*IterData!H8993)))</f>
        <v>1</v>
      </c>
    </row>
    <row r="8994" spans="8:11" x14ac:dyDescent="0.3">
      <c r="H8994">
        <v>0.5</v>
      </c>
      <c r="I8994" s="11">
        <f t="shared" si="140"/>
        <v>0</v>
      </c>
      <c r="J8994" s="11">
        <f>1/(H8994*Utilities!$B$11)</f>
        <v>8</v>
      </c>
      <c r="K8994" s="11">
        <f>IF(B8994&lt;C8994,1,EXP(-1*(B8994-C8994)/(Utilities!$B$11*IterData!H8994)))</f>
        <v>1</v>
      </c>
    </row>
    <row r="8995" spans="8:11" x14ac:dyDescent="0.3">
      <c r="H8995">
        <v>0.5</v>
      </c>
      <c r="I8995" s="11">
        <f t="shared" si="140"/>
        <v>0</v>
      </c>
      <c r="J8995" s="11">
        <f>1/(H8995*Utilities!$B$11)</f>
        <v>8</v>
      </c>
      <c r="K8995" s="11">
        <f>IF(B8995&lt;C8995,1,EXP(-1*(B8995-C8995)/(Utilities!$B$11*IterData!H8995)))</f>
        <v>1</v>
      </c>
    </row>
    <row r="8996" spans="8:11" x14ac:dyDescent="0.3">
      <c r="H8996">
        <v>0.5</v>
      </c>
      <c r="I8996" s="11">
        <f t="shared" si="140"/>
        <v>0</v>
      </c>
      <c r="J8996" s="11">
        <f>1/(H8996*Utilities!$B$11)</f>
        <v>8</v>
      </c>
      <c r="K8996" s="11">
        <f>IF(B8996&lt;C8996,1,EXP(-1*(B8996-C8996)/(Utilities!$B$11*IterData!H8996)))</f>
        <v>1</v>
      </c>
    </row>
    <row r="8997" spans="8:11" x14ac:dyDescent="0.3">
      <c r="H8997">
        <v>0.5</v>
      </c>
      <c r="I8997" s="11">
        <f t="shared" si="140"/>
        <v>0</v>
      </c>
      <c r="J8997" s="11">
        <f>1/(H8997*Utilities!$B$11)</f>
        <v>8</v>
      </c>
      <c r="K8997" s="11">
        <f>IF(B8997&lt;C8997,1,EXP(-1*(B8997-C8997)/(Utilities!$B$11*IterData!H8997)))</f>
        <v>1</v>
      </c>
    </row>
    <row r="8998" spans="8:11" x14ac:dyDescent="0.3">
      <c r="H8998">
        <v>0.5</v>
      </c>
      <c r="I8998" s="11">
        <f t="shared" si="140"/>
        <v>0</v>
      </c>
      <c r="J8998" s="11">
        <f>1/(H8998*Utilities!$B$11)</f>
        <v>8</v>
      </c>
      <c r="K8998" s="11">
        <f>IF(B8998&lt;C8998,1,EXP(-1*(B8998-C8998)/(Utilities!$B$11*IterData!H8998)))</f>
        <v>1</v>
      </c>
    </row>
    <row r="8999" spans="8:11" x14ac:dyDescent="0.3">
      <c r="H8999">
        <v>0.5</v>
      </c>
      <c r="I8999" s="11">
        <f t="shared" si="140"/>
        <v>0</v>
      </c>
      <c r="J8999" s="11">
        <f>1/(H8999*Utilities!$B$11)</f>
        <v>8</v>
      </c>
      <c r="K8999" s="11">
        <f>IF(B8999&lt;C8999,1,EXP(-1*(B8999-C8999)/(Utilities!$B$11*IterData!H8999)))</f>
        <v>1</v>
      </c>
    </row>
    <row r="9000" spans="8:11" x14ac:dyDescent="0.3">
      <c r="H9000">
        <v>0.5</v>
      </c>
      <c r="I9000" s="11">
        <f t="shared" si="140"/>
        <v>0</v>
      </c>
      <c r="J9000" s="11">
        <f>1/(H9000*Utilities!$B$11)</f>
        <v>8</v>
      </c>
      <c r="K9000" s="11">
        <f>IF(B9000&lt;C9000,1,EXP(-1*(B9000-C9000)/(Utilities!$B$11*IterData!H9000)))</f>
        <v>1</v>
      </c>
    </row>
    <row r="9001" spans="8:11" x14ac:dyDescent="0.3">
      <c r="H9001">
        <v>0.5</v>
      </c>
      <c r="I9001" s="11">
        <f t="shared" si="140"/>
        <v>0</v>
      </c>
      <c r="J9001" s="11">
        <f>1/(H9001*Utilities!$B$11)</f>
        <v>8</v>
      </c>
      <c r="K9001" s="11">
        <f>IF(B9001&lt;C9001,1,EXP(-1*(B9001-C9001)/(Utilities!$B$11*IterData!H9001)))</f>
        <v>1</v>
      </c>
    </row>
    <row r="9002" spans="8:11" x14ac:dyDescent="0.3">
      <c r="H9002">
        <v>0.5</v>
      </c>
      <c r="I9002" s="11">
        <f t="shared" si="140"/>
        <v>0</v>
      </c>
      <c r="J9002" s="11">
        <f>1/(H9002*Utilities!$B$11)</f>
        <v>8</v>
      </c>
      <c r="K9002" s="11">
        <f>IF(B9002&lt;C9002,1,EXP(-1*(B9002-C9002)/(Utilities!$B$11*IterData!H9002)))</f>
        <v>1</v>
      </c>
    </row>
    <row r="9003" spans="8:11" x14ac:dyDescent="0.3">
      <c r="H9003">
        <v>0.5</v>
      </c>
      <c r="I9003" s="11">
        <f t="shared" si="140"/>
        <v>0</v>
      </c>
      <c r="J9003" s="11">
        <f>1/(H9003*Utilities!$B$11)</f>
        <v>8</v>
      </c>
      <c r="K9003" s="11">
        <f>IF(B9003&lt;C9003,1,EXP(-1*(B9003-C9003)/(Utilities!$B$11*IterData!H9003)))</f>
        <v>1</v>
      </c>
    </row>
    <row r="9004" spans="8:11" x14ac:dyDescent="0.3">
      <c r="H9004">
        <v>0.5</v>
      </c>
      <c r="I9004" s="11">
        <f t="shared" si="140"/>
        <v>0</v>
      </c>
      <c r="J9004" s="11">
        <f>1/(H9004*Utilities!$B$11)</f>
        <v>8</v>
      </c>
      <c r="K9004" s="11">
        <f>IF(B9004&lt;C9004,1,EXP(-1*(B9004-C9004)/(Utilities!$B$11*IterData!H9004)))</f>
        <v>1</v>
      </c>
    </row>
    <row r="9005" spans="8:11" x14ac:dyDescent="0.3">
      <c r="H9005">
        <v>0.5</v>
      </c>
      <c r="I9005" s="11">
        <f t="shared" si="140"/>
        <v>0</v>
      </c>
      <c r="J9005" s="11">
        <f>1/(H9005*Utilities!$B$11)</f>
        <v>8</v>
      </c>
      <c r="K9005" s="11">
        <f>IF(B9005&lt;C9005,1,EXP(-1*(B9005-C9005)/(Utilities!$B$11*IterData!H9005)))</f>
        <v>1</v>
      </c>
    </row>
    <row r="9006" spans="8:11" x14ac:dyDescent="0.3">
      <c r="H9006">
        <v>0.5</v>
      </c>
      <c r="I9006" s="11">
        <f t="shared" si="140"/>
        <v>0</v>
      </c>
      <c r="J9006" s="11">
        <f>1/(H9006*Utilities!$B$11)</f>
        <v>8</v>
      </c>
      <c r="K9006" s="11">
        <f>IF(B9006&lt;C9006,1,EXP(-1*(B9006-C9006)/(Utilities!$B$11*IterData!H9006)))</f>
        <v>1</v>
      </c>
    </row>
    <row r="9007" spans="8:11" x14ac:dyDescent="0.3">
      <c r="H9007">
        <v>0.5</v>
      </c>
      <c r="I9007" s="11">
        <f t="shared" si="140"/>
        <v>0</v>
      </c>
      <c r="J9007" s="11">
        <f>1/(H9007*Utilities!$B$11)</f>
        <v>8</v>
      </c>
      <c r="K9007" s="11">
        <f>IF(B9007&lt;C9007,1,EXP(-1*(B9007-C9007)/(Utilities!$B$11*IterData!H9007)))</f>
        <v>1</v>
      </c>
    </row>
    <row r="9008" spans="8:11" x14ac:dyDescent="0.3">
      <c r="H9008">
        <v>0.5</v>
      </c>
      <c r="I9008" s="11">
        <f t="shared" si="140"/>
        <v>0</v>
      </c>
      <c r="J9008" s="11">
        <f>1/(H9008*Utilities!$B$11)</f>
        <v>8</v>
      </c>
      <c r="K9008" s="11">
        <f>IF(B9008&lt;C9008,1,EXP(-1*(B9008-C9008)/(Utilities!$B$11*IterData!H9008)))</f>
        <v>1</v>
      </c>
    </row>
    <row r="9009" spans="8:11" x14ac:dyDescent="0.3">
      <c r="H9009">
        <v>0.5</v>
      </c>
      <c r="I9009" s="11">
        <f t="shared" si="140"/>
        <v>0</v>
      </c>
      <c r="J9009" s="11">
        <f>1/(H9009*Utilities!$B$11)</f>
        <v>8</v>
      </c>
      <c r="K9009" s="11">
        <f>IF(B9009&lt;C9009,1,EXP(-1*(B9009-C9009)/(Utilities!$B$11*IterData!H9009)))</f>
        <v>1</v>
      </c>
    </row>
    <row r="9010" spans="8:11" x14ac:dyDescent="0.3">
      <c r="H9010">
        <v>0.5</v>
      </c>
      <c r="I9010" s="11">
        <f t="shared" si="140"/>
        <v>0</v>
      </c>
      <c r="J9010" s="11">
        <f>1/(H9010*Utilities!$B$11)</f>
        <v>8</v>
      </c>
      <c r="K9010" s="11">
        <f>IF(B9010&lt;C9010,1,EXP(-1*(B9010-C9010)/(Utilities!$B$11*IterData!H9010)))</f>
        <v>1</v>
      </c>
    </row>
    <row r="9011" spans="8:11" x14ac:dyDescent="0.3">
      <c r="H9011">
        <v>0.5</v>
      </c>
      <c r="I9011" s="11">
        <f t="shared" si="140"/>
        <v>0</v>
      </c>
      <c r="J9011" s="11">
        <f>1/(H9011*Utilities!$B$11)</f>
        <v>8</v>
      </c>
      <c r="K9011" s="11">
        <f>IF(B9011&lt;C9011,1,EXP(-1*(B9011-C9011)/(Utilities!$B$11*IterData!H9011)))</f>
        <v>1</v>
      </c>
    </row>
    <row r="9012" spans="8:11" x14ac:dyDescent="0.3">
      <c r="H9012">
        <v>0.5</v>
      </c>
      <c r="I9012" s="11">
        <f t="shared" si="140"/>
        <v>0</v>
      </c>
      <c r="J9012" s="11">
        <f>1/(H9012*Utilities!$B$11)</f>
        <v>8</v>
      </c>
      <c r="K9012" s="11">
        <f>IF(B9012&lt;C9012,1,EXP(-1*(B9012-C9012)/(Utilities!$B$11*IterData!H9012)))</f>
        <v>1</v>
      </c>
    </row>
    <row r="9013" spans="8:11" x14ac:dyDescent="0.3">
      <c r="H9013">
        <v>0.5</v>
      </c>
      <c r="I9013" s="11">
        <f t="shared" si="140"/>
        <v>0</v>
      </c>
      <c r="J9013" s="11">
        <f>1/(H9013*Utilities!$B$11)</f>
        <v>8</v>
      </c>
      <c r="K9013" s="11">
        <f>IF(B9013&lt;C9013,1,EXP(-1*(B9013-C9013)/(Utilities!$B$11*IterData!H9013)))</f>
        <v>1</v>
      </c>
    </row>
    <row r="9014" spans="8:11" x14ac:dyDescent="0.3">
      <c r="H9014">
        <v>0.5</v>
      </c>
      <c r="I9014" s="11">
        <f t="shared" si="140"/>
        <v>0</v>
      </c>
      <c r="J9014" s="11">
        <f>1/(H9014*Utilities!$B$11)</f>
        <v>8</v>
      </c>
      <c r="K9014" s="11">
        <f>IF(B9014&lt;C9014,1,EXP(-1*(B9014-C9014)/(Utilities!$B$11*IterData!H9014)))</f>
        <v>1</v>
      </c>
    </row>
    <row r="9015" spans="8:11" x14ac:dyDescent="0.3">
      <c r="H9015">
        <v>0.5</v>
      </c>
      <c r="I9015" s="11">
        <f t="shared" si="140"/>
        <v>0</v>
      </c>
      <c r="J9015" s="11">
        <f>1/(H9015*Utilities!$B$11)</f>
        <v>8</v>
      </c>
      <c r="K9015" s="11">
        <f>IF(B9015&lt;C9015,1,EXP(-1*(B9015-C9015)/(Utilities!$B$11*IterData!H9015)))</f>
        <v>1</v>
      </c>
    </row>
    <row r="9016" spans="8:11" x14ac:dyDescent="0.3">
      <c r="H9016">
        <v>0.5</v>
      </c>
      <c r="I9016" s="11">
        <f t="shared" si="140"/>
        <v>0</v>
      </c>
      <c r="J9016" s="11">
        <f>1/(H9016*Utilities!$B$11)</f>
        <v>8</v>
      </c>
      <c r="K9016" s="11">
        <f>IF(B9016&lt;C9016,1,EXP(-1*(B9016-C9016)/(Utilities!$B$11*IterData!H9016)))</f>
        <v>1</v>
      </c>
    </row>
    <row r="9017" spans="8:11" x14ac:dyDescent="0.3">
      <c r="H9017">
        <v>0.5</v>
      </c>
      <c r="I9017" s="11">
        <f t="shared" si="140"/>
        <v>0</v>
      </c>
      <c r="J9017" s="11">
        <f>1/(H9017*Utilities!$B$11)</f>
        <v>8</v>
      </c>
      <c r="K9017" s="11">
        <f>IF(B9017&lt;C9017,1,EXP(-1*(B9017-C9017)/(Utilities!$B$11*IterData!H9017)))</f>
        <v>1</v>
      </c>
    </row>
    <row r="9018" spans="8:11" x14ac:dyDescent="0.3">
      <c r="H9018">
        <v>0.5</v>
      </c>
      <c r="I9018" s="11">
        <f t="shared" si="140"/>
        <v>0</v>
      </c>
      <c r="J9018" s="11">
        <f>1/(H9018*Utilities!$B$11)</f>
        <v>8</v>
      </c>
      <c r="K9018" s="11">
        <f>IF(B9018&lt;C9018,1,EXP(-1*(B9018-C9018)/(Utilities!$B$11*IterData!H9018)))</f>
        <v>1</v>
      </c>
    </row>
    <row r="9019" spans="8:11" x14ac:dyDescent="0.3">
      <c r="H9019">
        <v>0.5</v>
      </c>
      <c r="I9019" s="11">
        <f t="shared" si="140"/>
        <v>0</v>
      </c>
      <c r="J9019" s="11">
        <f>1/(H9019*Utilities!$B$11)</f>
        <v>8</v>
      </c>
      <c r="K9019" s="11">
        <f>IF(B9019&lt;C9019,1,EXP(-1*(B9019-C9019)/(Utilities!$B$11*IterData!H9019)))</f>
        <v>1</v>
      </c>
    </row>
    <row r="9020" spans="8:11" x14ac:dyDescent="0.3">
      <c r="H9020">
        <v>0.5</v>
      </c>
      <c r="I9020" s="11">
        <f t="shared" si="140"/>
        <v>0</v>
      </c>
      <c r="J9020" s="11">
        <f>1/(H9020*Utilities!$B$11)</f>
        <v>8</v>
      </c>
      <c r="K9020" s="11">
        <f>IF(B9020&lt;C9020,1,EXP(-1*(B9020-C9020)/(Utilities!$B$11*IterData!H9020)))</f>
        <v>1</v>
      </c>
    </row>
    <row r="9021" spans="8:11" x14ac:dyDescent="0.3">
      <c r="H9021">
        <v>0.5</v>
      </c>
      <c r="I9021" s="11">
        <f t="shared" si="140"/>
        <v>0</v>
      </c>
      <c r="J9021" s="11">
        <f>1/(H9021*Utilities!$B$11)</f>
        <v>8</v>
      </c>
      <c r="K9021" s="11">
        <f>IF(B9021&lt;C9021,1,EXP(-1*(B9021-C9021)/(Utilities!$B$11*IterData!H9021)))</f>
        <v>1</v>
      </c>
    </row>
    <row r="9022" spans="8:11" x14ac:dyDescent="0.3">
      <c r="H9022">
        <v>0.5</v>
      </c>
      <c r="I9022" s="11">
        <f t="shared" si="140"/>
        <v>0</v>
      </c>
      <c r="J9022" s="11">
        <f>1/(H9022*Utilities!$B$11)</f>
        <v>8</v>
      </c>
      <c r="K9022" s="11">
        <f>IF(B9022&lt;C9022,1,EXP(-1*(B9022-C9022)/(Utilities!$B$11*IterData!H9022)))</f>
        <v>1</v>
      </c>
    </row>
    <row r="9023" spans="8:11" x14ac:dyDescent="0.3">
      <c r="H9023">
        <v>0.5</v>
      </c>
      <c r="I9023" s="11">
        <f t="shared" si="140"/>
        <v>0</v>
      </c>
      <c r="J9023" s="11">
        <f>1/(H9023*Utilities!$B$11)</f>
        <v>8</v>
      </c>
      <c r="K9023" s="11">
        <f>IF(B9023&lt;C9023,1,EXP(-1*(B9023-C9023)/(Utilities!$B$11*IterData!H9023)))</f>
        <v>1</v>
      </c>
    </row>
    <row r="9024" spans="8:11" x14ac:dyDescent="0.3">
      <c r="H9024">
        <v>0.5</v>
      </c>
      <c r="I9024" s="11">
        <f t="shared" si="140"/>
        <v>0</v>
      </c>
      <c r="J9024" s="11">
        <f>1/(H9024*Utilities!$B$11)</f>
        <v>8</v>
      </c>
      <c r="K9024" s="11">
        <f>IF(B9024&lt;C9024,1,EXP(-1*(B9024-C9024)/(Utilities!$B$11*IterData!H9024)))</f>
        <v>1</v>
      </c>
    </row>
    <row r="9025" spans="8:11" x14ac:dyDescent="0.3">
      <c r="H9025">
        <v>0.5</v>
      </c>
      <c r="I9025" s="11">
        <f t="shared" si="140"/>
        <v>0</v>
      </c>
      <c r="J9025" s="11">
        <f>1/(H9025*Utilities!$B$11)</f>
        <v>8</v>
      </c>
      <c r="K9025" s="11">
        <f>IF(B9025&lt;C9025,1,EXP(-1*(B9025-C9025)/(Utilities!$B$11*IterData!H9025)))</f>
        <v>1</v>
      </c>
    </row>
    <row r="9026" spans="8:11" x14ac:dyDescent="0.3">
      <c r="H9026">
        <v>0.5</v>
      </c>
      <c r="I9026" s="11">
        <f t="shared" si="140"/>
        <v>0</v>
      </c>
      <c r="J9026" s="11">
        <f>1/(H9026*Utilities!$B$11)</f>
        <v>8</v>
      </c>
      <c r="K9026" s="11">
        <f>IF(B9026&lt;C9026,1,EXP(-1*(B9026-C9026)/(Utilities!$B$11*IterData!H9026)))</f>
        <v>1</v>
      </c>
    </row>
    <row r="9027" spans="8:11" x14ac:dyDescent="0.3">
      <c r="H9027">
        <v>0.5</v>
      </c>
      <c r="I9027" s="11">
        <f t="shared" ref="I9027:I9090" si="141">B9027-C9027</f>
        <v>0</v>
      </c>
      <c r="J9027" s="11">
        <f>1/(H9027*Utilities!$B$11)</f>
        <v>8</v>
      </c>
      <c r="K9027" s="11">
        <f>IF(B9027&lt;C9027,1,EXP(-1*(B9027-C9027)/(Utilities!$B$11*IterData!H9027)))</f>
        <v>1</v>
      </c>
    </row>
    <row r="9028" spans="8:11" x14ac:dyDescent="0.3">
      <c r="H9028">
        <v>0.5</v>
      </c>
      <c r="I9028" s="11">
        <f t="shared" si="141"/>
        <v>0</v>
      </c>
      <c r="J9028" s="11">
        <f>1/(H9028*Utilities!$B$11)</f>
        <v>8</v>
      </c>
      <c r="K9028" s="11">
        <f>IF(B9028&lt;C9028,1,EXP(-1*(B9028-C9028)/(Utilities!$B$11*IterData!H9028)))</f>
        <v>1</v>
      </c>
    </row>
    <row r="9029" spans="8:11" x14ac:dyDescent="0.3">
      <c r="H9029">
        <v>0.5</v>
      </c>
      <c r="I9029" s="11">
        <f t="shared" si="141"/>
        <v>0</v>
      </c>
      <c r="J9029" s="11">
        <f>1/(H9029*Utilities!$B$11)</f>
        <v>8</v>
      </c>
      <c r="K9029" s="11">
        <f>IF(B9029&lt;C9029,1,EXP(-1*(B9029-C9029)/(Utilities!$B$11*IterData!H9029)))</f>
        <v>1</v>
      </c>
    </row>
    <row r="9030" spans="8:11" x14ac:dyDescent="0.3">
      <c r="H9030">
        <v>0.5</v>
      </c>
      <c r="I9030" s="11">
        <f t="shared" si="141"/>
        <v>0</v>
      </c>
      <c r="J9030" s="11">
        <f>1/(H9030*Utilities!$B$11)</f>
        <v>8</v>
      </c>
      <c r="K9030" s="11">
        <f>IF(B9030&lt;C9030,1,EXP(-1*(B9030-C9030)/(Utilities!$B$11*IterData!H9030)))</f>
        <v>1</v>
      </c>
    </row>
    <row r="9031" spans="8:11" x14ac:dyDescent="0.3">
      <c r="H9031">
        <v>0.5</v>
      </c>
      <c r="I9031" s="11">
        <f t="shared" si="141"/>
        <v>0</v>
      </c>
      <c r="J9031" s="11">
        <f>1/(H9031*Utilities!$B$11)</f>
        <v>8</v>
      </c>
      <c r="K9031" s="11">
        <f>IF(B9031&lt;C9031,1,EXP(-1*(B9031-C9031)/(Utilities!$B$11*IterData!H9031)))</f>
        <v>1</v>
      </c>
    </row>
    <row r="9032" spans="8:11" x14ac:dyDescent="0.3">
      <c r="H9032">
        <v>0.5</v>
      </c>
      <c r="I9032" s="11">
        <f t="shared" si="141"/>
        <v>0</v>
      </c>
      <c r="J9032" s="11">
        <f>1/(H9032*Utilities!$B$11)</f>
        <v>8</v>
      </c>
      <c r="K9032" s="11">
        <f>IF(B9032&lt;C9032,1,EXP(-1*(B9032-C9032)/(Utilities!$B$11*IterData!H9032)))</f>
        <v>1</v>
      </c>
    </row>
    <row r="9033" spans="8:11" x14ac:dyDescent="0.3">
      <c r="H9033">
        <v>0.5</v>
      </c>
      <c r="I9033" s="11">
        <f t="shared" si="141"/>
        <v>0</v>
      </c>
      <c r="J9033" s="11">
        <f>1/(H9033*Utilities!$B$11)</f>
        <v>8</v>
      </c>
      <c r="K9033" s="11">
        <f>IF(B9033&lt;C9033,1,EXP(-1*(B9033-C9033)/(Utilities!$B$11*IterData!H9033)))</f>
        <v>1</v>
      </c>
    </row>
    <row r="9034" spans="8:11" x14ac:dyDescent="0.3">
      <c r="H9034">
        <v>0.5</v>
      </c>
      <c r="I9034" s="11">
        <f t="shared" si="141"/>
        <v>0</v>
      </c>
      <c r="J9034" s="11">
        <f>1/(H9034*Utilities!$B$11)</f>
        <v>8</v>
      </c>
      <c r="K9034" s="11">
        <f>IF(B9034&lt;C9034,1,EXP(-1*(B9034-C9034)/(Utilities!$B$11*IterData!H9034)))</f>
        <v>1</v>
      </c>
    </row>
    <row r="9035" spans="8:11" x14ac:dyDescent="0.3">
      <c r="H9035">
        <v>0.5</v>
      </c>
      <c r="I9035" s="11">
        <f t="shared" si="141"/>
        <v>0</v>
      </c>
      <c r="J9035" s="11">
        <f>1/(H9035*Utilities!$B$11)</f>
        <v>8</v>
      </c>
      <c r="K9035" s="11">
        <f>IF(B9035&lt;C9035,1,EXP(-1*(B9035-C9035)/(Utilities!$B$11*IterData!H9035)))</f>
        <v>1</v>
      </c>
    </row>
    <row r="9036" spans="8:11" x14ac:dyDescent="0.3">
      <c r="H9036">
        <v>0.5</v>
      </c>
      <c r="I9036" s="11">
        <f t="shared" si="141"/>
        <v>0</v>
      </c>
      <c r="J9036" s="11">
        <f>1/(H9036*Utilities!$B$11)</f>
        <v>8</v>
      </c>
      <c r="K9036" s="11">
        <f>IF(B9036&lt;C9036,1,EXP(-1*(B9036-C9036)/(Utilities!$B$11*IterData!H9036)))</f>
        <v>1</v>
      </c>
    </row>
    <row r="9037" spans="8:11" x14ac:dyDescent="0.3">
      <c r="H9037">
        <v>0.5</v>
      </c>
      <c r="I9037" s="11">
        <f t="shared" si="141"/>
        <v>0</v>
      </c>
      <c r="J9037" s="11">
        <f>1/(H9037*Utilities!$B$11)</f>
        <v>8</v>
      </c>
      <c r="K9037" s="11">
        <f>IF(B9037&lt;C9037,1,EXP(-1*(B9037-C9037)/(Utilities!$B$11*IterData!H9037)))</f>
        <v>1</v>
      </c>
    </row>
    <row r="9038" spans="8:11" x14ac:dyDescent="0.3">
      <c r="H9038">
        <v>0.5</v>
      </c>
      <c r="I9038" s="11">
        <f t="shared" si="141"/>
        <v>0</v>
      </c>
      <c r="J9038" s="11">
        <f>1/(H9038*Utilities!$B$11)</f>
        <v>8</v>
      </c>
      <c r="K9038" s="11">
        <f>IF(B9038&lt;C9038,1,EXP(-1*(B9038-C9038)/(Utilities!$B$11*IterData!H9038)))</f>
        <v>1</v>
      </c>
    </row>
    <row r="9039" spans="8:11" x14ac:dyDescent="0.3">
      <c r="H9039">
        <v>0.5</v>
      </c>
      <c r="I9039" s="11">
        <f t="shared" si="141"/>
        <v>0</v>
      </c>
      <c r="J9039" s="11">
        <f>1/(H9039*Utilities!$B$11)</f>
        <v>8</v>
      </c>
      <c r="K9039" s="11">
        <f>IF(B9039&lt;C9039,1,EXP(-1*(B9039-C9039)/(Utilities!$B$11*IterData!H9039)))</f>
        <v>1</v>
      </c>
    </row>
    <row r="9040" spans="8:11" x14ac:dyDescent="0.3">
      <c r="H9040">
        <v>0.5</v>
      </c>
      <c r="I9040" s="11">
        <f t="shared" si="141"/>
        <v>0</v>
      </c>
      <c r="J9040" s="11">
        <f>1/(H9040*Utilities!$B$11)</f>
        <v>8</v>
      </c>
      <c r="K9040" s="11">
        <f>IF(B9040&lt;C9040,1,EXP(-1*(B9040-C9040)/(Utilities!$B$11*IterData!H9040)))</f>
        <v>1</v>
      </c>
    </row>
    <row r="9041" spans="8:11" x14ac:dyDescent="0.3">
      <c r="H9041">
        <v>0.5</v>
      </c>
      <c r="I9041" s="11">
        <f t="shared" si="141"/>
        <v>0</v>
      </c>
      <c r="J9041" s="11">
        <f>1/(H9041*Utilities!$B$11)</f>
        <v>8</v>
      </c>
      <c r="K9041" s="11">
        <f>IF(B9041&lt;C9041,1,EXP(-1*(B9041-C9041)/(Utilities!$B$11*IterData!H9041)))</f>
        <v>1</v>
      </c>
    </row>
    <row r="9042" spans="8:11" x14ac:dyDescent="0.3">
      <c r="H9042">
        <v>0.5</v>
      </c>
      <c r="I9042" s="11">
        <f t="shared" si="141"/>
        <v>0</v>
      </c>
      <c r="J9042" s="11">
        <f>1/(H9042*Utilities!$B$11)</f>
        <v>8</v>
      </c>
      <c r="K9042" s="11">
        <f>IF(B9042&lt;C9042,1,EXP(-1*(B9042-C9042)/(Utilities!$B$11*IterData!H9042)))</f>
        <v>1</v>
      </c>
    </row>
    <row r="9043" spans="8:11" x14ac:dyDescent="0.3">
      <c r="H9043">
        <v>0.5</v>
      </c>
      <c r="I9043" s="11">
        <f t="shared" si="141"/>
        <v>0</v>
      </c>
      <c r="J9043" s="11">
        <f>1/(H9043*Utilities!$B$11)</f>
        <v>8</v>
      </c>
      <c r="K9043" s="11">
        <f>IF(B9043&lt;C9043,1,EXP(-1*(B9043-C9043)/(Utilities!$B$11*IterData!H9043)))</f>
        <v>1</v>
      </c>
    </row>
    <row r="9044" spans="8:11" x14ac:dyDescent="0.3">
      <c r="H9044">
        <v>0.5</v>
      </c>
      <c r="I9044" s="11">
        <f t="shared" si="141"/>
        <v>0</v>
      </c>
      <c r="J9044" s="11">
        <f>1/(H9044*Utilities!$B$11)</f>
        <v>8</v>
      </c>
      <c r="K9044" s="11">
        <f>IF(B9044&lt;C9044,1,EXP(-1*(B9044-C9044)/(Utilities!$B$11*IterData!H9044)))</f>
        <v>1</v>
      </c>
    </row>
    <row r="9045" spans="8:11" x14ac:dyDescent="0.3">
      <c r="H9045">
        <v>0.5</v>
      </c>
      <c r="I9045" s="11">
        <f t="shared" si="141"/>
        <v>0</v>
      </c>
      <c r="J9045" s="11">
        <f>1/(H9045*Utilities!$B$11)</f>
        <v>8</v>
      </c>
      <c r="K9045" s="11">
        <f>IF(B9045&lt;C9045,1,EXP(-1*(B9045-C9045)/(Utilities!$B$11*IterData!H9045)))</f>
        <v>1</v>
      </c>
    </row>
    <row r="9046" spans="8:11" x14ac:dyDescent="0.3">
      <c r="H9046">
        <v>0.5</v>
      </c>
      <c r="I9046" s="11">
        <f t="shared" si="141"/>
        <v>0</v>
      </c>
      <c r="J9046" s="11">
        <f>1/(H9046*Utilities!$B$11)</f>
        <v>8</v>
      </c>
      <c r="K9046" s="11">
        <f>IF(B9046&lt;C9046,1,EXP(-1*(B9046-C9046)/(Utilities!$B$11*IterData!H9046)))</f>
        <v>1</v>
      </c>
    </row>
    <row r="9047" spans="8:11" x14ac:dyDescent="0.3">
      <c r="H9047">
        <v>0.5</v>
      </c>
      <c r="I9047" s="11">
        <f t="shared" si="141"/>
        <v>0</v>
      </c>
      <c r="J9047" s="11">
        <f>1/(H9047*Utilities!$B$11)</f>
        <v>8</v>
      </c>
      <c r="K9047" s="11">
        <f>IF(B9047&lt;C9047,1,EXP(-1*(B9047-C9047)/(Utilities!$B$11*IterData!H9047)))</f>
        <v>1</v>
      </c>
    </row>
    <row r="9048" spans="8:11" x14ac:dyDescent="0.3">
      <c r="H9048">
        <v>0.5</v>
      </c>
      <c r="I9048" s="11">
        <f t="shared" si="141"/>
        <v>0</v>
      </c>
      <c r="J9048" s="11">
        <f>1/(H9048*Utilities!$B$11)</f>
        <v>8</v>
      </c>
      <c r="K9048" s="11">
        <f>IF(B9048&lt;C9048,1,EXP(-1*(B9048-C9048)/(Utilities!$B$11*IterData!H9048)))</f>
        <v>1</v>
      </c>
    </row>
    <row r="9049" spans="8:11" x14ac:dyDescent="0.3">
      <c r="H9049">
        <v>0.5</v>
      </c>
      <c r="I9049" s="11">
        <f t="shared" si="141"/>
        <v>0</v>
      </c>
      <c r="J9049" s="11">
        <f>1/(H9049*Utilities!$B$11)</f>
        <v>8</v>
      </c>
      <c r="K9049" s="11">
        <f>IF(B9049&lt;C9049,1,EXP(-1*(B9049-C9049)/(Utilities!$B$11*IterData!H9049)))</f>
        <v>1</v>
      </c>
    </row>
    <row r="9050" spans="8:11" x14ac:dyDescent="0.3">
      <c r="H9050">
        <v>0.5</v>
      </c>
      <c r="I9050" s="11">
        <f t="shared" si="141"/>
        <v>0</v>
      </c>
      <c r="J9050" s="11">
        <f>1/(H9050*Utilities!$B$11)</f>
        <v>8</v>
      </c>
      <c r="K9050" s="11">
        <f>IF(B9050&lt;C9050,1,EXP(-1*(B9050-C9050)/(Utilities!$B$11*IterData!H9050)))</f>
        <v>1</v>
      </c>
    </row>
    <row r="9051" spans="8:11" x14ac:dyDescent="0.3">
      <c r="H9051">
        <v>0.5</v>
      </c>
      <c r="I9051" s="11">
        <f t="shared" si="141"/>
        <v>0</v>
      </c>
      <c r="J9051" s="11">
        <f>1/(H9051*Utilities!$B$11)</f>
        <v>8</v>
      </c>
      <c r="K9051" s="11">
        <f>IF(B9051&lt;C9051,1,EXP(-1*(B9051-C9051)/(Utilities!$B$11*IterData!H9051)))</f>
        <v>1</v>
      </c>
    </row>
    <row r="9052" spans="8:11" x14ac:dyDescent="0.3">
      <c r="H9052">
        <v>0.5</v>
      </c>
      <c r="I9052" s="11">
        <f t="shared" si="141"/>
        <v>0</v>
      </c>
      <c r="J9052" s="11">
        <f>1/(H9052*Utilities!$B$11)</f>
        <v>8</v>
      </c>
      <c r="K9052" s="11">
        <f>IF(B9052&lt;C9052,1,EXP(-1*(B9052-C9052)/(Utilities!$B$11*IterData!H9052)))</f>
        <v>1</v>
      </c>
    </row>
    <row r="9053" spans="8:11" x14ac:dyDescent="0.3">
      <c r="H9053">
        <v>0.5</v>
      </c>
      <c r="I9053" s="11">
        <f t="shared" si="141"/>
        <v>0</v>
      </c>
      <c r="J9053" s="11">
        <f>1/(H9053*Utilities!$B$11)</f>
        <v>8</v>
      </c>
      <c r="K9053" s="11">
        <f>IF(B9053&lt;C9053,1,EXP(-1*(B9053-C9053)/(Utilities!$B$11*IterData!H9053)))</f>
        <v>1</v>
      </c>
    </row>
    <row r="9054" spans="8:11" x14ac:dyDescent="0.3">
      <c r="H9054">
        <v>0.5</v>
      </c>
      <c r="I9054" s="11">
        <f t="shared" si="141"/>
        <v>0</v>
      </c>
      <c r="J9054" s="11">
        <f>1/(H9054*Utilities!$B$11)</f>
        <v>8</v>
      </c>
      <c r="K9054" s="11">
        <f>IF(B9054&lt;C9054,1,EXP(-1*(B9054-C9054)/(Utilities!$B$11*IterData!H9054)))</f>
        <v>1</v>
      </c>
    </row>
    <row r="9055" spans="8:11" x14ac:dyDescent="0.3">
      <c r="H9055">
        <v>0.5</v>
      </c>
      <c r="I9055" s="11">
        <f t="shared" si="141"/>
        <v>0</v>
      </c>
      <c r="J9055" s="11">
        <f>1/(H9055*Utilities!$B$11)</f>
        <v>8</v>
      </c>
      <c r="K9055" s="11">
        <f>IF(B9055&lt;C9055,1,EXP(-1*(B9055-C9055)/(Utilities!$B$11*IterData!H9055)))</f>
        <v>1</v>
      </c>
    </row>
    <row r="9056" spans="8:11" x14ac:dyDescent="0.3">
      <c r="H9056">
        <v>0.5</v>
      </c>
      <c r="I9056" s="11">
        <f t="shared" si="141"/>
        <v>0</v>
      </c>
      <c r="J9056" s="11">
        <f>1/(H9056*Utilities!$B$11)</f>
        <v>8</v>
      </c>
      <c r="K9056" s="11">
        <f>IF(B9056&lt;C9056,1,EXP(-1*(B9056-C9056)/(Utilities!$B$11*IterData!H9056)))</f>
        <v>1</v>
      </c>
    </row>
    <row r="9057" spans="8:11" x14ac:dyDescent="0.3">
      <c r="H9057">
        <v>0.5</v>
      </c>
      <c r="I9057" s="11">
        <f t="shared" si="141"/>
        <v>0</v>
      </c>
      <c r="J9057" s="11">
        <f>1/(H9057*Utilities!$B$11)</f>
        <v>8</v>
      </c>
      <c r="K9057" s="11">
        <f>IF(B9057&lt;C9057,1,EXP(-1*(B9057-C9057)/(Utilities!$B$11*IterData!H9057)))</f>
        <v>1</v>
      </c>
    </row>
    <row r="9058" spans="8:11" x14ac:dyDescent="0.3">
      <c r="H9058">
        <v>0.5</v>
      </c>
      <c r="I9058" s="11">
        <f t="shared" si="141"/>
        <v>0</v>
      </c>
      <c r="J9058" s="11">
        <f>1/(H9058*Utilities!$B$11)</f>
        <v>8</v>
      </c>
      <c r="K9058" s="11">
        <f>IF(B9058&lt;C9058,1,EXP(-1*(B9058-C9058)/(Utilities!$B$11*IterData!H9058)))</f>
        <v>1</v>
      </c>
    </row>
    <row r="9059" spans="8:11" x14ac:dyDescent="0.3">
      <c r="H9059">
        <v>0.5</v>
      </c>
      <c r="I9059" s="11">
        <f t="shared" si="141"/>
        <v>0</v>
      </c>
      <c r="J9059" s="11">
        <f>1/(H9059*Utilities!$B$11)</f>
        <v>8</v>
      </c>
      <c r="K9059" s="11">
        <f>IF(B9059&lt;C9059,1,EXP(-1*(B9059-C9059)/(Utilities!$B$11*IterData!H9059)))</f>
        <v>1</v>
      </c>
    </row>
    <row r="9060" spans="8:11" x14ac:dyDescent="0.3">
      <c r="H9060">
        <v>0.5</v>
      </c>
      <c r="I9060" s="11">
        <f t="shared" si="141"/>
        <v>0</v>
      </c>
      <c r="J9060" s="11">
        <f>1/(H9060*Utilities!$B$11)</f>
        <v>8</v>
      </c>
      <c r="K9060" s="11">
        <f>IF(B9060&lt;C9060,1,EXP(-1*(B9060-C9060)/(Utilities!$B$11*IterData!H9060)))</f>
        <v>1</v>
      </c>
    </row>
    <row r="9061" spans="8:11" x14ac:dyDescent="0.3">
      <c r="H9061">
        <v>0.5</v>
      </c>
      <c r="I9061" s="11">
        <f t="shared" si="141"/>
        <v>0</v>
      </c>
      <c r="J9061" s="11">
        <f>1/(H9061*Utilities!$B$11)</f>
        <v>8</v>
      </c>
      <c r="K9061" s="11">
        <f>IF(B9061&lt;C9061,1,EXP(-1*(B9061-C9061)/(Utilities!$B$11*IterData!H9061)))</f>
        <v>1</v>
      </c>
    </row>
    <row r="9062" spans="8:11" x14ac:dyDescent="0.3">
      <c r="H9062">
        <v>0.5</v>
      </c>
      <c r="I9062" s="11">
        <f t="shared" si="141"/>
        <v>0</v>
      </c>
      <c r="J9062" s="11">
        <f>1/(H9062*Utilities!$B$11)</f>
        <v>8</v>
      </c>
      <c r="K9062" s="11">
        <f>IF(B9062&lt;C9062,1,EXP(-1*(B9062-C9062)/(Utilities!$B$11*IterData!H9062)))</f>
        <v>1</v>
      </c>
    </row>
    <row r="9063" spans="8:11" x14ac:dyDescent="0.3">
      <c r="H9063">
        <v>0.5</v>
      </c>
      <c r="I9063" s="11">
        <f t="shared" si="141"/>
        <v>0</v>
      </c>
      <c r="J9063" s="11">
        <f>1/(H9063*Utilities!$B$11)</f>
        <v>8</v>
      </c>
      <c r="K9063" s="11">
        <f>IF(B9063&lt;C9063,1,EXP(-1*(B9063-C9063)/(Utilities!$B$11*IterData!H9063)))</f>
        <v>1</v>
      </c>
    </row>
    <row r="9064" spans="8:11" x14ac:dyDescent="0.3">
      <c r="H9064">
        <v>0.5</v>
      </c>
      <c r="I9064" s="11">
        <f t="shared" si="141"/>
        <v>0</v>
      </c>
      <c r="J9064" s="11">
        <f>1/(H9064*Utilities!$B$11)</f>
        <v>8</v>
      </c>
      <c r="K9064" s="11">
        <f>IF(B9064&lt;C9064,1,EXP(-1*(B9064-C9064)/(Utilities!$B$11*IterData!H9064)))</f>
        <v>1</v>
      </c>
    </row>
    <row r="9065" spans="8:11" x14ac:dyDescent="0.3">
      <c r="H9065">
        <v>0.5</v>
      </c>
      <c r="I9065" s="11">
        <f t="shared" si="141"/>
        <v>0</v>
      </c>
      <c r="J9065" s="11">
        <f>1/(H9065*Utilities!$B$11)</f>
        <v>8</v>
      </c>
      <c r="K9065" s="11">
        <f>IF(B9065&lt;C9065,1,EXP(-1*(B9065-C9065)/(Utilities!$B$11*IterData!H9065)))</f>
        <v>1</v>
      </c>
    </row>
    <row r="9066" spans="8:11" x14ac:dyDescent="0.3">
      <c r="H9066">
        <v>0.5</v>
      </c>
      <c r="I9066" s="11">
        <f t="shared" si="141"/>
        <v>0</v>
      </c>
      <c r="J9066" s="11">
        <f>1/(H9066*Utilities!$B$11)</f>
        <v>8</v>
      </c>
      <c r="K9066" s="11">
        <f>IF(B9066&lt;C9066,1,EXP(-1*(B9066-C9066)/(Utilities!$B$11*IterData!H9066)))</f>
        <v>1</v>
      </c>
    </row>
    <row r="9067" spans="8:11" x14ac:dyDescent="0.3">
      <c r="H9067">
        <v>0.5</v>
      </c>
      <c r="I9067" s="11">
        <f t="shared" si="141"/>
        <v>0</v>
      </c>
      <c r="J9067" s="11">
        <f>1/(H9067*Utilities!$B$11)</f>
        <v>8</v>
      </c>
      <c r="K9067" s="11">
        <f>IF(B9067&lt;C9067,1,EXP(-1*(B9067-C9067)/(Utilities!$B$11*IterData!H9067)))</f>
        <v>1</v>
      </c>
    </row>
    <row r="9068" spans="8:11" x14ac:dyDescent="0.3">
      <c r="H9068">
        <v>0.5</v>
      </c>
      <c r="I9068" s="11">
        <f t="shared" si="141"/>
        <v>0</v>
      </c>
      <c r="J9068" s="11">
        <f>1/(H9068*Utilities!$B$11)</f>
        <v>8</v>
      </c>
      <c r="K9068" s="11">
        <f>IF(B9068&lt;C9068,1,EXP(-1*(B9068-C9068)/(Utilities!$B$11*IterData!H9068)))</f>
        <v>1</v>
      </c>
    </row>
    <row r="9069" spans="8:11" x14ac:dyDescent="0.3">
      <c r="H9069">
        <v>0.5</v>
      </c>
      <c r="I9069" s="11">
        <f t="shared" si="141"/>
        <v>0</v>
      </c>
      <c r="J9069" s="11">
        <f>1/(H9069*Utilities!$B$11)</f>
        <v>8</v>
      </c>
      <c r="K9069" s="11">
        <f>IF(B9069&lt;C9069,1,EXP(-1*(B9069-C9069)/(Utilities!$B$11*IterData!H9069)))</f>
        <v>1</v>
      </c>
    </row>
    <row r="9070" spans="8:11" x14ac:dyDescent="0.3">
      <c r="H9070">
        <v>0.5</v>
      </c>
      <c r="I9070" s="11">
        <f t="shared" si="141"/>
        <v>0</v>
      </c>
      <c r="J9070" s="11">
        <f>1/(H9070*Utilities!$B$11)</f>
        <v>8</v>
      </c>
      <c r="K9070" s="11">
        <f>IF(B9070&lt;C9070,1,EXP(-1*(B9070-C9070)/(Utilities!$B$11*IterData!H9070)))</f>
        <v>1</v>
      </c>
    </row>
    <row r="9071" spans="8:11" x14ac:dyDescent="0.3">
      <c r="H9071">
        <v>0.5</v>
      </c>
      <c r="I9071" s="11">
        <f t="shared" si="141"/>
        <v>0</v>
      </c>
      <c r="J9071" s="11">
        <f>1/(H9071*Utilities!$B$11)</f>
        <v>8</v>
      </c>
      <c r="K9071" s="11">
        <f>IF(B9071&lt;C9071,1,EXP(-1*(B9071-C9071)/(Utilities!$B$11*IterData!H9071)))</f>
        <v>1</v>
      </c>
    </row>
    <row r="9072" spans="8:11" x14ac:dyDescent="0.3">
      <c r="H9072">
        <v>0.5</v>
      </c>
      <c r="I9072" s="11">
        <f t="shared" si="141"/>
        <v>0</v>
      </c>
      <c r="J9072" s="11">
        <f>1/(H9072*Utilities!$B$11)</f>
        <v>8</v>
      </c>
      <c r="K9072" s="11">
        <f>IF(B9072&lt;C9072,1,EXP(-1*(B9072-C9072)/(Utilities!$B$11*IterData!H9072)))</f>
        <v>1</v>
      </c>
    </row>
    <row r="9073" spans="8:11" x14ac:dyDescent="0.3">
      <c r="H9073">
        <v>0.5</v>
      </c>
      <c r="I9073" s="11">
        <f t="shared" si="141"/>
        <v>0</v>
      </c>
      <c r="J9073" s="11">
        <f>1/(H9073*Utilities!$B$11)</f>
        <v>8</v>
      </c>
      <c r="K9073" s="11">
        <f>IF(B9073&lt;C9073,1,EXP(-1*(B9073-C9073)/(Utilities!$B$11*IterData!H9073)))</f>
        <v>1</v>
      </c>
    </row>
    <row r="9074" spans="8:11" x14ac:dyDescent="0.3">
      <c r="H9074">
        <v>0.5</v>
      </c>
      <c r="I9074" s="11">
        <f t="shared" si="141"/>
        <v>0</v>
      </c>
      <c r="J9074" s="11">
        <f>1/(H9074*Utilities!$B$11)</f>
        <v>8</v>
      </c>
      <c r="K9074" s="11">
        <f>IF(B9074&lt;C9074,1,EXP(-1*(B9074-C9074)/(Utilities!$B$11*IterData!H9074)))</f>
        <v>1</v>
      </c>
    </row>
    <row r="9075" spans="8:11" x14ac:dyDescent="0.3">
      <c r="H9075">
        <v>0.5</v>
      </c>
      <c r="I9075" s="11">
        <f t="shared" si="141"/>
        <v>0</v>
      </c>
      <c r="J9075" s="11">
        <f>1/(H9075*Utilities!$B$11)</f>
        <v>8</v>
      </c>
      <c r="K9075" s="11">
        <f>IF(B9075&lt;C9075,1,EXP(-1*(B9075-C9075)/(Utilities!$B$11*IterData!H9075)))</f>
        <v>1</v>
      </c>
    </row>
    <row r="9076" spans="8:11" x14ac:dyDescent="0.3">
      <c r="H9076">
        <v>0.5</v>
      </c>
      <c r="I9076" s="11">
        <f t="shared" si="141"/>
        <v>0</v>
      </c>
      <c r="J9076" s="11">
        <f>1/(H9076*Utilities!$B$11)</f>
        <v>8</v>
      </c>
      <c r="K9076" s="11">
        <f>IF(B9076&lt;C9076,1,EXP(-1*(B9076-C9076)/(Utilities!$B$11*IterData!H9076)))</f>
        <v>1</v>
      </c>
    </row>
    <row r="9077" spans="8:11" x14ac:dyDescent="0.3">
      <c r="H9077">
        <v>0.5</v>
      </c>
      <c r="I9077" s="11">
        <f t="shared" si="141"/>
        <v>0</v>
      </c>
      <c r="J9077" s="11">
        <f>1/(H9077*Utilities!$B$11)</f>
        <v>8</v>
      </c>
      <c r="K9077" s="11">
        <f>IF(B9077&lt;C9077,1,EXP(-1*(B9077-C9077)/(Utilities!$B$11*IterData!H9077)))</f>
        <v>1</v>
      </c>
    </row>
    <row r="9078" spans="8:11" x14ac:dyDescent="0.3">
      <c r="H9078">
        <v>0.5</v>
      </c>
      <c r="I9078" s="11">
        <f t="shared" si="141"/>
        <v>0</v>
      </c>
      <c r="J9078" s="11">
        <f>1/(H9078*Utilities!$B$11)</f>
        <v>8</v>
      </c>
      <c r="K9078" s="11">
        <f>IF(B9078&lt;C9078,1,EXP(-1*(B9078-C9078)/(Utilities!$B$11*IterData!H9078)))</f>
        <v>1</v>
      </c>
    </row>
    <row r="9079" spans="8:11" x14ac:dyDescent="0.3">
      <c r="H9079">
        <v>0.5</v>
      </c>
      <c r="I9079" s="11">
        <f t="shared" si="141"/>
        <v>0</v>
      </c>
      <c r="J9079" s="11">
        <f>1/(H9079*Utilities!$B$11)</f>
        <v>8</v>
      </c>
      <c r="K9079" s="11">
        <f>IF(B9079&lt;C9079,1,EXP(-1*(B9079-C9079)/(Utilities!$B$11*IterData!H9079)))</f>
        <v>1</v>
      </c>
    </row>
    <row r="9080" spans="8:11" x14ac:dyDescent="0.3">
      <c r="H9080">
        <v>0.5</v>
      </c>
      <c r="I9080" s="11">
        <f t="shared" si="141"/>
        <v>0</v>
      </c>
      <c r="J9080" s="11">
        <f>1/(H9080*Utilities!$B$11)</f>
        <v>8</v>
      </c>
      <c r="K9080" s="11">
        <f>IF(B9080&lt;C9080,1,EXP(-1*(B9080-C9080)/(Utilities!$B$11*IterData!H9080)))</f>
        <v>1</v>
      </c>
    </row>
    <row r="9081" spans="8:11" x14ac:dyDescent="0.3">
      <c r="H9081">
        <v>0.5</v>
      </c>
      <c r="I9081" s="11">
        <f t="shared" si="141"/>
        <v>0</v>
      </c>
      <c r="J9081" s="11">
        <f>1/(H9081*Utilities!$B$11)</f>
        <v>8</v>
      </c>
      <c r="K9081" s="11">
        <f>IF(B9081&lt;C9081,1,EXP(-1*(B9081-C9081)/(Utilities!$B$11*IterData!H9081)))</f>
        <v>1</v>
      </c>
    </row>
    <row r="9082" spans="8:11" x14ac:dyDescent="0.3">
      <c r="H9082">
        <v>0.5</v>
      </c>
      <c r="I9082" s="11">
        <f t="shared" si="141"/>
        <v>0</v>
      </c>
      <c r="J9082" s="11">
        <f>1/(H9082*Utilities!$B$11)</f>
        <v>8</v>
      </c>
      <c r="K9082" s="11">
        <f>IF(B9082&lt;C9082,1,EXP(-1*(B9082-C9082)/(Utilities!$B$11*IterData!H9082)))</f>
        <v>1</v>
      </c>
    </row>
    <row r="9083" spans="8:11" x14ac:dyDescent="0.3">
      <c r="H9083">
        <v>0.5</v>
      </c>
      <c r="I9083" s="11">
        <f t="shared" si="141"/>
        <v>0</v>
      </c>
      <c r="J9083" s="11">
        <f>1/(H9083*Utilities!$B$11)</f>
        <v>8</v>
      </c>
      <c r="K9083" s="11">
        <f>IF(B9083&lt;C9083,1,EXP(-1*(B9083-C9083)/(Utilities!$B$11*IterData!H9083)))</f>
        <v>1</v>
      </c>
    </row>
    <row r="9084" spans="8:11" x14ac:dyDescent="0.3">
      <c r="H9084">
        <v>0.5</v>
      </c>
      <c r="I9084" s="11">
        <f t="shared" si="141"/>
        <v>0</v>
      </c>
      <c r="J9084" s="11">
        <f>1/(H9084*Utilities!$B$11)</f>
        <v>8</v>
      </c>
      <c r="K9084" s="11">
        <f>IF(B9084&lt;C9084,1,EXP(-1*(B9084-C9084)/(Utilities!$B$11*IterData!H9084)))</f>
        <v>1</v>
      </c>
    </row>
    <row r="9085" spans="8:11" x14ac:dyDescent="0.3">
      <c r="H9085">
        <v>0.5</v>
      </c>
      <c r="I9085" s="11">
        <f t="shared" si="141"/>
        <v>0</v>
      </c>
      <c r="J9085" s="11">
        <f>1/(H9085*Utilities!$B$11)</f>
        <v>8</v>
      </c>
      <c r="K9085" s="11">
        <f>IF(B9085&lt;C9085,1,EXP(-1*(B9085-C9085)/(Utilities!$B$11*IterData!H9085)))</f>
        <v>1</v>
      </c>
    </row>
    <row r="9086" spans="8:11" x14ac:dyDescent="0.3">
      <c r="H9086">
        <v>0.5</v>
      </c>
      <c r="I9086" s="11">
        <f t="shared" si="141"/>
        <v>0</v>
      </c>
      <c r="J9086" s="11">
        <f>1/(H9086*Utilities!$B$11)</f>
        <v>8</v>
      </c>
      <c r="K9086" s="11">
        <f>IF(B9086&lt;C9086,1,EXP(-1*(B9086-C9086)/(Utilities!$B$11*IterData!H9086)))</f>
        <v>1</v>
      </c>
    </row>
    <row r="9087" spans="8:11" x14ac:dyDescent="0.3">
      <c r="H9087">
        <v>0.5</v>
      </c>
      <c r="I9087" s="11">
        <f t="shared" si="141"/>
        <v>0</v>
      </c>
      <c r="J9087" s="11">
        <f>1/(H9087*Utilities!$B$11)</f>
        <v>8</v>
      </c>
      <c r="K9087" s="11">
        <f>IF(B9087&lt;C9087,1,EXP(-1*(B9087-C9087)/(Utilities!$B$11*IterData!H9087)))</f>
        <v>1</v>
      </c>
    </row>
    <row r="9088" spans="8:11" x14ac:dyDescent="0.3">
      <c r="H9088">
        <v>0.5</v>
      </c>
      <c r="I9088" s="11">
        <f t="shared" si="141"/>
        <v>0</v>
      </c>
      <c r="J9088" s="11">
        <f>1/(H9088*Utilities!$B$11)</f>
        <v>8</v>
      </c>
      <c r="K9088" s="11">
        <f>IF(B9088&lt;C9088,1,EXP(-1*(B9088-C9088)/(Utilities!$B$11*IterData!H9088)))</f>
        <v>1</v>
      </c>
    </row>
    <row r="9089" spans="8:11" x14ac:dyDescent="0.3">
      <c r="H9089">
        <v>0.5</v>
      </c>
      <c r="I9089" s="11">
        <f t="shared" si="141"/>
        <v>0</v>
      </c>
      <c r="J9089" s="11">
        <f>1/(H9089*Utilities!$B$11)</f>
        <v>8</v>
      </c>
      <c r="K9089" s="11">
        <f>IF(B9089&lt;C9089,1,EXP(-1*(B9089-C9089)/(Utilities!$B$11*IterData!H9089)))</f>
        <v>1</v>
      </c>
    </row>
    <row r="9090" spans="8:11" x14ac:dyDescent="0.3">
      <c r="H9090">
        <v>0.5</v>
      </c>
      <c r="I9090" s="11">
        <f t="shared" si="141"/>
        <v>0</v>
      </c>
      <c r="J9090" s="11">
        <f>1/(H9090*Utilities!$B$11)</f>
        <v>8</v>
      </c>
      <c r="K9090" s="11">
        <f>IF(B9090&lt;C9090,1,EXP(-1*(B9090-C9090)/(Utilities!$B$11*IterData!H9090)))</f>
        <v>1</v>
      </c>
    </row>
    <row r="9091" spans="8:11" x14ac:dyDescent="0.3">
      <c r="H9091">
        <v>0.5</v>
      </c>
      <c r="I9091" s="11">
        <f t="shared" ref="I9091:I9154" si="142">B9091-C9091</f>
        <v>0</v>
      </c>
      <c r="J9091" s="11">
        <f>1/(H9091*Utilities!$B$11)</f>
        <v>8</v>
      </c>
      <c r="K9091" s="11">
        <f>IF(B9091&lt;C9091,1,EXP(-1*(B9091-C9091)/(Utilities!$B$11*IterData!H9091)))</f>
        <v>1</v>
      </c>
    </row>
    <row r="9092" spans="8:11" x14ac:dyDescent="0.3">
      <c r="H9092">
        <v>0.5</v>
      </c>
      <c r="I9092" s="11">
        <f t="shared" si="142"/>
        <v>0</v>
      </c>
      <c r="J9092" s="11">
        <f>1/(H9092*Utilities!$B$11)</f>
        <v>8</v>
      </c>
      <c r="K9092" s="11">
        <f>IF(B9092&lt;C9092,1,EXP(-1*(B9092-C9092)/(Utilities!$B$11*IterData!H9092)))</f>
        <v>1</v>
      </c>
    </row>
    <row r="9093" spans="8:11" x14ac:dyDescent="0.3">
      <c r="H9093">
        <v>0.5</v>
      </c>
      <c r="I9093" s="11">
        <f t="shared" si="142"/>
        <v>0</v>
      </c>
      <c r="J9093" s="11">
        <f>1/(H9093*Utilities!$B$11)</f>
        <v>8</v>
      </c>
      <c r="K9093" s="11">
        <f>IF(B9093&lt;C9093,1,EXP(-1*(B9093-C9093)/(Utilities!$B$11*IterData!H9093)))</f>
        <v>1</v>
      </c>
    </row>
    <row r="9094" spans="8:11" x14ac:dyDescent="0.3">
      <c r="H9094">
        <v>0.5</v>
      </c>
      <c r="I9094" s="11">
        <f t="shared" si="142"/>
        <v>0</v>
      </c>
      <c r="J9094" s="11">
        <f>1/(H9094*Utilities!$B$11)</f>
        <v>8</v>
      </c>
      <c r="K9094" s="11">
        <f>IF(B9094&lt;C9094,1,EXP(-1*(B9094-C9094)/(Utilities!$B$11*IterData!H9094)))</f>
        <v>1</v>
      </c>
    </row>
    <row r="9095" spans="8:11" x14ac:dyDescent="0.3">
      <c r="H9095">
        <v>0.5</v>
      </c>
      <c r="I9095" s="11">
        <f t="shared" si="142"/>
        <v>0</v>
      </c>
      <c r="J9095" s="11">
        <f>1/(H9095*Utilities!$B$11)</f>
        <v>8</v>
      </c>
      <c r="K9095" s="11">
        <f>IF(B9095&lt;C9095,1,EXP(-1*(B9095-C9095)/(Utilities!$B$11*IterData!H9095)))</f>
        <v>1</v>
      </c>
    </row>
    <row r="9096" spans="8:11" x14ac:dyDescent="0.3">
      <c r="H9096">
        <v>0.5</v>
      </c>
      <c r="I9096" s="11">
        <f t="shared" si="142"/>
        <v>0</v>
      </c>
      <c r="J9096" s="11">
        <f>1/(H9096*Utilities!$B$11)</f>
        <v>8</v>
      </c>
      <c r="K9096" s="11">
        <f>IF(B9096&lt;C9096,1,EXP(-1*(B9096-C9096)/(Utilities!$B$11*IterData!H9096)))</f>
        <v>1</v>
      </c>
    </row>
    <row r="9097" spans="8:11" x14ac:dyDescent="0.3">
      <c r="H9097">
        <v>0.5</v>
      </c>
      <c r="I9097" s="11">
        <f t="shared" si="142"/>
        <v>0</v>
      </c>
      <c r="J9097" s="11">
        <f>1/(H9097*Utilities!$B$11)</f>
        <v>8</v>
      </c>
      <c r="K9097" s="11">
        <f>IF(B9097&lt;C9097,1,EXP(-1*(B9097-C9097)/(Utilities!$B$11*IterData!H9097)))</f>
        <v>1</v>
      </c>
    </row>
    <row r="9098" spans="8:11" x14ac:dyDescent="0.3">
      <c r="H9098">
        <v>0.5</v>
      </c>
      <c r="I9098" s="11">
        <f t="shared" si="142"/>
        <v>0</v>
      </c>
      <c r="J9098" s="11">
        <f>1/(H9098*Utilities!$B$11)</f>
        <v>8</v>
      </c>
      <c r="K9098" s="11">
        <f>IF(B9098&lt;C9098,1,EXP(-1*(B9098-C9098)/(Utilities!$B$11*IterData!H9098)))</f>
        <v>1</v>
      </c>
    </row>
    <row r="9099" spans="8:11" x14ac:dyDescent="0.3">
      <c r="H9099">
        <v>0.5</v>
      </c>
      <c r="I9099" s="11">
        <f t="shared" si="142"/>
        <v>0</v>
      </c>
      <c r="J9099" s="11">
        <f>1/(H9099*Utilities!$B$11)</f>
        <v>8</v>
      </c>
      <c r="K9099" s="11">
        <f>IF(B9099&lt;C9099,1,EXP(-1*(B9099-C9099)/(Utilities!$B$11*IterData!H9099)))</f>
        <v>1</v>
      </c>
    </row>
    <row r="9100" spans="8:11" x14ac:dyDescent="0.3">
      <c r="H9100">
        <v>0.5</v>
      </c>
      <c r="I9100" s="11">
        <f t="shared" si="142"/>
        <v>0</v>
      </c>
      <c r="J9100" s="11">
        <f>1/(H9100*Utilities!$B$11)</f>
        <v>8</v>
      </c>
      <c r="K9100" s="11">
        <f>IF(B9100&lt;C9100,1,EXP(-1*(B9100-C9100)/(Utilities!$B$11*IterData!H9100)))</f>
        <v>1</v>
      </c>
    </row>
    <row r="9101" spans="8:11" x14ac:dyDescent="0.3">
      <c r="H9101">
        <v>0.5</v>
      </c>
      <c r="I9101" s="11">
        <f t="shared" si="142"/>
        <v>0</v>
      </c>
      <c r="J9101" s="11">
        <f>1/(H9101*Utilities!$B$11)</f>
        <v>8</v>
      </c>
      <c r="K9101" s="11">
        <f>IF(B9101&lt;C9101,1,EXP(-1*(B9101-C9101)/(Utilities!$B$11*IterData!H9101)))</f>
        <v>1</v>
      </c>
    </row>
    <row r="9102" spans="8:11" x14ac:dyDescent="0.3">
      <c r="H9102">
        <v>0.5</v>
      </c>
      <c r="I9102" s="11">
        <f t="shared" si="142"/>
        <v>0</v>
      </c>
      <c r="J9102" s="11">
        <f>1/(H9102*Utilities!$B$11)</f>
        <v>8</v>
      </c>
      <c r="K9102" s="11">
        <f>IF(B9102&lt;C9102,1,EXP(-1*(B9102-C9102)/(Utilities!$B$11*IterData!H9102)))</f>
        <v>1</v>
      </c>
    </row>
    <row r="9103" spans="8:11" x14ac:dyDescent="0.3">
      <c r="H9103">
        <v>0.5</v>
      </c>
      <c r="I9103" s="11">
        <f t="shared" si="142"/>
        <v>0</v>
      </c>
      <c r="J9103" s="11">
        <f>1/(H9103*Utilities!$B$11)</f>
        <v>8</v>
      </c>
      <c r="K9103" s="11">
        <f>IF(B9103&lt;C9103,1,EXP(-1*(B9103-C9103)/(Utilities!$B$11*IterData!H9103)))</f>
        <v>1</v>
      </c>
    </row>
    <row r="9104" spans="8:11" x14ac:dyDescent="0.3">
      <c r="H9104">
        <v>0.5</v>
      </c>
      <c r="I9104" s="11">
        <f t="shared" si="142"/>
        <v>0</v>
      </c>
      <c r="J9104" s="11">
        <f>1/(H9104*Utilities!$B$11)</f>
        <v>8</v>
      </c>
      <c r="K9104" s="11">
        <f>IF(B9104&lt;C9104,1,EXP(-1*(B9104-C9104)/(Utilities!$B$11*IterData!H9104)))</f>
        <v>1</v>
      </c>
    </row>
    <row r="9105" spans="8:11" x14ac:dyDescent="0.3">
      <c r="H9105">
        <v>0.5</v>
      </c>
      <c r="I9105" s="11">
        <f t="shared" si="142"/>
        <v>0</v>
      </c>
      <c r="J9105" s="11">
        <f>1/(H9105*Utilities!$B$11)</f>
        <v>8</v>
      </c>
      <c r="K9105" s="11">
        <f>IF(B9105&lt;C9105,1,EXP(-1*(B9105-C9105)/(Utilities!$B$11*IterData!H9105)))</f>
        <v>1</v>
      </c>
    </row>
    <row r="9106" spans="8:11" x14ac:dyDescent="0.3">
      <c r="H9106">
        <v>0.5</v>
      </c>
      <c r="I9106" s="11">
        <f t="shared" si="142"/>
        <v>0</v>
      </c>
      <c r="J9106" s="11">
        <f>1/(H9106*Utilities!$B$11)</f>
        <v>8</v>
      </c>
      <c r="K9106" s="11">
        <f>IF(B9106&lt;C9106,1,EXP(-1*(B9106-C9106)/(Utilities!$B$11*IterData!H9106)))</f>
        <v>1</v>
      </c>
    </row>
    <row r="9107" spans="8:11" x14ac:dyDescent="0.3">
      <c r="H9107">
        <v>0.5</v>
      </c>
      <c r="I9107" s="11">
        <f t="shared" si="142"/>
        <v>0</v>
      </c>
      <c r="J9107" s="11">
        <f>1/(H9107*Utilities!$B$11)</f>
        <v>8</v>
      </c>
      <c r="K9107" s="11">
        <f>IF(B9107&lt;C9107,1,EXP(-1*(B9107-C9107)/(Utilities!$B$11*IterData!H9107)))</f>
        <v>1</v>
      </c>
    </row>
    <row r="9108" spans="8:11" x14ac:dyDescent="0.3">
      <c r="H9108">
        <v>0.5</v>
      </c>
      <c r="I9108" s="11">
        <f t="shared" si="142"/>
        <v>0</v>
      </c>
      <c r="J9108" s="11">
        <f>1/(H9108*Utilities!$B$11)</f>
        <v>8</v>
      </c>
      <c r="K9108" s="11">
        <f>IF(B9108&lt;C9108,1,EXP(-1*(B9108-C9108)/(Utilities!$B$11*IterData!H9108)))</f>
        <v>1</v>
      </c>
    </row>
    <row r="9109" spans="8:11" x14ac:dyDescent="0.3">
      <c r="H9109">
        <v>0.5</v>
      </c>
      <c r="I9109" s="11">
        <f t="shared" si="142"/>
        <v>0</v>
      </c>
      <c r="J9109" s="11">
        <f>1/(H9109*Utilities!$B$11)</f>
        <v>8</v>
      </c>
      <c r="K9109" s="11">
        <f>IF(B9109&lt;C9109,1,EXP(-1*(B9109-C9109)/(Utilities!$B$11*IterData!H9109)))</f>
        <v>1</v>
      </c>
    </row>
    <row r="9110" spans="8:11" x14ac:dyDescent="0.3">
      <c r="H9110">
        <v>0.5</v>
      </c>
      <c r="I9110" s="11">
        <f t="shared" si="142"/>
        <v>0</v>
      </c>
      <c r="J9110" s="11">
        <f>1/(H9110*Utilities!$B$11)</f>
        <v>8</v>
      </c>
      <c r="K9110" s="11">
        <f>IF(B9110&lt;C9110,1,EXP(-1*(B9110-C9110)/(Utilities!$B$11*IterData!H9110)))</f>
        <v>1</v>
      </c>
    </row>
    <row r="9111" spans="8:11" x14ac:dyDescent="0.3">
      <c r="H9111">
        <v>0.5</v>
      </c>
      <c r="I9111" s="11">
        <f t="shared" si="142"/>
        <v>0</v>
      </c>
      <c r="J9111" s="11">
        <f>1/(H9111*Utilities!$B$11)</f>
        <v>8</v>
      </c>
      <c r="K9111" s="11">
        <f>IF(B9111&lt;C9111,1,EXP(-1*(B9111-C9111)/(Utilities!$B$11*IterData!H9111)))</f>
        <v>1</v>
      </c>
    </row>
    <row r="9112" spans="8:11" x14ac:dyDescent="0.3">
      <c r="H9112">
        <v>0.5</v>
      </c>
      <c r="I9112" s="11">
        <f t="shared" si="142"/>
        <v>0</v>
      </c>
      <c r="J9112" s="11">
        <f>1/(H9112*Utilities!$B$11)</f>
        <v>8</v>
      </c>
      <c r="K9112" s="11">
        <f>IF(B9112&lt;C9112,1,EXP(-1*(B9112-C9112)/(Utilities!$B$11*IterData!H9112)))</f>
        <v>1</v>
      </c>
    </row>
    <row r="9113" spans="8:11" x14ac:dyDescent="0.3">
      <c r="H9113">
        <v>0.5</v>
      </c>
      <c r="I9113" s="11">
        <f t="shared" si="142"/>
        <v>0</v>
      </c>
      <c r="J9113" s="11">
        <f>1/(H9113*Utilities!$B$11)</f>
        <v>8</v>
      </c>
      <c r="K9113" s="11">
        <f>IF(B9113&lt;C9113,1,EXP(-1*(B9113-C9113)/(Utilities!$B$11*IterData!H9113)))</f>
        <v>1</v>
      </c>
    </row>
    <row r="9114" spans="8:11" x14ac:dyDescent="0.3">
      <c r="H9114">
        <v>0.5</v>
      </c>
      <c r="I9114" s="11">
        <f t="shared" si="142"/>
        <v>0</v>
      </c>
      <c r="J9114" s="11">
        <f>1/(H9114*Utilities!$B$11)</f>
        <v>8</v>
      </c>
      <c r="K9114" s="11">
        <f>IF(B9114&lt;C9114,1,EXP(-1*(B9114-C9114)/(Utilities!$B$11*IterData!H9114)))</f>
        <v>1</v>
      </c>
    </row>
    <row r="9115" spans="8:11" x14ac:dyDescent="0.3">
      <c r="H9115">
        <v>0.5</v>
      </c>
      <c r="I9115" s="11">
        <f t="shared" si="142"/>
        <v>0</v>
      </c>
      <c r="J9115" s="11">
        <f>1/(H9115*Utilities!$B$11)</f>
        <v>8</v>
      </c>
      <c r="K9115" s="11">
        <f>IF(B9115&lt;C9115,1,EXP(-1*(B9115-C9115)/(Utilities!$B$11*IterData!H9115)))</f>
        <v>1</v>
      </c>
    </row>
    <row r="9116" spans="8:11" x14ac:dyDescent="0.3">
      <c r="H9116">
        <v>0.5</v>
      </c>
      <c r="I9116" s="11">
        <f t="shared" si="142"/>
        <v>0</v>
      </c>
      <c r="J9116" s="11">
        <f>1/(H9116*Utilities!$B$11)</f>
        <v>8</v>
      </c>
      <c r="K9116" s="11">
        <f>IF(B9116&lt;C9116,1,EXP(-1*(B9116-C9116)/(Utilities!$B$11*IterData!H9116)))</f>
        <v>1</v>
      </c>
    </row>
    <row r="9117" spans="8:11" x14ac:dyDescent="0.3">
      <c r="H9117">
        <v>0.5</v>
      </c>
      <c r="I9117" s="11">
        <f t="shared" si="142"/>
        <v>0</v>
      </c>
      <c r="J9117" s="11">
        <f>1/(H9117*Utilities!$B$11)</f>
        <v>8</v>
      </c>
      <c r="K9117" s="11">
        <f>IF(B9117&lt;C9117,1,EXP(-1*(B9117-C9117)/(Utilities!$B$11*IterData!H9117)))</f>
        <v>1</v>
      </c>
    </row>
    <row r="9118" spans="8:11" x14ac:dyDescent="0.3">
      <c r="H9118">
        <v>0.5</v>
      </c>
      <c r="I9118" s="11">
        <f t="shared" si="142"/>
        <v>0</v>
      </c>
      <c r="J9118" s="11">
        <f>1/(H9118*Utilities!$B$11)</f>
        <v>8</v>
      </c>
      <c r="K9118" s="11">
        <f>IF(B9118&lt;C9118,1,EXP(-1*(B9118-C9118)/(Utilities!$B$11*IterData!H9118)))</f>
        <v>1</v>
      </c>
    </row>
    <row r="9119" spans="8:11" x14ac:dyDescent="0.3">
      <c r="H9119">
        <v>0.5</v>
      </c>
      <c r="I9119" s="11">
        <f t="shared" si="142"/>
        <v>0</v>
      </c>
      <c r="J9119" s="11">
        <f>1/(H9119*Utilities!$B$11)</f>
        <v>8</v>
      </c>
      <c r="K9119" s="11">
        <f>IF(B9119&lt;C9119,1,EXP(-1*(B9119-C9119)/(Utilities!$B$11*IterData!H9119)))</f>
        <v>1</v>
      </c>
    </row>
    <row r="9120" spans="8:11" x14ac:dyDescent="0.3">
      <c r="H9120">
        <v>0.5</v>
      </c>
      <c r="I9120" s="11">
        <f t="shared" si="142"/>
        <v>0</v>
      </c>
      <c r="J9120" s="11">
        <f>1/(H9120*Utilities!$B$11)</f>
        <v>8</v>
      </c>
      <c r="K9120" s="11">
        <f>IF(B9120&lt;C9120,1,EXP(-1*(B9120-C9120)/(Utilities!$B$11*IterData!H9120)))</f>
        <v>1</v>
      </c>
    </row>
    <row r="9121" spans="8:11" x14ac:dyDescent="0.3">
      <c r="H9121">
        <v>0.5</v>
      </c>
      <c r="I9121" s="11">
        <f t="shared" si="142"/>
        <v>0</v>
      </c>
      <c r="J9121" s="11">
        <f>1/(H9121*Utilities!$B$11)</f>
        <v>8</v>
      </c>
      <c r="K9121" s="11">
        <f>IF(B9121&lt;C9121,1,EXP(-1*(B9121-C9121)/(Utilities!$B$11*IterData!H9121)))</f>
        <v>1</v>
      </c>
    </row>
    <row r="9122" spans="8:11" x14ac:dyDescent="0.3">
      <c r="H9122">
        <v>0.5</v>
      </c>
      <c r="I9122" s="11">
        <f t="shared" si="142"/>
        <v>0</v>
      </c>
      <c r="J9122" s="11">
        <f>1/(H9122*Utilities!$B$11)</f>
        <v>8</v>
      </c>
      <c r="K9122" s="11">
        <f>IF(B9122&lt;C9122,1,EXP(-1*(B9122-C9122)/(Utilities!$B$11*IterData!H9122)))</f>
        <v>1</v>
      </c>
    </row>
    <row r="9123" spans="8:11" x14ac:dyDescent="0.3">
      <c r="H9123">
        <v>0.5</v>
      </c>
      <c r="I9123" s="11">
        <f t="shared" si="142"/>
        <v>0</v>
      </c>
      <c r="J9123" s="11">
        <f>1/(H9123*Utilities!$B$11)</f>
        <v>8</v>
      </c>
      <c r="K9123" s="11">
        <f>IF(B9123&lt;C9123,1,EXP(-1*(B9123-C9123)/(Utilities!$B$11*IterData!H9123)))</f>
        <v>1</v>
      </c>
    </row>
    <row r="9124" spans="8:11" x14ac:dyDescent="0.3">
      <c r="H9124">
        <v>0.5</v>
      </c>
      <c r="I9124" s="11">
        <f t="shared" si="142"/>
        <v>0</v>
      </c>
      <c r="J9124" s="11">
        <f>1/(H9124*Utilities!$B$11)</f>
        <v>8</v>
      </c>
      <c r="K9124" s="11">
        <f>IF(B9124&lt;C9124,1,EXP(-1*(B9124-C9124)/(Utilities!$B$11*IterData!H9124)))</f>
        <v>1</v>
      </c>
    </row>
    <row r="9125" spans="8:11" x14ac:dyDescent="0.3">
      <c r="H9125">
        <v>0.5</v>
      </c>
      <c r="I9125" s="11">
        <f t="shared" si="142"/>
        <v>0</v>
      </c>
      <c r="J9125" s="11">
        <f>1/(H9125*Utilities!$B$11)</f>
        <v>8</v>
      </c>
      <c r="K9125" s="11">
        <f>IF(B9125&lt;C9125,1,EXP(-1*(B9125-C9125)/(Utilities!$B$11*IterData!H9125)))</f>
        <v>1</v>
      </c>
    </row>
    <row r="9126" spans="8:11" x14ac:dyDescent="0.3">
      <c r="H9126">
        <v>0.5</v>
      </c>
      <c r="I9126" s="11">
        <f t="shared" si="142"/>
        <v>0</v>
      </c>
      <c r="J9126" s="11">
        <f>1/(H9126*Utilities!$B$11)</f>
        <v>8</v>
      </c>
      <c r="K9126" s="11">
        <f>IF(B9126&lt;C9126,1,EXP(-1*(B9126-C9126)/(Utilities!$B$11*IterData!H9126)))</f>
        <v>1</v>
      </c>
    </row>
    <row r="9127" spans="8:11" x14ac:dyDescent="0.3">
      <c r="H9127">
        <v>0.5</v>
      </c>
      <c r="I9127" s="11">
        <f t="shared" si="142"/>
        <v>0</v>
      </c>
      <c r="J9127" s="11">
        <f>1/(H9127*Utilities!$B$11)</f>
        <v>8</v>
      </c>
      <c r="K9127" s="11">
        <f>IF(B9127&lt;C9127,1,EXP(-1*(B9127-C9127)/(Utilities!$B$11*IterData!H9127)))</f>
        <v>1</v>
      </c>
    </row>
    <row r="9128" spans="8:11" x14ac:dyDescent="0.3">
      <c r="H9128">
        <v>0.5</v>
      </c>
      <c r="I9128" s="11">
        <f t="shared" si="142"/>
        <v>0</v>
      </c>
      <c r="J9128" s="11">
        <f>1/(H9128*Utilities!$B$11)</f>
        <v>8</v>
      </c>
      <c r="K9128" s="11">
        <f>IF(B9128&lt;C9128,1,EXP(-1*(B9128-C9128)/(Utilities!$B$11*IterData!H9128)))</f>
        <v>1</v>
      </c>
    </row>
    <row r="9129" spans="8:11" x14ac:dyDescent="0.3">
      <c r="H9129">
        <v>0.5</v>
      </c>
      <c r="I9129" s="11">
        <f t="shared" si="142"/>
        <v>0</v>
      </c>
      <c r="J9129" s="11">
        <f>1/(H9129*Utilities!$B$11)</f>
        <v>8</v>
      </c>
      <c r="K9129" s="11">
        <f>IF(B9129&lt;C9129,1,EXP(-1*(B9129-C9129)/(Utilities!$B$11*IterData!H9129)))</f>
        <v>1</v>
      </c>
    </row>
    <row r="9130" spans="8:11" x14ac:dyDescent="0.3">
      <c r="H9130">
        <v>0.5</v>
      </c>
      <c r="I9130" s="11">
        <f t="shared" si="142"/>
        <v>0</v>
      </c>
      <c r="J9130" s="11">
        <f>1/(H9130*Utilities!$B$11)</f>
        <v>8</v>
      </c>
      <c r="K9130" s="11">
        <f>IF(B9130&lt;C9130,1,EXP(-1*(B9130-C9130)/(Utilities!$B$11*IterData!H9130)))</f>
        <v>1</v>
      </c>
    </row>
    <row r="9131" spans="8:11" x14ac:dyDescent="0.3">
      <c r="H9131">
        <v>0.5</v>
      </c>
      <c r="I9131" s="11">
        <f t="shared" si="142"/>
        <v>0</v>
      </c>
      <c r="J9131" s="11">
        <f>1/(H9131*Utilities!$B$11)</f>
        <v>8</v>
      </c>
      <c r="K9131" s="11">
        <f>IF(B9131&lt;C9131,1,EXP(-1*(B9131-C9131)/(Utilities!$B$11*IterData!H9131)))</f>
        <v>1</v>
      </c>
    </row>
    <row r="9132" spans="8:11" x14ac:dyDescent="0.3">
      <c r="H9132">
        <v>0.5</v>
      </c>
      <c r="I9132" s="11">
        <f t="shared" si="142"/>
        <v>0</v>
      </c>
      <c r="J9132" s="11">
        <f>1/(H9132*Utilities!$B$11)</f>
        <v>8</v>
      </c>
      <c r="K9132" s="11">
        <f>IF(B9132&lt;C9132,1,EXP(-1*(B9132-C9132)/(Utilities!$B$11*IterData!H9132)))</f>
        <v>1</v>
      </c>
    </row>
    <row r="9133" spans="8:11" x14ac:dyDescent="0.3">
      <c r="H9133">
        <v>0.5</v>
      </c>
      <c r="I9133" s="11">
        <f t="shared" si="142"/>
        <v>0</v>
      </c>
      <c r="J9133" s="11">
        <f>1/(H9133*Utilities!$B$11)</f>
        <v>8</v>
      </c>
      <c r="K9133" s="11">
        <f>IF(B9133&lt;C9133,1,EXP(-1*(B9133-C9133)/(Utilities!$B$11*IterData!H9133)))</f>
        <v>1</v>
      </c>
    </row>
    <row r="9134" spans="8:11" x14ac:dyDescent="0.3">
      <c r="H9134">
        <v>0.5</v>
      </c>
      <c r="I9134" s="11">
        <f t="shared" si="142"/>
        <v>0</v>
      </c>
      <c r="J9134" s="11">
        <f>1/(H9134*Utilities!$B$11)</f>
        <v>8</v>
      </c>
      <c r="K9134" s="11">
        <f>IF(B9134&lt;C9134,1,EXP(-1*(B9134-C9134)/(Utilities!$B$11*IterData!H9134)))</f>
        <v>1</v>
      </c>
    </row>
    <row r="9135" spans="8:11" x14ac:dyDescent="0.3">
      <c r="H9135">
        <v>0.5</v>
      </c>
      <c r="I9135" s="11">
        <f t="shared" si="142"/>
        <v>0</v>
      </c>
      <c r="J9135" s="11">
        <f>1/(H9135*Utilities!$B$11)</f>
        <v>8</v>
      </c>
      <c r="K9135" s="11">
        <f>IF(B9135&lt;C9135,1,EXP(-1*(B9135-C9135)/(Utilities!$B$11*IterData!H9135)))</f>
        <v>1</v>
      </c>
    </row>
    <row r="9136" spans="8:11" x14ac:dyDescent="0.3">
      <c r="H9136">
        <v>0.5</v>
      </c>
      <c r="I9136" s="11">
        <f t="shared" si="142"/>
        <v>0</v>
      </c>
      <c r="J9136" s="11">
        <f>1/(H9136*Utilities!$B$11)</f>
        <v>8</v>
      </c>
      <c r="K9136" s="11">
        <f>IF(B9136&lt;C9136,1,EXP(-1*(B9136-C9136)/(Utilities!$B$11*IterData!H9136)))</f>
        <v>1</v>
      </c>
    </row>
    <row r="9137" spans="8:11" x14ac:dyDescent="0.3">
      <c r="H9137">
        <v>0.5</v>
      </c>
      <c r="I9137" s="11">
        <f t="shared" si="142"/>
        <v>0</v>
      </c>
      <c r="J9137" s="11">
        <f>1/(H9137*Utilities!$B$11)</f>
        <v>8</v>
      </c>
      <c r="K9137" s="11">
        <f>IF(B9137&lt;C9137,1,EXP(-1*(B9137-C9137)/(Utilities!$B$11*IterData!H9137)))</f>
        <v>1</v>
      </c>
    </row>
    <row r="9138" spans="8:11" x14ac:dyDescent="0.3">
      <c r="H9138">
        <v>0.5</v>
      </c>
      <c r="I9138" s="11">
        <f t="shared" si="142"/>
        <v>0</v>
      </c>
      <c r="J9138" s="11">
        <f>1/(H9138*Utilities!$B$11)</f>
        <v>8</v>
      </c>
      <c r="K9138" s="11">
        <f>IF(B9138&lt;C9138,1,EXP(-1*(B9138-C9138)/(Utilities!$B$11*IterData!H9138)))</f>
        <v>1</v>
      </c>
    </row>
    <row r="9139" spans="8:11" x14ac:dyDescent="0.3">
      <c r="H9139">
        <v>0.5</v>
      </c>
      <c r="I9139" s="11">
        <f t="shared" si="142"/>
        <v>0</v>
      </c>
      <c r="J9139" s="11">
        <f>1/(H9139*Utilities!$B$11)</f>
        <v>8</v>
      </c>
      <c r="K9139" s="11">
        <f>IF(B9139&lt;C9139,1,EXP(-1*(B9139-C9139)/(Utilities!$B$11*IterData!H9139)))</f>
        <v>1</v>
      </c>
    </row>
    <row r="9140" spans="8:11" x14ac:dyDescent="0.3">
      <c r="H9140">
        <v>0.5</v>
      </c>
      <c r="I9140" s="11">
        <f t="shared" si="142"/>
        <v>0</v>
      </c>
      <c r="J9140" s="11">
        <f>1/(H9140*Utilities!$B$11)</f>
        <v>8</v>
      </c>
      <c r="K9140" s="11">
        <f>IF(B9140&lt;C9140,1,EXP(-1*(B9140-C9140)/(Utilities!$B$11*IterData!H9140)))</f>
        <v>1</v>
      </c>
    </row>
    <row r="9141" spans="8:11" x14ac:dyDescent="0.3">
      <c r="H9141">
        <v>0.5</v>
      </c>
      <c r="I9141" s="11">
        <f t="shared" si="142"/>
        <v>0</v>
      </c>
      <c r="J9141" s="11">
        <f>1/(H9141*Utilities!$B$11)</f>
        <v>8</v>
      </c>
      <c r="K9141" s="11">
        <f>IF(B9141&lt;C9141,1,EXP(-1*(B9141-C9141)/(Utilities!$B$11*IterData!H9141)))</f>
        <v>1</v>
      </c>
    </row>
    <row r="9142" spans="8:11" x14ac:dyDescent="0.3">
      <c r="H9142">
        <v>0.5</v>
      </c>
      <c r="I9142" s="11">
        <f t="shared" si="142"/>
        <v>0</v>
      </c>
      <c r="J9142" s="11">
        <f>1/(H9142*Utilities!$B$11)</f>
        <v>8</v>
      </c>
      <c r="K9142" s="11">
        <f>IF(B9142&lt;C9142,1,EXP(-1*(B9142-C9142)/(Utilities!$B$11*IterData!H9142)))</f>
        <v>1</v>
      </c>
    </row>
    <row r="9143" spans="8:11" x14ac:dyDescent="0.3">
      <c r="H9143">
        <v>0.5</v>
      </c>
      <c r="I9143" s="11">
        <f t="shared" si="142"/>
        <v>0</v>
      </c>
      <c r="J9143" s="11">
        <f>1/(H9143*Utilities!$B$11)</f>
        <v>8</v>
      </c>
      <c r="K9143" s="11">
        <f>IF(B9143&lt;C9143,1,EXP(-1*(B9143-C9143)/(Utilities!$B$11*IterData!H9143)))</f>
        <v>1</v>
      </c>
    </row>
    <row r="9144" spans="8:11" x14ac:dyDescent="0.3">
      <c r="H9144">
        <v>0.5</v>
      </c>
      <c r="I9144" s="11">
        <f t="shared" si="142"/>
        <v>0</v>
      </c>
      <c r="J9144" s="11">
        <f>1/(H9144*Utilities!$B$11)</f>
        <v>8</v>
      </c>
      <c r="K9144" s="11">
        <f>IF(B9144&lt;C9144,1,EXP(-1*(B9144-C9144)/(Utilities!$B$11*IterData!H9144)))</f>
        <v>1</v>
      </c>
    </row>
    <row r="9145" spans="8:11" x14ac:dyDescent="0.3">
      <c r="H9145">
        <v>0.5</v>
      </c>
      <c r="I9145" s="11">
        <f t="shared" si="142"/>
        <v>0</v>
      </c>
      <c r="J9145" s="11">
        <f>1/(H9145*Utilities!$B$11)</f>
        <v>8</v>
      </c>
      <c r="K9145" s="11">
        <f>IF(B9145&lt;C9145,1,EXP(-1*(B9145-C9145)/(Utilities!$B$11*IterData!H9145)))</f>
        <v>1</v>
      </c>
    </row>
    <row r="9146" spans="8:11" x14ac:dyDescent="0.3">
      <c r="H9146">
        <v>0.5</v>
      </c>
      <c r="I9146" s="11">
        <f t="shared" si="142"/>
        <v>0</v>
      </c>
      <c r="J9146" s="11">
        <f>1/(H9146*Utilities!$B$11)</f>
        <v>8</v>
      </c>
      <c r="K9146" s="11">
        <f>IF(B9146&lt;C9146,1,EXP(-1*(B9146-C9146)/(Utilities!$B$11*IterData!H9146)))</f>
        <v>1</v>
      </c>
    </row>
    <row r="9147" spans="8:11" x14ac:dyDescent="0.3">
      <c r="H9147">
        <v>0.5</v>
      </c>
      <c r="I9147" s="11">
        <f t="shared" si="142"/>
        <v>0</v>
      </c>
      <c r="J9147" s="11">
        <f>1/(H9147*Utilities!$B$11)</f>
        <v>8</v>
      </c>
      <c r="K9147" s="11">
        <f>IF(B9147&lt;C9147,1,EXP(-1*(B9147-C9147)/(Utilities!$B$11*IterData!H9147)))</f>
        <v>1</v>
      </c>
    </row>
    <row r="9148" spans="8:11" x14ac:dyDescent="0.3">
      <c r="H9148">
        <v>0.5</v>
      </c>
      <c r="I9148" s="11">
        <f t="shared" si="142"/>
        <v>0</v>
      </c>
      <c r="J9148" s="11">
        <f>1/(H9148*Utilities!$B$11)</f>
        <v>8</v>
      </c>
      <c r="K9148" s="11">
        <f>IF(B9148&lt;C9148,1,EXP(-1*(B9148-C9148)/(Utilities!$B$11*IterData!H9148)))</f>
        <v>1</v>
      </c>
    </row>
    <row r="9149" spans="8:11" x14ac:dyDescent="0.3">
      <c r="H9149">
        <v>0.5</v>
      </c>
      <c r="I9149" s="11">
        <f t="shared" si="142"/>
        <v>0</v>
      </c>
      <c r="J9149" s="11">
        <f>1/(H9149*Utilities!$B$11)</f>
        <v>8</v>
      </c>
      <c r="K9149" s="11">
        <f>IF(B9149&lt;C9149,1,EXP(-1*(B9149-C9149)/(Utilities!$B$11*IterData!H9149)))</f>
        <v>1</v>
      </c>
    </row>
    <row r="9150" spans="8:11" x14ac:dyDescent="0.3">
      <c r="H9150">
        <v>0.5</v>
      </c>
      <c r="I9150" s="11">
        <f t="shared" si="142"/>
        <v>0</v>
      </c>
      <c r="J9150" s="11">
        <f>1/(H9150*Utilities!$B$11)</f>
        <v>8</v>
      </c>
      <c r="K9150" s="11">
        <f>IF(B9150&lt;C9150,1,EXP(-1*(B9150-C9150)/(Utilities!$B$11*IterData!H9150)))</f>
        <v>1</v>
      </c>
    </row>
    <row r="9151" spans="8:11" x14ac:dyDescent="0.3">
      <c r="H9151">
        <v>0.5</v>
      </c>
      <c r="I9151" s="11">
        <f t="shared" si="142"/>
        <v>0</v>
      </c>
      <c r="J9151" s="11">
        <f>1/(H9151*Utilities!$B$11)</f>
        <v>8</v>
      </c>
      <c r="K9151" s="11">
        <f>IF(B9151&lt;C9151,1,EXP(-1*(B9151-C9151)/(Utilities!$B$11*IterData!H9151)))</f>
        <v>1</v>
      </c>
    </row>
    <row r="9152" spans="8:11" x14ac:dyDescent="0.3">
      <c r="H9152">
        <v>0.5</v>
      </c>
      <c r="I9152" s="11">
        <f t="shared" si="142"/>
        <v>0</v>
      </c>
      <c r="J9152" s="11">
        <f>1/(H9152*Utilities!$B$11)</f>
        <v>8</v>
      </c>
      <c r="K9152" s="11">
        <f>IF(B9152&lt;C9152,1,EXP(-1*(B9152-C9152)/(Utilities!$B$11*IterData!H9152)))</f>
        <v>1</v>
      </c>
    </row>
    <row r="9153" spans="8:11" x14ac:dyDescent="0.3">
      <c r="H9153">
        <v>0.5</v>
      </c>
      <c r="I9153" s="11">
        <f t="shared" si="142"/>
        <v>0</v>
      </c>
      <c r="J9153" s="11">
        <f>1/(H9153*Utilities!$B$11)</f>
        <v>8</v>
      </c>
      <c r="K9153" s="11">
        <f>IF(B9153&lt;C9153,1,EXP(-1*(B9153-C9153)/(Utilities!$B$11*IterData!H9153)))</f>
        <v>1</v>
      </c>
    </row>
    <row r="9154" spans="8:11" x14ac:dyDescent="0.3">
      <c r="H9154">
        <v>0.5</v>
      </c>
      <c r="I9154" s="11">
        <f t="shared" si="142"/>
        <v>0</v>
      </c>
      <c r="J9154" s="11">
        <f>1/(H9154*Utilities!$B$11)</f>
        <v>8</v>
      </c>
      <c r="K9154" s="11">
        <f>IF(B9154&lt;C9154,1,EXP(-1*(B9154-C9154)/(Utilities!$B$11*IterData!H9154)))</f>
        <v>1</v>
      </c>
    </row>
    <row r="9155" spans="8:11" x14ac:dyDescent="0.3">
      <c r="H9155">
        <v>0.5</v>
      </c>
      <c r="I9155" s="11">
        <f t="shared" ref="I9155:I9218" si="143">B9155-C9155</f>
        <v>0</v>
      </c>
      <c r="J9155" s="11">
        <f>1/(H9155*Utilities!$B$11)</f>
        <v>8</v>
      </c>
      <c r="K9155" s="11">
        <f>IF(B9155&lt;C9155,1,EXP(-1*(B9155-C9155)/(Utilities!$B$11*IterData!H9155)))</f>
        <v>1</v>
      </c>
    </row>
    <row r="9156" spans="8:11" x14ac:dyDescent="0.3">
      <c r="H9156">
        <v>0.5</v>
      </c>
      <c r="I9156" s="11">
        <f t="shared" si="143"/>
        <v>0</v>
      </c>
      <c r="J9156" s="11">
        <f>1/(H9156*Utilities!$B$11)</f>
        <v>8</v>
      </c>
      <c r="K9156" s="11">
        <f>IF(B9156&lt;C9156,1,EXP(-1*(B9156-C9156)/(Utilities!$B$11*IterData!H9156)))</f>
        <v>1</v>
      </c>
    </row>
    <row r="9157" spans="8:11" x14ac:dyDescent="0.3">
      <c r="H9157">
        <v>0.5</v>
      </c>
      <c r="I9157" s="11">
        <f t="shared" si="143"/>
        <v>0</v>
      </c>
      <c r="J9157" s="11">
        <f>1/(H9157*Utilities!$B$11)</f>
        <v>8</v>
      </c>
      <c r="K9157" s="11">
        <f>IF(B9157&lt;C9157,1,EXP(-1*(B9157-C9157)/(Utilities!$B$11*IterData!H9157)))</f>
        <v>1</v>
      </c>
    </row>
    <row r="9158" spans="8:11" x14ac:dyDescent="0.3">
      <c r="H9158">
        <v>0.5</v>
      </c>
      <c r="I9158" s="11">
        <f t="shared" si="143"/>
        <v>0</v>
      </c>
      <c r="J9158" s="11">
        <f>1/(H9158*Utilities!$B$11)</f>
        <v>8</v>
      </c>
      <c r="K9158" s="11">
        <f>IF(B9158&lt;C9158,1,EXP(-1*(B9158-C9158)/(Utilities!$B$11*IterData!H9158)))</f>
        <v>1</v>
      </c>
    </row>
    <row r="9159" spans="8:11" x14ac:dyDescent="0.3">
      <c r="H9159">
        <v>0.5</v>
      </c>
      <c r="I9159" s="11">
        <f t="shared" si="143"/>
        <v>0</v>
      </c>
      <c r="J9159" s="11">
        <f>1/(H9159*Utilities!$B$11)</f>
        <v>8</v>
      </c>
      <c r="K9159" s="11">
        <f>IF(B9159&lt;C9159,1,EXP(-1*(B9159-C9159)/(Utilities!$B$11*IterData!H9159)))</f>
        <v>1</v>
      </c>
    </row>
    <row r="9160" spans="8:11" x14ac:dyDescent="0.3">
      <c r="H9160">
        <v>0.5</v>
      </c>
      <c r="I9160" s="11">
        <f t="shared" si="143"/>
        <v>0</v>
      </c>
      <c r="J9160" s="11">
        <f>1/(H9160*Utilities!$B$11)</f>
        <v>8</v>
      </c>
      <c r="K9160" s="11">
        <f>IF(B9160&lt;C9160,1,EXP(-1*(B9160-C9160)/(Utilities!$B$11*IterData!H9160)))</f>
        <v>1</v>
      </c>
    </row>
    <row r="9161" spans="8:11" x14ac:dyDescent="0.3">
      <c r="H9161">
        <v>0.5</v>
      </c>
      <c r="I9161" s="11">
        <f t="shared" si="143"/>
        <v>0</v>
      </c>
      <c r="J9161" s="11">
        <f>1/(H9161*Utilities!$B$11)</f>
        <v>8</v>
      </c>
      <c r="K9161" s="11">
        <f>IF(B9161&lt;C9161,1,EXP(-1*(B9161-C9161)/(Utilities!$B$11*IterData!H9161)))</f>
        <v>1</v>
      </c>
    </row>
    <row r="9162" spans="8:11" x14ac:dyDescent="0.3">
      <c r="H9162">
        <v>0.5</v>
      </c>
      <c r="I9162" s="11">
        <f t="shared" si="143"/>
        <v>0</v>
      </c>
      <c r="J9162" s="11">
        <f>1/(H9162*Utilities!$B$11)</f>
        <v>8</v>
      </c>
      <c r="K9162" s="11">
        <f>IF(B9162&lt;C9162,1,EXP(-1*(B9162-C9162)/(Utilities!$B$11*IterData!H9162)))</f>
        <v>1</v>
      </c>
    </row>
    <row r="9163" spans="8:11" x14ac:dyDescent="0.3">
      <c r="H9163">
        <v>0.5</v>
      </c>
      <c r="I9163" s="11">
        <f t="shared" si="143"/>
        <v>0</v>
      </c>
      <c r="J9163" s="11">
        <f>1/(H9163*Utilities!$B$11)</f>
        <v>8</v>
      </c>
      <c r="K9163" s="11">
        <f>IF(B9163&lt;C9163,1,EXP(-1*(B9163-C9163)/(Utilities!$B$11*IterData!H9163)))</f>
        <v>1</v>
      </c>
    </row>
    <row r="9164" spans="8:11" x14ac:dyDescent="0.3">
      <c r="H9164">
        <v>0.5</v>
      </c>
      <c r="I9164" s="11">
        <f t="shared" si="143"/>
        <v>0</v>
      </c>
      <c r="J9164" s="11">
        <f>1/(H9164*Utilities!$B$11)</f>
        <v>8</v>
      </c>
      <c r="K9164" s="11">
        <f>IF(B9164&lt;C9164,1,EXP(-1*(B9164-C9164)/(Utilities!$B$11*IterData!H9164)))</f>
        <v>1</v>
      </c>
    </row>
    <row r="9165" spans="8:11" x14ac:dyDescent="0.3">
      <c r="H9165">
        <v>0.5</v>
      </c>
      <c r="I9165" s="11">
        <f t="shared" si="143"/>
        <v>0</v>
      </c>
      <c r="J9165" s="11">
        <f>1/(H9165*Utilities!$B$11)</f>
        <v>8</v>
      </c>
      <c r="K9165" s="11">
        <f>IF(B9165&lt;C9165,1,EXP(-1*(B9165-C9165)/(Utilities!$B$11*IterData!H9165)))</f>
        <v>1</v>
      </c>
    </row>
    <row r="9166" spans="8:11" x14ac:dyDescent="0.3">
      <c r="H9166">
        <v>0.5</v>
      </c>
      <c r="I9166" s="11">
        <f t="shared" si="143"/>
        <v>0</v>
      </c>
      <c r="J9166" s="11">
        <f>1/(H9166*Utilities!$B$11)</f>
        <v>8</v>
      </c>
      <c r="K9166" s="11">
        <f>IF(B9166&lt;C9166,1,EXP(-1*(B9166-C9166)/(Utilities!$B$11*IterData!H9166)))</f>
        <v>1</v>
      </c>
    </row>
    <row r="9167" spans="8:11" x14ac:dyDescent="0.3">
      <c r="H9167">
        <v>0.5</v>
      </c>
      <c r="I9167" s="11">
        <f t="shared" si="143"/>
        <v>0</v>
      </c>
      <c r="J9167" s="11">
        <f>1/(H9167*Utilities!$B$11)</f>
        <v>8</v>
      </c>
      <c r="K9167" s="11">
        <f>IF(B9167&lt;C9167,1,EXP(-1*(B9167-C9167)/(Utilities!$B$11*IterData!H9167)))</f>
        <v>1</v>
      </c>
    </row>
    <row r="9168" spans="8:11" x14ac:dyDescent="0.3">
      <c r="H9168">
        <v>0.5</v>
      </c>
      <c r="I9168" s="11">
        <f t="shared" si="143"/>
        <v>0</v>
      </c>
      <c r="J9168" s="11">
        <f>1/(H9168*Utilities!$B$11)</f>
        <v>8</v>
      </c>
      <c r="K9168" s="11">
        <f>IF(B9168&lt;C9168,1,EXP(-1*(B9168-C9168)/(Utilities!$B$11*IterData!H9168)))</f>
        <v>1</v>
      </c>
    </row>
    <row r="9169" spans="8:11" x14ac:dyDescent="0.3">
      <c r="H9169">
        <v>0.5</v>
      </c>
      <c r="I9169" s="11">
        <f t="shared" si="143"/>
        <v>0</v>
      </c>
      <c r="J9169" s="11">
        <f>1/(H9169*Utilities!$B$11)</f>
        <v>8</v>
      </c>
      <c r="K9169" s="11">
        <f>IF(B9169&lt;C9169,1,EXP(-1*(B9169-C9169)/(Utilities!$B$11*IterData!H9169)))</f>
        <v>1</v>
      </c>
    </row>
    <row r="9170" spans="8:11" x14ac:dyDescent="0.3">
      <c r="H9170">
        <v>0.5</v>
      </c>
      <c r="I9170" s="11">
        <f t="shared" si="143"/>
        <v>0</v>
      </c>
      <c r="J9170" s="11">
        <f>1/(H9170*Utilities!$B$11)</f>
        <v>8</v>
      </c>
      <c r="K9170" s="11">
        <f>IF(B9170&lt;C9170,1,EXP(-1*(B9170-C9170)/(Utilities!$B$11*IterData!H9170)))</f>
        <v>1</v>
      </c>
    </row>
    <row r="9171" spans="8:11" x14ac:dyDescent="0.3">
      <c r="H9171">
        <v>0.5</v>
      </c>
      <c r="I9171" s="11">
        <f t="shared" si="143"/>
        <v>0</v>
      </c>
      <c r="J9171" s="11">
        <f>1/(H9171*Utilities!$B$11)</f>
        <v>8</v>
      </c>
      <c r="K9171" s="11">
        <f>IF(B9171&lt;C9171,1,EXP(-1*(B9171-C9171)/(Utilities!$B$11*IterData!H9171)))</f>
        <v>1</v>
      </c>
    </row>
    <row r="9172" spans="8:11" x14ac:dyDescent="0.3">
      <c r="H9172">
        <v>0.5</v>
      </c>
      <c r="I9172" s="11">
        <f t="shared" si="143"/>
        <v>0</v>
      </c>
      <c r="J9172" s="11">
        <f>1/(H9172*Utilities!$B$11)</f>
        <v>8</v>
      </c>
      <c r="K9172" s="11">
        <f>IF(B9172&lt;C9172,1,EXP(-1*(B9172-C9172)/(Utilities!$B$11*IterData!H9172)))</f>
        <v>1</v>
      </c>
    </row>
    <row r="9173" spans="8:11" x14ac:dyDescent="0.3">
      <c r="H9173">
        <v>0.5</v>
      </c>
      <c r="I9173" s="11">
        <f t="shared" si="143"/>
        <v>0</v>
      </c>
      <c r="J9173" s="11">
        <f>1/(H9173*Utilities!$B$11)</f>
        <v>8</v>
      </c>
      <c r="K9173" s="11">
        <f>IF(B9173&lt;C9173,1,EXP(-1*(B9173-C9173)/(Utilities!$B$11*IterData!H9173)))</f>
        <v>1</v>
      </c>
    </row>
    <row r="9174" spans="8:11" x14ac:dyDescent="0.3">
      <c r="H9174">
        <v>0.5</v>
      </c>
      <c r="I9174" s="11">
        <f t="shared" si="143"/>
        <v>0</v>
      </c>
      <c r="J9174" s="11">
        <f>1/(H9174*Utilities!$B$11)</f>
        <v>8</v>
      </c>
      <c r="K9174" s="11">
        <f>IF(B9174&lt;C9174,1,EXP(-1*(B9174-C9174)/(Utilities!$B$11*IterData!H9174)))</f>
        <v>1</v>
      </c>
    </row>
    <row r="9175" spans="8:11" x14ac:dyDescent="0.3">
      <c r="H9175">
        <v>0.5</v>
      </c>
      <c r="I9175" s="11">
        <f t="shared" si="143"/>
        <v>0</v>
      </c>
      <c r="J9175" s="11">
        <f>1/(H9175*Utilities!$B$11)</f>
        <v>8</v>
      </c>
      <c r="K9175" s="11">
        <f>IF(B9175&lt;C9175,1,EXP(-1*(B9175-C9175)/(Utilities!$B$11*IterData!H9175)))</f>
        <v>1</v>
      </c>
    </row>
    <row r="9176" spans="8:11" x14ac:dyDescent="0.3">
      <c r="H9176">
        <v>0.5</v>
      </c>
      <c r="I9176" s="11">
        <f t="shared" si="143"/>
        <v>0</v>
      </c>
      <c r="J9176" s="11">
        <f>1/(H9176*Utilities!$B$11)</f>
        <v>8</v>
      </c>
      <c r="K9176" s="11">
        <f>IF(B9176&lt;C9176,1,EXP(-1*(B9176-C9176)/(Utilities!$B$11*IterData!H9176)))</f>
        <v>1</v>
      </c>
    </row>
    <row r="9177" spans="8:11" x14ac:dyDescent="0.3">
      <c r="H9177">
        <v>0.5</v>
      </c>
      <c r="I9177" s="11">
        <f t="shared" si="143"/>
        <v>0</v>
      </c>
      <c r="J9177" s="11">
        <f>1/(H9177*Utilities!$B$11)</f>
        <v>8</v>
      </c>
      <c r="K9177" s="11">
        <f>IF(B9177&lt;C9177,1,EXP(-1*(B9177-C9177)/(Utilities!$B$11*IterData!H9177)))</f>
        <v>1</v>
      </c>
    </row>
    <row r="9178" spans="8:11" x14ac:dyDescent="0.3">
      <c r="H9178">
        <v>0.5</v>
      </c>
      <c r="I9178" s="11">
        <f t="shared" si="143"/>
        <v>0</v>
      </c>
      <c r="J9178" s="11">
        <f>1/(H9178*Utilities!$B$11)</f>
        <v>8</v>
      </c>
      <c r="K9178" s="11">
        <f>IF(B9178&lt;C9178,1,EXP(-1*(B9178-C9178)/(Utilities!$B$11*IterData!H9178)))</f>
        <v>1</v>
      </c>
    </row>
    <row r="9179" spans="8:11" x14ac:dyDescent="0.3">
      <c r="H9179">
        <v>0.5</v>
      </c>
      <c r="I9179" s="11">
        <f t="shared" si="143"/>
        <v>0</v>
      </c>
      <c r="J9179" s="11">
        <f>1/(H9179*Utilities!$B$11)</f>
        <v>8</v>
      </c>
      <c r="K9179" s="11">
        <f>IF(B9179&lt;C9179,1,EXP(-1*(B9179-C9179)/(Utilities!$B$11*IterData!H9179)))</f>
        <v>1</v>
      </c>
    </row>
    <row r="9180" spans="8:11" x14ac:dyDescent="0.3">
      <c r="H9180">
        <v>0.5</v>
      </c>
      <c r="I9180" s="11">
        <f t="shared" si="143"/>
        <v>0</v>
      </c>
      <c r="J9180" s="11">
        <f>1/(H9180*Utilities!$B$11)</f>
        <v>8</v>
      </c>
      <c r="K9180" s="11">
        <f>IF(B9180&lt;C9180,1,EXP(-1*(B9180-C9180)/(Utilities!$B$11*IterData!H9180)))</f>
        <v>1</v>
      </c>
    </row>
    <row r="9181" spans="8:11" x14ac:dyDescent="0.3">
      <c r="H9181">
        <v>0.5</v>
      </c>
      <c r="I9181" s="11">
        <f t="shared" si="143"/>
        <v>0</v>
      </c>
      <c r="J9181" s="11">
        <f>1/(H9181*Utilities!$B$11)</f>
        <v>8</v>
      </c>
      <c r="K9181" s="11">
        <f>IF(B9181&lt;C9181,1,EXP(-1*(B9181-C9181)/(Utilities!$B$11*IterData!H9181)))</f>
        <v>1</v>
      </c>
    </row>
    <row r="9182" spans="8:11" x14ac:dyDescent="0.3">
      <c r="H9182">
        <v>0.5</v>
      </c>
      <c r="I9182" s="11">
        <f t="shared" si="143"/>
        <v>0</v>
      </c>
      <c r="J9182" s="11">
        <f>1/(H9182*Utilities!$B$11)</f>
        <v>8</v>
      </c>
      <c r="K9182" s="11">
        <f>IF(B9182&lt;C9182,1,EXP(-1*(B9182-C9182)/(Utilities!$B$11*IterData!H9182)))</f>
        <v>1</v>
      </c>
    </row>
    <row r="9183" spans="8:11" x14ac:dyDescent="0.3">
      <c r="H9183">
        <v>0.5</v>
      </c>
      <c r="I9183" s="11">
        <f t="shared" si="143"/>
        <v>0</v>
      </c>
      <c r="J9183" s="11">
        <f>1/(H9183*Utilities!$B$11)</f>
        <v>8</v>
      </c>
      <c r="K9183" s="11">
        <f>IF(B9183&lt;C9183,1,EXP(-1*(B9183-C9183)/(Utilities!$B$11*IterData!H9183)))</f>
        <v>1</v>
      </c>
    </row>
    <row r="9184" spans="8:11" x14ac:dyDescent="0.3">
      <c r="H9184">
        <v>0.5</v>
      </c>
      <c r="I9184" s="11">
        <f t="shared" si="143"/>
        <v>0</v>
      </c>
      <c r="J9184" s="11">
        <f>1/(H9184*Utilities!$B$11)</f>
        <v>8</v>
      </c>
      <c r="K9184" s="11">
        <f>IF(B9184&lt;C9184,1,EXP(-1*(B9184-C9184)/(Utilities!$B$11*IterData!H9184)))</f>
        <v>1</v>
      </c>
    </row>
    <row r="9185" spans="8:11" x14ac:dyDescent="0.3">
      <c r="H9185">
        <v>0.5</v>
      </c>
      <c r="I9185" s="11">
        <f t="shared" si="143"/>
        <v>0</v>
      </c>
      <c r="J9185" s="11">
        <f>1/(H9185*Utilities!$B$11)</f>
        <v>8</v>
      </c>
      <c r="K9185" s="11">
        <f>IF(B9185&lt;C9185,1,EXP(-1*(B9185-C9185)/(Utilities!$B$11*IterData!H9185)))</f>
        <v>1</v>
      </c>
    </row>
    <row r="9186" spans="8:11" x14ac:dyDescent="0.3">
      <c r="H9186">
        <v>0.5</v>
      </c>
      <c r="I9186" s="11">
        <f t="shared" si="143"/>
        <v>0</v>
      </c>
      <c r="J9186" s="11">
        <f>1/(H9186*Utilities!$B$11)</f>
        <v>8</v>
      </c>
      <c r="K9186" s="11">
        <f>IF(B9186&lt;C9186,1,EXP(-1*(B9186-C9186)/(Utilities!$B$11*IterData!H9186)))</f>
        <v>1</v>
      </c>
    </row>
    <row r="9187" spans="8:11" x14ac:dyDescent="0.3">
      <c r="H9187">
        <v>0.5</v>
      </c>
      <c r="I9187" s="11">
        <f t="shared" si="143"/>
        <v>0</v>
      </c>
      <c r="J9187" s="11">
        <f>1/(H9187*Utilities!$B$11)</f>
        <v>8</v>
      </c>
      <c r="K9187" s="11">
        <f>IF(B9187&lt;C9187,1,EXP(-1*(B9187-C9187)/(Utilities!$B$11*IterData!H9187)))</f>
        <v>1</v>
      </c>
    </row>
    <row r="9188" spans="8:11" x14ac:dyDescent="0.3">
      <c r="H9188">
        <v>0.5</v>
      </c>
      <c r="I9188" s="11">
        <f t="shared" si="143"/>
        <v>0</v>
      </c>
      <c r="J9188" s="11">
        <f>1/(H9188*Utilities!$B$11)</f>
        <v>8</v>
      </c>
      <c r="K9188" s="11">
        <f>IF(B9188&lt;C9188,1,EXP(-1*(B9188-C9188)/(Utilities!$B$11*IterData!H9188)))</f>
        <v>1</v>
      </c>
    </row>
    <row r="9189" spans="8:11" x14ac:dyDescent="0.3">
      <c r="H9189">
        <v>0.5</v>
      </c>
      <c r="I9189" s="11">
        <f t="shared" si="143"/>
        <v>0</v>
      </c>
      <c r="J9189" s="11">
        <f>1/(H9189*Utilities!$B$11)</f>
        <v>8</v>
      </c>
      <c r="K9189" s="11">
        <f>IF(B9189&lt;C9189,1,EXP(-1*(B9189-C9189)/(Utilities!$B$11*IterData!H9189)))</f>
        <v>1</v>
      </c>
    </row>
    <row r="9190" spans="8:11" x14ac:dyDescent="0.3">
      <c r="H9190">
        <v>0.5</v>
      </c>
      <c r="I9190" s="11">
        <f t="shared" si="143"/>
        <v>0</v>
      </c>
      <c r="J9190" s="11">
        <f>1/(H9190*Utilities!$B$11)</f>
        <v>8</v>
      </c>
      <c r="K9190" s="11">
        <f>IF(B9190&lt;C9190,1,EXP(-1*(B9190-C9190)/(Utilities!$B$11*IterData!H9190)))</f>
        <v>1</v>
      </c>
    </row>
    <row r="9191" spans="8:11" x14ac:dyDescent="0.3">
      <c r="H9191">
        <v>0.5</v>
      </c>
      <c r="I9191" s="11">
        <f t="shared" si="143"/>
        <v>0</v>
      </c>
      <c r="J9191" s="11">
        <f>1/(H9191*Utilities!$B$11)</f>
        <v>8</v>
      </c>
      <c r="K9191" s="11">
        <f>IF(B9191&lt;C9191,1,EXP(-1*(B9191-C9191)/(Utilities!$B$11*IterData!H9191)))</f>
        <v>1</v>
      </c>
    </row>
    <row r="9192" spans="8:11" x14ac:dyDescent="0.3">
      <c r="H9192">
        <v>0.5</v>
      </c>
      <c r="I9192" s="11">
        <f t="shared" si="143"/>
        <v>0</v>
      </c>
      <c r="J9192" s="11">
        <f>1/(H9192*Utilities!$B$11)</f>
        <v>8</v>
      </c>
      <c r="K9192" s="11">
        <f>IF(B9192&lt;C9192,1,EXP(-1*(B9192-C9192)/(Utilities!$B$11*IterData!H9192)))</f>
        <v>1</v>
      </c>
    </row>
    <row r="9193" spans="8:11" x14ac:dyDescent="0.3">
      <c r="H9193">
        <v>0.5</v>
      </c>
      <c r="I9193" s="11">
        <f t="shared" si="143"/>
        <v>0</v>
      </c>
      <c r="J9193" s="11">
        <f>1/(H9193*Utilities!$B$11)</f>
        <v>8</v>
      </c>
      <c r="K9193" s="11">
        <f>IF(B9193&lt;C9193,1,EXP(-1*(B9193-C9193)/(Utilities!$B$11*IterData!H9193)))</f>
        <v>1</v>
      </c>
    </row>
    <row r="9194" spans="8:11" x14ac:dyDescent="0.3">
      <c r="H9194">
        <v>0.5</v>
      </c>
      <c r="I9194" s="11">
        <f t="shared" si="143"/>
        <v>0</v>
      </c>
      <c r="J9194" s="11">
        <f>1/(H9194*Utilities!$B$11)</f>
        <v>8</v>
      </c>
      <c r="K9194" s="11">
        <f>IF(B9194&lt;C9194,1,EXP(-1*(B9194-C9194)/(Utilities!$B$11*IterData!H9194)))</f>
        <v>1</v>
      </c>
    </row>
    <row r="9195" spans="8:11" x14ac:dyDescent="0.3">
      <c r="H9195">
        <v>0.5</v>
      </c>
      <c r="I9195" s="11">
        <f t="shared" si="143"/>
        <v>0</v>
      </c>
      <c r="J9195" s="11">
        <f>1/(H9195*Utilities!$B$11)</f>
        <v>8</v>
      </c>
      <c r="K9195" s="11">
        <f>IF(B9195&lt;C9195,1,EXP(-1*(B9195-C9195)/(Utilities!$B$11*IterData!H9195)))</f>
        <v>1</v>
      </c>
    </row>
    <row r="9196" spans="8:11" x14ac:dyDescent="0.3">
      <c r="H9196">
        <v>0.5</v>
      </c>
      <c r="I9196" s="11">
        <f t="shared" si="143"/>
        <v>0</v>
      </c>
      <c r="J9196" s="11">
        <f>1/(H9196*Utilities!$B$11)</f>
        <v>8</v>
      </c>
      <c r="K9196" s="11">
        <f>IF(B9196&lt;C9196,1,EXP(-1*(B9196-C9196)/(Utilities!$B$11*IterData!H9196)))</f>
        <v>1</v>
      </c>
    </row>
    <row r="9197" spans="8:11" x14ac:dyDescent="0.3">
      <c r="H9197">
        <v>0.5</v>
      </c>
      <c r="I9197" s="11">
        <f t="shared" si="143"/>
        <v>0</v>
      </c>
      <c r="J9197" s="11">
        <f>1/(H9197*Utilities!$B$11)</f>
        <v>8</v>
      </c>
      <c r="K9197" s="11">
        <f>IF(B9197&lt;C9197,1,EXP(-1*(B9197-C9197)/(Utilities!$B$11*IterData!H9197)))</f>
        <v>1</v>
      </c>
    </row>
    <row r="9198" spans="8:11" x14ac:dyDescent="0.3">
      <c r="H9198">
        <v>0.5</v>
      </c>
      <c r="I9198" s="11">
        <f t="shared" si="143"/>
        <v>0</v>
      </c>
      <c r="J9198" s="11">
        <f>1/(H9198*Utilities!$B$11)</f>
        <v>8</v>
      </c>
      <c r="K9198" s="11">
        <f>IF(B9198&lt;C9198,1,EXP(-1*(B9198-C9198)/(Utilities!$B$11*IterData!H9198)))</f>
        <v>1</v>
      </c>
    </row>
    <row r="9199" spans="8:11" x14ac:dyDescent="0.3">
      <c r="H9199">
        <v>0.5</v>
      </c>
      <c r="I9199" s="11">
        <f t="shared" si="143"/>
        <v>0</v>
      </c>
      <c r="J9199" s="11">
        <f>1/(H9199*Utilities!$B$11)</f>
        <v>8</v>
      </c>
      <c r="K9199" s="11">
        <f>IF(B9199&lt;C9199,1,EXP(-1*(B9199-C9199)/(Utilities!$B$11*IterData!H9199)))</f>
        <v>1</v>
      </c>
    </row>
    <row r="9200" spans="8:11" x14ac:dyDescent="0.3">
      <c r="H9200">
        <v>0.5</v>
      </c>
      <c r="I9200" s="11">
        <f t="shared" si="143"/>
        <v>0</v>
      </c>
      <c r="J9200" s="11">
        <f>1/(H9200*Utilities!$B$11)</f>
        <v>8</v>
      </c>
      <c r="K9200" s="11">
        <f>IF(B9200&lt;C9200,1,EXP(-1*(B9200-C9200)/(Utilities!$B$11*IterData!H9200)))</f>
        <v>1</v>
      </c>
    </row>
    <row r="9201" spans="8:11" x14ac:dyDescent="0.3">
      <c r="H9201">
        <v>0.5</v>
      </c>
      <c r="I9201" s="11">
        <f t="shared" si="143"/>
        <v>0</v>
      </c>
      <c r="J9201" s="11">
        <f>1/(H9201*Utilities!$B$11)</f>
        <v>8</v>
      </c>
      <c r="K9201" s="11">
        <f>IF(B9201&lt;C9201,1,EXP(-1*(B9201-C9201)/(Utilities!$B$11*IterData!H9201)))</f>
        <v>1</v>
      </c>
    </row>
    <row r="9202" spans="8:11" x14ac:dyDescent="0.3">
      <c r="H9202">
        <v>0.5</v>
      </c>
      <c r="I9202" s="11">
        <f t="shared" si="143"/>
        <v>0</v>
      </c>
      <c r="J9202" s="11">
        <f>1/(H9202*Utilities!$B$11)</f>
        <v>8</v>
      </c>
      <c r="K9202" s="11">
        <f>IF(B9202&lt;C9202,1,EXP(-1*(B9202-C9202)/(Utilities!$B$11*IterData!H9202)))</f>
        <v>1</v>
      </c>
    </row>
    <row r="9203" spans="8:11" x14ac:dyDescent="0.3">
      <c r="H9203">
        <v>0.5</v>
      </c>
      <c r="I9203" s="11">
        <f t="shared" si="143"/>
        <v>0</v>
      </c>
      <c r="J9203" s="11">
        <f>1/(H9203*Utilities!$B$11)</f>
        <v>8</v>
      </c>
      <c r="K9203" s="11">
        <f>IF(B9203&lt;C9203,1,EXP(-1*(B9203-C9203)/(Utilities!$B$11*IterData!H9203)))</f>
        <v>1</v>
      </c>
    </row>
    <row r="9204" spans="8:11" x14ac:dyDescent="0.3">
      <c r="H9204">
        <v>0.5</v>
      </c>
      <c r="I9204" s="11">
        <f t="shared" si="143"/>
        <v>0</v>
      </c>
      <c r="J9204" s="11">
        <f>1/(H9204*Utilities!$B$11)</f>
        <v>8</v>
      </c>
      <c r="K9204" s="11">
        <f>IF(B9204&lt;C9204,1,EXP(-1*(B9204-C9204)/(Utilities!$B$11*IterData!H9204)))</f>
        <v>1</v>
      </c>
    </row>
    <row r="9205" spans="8:11" x14ac:dyDescent="0.3">
      <c r="H9205">
        <v>0.5</v>
      </c>
      <c r="I9205" s="11">
        <f t="shared" si="143"/>
        <v>0</v>
      </c>
      <c r="J9205" s="11">
        <f>1/(H9205*Utilities!$B$11)</f>
        <v>8</v>
      </c>
      <c r="K9205" s="11">
        <f>IF(B9205&lt;C9205,1,EXP(-1*(B9205-C9205)/(Utilities!$B$11*IterData!H9205)))</f>
        <v>1</v>
      </c>
    </row>
    <row r="9206" spans="8:11" x14ac:dyDescent="0.3">
      <c r="H9206">
        <v>0.5</v>
      </c>
      <c r="I9206" s="11">
        <f t="shared" si="143"/>
        <v>0</v>
      </c>
      <c r="J9206" s="11">
        <f>1/(H9206*Utilities!$B$11)</f>
        <v>8</v>
      </c>
      <c r="K9206" s="11">
        <f>IF(B9206&lt;C9206,1,EXP(-1*(B9206-C9206)/(Utilities!$B$11*IterData!H9206)))</f>
        <v>1</v>
      </c>
    </row>
    <row r="9207" spans="8:11" x14ac:dyDescent="0.3">
      <c r="H9207">
        <v>0.5</v>
      </c>
      <c r="I9207" s="11">
        <f t="shared" si="143"/>
        <v>0</v>
      </c>
      <c r="J9207" s="11">
        <f>1/(H9207*Utilities!$B$11)</f>
        <v>8</v>
      </c>
      <c r="K9207" s="11">
        <f>IF(B9207&lt;C9207,1,EXP(-1*(B9207-C9207)/(Utilities!$B$11*IterData!H9207)))</f>
        <v>1</v>
      </c>
    </row>
    <row r="9208" spans="8:11" x14ac:dyDescent="0.3">
      <c r="H9208">
        <v>0.5</v>
      </c>
      <c r="I9208" s="11">
        <f t="shared" si="143"/>
        <v>0</v>
      </c>
      <c r="J9208" s="11">
        <f>1/(H9208*Utilities!$B$11)</f>
        <v>8</v>
      </c>
      <c r="K9208" s="11">
        <f>IF(B9208&lt;C9208,1,EXP(-1*(B9208-C9208)/(Utilities!$B$11*IterData!H9208)))</f>
        <v>1</v>
      </c>
    </row>
    <row r="9209" spans="8:11" x14ac:dyDescent="0.3">
      <c r="H9209">
        <v>0.5</v>
      </c>
      <c r="I9209" s="11">
        <f t="shared" si="143"/>
        <v>0</v>
      </c>
      <c r="J9209" s="11">
        <f>1/(H9209*Utilities!$B$11)</f>
        <v>8</v>
      </c>
      <c r="K9209" s="11">
        <f>IF(B9209&lt;C9209,1,EXP(-1*(B9209-C9209)/(Utilities!$B$11*IterData!H9209)))</f>
        <v>1</v>
      </c>
    </row>
    <row r="9210" spans="8:11" x14ac:dyDescent="0.3">
      <c r="H9210">
        <v>0.5</v>
      </c>
      <c r="I9210" s="11">
        <f t="shared" si="143"/>
        <v>0</v>
      </c>
      <c r="J9210" s="11">
        <f>1/(H9210*Utilities!$B$11)</f>
        <v>8</v>
      </c>
      <c r="K9210" s="11">
        <f>IF(B9210&lt;C9210,1,EXP(-1*(B9210-C9210)/(Utilities!$B$11*IterData!H9210)))</f>
        <v>1</v>
      </c>
    </row>
    <row r="9211" spans="8:11" x14ac:dyDescent="0.3">
      <c r="H9211">
        <v>0.5</v>
      </c>
      <c r="I9211" s="11">
        <f t="shared" si="143"/>
        <v>0</v>
      </c>
      <c r="J9211" s="11">
        <f>1/(H9211*Utilities!$B$11)</f>
        <v>8</v>
      </c>
      <c r="K9211" s="11">
        <f>IF(B9211&lt;C9211,1,EXP(-1*(B9211-C9211)/(Utilities!$B$11*IterData!H9211)))</f>
        <v>1</v>
      </c>
    </row>
    <row r="9212" spans="8:11" x14ac:dyDescent="0.3">
      <c r="H9212">
        <v>0.5</v>
      </c>
      <c r="I9212" s="11">
        <f t="shared" si="143"/>
        <v>0</v>
      </c>
      <c r="J9212" s="11">
        <f>1/(H9212*Utilities!$B$11)</f>
        <v>8</v>
      </c>
      <c r="K9212" s="11">
        <f>IF(B9212&lt;C9212,1,EXP(-1*(B9212-C9212)/(Utilities!$B$11*IterData!H9212)))</f>
        <v>1</v>
      </c>
    </row>
    <row r="9213" spans="8:11" x14ac:dyDescent="0.3">
      <c r="H9213">
        <v>0.5</v>
      </c>
      <c r="I9213" s="11">
        <f t="shared" si="143"/>
        <v>0</v>
      </c>
      <c r="J9213" s="11">
        <f>1/(H9213*Utilities!$B$11)</f>
        <v>8</v>
      </c>
      <c r="K9213" s="11">
        <f>IF(B9213&lt;C9213,1,EXP(-1*(B9213-C9213)/(Utilities!$B$11*IterData!H9213)))</f>
        <v>1</v>
      </c>
    </row>
    <row r="9214" spans="8:11" x14ac:dyDescent="0.3">
      <c r="H9214">
        <v>0.5</v>
      </c>
      <c r="I9214" s="11">
        <f t="shared" si="143"/>
        <v>0</v>
      </c>
      <c r="J9214" s="11">
        <f>1/(H9214*Utilities!$B$11)</f>
        <v>8</v>
      </c>
      <c r="K9214" s="11">
        <f>IF(B9214&lt;C9214,1,EXP(-1*(B9214-C9214)/(Utilities!$B$11*IterData!H9214)))</f>
        <v>1</v>
      </c>
    </row>
    <row r="9215" spans="8:11" x14ac:dyDescent="0.3">
      <c r="H9215">
        <v>0.5</v>
      </c>
      <c r="I9215" s="11">
        <f t="shared" si="143"/>
        <v>0</v>
      </c>
      <c r="J9215" s="11">
        <f>1/(H9215*Utilities!$B$11)</f>
        <v>8</v>
      </c>
      <c r="K9215" s="11">
        <f>IF(B9215&lt;C9215,1,EXP(-1*(B9215-C9215)/(Utilities!$B$11*IterData!H9215)))</f>
        <v>1</v>
      </c>
    </row>
    <row r="9216" spans="8:11" x14ac:dyDescent="0.3">
      <c r="H9216">
        <v>0.5</v>
      </c>
      <c r="I9216" s="11">
        <f t="shared" si="143"/>
        <v>0</v>
      </c>
      <c r="J9216" s="11">
        <f>1/(H9216*Utilities!$B$11)</f>
        <v>8</v>
      </c>
      <c r="K9216" s="11">
        <f>IF(B9216&lt;C9216,1,EXP(-1*(B9216-C9216)/(Utilities!$B$11*IterData!H9216)))</f>
        <v>1</v>
      </c>
    </row>
    <row r="9217" spans="8:11" x14ac:dyDescent="0.3">
      <c r="H9217">
        <v>0.5</v>
      </c>
      <c r="I9217" s="11">
        <f t="shared" si="143"/>
        <v>0</v>
      </c>
      <c r="J9217" s="11">
        <f>1/(H9217*Utilities!$B$11)</f>
        <v>8</v>
      </c>
      <c r="K9217" s="11">
        <f>IF(B9217&lt;C9217,1,EXP(-1*(B9217-C9217)/(Utilities!$B$11*IterData!H9217)))</f>
        <v>1</v>
      </c>
    </row>
    <row r="9218" spans="8:11" x14ac:dyDescent="0.3">
      <c r="H9218">
        <v>0.5</v>
      </c>
      <c r="I9218" s="11">
        <f t="shared" si="143"/>
        <v>0</v>
      </c>
      <c r="J9218" s="11">
        <f>1/(H9218*Utilities!$B$11)</f>
        <v>8</v>
      </c>
      <c r="K9218" s="11">
        <f>IF(B9218&lt;C9218,1,EXP(-1*(B9218-C9218)/(Utilities!$B$11*IterData!H9218)))</f>
        <v>1</v>
      </c>
    </row>
    <row r="9219" spans="8:11" x14ac:dyDescent="0.3">
      <c r="H9219">
        <v>0.5</v>
      </c>
      <c r="I9219" s="11">
        <f t="shared" ref="I9219:I9282" si="144">B9219-C9219</f>
        <v>0</v>
      </c>
      <c r="J9219" s="11">
        <f>1/(H9219*Utilities!$B$11)</f>
        <v>8</v>
      </c>
      <c r="K9219" s="11">
        <f>IF(B9219&lt;C9219,1,EXP(-1*(B9219-C9219)/(Utilities!$B$11*IterData!H9219)))</f>
        <v>1</v>
      </c>
    </row>
    <row r="9220" spans="8:11" x14ac:dyDescent="0.3">
      <c r="H9220">
        <v>0.5</v>
      </c>
      <c r="I9220" s="11">
        <f t="shared" si="144"/>
        <v>0</v>
      </c>
      <c r="J9220" s="11">
        <f>1/(H9220*Utilities!$B$11)</f>
        <v>8</v>
      </c>
      <c r="K9220" s="11">
        <f>IF(B9220&lt;C9220,1,EXP(-1*(B9220-C9220)/(Utilities!$B$11*IterData!H9220)))</f>
        <v>1</v>
      </c>
    </row>
    <row r="9221" spans="8:11" x14ac:dyDescent="0.3">
      <c r="H9221">
        <v>0.5</v>
      </c>
      <c r="I9221" s="11">
        <f t="shared" si="144"/>
        <v>0</v>
      </c>
      <c r="J9221" s="11">
        <f>1/(H9221*Utilities!$B$11)</f>
        <v>8</v>
      </c>
      <c r="K9221" s="11">
        <f>IF(B9221&lt;C9221,1,EXP(-1*(B9221-C9221)/(Utilities!$B$11*IterData!H9221)))</f>
        <v>1</v>
      </c>
    </row>
    <row r="9222" spans="8:11" x14ac:dyDescent="0.3">
      <c r="H9222">
        <v>0.5</v>
      </c>
      <c r="I9222" s="11">
        <f t="shared" si="144"/>
        <v>0</v>
      </c>
      <c r="J9222" s="11">
        <f>1/(H9222*Utilities!$B$11)</f>
        <v>8</v>
      </c>
      <c r="K9222" s="11">
        <f>IF(B9222&lt;C9222,1,EXP(-1*(B9222-C9222)/(Utilities!$B$11*IterData!H9222)))</f>
        <v>1</v>
      </c>
    </row>
    <row r="9223" spans="8:11" x14ac:dyDescent="0.3">
      <c r="H9223">
        <v>0.5</v>
      </c>
      <c r="I9223" s="11">
        <f t="shared" si="144"/>
        <v>0</v>
      </c>
      <c r="J9223" s="11">
        <f>1/(H9223*Utilities!$B$11)</f>
        <v>8</v>
      </c>
      <c r="K9223" s="11">
        <f>IF(B9223&lt;C9223,1,EXP(-1*(B9223-C9223)/(Utilities!$B$11*IterData!H9223)))</f>
        <v>1</v>
      </c>
    </row>
    <row r="9224" spans="8:11" x14ac:dyDescent="0.3">
      <c r="H9224">
        <v>0.5</v>
      </c>
      <c r="I9224" s="11">
        <f t="shared" si="144"/>
        <v>0</v>
      </c>
      <c r="J9224" s="11">
        <f>1/(H9224*Utilities!$B$11)</f>
        <v>8</v>
      </c>
      <c r="K9224" s="11">
        <f>IF(B9224&lt;C9224,1,EXP(-1*(B9224-C9224)/(Utilities!$B$11*IterData!H9224)))</f>
        <v>1</v>
      </c>
    </row>
    <row r="9225" spans="8:11" x14ac:dyDescent="0.3">
      <c r="H9225">
        <v>0.5</v>
      </c>
      <c r="I9225" s="11">
        <f t="shared" si="144"/>
        <v>0</v>
      </c>
      <c r="J9225" s="11">
        <f>1/(H9225*Utilities!$B$11)</f>
        <v>8</v>
      </c>
      <c r="K9225" s="11">
        <f>IF(B9225&lt;C9225,1,EXP(-1*(B9225-C9225)/(Utilities!$B$11*IterData!H9225)))</f>
        <v>1</v>
      </c>
    </row>
    <row r="9226" spans="8:11" x14ac:dyDescent="0.3">
      <c r="H9226">
        <v>0.5</v>
      </c>
      <c r="I9226" s="11">
        <f t="shared" si="144"/>
        <v>0</v>
      </c>
      <c r="J9226" s="11">
        <f>1/(H9226*Utilities!$B$11)</f>
        <v>8</v>
      </c>
      <c r="K9226" s="11">
        <f>IF(B9226&lt;C9226,1,EXP(-1*(B9226-C9226)/(Utilities!$B$11*IterData!H9226)))</f>
        <v>1</v>
      </c>
    </row>
    <row r="9227" spans="8:11" x14ac:dyDescent="0.3">
      <c r="H9227">
        <v>0.5</v>
      </c>
      <c r="I9227" s="11">
        <f t="shared" si="144"/>
        <v>0</v>
      </c>
      <c r="J9227" s="11">
        <f>1/(H9227*Utilities!$B$11)</f>
        <v>8</v>
      </c>
      <c r="K9227" s="11">
        <f>IF(B9227&lt;C9227,1,EXP(-1*(B9227-C9227)/(Utilities!$B$11*IterData!H9227)))</f>
        <v>1</v>
      </c>
    </row>
    <row r="9228" spans="8:11" x14ac:dyDescent="0.3">
      <c r="H9228">
        <v>0.5</v>
      </c>
      <c r="I9228" s="11">
        <f t="shared" si="144"/>
        <v>0</v>
      </c>
      <c r="J9228" s="11">
        <f>1/(H9228*Utilities!$B$11)</f>
        <v>8</v>
      </c>
      <c r="K9228" s="11">
        <f>IF(B9228&lt;C9228,1,EXP(-1*(B9228-C9228)/(Utilities!$B$11*IterData!H9228)))</f>
        <v>1</v>
      </c>
    </row>
    <row r="9229" spans="8:11" x14ac:dyDescent="0.3">
      <c r="H9229">
        <v>0.5</v>
      </c>
      <c r="I9229" s="11">
        <f t="shared" si="144"/>
        <v>0</v>
      </c>
      <c r="J9229" s="11">
        <f>1/(H9229*Utilities!$B$11)</f>
        <v>8</v>
      </c>
      <c r="K9229" s="11">
        <f>IF(B9229&lt;C9229,1,EXP(-1*(B9229-C9229)/(Utilities!$B$11*IterData!H9229)))</f>
        <v>1</v>
      </c>
    </row>
    <row r="9230" spans="8:11" x14ac:dyDescent="0.3">
      <c r="H9230">
        <v>0.5</v>
      </c>
      <c r="I9230" s="11">
        <f t="shared" si="144"/>
        <v>0</v>
      </c>
      <c r="J9230" s="11">
        <f>1/(H9230*Utilities!$B$11)</f>
        <v>8</v>
      </c>
      <c r="K9230" s="11">
        <f>IF(B9230&lt;C9230,1,EXP(-1*(B9230-C9230)/(Utilities!$B$11*IterData!H9230)))</f>
        <v>1</v>
      </c>
    </row>
    <row r="9231" spans="8:11" x14ac:dyDescent="0.3">
      <c r="H9231">
        <v>0.5</v>
      </c>
      <c r="I9231" s="11">
        <f t="shared" si="144"/>
        <v>0</v>
      </c>
      <c r="J9231" s="11">
        <f>1/(H9231*Utilities!$B$11)</f>
        <v>8</v>
      </c>
      <c r="K9231" s="11">
        <f>IF(B9231&lt;C9231,1,EXP(-1*(B9231-C9231)/(Utilities!$B$11*IterData!H9231)))</f>
        <v>1</v>
      </c>
    </row>
    <row r="9232" spans="8:11" x14ac:dyDescent="0.3">
      <c r="H9232">
        <v>0.5</v>
      </c>
      <c r="I9232" s="11">
        <f t="shared" si="144"/>
        <v>0</v>
      </c>
      <c r="J9232" s="11">
        <f>1/(H9232*Utilities!$B$11)</f>
        <v>8</v>
      </c>
      <c r="K9232" s="11">
        <f>IF(B9232&lt;C9232,1,EXP(-1*(B9232-C9232)/(Utilities!$B$11*IterData!H9232)))</f>
        <v>1</v>
      </c>
    </row>
    <row r="9233" spans="8:11" x14ac:dyDescent="0.3">
      <c r="H9233">
        <v>0.5</v>
      </c>
      <c r="I9233" s="11">
        <f t="shared" si="144"/>
        <v>0</v>
      </c>
      <c r="J9233" s="11">
        <f>1/(H9233*Utilities!$B$11)</f>
        <v>8</v>
      </c>
      <c r="K9233" s="11">
        <f>IF(B9233&lt;C9233,1,EXP(-1*(B9233-C9233)/(Utilities!$B$11*IterData!H9233)))</f>
        <v>1</v>
      </c>
    </row>
    <row r="9234" spans="8:11" x14ac:dyDescent="0.3">
      <c r="H9234">
        <v>0.5</v>
      </c>
      <c r="I9234" s="11">
        <f t="shared" si="144"/>
        <v>0</v>
      </c>
      <c r="J9234" s="11">
        <f>1/(H9234*Utilities!$B$11)</f>
        <v>8</v>
      </c>
      <c r="K9234" s="11">
        <f>IF(B9234&lt;C9234,1,EXP(-1*(B9234-C9234)/(Utilities!$B$11*IterData!H9234)))</f>
        <v>1</v>
      </c>
    </row>
    <row r="9235" spans="8:11" x14ac:dyDescent="0.3">
      <c r="H9235">
        <v>0.5</v>
      </c>
      <c r="I9235" s="11">
        <f t="shared" si="144"/>
        <v>0</v>
      </c>
      <c r="J9235" s="11">
        <f>1/(H9235*Utilities!$B$11)</f>
        <v>8</v>
      </c>
      <c r="K9235" s="11">
        <f>IF(B9235&lt;C9235,1,EXP(-1*(B9235-C9235)/(Utilities!$B$11*IterData!H9235)))</f>
        <v>1</v>
      </c>
    </row>
    <row r="9236" spans="8:11" x14ac:dyDescent="0.3">
      <c r="H9236">
        <v>0.5</v>
      </c>
      <c r="I9236" s="11">
        <f t="shared" si="144"/>
        <v>0</v>
      </c>
      <c r="J9236" s="11">
        <f>1/(H9236*Utilities!$B$11)</f>
        <v>8</v>
      </c>
      <c r="K9236" s="11">
        <f>IF(B9236&lt;C9236,1,EXP(-1*(B9236-C9236)/(Utilities!$B$11*IterData!H9236)))</f>
        <v>1</v>
      </c>
    </row>
    <row r="9237" spans="8:11" x14ac:dyDescent="0.3">
      <c r="H9237">
        <v>0.5</v>
      </c>
      <c r="I9237" s="11">
        <f t="shared" si="144"/>
        <v>0</v>
      </c>
      <c r="J9237" s="11">
        <f>1/(H9237*Utilities!$B$11)</f>
        <v>8</v>
      </c>
      <c r="K9237" s="11">
        <f>IF(B9237&lt;C9237,1,EXP(-1*(B9237-C9237)/(Utilities!$B$11*IterData!H9237)))</f>
        <v>1</v>
      </c>
    </row>
    <row r="9238" spans="8:11" x14ac:dyDescent="0.3">
      <c r="H9238">
        <v>0.5</v>
      </c>
      <c r="I9238" s="11">
        <f t="shared" si="144"/>
        <v>0</v>
      </c>
      <c r="J9238" s="11">
        <f>1/(H9238*Utilities!$B$11)</f>
        <v>8</v>
      </c>
      <c r="K9238" s="11">
        <f>IF(B9238&lt;C9238,1,EXP(-1*(B9238-C9238)/(Utilities!$B$11*IterData!H9238)))</f>
        <v>1</v>
      </c>
    </row>
    <row r="9239" spans="8:11" x14ac:dyDescent="0.3">
      <c r="H9239">
        <v>0.5</v>
      </c>
      <c r="I9239" s="11">
        <f t="shared" si="144"/>
        <v>0</v>
      </c>
      <c r="J9239" s="11">
        <f>1/(H9239*Utilities!$B$11)</f>
        <v>8</v>
      </c>
      <c r="K9239" s="11">
        <f>IF(B9239&lt;C9239,1,EXP(-1*(B9239-C9239)/(Utilities!$B$11*IterData!H9239)))</f>
        <v>1</v>
      </c>
    </row>
    <row r="9240" spans="8:11" x14ac:dyDescent="0.3">
      <c r="H9240">
        <v>0.5</v>
      </c>
      <c r="I9240" s="11">
        <f t="shared" si="144"/>
        <v>0</v>
      </c>
      <c r="J9240" s="11">
        <f>1/(H9240*Utilities!$B$11)</f>
        <v>8</v>
      </c>
      <c r="K9240" s="11">
        <f>IF(B9240&lt;C9240,1,EXP(-1*(B9240-C9240)/(Utilities!$B$11*IterData!H9240)))</f>
        <v>1</v>
      </c>
    </row>
    <row r="9241" spans="8:11" x14ac:dyDescent="0.3">
      <c r="H9241">
        <v>0.5</v>
      </c>
      <c r="I9241" s="11">
        <f t="shared" si="144"/>
        <v>0</v>
      </c>
      <c r="J9241" s="11">
        <f>1/(H9241*Utilities!$B$11)</f>
        <v>8</v>
      </c>
      <c r="K9241" s="11">
        <f>IF(B9241&lt;C9241,1,EXP(-1*(B9241-C9241)/(Utilities!$B$11*IterData!H9241)))</f>
        <v>1</v>
      </c>
    </row>
    <row r="9242" spans="8:11" x14ac:dyDescent="0.3">
      <c r="H9242">
        <v>0.5</v>
      </c>
      <c r="I9242" s="11">
        <f t="shared" si="144"/>
        <v>0</v>
      </c>
      <c r="J9242" s="11">
        <f>1/(H9242*Utilities!$B$11)</f>
        <v>8</v>
      </c>
      <c r="K9242" s="11">
        <f>IF(B9242&lt;C9242,1,EXP(-1*(B9242-C9242)/(Utilities!$B$11*IterData!H9242)))</f>
        <v>1</v>
      </c>
    </row>
    <row r="9243" spans="8:11" x14ac:dyDescent="0.3">
      <c r="H9243">
        <v>0.5</v>
      </c>
      <c r="I9243" s="11">
        <f t="shared" si="144"/>
        <v>0</v>
      </c>
      <c r="J9243" s="11">
        <f>1/(H9243*Utilities!$B$11)</f>
        <v>8</v>
      </c>
      <c r="K9243" s="11">
        <f>IF(B9243&lt;C9243,1,EXP(-1*(B9243-C9243)/(Utilities!$B$11*IterData!H9243)))</f>
        <v>1</v>
      </c>
    </row>
    <row r="9244" spans="8:11" x14ac:dyDescent="0.3">
      <c r="H9244">
        <v>0.5</v>
      </c>
      <c r="I9244" s="11">
        <f t="shared" si="144"/>
        <v>0</v>
      </c>
      <c r="J9244" s="11">
        <f>1/(H9244*Utilities!$B$11)</f>
        <v>8</v>
      </c>
      <c r="K9244" s="11">
        <f>IF(B9244&lt;C9244,1,EXP(-1*(B9244-C9244)/(Utilities!$B$11*IterData!H9244)))</f>
        <v>1</v>
      </c>
    </row>
    <row r="9245" spans="8:11" x14ac:dyDescent="0.3">
      <c r="H9245">
        <v>0.5</v>
      </c>
      <c r="I9245" s="11">
        <f t="shared" si="144"/>
        <v>0</v>
      </c>
      <c r="J9245" s="11">
        <f>1/(H9245*Utilities!$B$11)</f>
        <v>8</v>
      </c>
      <c r="K9245" s="11">
        <f>IF(B9245&lt;C9245,1,EXP(-1*(B9245-C9245)/(Utilities!$B$11*IterData!H9245)))</f>
        <v>1</v>
      </c>
    </row>
    <row r="9246" spans="8:11" x14ac:dyDescent="0.3">
      <c r="H9246">
        <v>0.5</v>
      </c>
      <c r="I9246" s="11">
        <f t="shared" si="144"/>
        <v>0</v>
      </c>
      <c r="J9246" s="11">
        <f>1/(H9246*Utilities!$B$11)</f>
        <v>8</v>
      </c>
      <c r="K9246" s="11">
        <f>IF(B9246&lt;C9246,1,EXP(-1*(B9246-C9246)/(Utilities!$B$11*IterData!H9246)))</f>
        <v>1</v>
      </c>
    </row>
    <row r="9247" spans="8:11" x14ac:dyDescent="0.3">
      <c r="H9247">
        <v>0.5</v>
      </c>
      <c r="I9247" s="11">
        <f t="shared" si="144"/>
        <v>0</v>
      </c>
      <c r="J9247" s="11">
        <f>1/(H9247*Utilities!$B$11)</f>
        <v>8</v>
      </c>
      <c r="K9247" s="11">
        <f>IF(B9247&lt;C9247,1,EXP(-1*(B9247-C9247)/(Utilities!$B$11*IterData!H9247)))</f>
        <v>1</v>
      </c>
    </row>
    <row r="9248" spans="8:11" x14ac:dyDescent="0.3">
      <c r="H9248">
        <v>0.5</v>
      </c>
      <c r="I9248" s="11">
        <f t="shared" si="144"/>
        <v>0</v>
      </c>
      <c r="J9248" s="11">
        <f>1/(H9248*Utilities!$B$11)</f>
        <v>8</v>
      </c>
      <c r="K9248" s="11">
        <f>IF(B9248&lt;C9248,1,EXP(-1*(B9248-C9248)/(Utilities!$B$11*IterData!H9248)))</f>
        <v>1</v>
      </c>
    </row>
    <row r="9249" spans="8:11" x14ac:dyDescent="0.3">
      <c r="H9249">
        <v>0.5</v>
      </c>
      <c r="I9249" s="11">
        <f t="shared" si="144"/>
        <v>0</v>
      </c>
      <c r="J9249" s="11">
        <f>1/(H9249*Utilities!$B$11)</f>
        <v>8</v>
      </c>
      <c r="K9249" s="11">
        <f>IF(B9249&lt;C9249,1,EXP(-1*(B9249-C9249)/(Utilities!$B$11*IterData!H9249)))</f>
        <v>1</v>
      </c>
    </row>
    <row r="9250" spans="8:11" x14ac:dyDescent="0.3">
      <c r="H9250">
        <v>0.5</v>
      </c>
      <c r="I9250" s="11">
        <f t="shared" si="144"/>
        <v>0</v>
      </c>
      <c r="J9250" s="11">
        <f>1/(H9250*Utilities!$B$11)</f>
        <v>8</v>
      </c>
      <c r="K9250" s="11">
        <f>IF(B9250&lt;C9250,1,EXP(-1*(B9250-C9250)/(Utilities!$B$11*IterData!H9250)))</f>
        <v>1</v>
      </c>
    </row>
    <row r="9251" spans="8:11" x14ac:dyDescent="0.3">
      <c r="H9251">
        <v>0.5</v>
      </c>
      <c r="I9251" s="11">
        <f t="shared" si="144"/>
        <v>0</v>
      </c>
      <c r="J9251" s="11">
        <f>1/(H9251*Utilities!$B$11)</f>
        <v>8</v>
      </c>
      <c r="K9251" s="11">
        <f>IF(B9251&lt;C9251,1,EXP(-1*(B9251-C9251)/(Utilities!$B$11*IterData!H9251)))</f>
        <v>1</v>
      </c>
    </row>
    <row r="9252" spans="8:11" x14ac:dyDescent="0.3">
      <c r="H9252">
        <v>0.5</v>
      </c>
      <c r="I9252" s="11">
        <f t="shared" si="144"/>
        <v>0</v>
      </c>
      <c r="J9252" s="11">
        <f>1/(H9252*Utilities!$B$11)</f>
        <v>8</v>
      </c>
      <c r="K9252" s="11">
        <f>IF(B9252&lt;C9252,1,EXP(-1*(B9252-C9252)/(Utilities!$B$11*IterData!H9252)))</f>
        <v>1</v>
      </c>
    </row>
    <row r="9253" spans="8:11" x14ac:dyDescent="0.3">
      <c r="H9253">
        <v>0.5</v>
      </c>
      <c r="I9253" s="11">
        <f t="shared" si="144"/>
        <v>0</v>
      </c>
      <c r="J9253" s="11">
        <f>1/(H9253*Utilities!$B$11)</f>
        <v>8</v>
      </c>
      <c r="K9253" s="11">
        <f>IF(B9253&lt;C9253,1,EXP(-1*(B9253-C9253)/(Utilities!$B$11*IterData!H9253)))</f>
        <v>1</v>
      </c>
    </row>
    <row r="9254" spans="8:11" x14ac:dyDescent="0.3">
      <c r="H9254">
        <v>0.5</v>
      </c>
      <c r="I9254" s="11">
        <f t="shared" si="144"/>
        <v>0</v>
      </c>
      <c r="J9254" s="11">
        <f>1/(H9254*Utilities!$B$11)</f>
        <v>8</v>
      </c>
      <c r="K9254" s="11">
        <f>IF(B9254&lt;C9254,1,EXP(-1*(B9254-C9254)/(Utilities!$B$11*IterData!H9254)))</f>
        <v>1</v>
      </c>
    </row>
    <row r="9255" spans="8:11" x14ac:dyDescent="0.3">
      <c r="H9255">
        <v>0.5</v>
      </c>
      <c r="I9255" s="11">
        <f t="shared" si="144"/>
        <v>0</v>
      </c>
      <c r="J9255" s="11">
        <f>1/(H9255*Utilities!$B$11)</f>
        <v>8</v>
      </c>
      <c r="K9255" s="11">
        <f>IF(B9255&lt;C9255,1,EXP(-1*(B9255-C9255)/(Utilities!$B$11*IterData!H9255)))</f>
        <v>1</v>
      </c>
    </row>
    <row r="9256" spans="8:11" x14ac:dyDescent="0.3">
      <c r="H9256">
        <v>0.5</v>
      </c>
      <c r="I9256" s="11">
        <f t="shared" si="144"/>
        <v>0</v>
      </c>
      <c r="J9256" s="11">
        <f>1/(H9256*Utilities!$B$11)</f>
        <v>8</v>
      </c>
      <c r="K9256" s="11">
        <f>IF(B9256&lt;C9256,1,EXP(-1*(B9256-C9256)/(Utilities!$B$11*IterData!H9256)))</f>
        <v>1</v>
      </c>
    </row>
    <row r="9257" spans="8:11" x14ac:dyDescent="0.3">
      <c r="H9257">
        <v>0.5</v>
      </c>
      <c r="I9257" s="11">
        <f t="shared" si="144"/>
        <v>0</v>
      </c>
      <c r="J9257" s="11">
        <f>1/(H9257*Utilities!$B$11)</f>
        <v>8</v>
      </c>
      <c r="K9257" s="11">
        <f>IF(B9257&lt;C9257,1,EXP(-1*(B9257-C9257)/(Utilities!$B$11*IterData!H9257)))</f>
        <v>1</v>
      </c>
    </row>
    <row r="9258" spans="8:11" x14ac:dyDescent="0.3">
      <c r="H9258">
        <v>0.5</v>
      </c>
      <c r="I9258" s="11">
        <f t="shared" si="144"/>
        <v>0</v>
      </c>
      <c r="J9258" s="11">
        <f>1/(H9258*Utilities!$B$11)</f>
        <v>8</v>
      </c>
      <c r="K9258" s="11">
        <f>IF(B9258&lt;C9258,1,EXP(-1*(B9258-C9258)/(Utilities!$B$11*IterData!H9258)))</f>
        <v>1</v>
      </c>
    </row>
    <row r="9259" spans="8:11" x14ac:dyDescent="0.3">
      <c r="H9259">
        <v>0.5</v>
      </c>
      <c r="I9259" s="11">
        <f t="shared" si="144"/>
        <v>0</v>
      </c>
      <c r="J9259" s="11">
        <f>1/(H9259*Utilities!$B$11)</f>
        <v>8</v>
      </c>
      <c r="K9259" s="11">
        <f>IF(B9259&lt;C9259,1,EXP(-1*(B9259-C9259)/(Utilities!$B$11*IterData!H9259)))</f>
        <v>1</v>
      </c>
    </row>
    <row r="9260" spans="8:11" x14ac:dyDescent="0.3">
      <c r="H9260">
        <v>0.5</v>
      </c>
      <c r="I9260" s="11">
        <f t="shared" si="144"/>
        <v>0</v>
      </c>
      <c r="J9260" s="11">
        <f>1/(H9260*Utilities!$B$11)</f>
        <v>8</v>
      </c>
      <c r="K9260" s="11">
        <f>IF(B9260&lt;C9260,1,EXP(-1*(B9260-C9260)/(Utilities!$B$11*IterData!H9260)))</f>
        <v>1</v>
      </c>
    </row>
    <row r="9261" spans="8:11" x14ac:dyDescent="0.3">
      <c r="H9261">
        <v>0.5</v>
      </c>
      <c r="I9261" s="11">
        <f t="shared" si="144"/>
        <v>0</v>
      </c>
      <c r="J9261" s="11">
        <f>1/(H9261*Utilities!$B$11)</f>
        <v>8</v>
      </c>
      <c r="K9261" s="11">
        <f>IF(B9261&lt;C9261,1,EXP(-1*(B9261-C9261)/(Utilities!$B$11*IterData!H9261)))</f>
        <v>1</v>
      </c>
    </row>
    <row r="9262" spans="8:11" x14ac:dyDescent="0.3">
      <c r="H9262">
        <v>0.5</v>
      </c>
      <c r="I9262" s="11">
        <f t="shared" si="144"/>
        <v>0</v>
      </c>
      <c r="J9262" s="11">
        <f>1/(H9262*Utilities!$B$11)</f>
        <v>8</v>
      </c>
      <c r="K9262" s="11">
        <f>IF(B9262&lt;C9262,1,EXP(-1*(B9262-C9262)/(Utilities!$B$11*IterData!H9262)))</f>
        <v>1</v>
      </c>
    </row>
    <row r="9263" spans="8:11" x14ac:dyDescent="0.3">
      <c r="H9263">
        <v>0.5</v>
      </c>
      <c r="I9263" s="11">
        <f t="shared" si="144"/>
        <v>0</v>
      </c>
      <c r="J9263" s="11">
        <f>1/(H9263*Utilities!$B$11)</f>
        <v>8</v>
      </c>
      <c r="K9263" s="11">
        <f>IF(B9263&lt;C9263,1,EXP(-1*(B9263-C9263)/(Utilities!$B$11*IterData!H9263)))</f>
        <v>1</v>
      </c>
    </row>
    <row r="9264" spans="8:11" x14ac:dyDescent="0.3">
      <c r="H9264">
        <v>0.5</v>
      </c>
      <c r="I9264" s="11">
        <f t="shared" si="144"/>
        <v>0</v>
      </c>
      <c r="J9264" s="11">
        <f>1/(H9264*Utilities!$B$11)</f>
        <v>8</v>
      </c>
      <c r="K9264" s="11">
        <f>IF(B9264&lt;C9264,1,EXP(-1*(B9264-C9264)/(Utilities!$B$11*IterData!H9264)))</f>
        <v>1</v>
      </c>
    </row>
    <row r="9265" spans="8:11" x14ac:dyDescent="0.3">
      <c r="H9265">
        <v>0.5</v>
      </c>
      <c r="I9265" s="11">
        <f t="shared" si="144"/>
        <v>0</v>
      </c>
      <c r="J9265" s="11">
        <f>1/(H9265*Utilities!$B$11)</f>
        <v>8</v>
      </c>
      <c r="K9265" s="11">
        <f>IF(B9265&lt;C9265,1,EXP(-1*(B9265-C9265)/(Utilities!$B$11*IterData!H9265)))</f>
        <v>1</v>
      </c>
    </row>
    <row r="9266" spans="8:11" x14ac:dyDescent="0.3">
      <c r="H9266">
        <v>0.5</v>
      </c>
      <c r="I9266" s="11">
        <f t="shared" si="144"/>
        <v>0</v>
      </c>
      <c r="J9266" s="11">
        <f>1/(H9266*Utilities!$B$11)</f>
        <v>8</v>
      </c>
      <c r="K9266" s="11">
        <f>IF(B9266&lt;C9266,1,EXP(-1*(B9266-C9266)/(Utilities!$B$11*IterData!H9266)))</f>
        <v>1</v>
      </c>
    </row>
    <row r="9267" spans="8:11" x14ac:dyDescent="0.3">
      <c r="H9267">
        <v>0.5</v>
      </c>
      <c r="I9267" s="11">
        <f t="shared" si="144"/>
        <v>0</v>
      </c>
      <c r="J9267" s="11">
        <f>1/(H9267*Utilities!$B$11)</f>
        <v>8</v>
      </c>
      <c r="K9267" s="11">
        <f>IF(B9267&lt;C9267,1,EXP(-1*(B9267-C9267)/(Utilities!$B$11*IterData!H9267)))</f>
        <v>1</v>
      </c>
    </row>
    <row r="9268" spans="8:11" x14ac:dyDescent="0.3">
      <c r="H9268">
        <v>0.5</v>
      </c>
      <c r="I9268" s="11">
        <f t="shared" si="144"/>
        <v>0</v>
      </c>
      <c r="J9268" s="11">
        <f>1/(H9268*Utilities!$B$11)</f>
        <v>8</v>
      </c>
      <c r="K9268" s="11">
        <f>IF(B9268&lt;C9268,1,EXP(-1*(B9268-C9268)/(Utilities!$B$11*IterData!H9268)))</f>
        <v>1</v>
      </c>
    </row>
    <row r="9269" spans="8:11" x14ac:dyDescent="0.3">
      <c r="H9269">
        <v>0.5</v>
      </c>
      <c r="I9269" s="11">
        <f t="shared" si="144"/>
        <v>0</v>
      </c>
      <c r="J9269" s="11">
        <f>1/(H9269*Utilities!$B$11)</f>
        <v>8</v>
      </c>
      <c r="K9269" s="11">
        <f>IF(B9269&lt;C9269,1,EXP(-1*(B9269-C9269)/(Utilities!$B$11*IterData!H9269)))</f>
        <v>1</v>
      </c>
    </row>
    <row r="9270" spans="8:11" x14ac:dyDescent="0.3">
      <c r="H9270">
        <v>0.5</v>
      </c>
      <c r="I9270" s="11">
        <f t="shared" si="144"/>
        <v>0</v>
      </c>
      <c r="J9270" s="11">
        <f>1/(H9270*Utilities!$B$11)</f>
        <v>8</v>
      </c>
      <c r="K9270" s="11">
        <f>IF(B9270&lt;C9270,1,EXP(-1*(B9270-C9270)/(Utilities!$B$11*IterData!H9270)))</f>
        <v>1</v>
      </c>
    </row>
    <row r="9271" spans="8:11" x14ac:dyDescent="0.3">
      <c r="H9271">
        <v>0.5</v>
      </c>
      <c r="I9271" s="11">
        <f t="shared" si="144"/>
        <v>0</v>
      </c>
      <c r="J9271" s="11">
        <f>1/(H9271*Utilities!$B$11)</f>
        <v>8</v>
      </c>
      <c r="K9271" s="11">
        <f>IF(B9271&lt;C9271,1,EXP(-1*(B9271-C9271)/(Utilities!$B$11*IterData!H9271)))</f>
        <v>1</v>
      </c>
    </row>
    <row r="9272" spans="8:11" x14ac:dyDescent="0.3">
      <c r="H9272">
        <v>0.5</v>
      </c>
      <c r="I9272" s="11">
        <f t="shared" si="144"/>
        <v>0</v>
      </c>
      <c r="J9272" s="11">
        <f>1/(H9272*Utilities!$B$11)</f>
        <v>8</v>
      </c>
      <c r="K9272" s="11">
        <f>IF(B9272&lt;C9272,1,EXP(-1*(B9272-C9272)/(Utilities!$B$11*IterData!H9272)))</f>
        <v>1</v>
      </c>
    </row>
    <row r="9273" spans="8:11" x14ac:dyDescent="0.3">
      <c r="H9273">
        <v>0.5</v>
      </c>
      <c r="I9273" s="11">
        <f t="shared" si="144"/>
        <v>0</v>
      </c>
      <c r="J9273" s="11">
        <f>1/(H9273*Utilities!$B$11)</f>
        <v>8</v>
      </c>
      <c r="K9273" s="11">
        <f>IF(B9273&lt;C9273,1,EXP(-1*(B9273-C9273)/(Utilities!$B$11*IterData!H9273)))</f>
        <v>1</v>
      </c>
    </row>
    <row r="9274" spans="8:11" x14ac:dyDescent="0.3">
      <c r="H9274">
        <v>0.5</v>
      </c>
      <c r="I9274" s="11">
        <f t="shared" si="144"/>
        <v>0</v>
      </c>
      <c r="J9274" s="11">
        <f>1/(H9274*Utilities!$B$11)</f>
        <v>8</v>
      </c>
      <c r="K9274" s="11">
        <f>IF(B9274&lt;C9274,1,EXP(-1*(B9274-C9274)/(Utilities!$B$11*IterData!H9274)))</f>
        <v>1</v>
      </c>
    </row>
    <row r="9275" spans="8:11" x14ac:dyDescent="0.3">
      <c r="H9275">
        <v>0.5</v>
      </c>
      <c r="I9275" s="11">
        <f t="shared" si="144"/>
        <v>0</v>
      </c>
      <c r="J9275" s="11">
        <f>1/(H9275*Utilities!$B$11)</f>
        <v>8</v>
      </c>
      <c r="K9275" s="11">
        <f>IF(B9275&lt;C9275,1,EXP(-1*(B9275-C9275)/(Utilities!$B$11*IterData!H9275)))</f>
        <v>1</v>
      </c>
    </row>
    <row r="9276" spans="8:11" x14ac:dyDescent="0.3">
      <c r="H9276">
        <v>0.5</v>
      </c>
      <c r="I9276" s="11">
        <f t="shared" si="144"/>
        <v>0</v>
      </c>
      <c r="J9276" s="11">
        <f>1/(H9276*Utilities!$B$11)</f>
        <v>8</v>
      </c>
      <c r="K9276" s="11">
        <f>IF(B9276&lt;C9276,1,EXP(-1*(B9276-C9276)/(Utilities!$B$11*IterData!H9276)))</f>
        <v>1</v>
      </c>
    </row>
    <row r="9277" spans="8:11" x14ac:dyDescent="0.3">
      <c r="H9277">
        <v>0.5</v>
      </c>
      <c r="I9277" s="11">
        <f t="shared" si="144"/>
        <v>0</v>
      </c>
      <c r="J9277" s="11">
        <f>1/(H9277*Utilities!$B$11)</f>
        <v>8</v>
      </c>
      <c r="K9277" s="11">
        <f>IF(B9277&lt;C9277,1,EXP(-1*(B9277-C9277)/(Utilities!$B$11*IterData!H9277)))</f>
        <v>1</v>
      </c>
    </row>
    <row r="9278" spans="8:11" x14ac:dyDescent="0.3">
      <c r="H9278">
        <v>0.5</v>
      </c>
      <c r="I9278" s="11">
        <f t="shared" si="144"/>
        <v>0</v>
      </c>
      <c r="J9278" s="11">
        <f>1/(H9278*Utilities!$B$11)</f>
        <v>8</v>
      </c>
      <c r="K9278" s="11">
        <f>IF(B9278&lt;C9278,1,EXP(-1*(B9278-C9278)/(Utilities!$B$11*IterData!H9278)))</f>
        <v>1</v>
      </c>
    </row>
    <row r="9279" spans="8:11" x14ac:dyDescent="0.3">
      <c r="H9279">
        <v>0.5</v>
      </c>
      <c r="I9279" s="11">
        <f t="shared" si="144"/>
        <v>0</v>
      </c>
      <c r="J9279" s="11">
        <f>1/(H9279*Utilities!$B$11)</f>
        <v>8</v>
      </c>
      <c r="K9279" s="11">
        <f>IF(B9279&lt;C9279,1,EXP(-1*(B9279-C9279)/(Utilities!$B$11*IterData!H9279)))</f>
        <v>1</v>
      </c>
    </row>
    <row r="9280" spans="8:11" x14ac:dyDescent="0.3">
      <c r="H9280">
        <v>0.5</v>
      </c>
      <c r="I9280" s="11">
        <f t="shared" si="144"/>
        <v>0</v>
      </c>
      <c r="J9280" s="11">
        <f>1/(H9280*Utilities!$B$11)</f>
        <v>8</v>
      </c>
      <c r="K9280" s="11">
        <f>IF(B9280&lt;C9280,1,EXP(-1*(B9280-C9280)/(Utilities!$B$11*IterData!H9280)))</f>
        <v>1</v>
      </c>
    </row>
    <row r="9281" spans="8:11" x14ac:dyDescent="0.3">
      <c r="H9281">
        <v>0.5</v>
      </c>
      <c r="I9281" s="11">
        <f t="shared" si="144"/>
        <v>0</v>
      </c>
      <c r="J9281" s="11">
        <f>1/(H9281*Utilities!$B$11)</f>
        <v>8</v>
      </c>
      <c r="K9281" s="11">
        <f>IF(B9281&lt;C9281,1,EXP(-1*(B9281-C9281)/(Utilities!$B$11*IterData!H9281)))</f>
        <v>1</v>
      </c>
    </row>
    <row r="9282" spans="8:11" x14ac:dyDescent="0.3">
      <c r="H9282">
        <v>0.5</v>
      </c>
      <c r="I9282" s="11">
        <f t="shared" si="144"/>
        <v>0</v>
      </c>
      <c r="J9282" s="11">
        <f>1/(H9282*Utilities!$B$11)</f>
        <v>8</v>
      </c>
      <c r="K9282" s="11">
        <f>IF(B9282&lt;C9282,1,EXP(-1*(B9282-C9282)/(Utilities!$B$11*IterData!H9282)))</f>
        <v>1</v>
      </c>
    </row>
    <row r="9283" spans="8:11" x14ac:dyDescent="0.3">
      <c r="H9283">
        <v>0.5</v>
      </c>
      <c r="I9283" s="11">
        <f t="shared" ref="I9283:I9346" si="145">B9283-C9283</f>
        <v>0</v>
      </c>
      <c r="J9283" s="11">
        <f>1/(H9283*Utilities!$B$11)</f>
        <v>8</v>
      </c>
      <c r="K9283" s="11">
        <f>IF(B9283&lt;C9283,1,EXP(-1*(B9283-C9283)/(Utilities!$B$11*IterData!H9283)))</f>
        <v>1</v>
      </c>
    </row>
    <row r="9284" spans="8:11" x14ac:dyDescent="0.3">
      <c r="H9284">
        <v>0.5</v>
      </c>
      <c r="I9284" s="11">
        <f t="shared" si="145"/>
        <v>0</v>
      </c>
      <c r="J9284" s="11">
        <f>1/(H9284*Utilities!$B$11)</f>
        <v>8</v>
      </c>
      <c r="K9284" s="11">
        <f>IF(B9284&lt;C9284,1,EXP(-1*(B9284-C9284)/(Utilities!$B$11*IterData!H9284)))</f>
        <v>1</v>
      </c>
    </row>
    <row r="9285" spans="8:11" x14ac:dyDescent="0.3">
      <c r="H9285">
        <v>0.5</v>
      </c>
      <c r="I9285" s="11">
        <f t="shared" si="145"/>
        <v>0</v>
      </c>
      <c r="J9285" s="11">
        <f>1/(H9285*Utilities!$B$11)</f>
        <v>8</v>
      </c>
      <c r="K9285" s="11">
        <f>IF(B9285&lt;C9285,1,EXP(-1*(B9285-C9285)/(Utilities!$B$11*IterData!H9285)))</f>
        <v>1</v>
      </c>
    </row>
    <row r="9286" spans="8:11" x14ac:dyDescent="0.3">
      <c r="H9286">
        <v>0.5</v>
      </c>
      <c r="I9286" s="11">
        <f t="shared" si="145"/>
        <v>0</v>
      </c>
      <c r="J9286" s="11">
        <f>1/(H9286*Utilities!$B$11)</f>
        <v>8</v>
      </c>
      <c r="K9286" s="11">
        <f>IF(B9286&lt;C9286,1,EXP(-1*(B9286-C9286)/(Utilities!$B$11*IterData!H9286)))</f>
        <v>1</v>
      </c>
    </row>
    <row r="9287" spans="8:11" x14ac:dyDescent="0.3">
      <c r="H9287">
        <v>0.5</v>
      </c>
      <c r="I9287" s="11">
        <f t="shared" si="145"/>
        <v>0</v>
      </c>
      <c r="J9287" s="11">
        <f>1/(H9287*Utilities!$B$11)</f>
        <v>8</v>
      </c>
      <c r="K9287" s="11">
        <f>IF(B9287&lt;C9287,1,EXP(-1*(B9287-C9287)/(Utilities!$B$11*IterData!H9287)))</f>
        <v>1</v>
      </c>
    </row>
    <row r="9288" spans="8:11" x14ac:dyDescent="0.3">
      <c r="H9288">
        <v>0.5</v>
      </c>
      <c r="I9288" s="11">
        <f t="shared" si="145"/>
        <v>0</v>
      </c>
      <c r="J9288" s="11">
        <f>1/(H9288*Utilities!$B$11)</f>
        <v>8</v>
      </c>
      <c r="K9288" s="11">
        <f>IF(B9288&lt;C9288,1,EXP(-1*(B9288-C9288)/(Utilities!$B$11*IterData!H9288)))</f>
        <v>1</v>
      </c>
    </row>
    <row r="9289" spans="8:11" x14ac:dyDescent="0.3">
      <c r="H9289">
        <v>0.5</v>
      </c>
      <c r="I9289" s="11">
        <f t="shared" si="145"/>
        <v>0</v>
      </c>
      <c r="J9289" s="11">
        <f>1/(H9289*Utilities!$B$11)</f>
        <v>8</v>
      </c>
      <c r="K9289" s="11">
        <f>IF(B9289&lt;C9289,1,EXP(-1*(B9289-C9289)/(Utilities!$B$11*IterData!H9289)))</f>
        <v>1</v>
      </c>
    </row>
    <row r="9290" spans="8:11" x14ac:dyDescent="0.3">
      <c r="H9290">
        <v>0.5</v>
      </c>
      <c r="I9290" s="11">
        <f t="shared" si="145"/>
        <v>0</v>
      </c>
      <c r="J9290" s="11">
        <f>1/(H9290*Utilities!$B$11)</f>
        <v>8</v>
      </c>
      <c r="K9290" s="11">
        <f>IF(B9290&lt;C9290,1,EXP(-1*(B9290-C9290)/(Utilities!$B$11*IterData!H9290)))</f>
        <v>1</v>
      </c>
    </row>
    <row r="9291" spans="8:11" x14ac:dyDescent="0.3">
      <c r="H9291">
        <v>0.5</v>
      </c>
      <c r="I9291" s="11">
        <f t="shared" si="145"/>
        <v>0</v>
      </c>
      <c r="J9291" s="11">
        <f>1/(H9291*Utilities!$B$11)</f>
        <v>8</v>
      </c>
      <c r="K9291" s="11">
        <f>IF(B9291&lt;C9291,1,EXP(-1*(B9291-C9291)/(Utilities!$B$11*IterData!H9291)))</f>
        <v>1</v>
      </c>
    </row>
    <row r="9292" spans="8:11" x14ac:dyDescent="0.3">
      <c r="H9292">
        <v>0.5</v>
      </c>
      <c r="I9292" s="11">
        <f t="shared" si="145"/>
        <v>0</v>
      </c>
      <c r="J9292" s="11">
        <f>1/(H9292*Utilities!$B$11)</f>
        <v>8</v>
      </c>
      <c r="K9292" s="11">
        <f>IF(B9292&lt;C9292,1,EXP(-1*(B9292-C9292)/(Utilities!$B$11*IterData!H9292)))</f>
        <v>1</v>
      </c>
    </row>
    <row r="9293" spans="8:11" x14ac:dyDescent="0.3">
      <c r="H9293">
        <v>0.5</v>
      </c>
      <c r="I9293" s="11">
        <f t="shared" si="145"/>
        <v>0</v>
      </c>
      <c r="J9293" s="11">
        <f>1/(H9293*Utilities!$B$11)</f>
        <v>8</v>
      </c>
      <c r="K9293" s="11">
        <f>IF(B9293&lt;C9293,1,EXP(-1*(B9293-C9293)/(Utilities!$B$11*IterData!H9293)))</f>
        <v>1</v>
      </c>
    </row>
    <row r="9294" spans="8:11" x14ac:dyDescent="0.3">
      <c r="H9294">
        <v>0.5</v>
      </c>
      <c r="I9294" s="11">
        <f t="shared" si="145"/>
        <v>0</v>
      </c>
      <c r="J9294" s="11">
        <f>1/(H9294*Utilities!$B$11)</f>
        <v>8</v>
      </c>
      <c r="K9294" s="11">
        <f>IF(B9294&lt;C9294,1,EXP(-1*(B9294-C9294)/(Utilities!$B$11*IterData!H9294)))</f>
        <v>1</v>
      </c>
    </row>
    <row r="9295" spans="8:11" x14ac:dyDescent="0.3">
      <c r="H9295">
        <v>0.5</v>
      </c>
      <c r="I9295" s="11">
        <f t="shared" si="145"/>
        <v>0</v>
      </c>
      <c r="J9295" s="11">
        <f>1/(H9295*Utilities!$B$11)</f>
        <v>8</v>
      </c>
      <c r="K9295" s="11">
        <f>IF(B9295&lt;C9295,1,EXP(-1*(B9295-C9295)/(Utilities!$B$11*IterData!H9295)))</f>
        <v>1</v>
      </c>
    </row>
    <row r="9296" spans="8:11" x14ac:dyDescent="0.3">
      <c r="H9296">
        <v>0.5</v>
      </c>
      <c r="I9296" s="11">
        <f t="shared" si="145"/>
        <v>0</v>
      </c>
      <c r="J9296" s="11">
        <f>1/(H9296*Utilities!$B$11)</f>
        <v>8</v>
      </c>
      <c r="K9296" s="11">
        <f>IF(B9296&lt;C9296,1,EXP(-1*(B9296-C9296)/(Utilities!$B$11*IterData!H9296)))</f>
        <v>1</v>
      </c>
    </row>
    <row r="9297" spans="8:11" x14ac:dyDescent="0.3">
      <c r="H9297">
        <v>0.5</v>
      </c>
      <c r="I9297" s="11">
        <f t="shared" si="145"/>
        <v>0</v>
      </c>
      <c r="J9297" s="11">
        <f>1/(H9297*Utilities!$B$11)</f>
        <v>8</v>
      </c>
      <c r="K9297" s="11">
        <f>IF(B9297&lt;C9297,1,EXP(-1*(B9297-C9297)/(Utilities!$B$11*IterData!H9297)))</f>
        <v>1</v>
      </c>
    </row>
    <row r="9298" spans="8:11" x14ac:dyDescent="0.3">
      <c r="H9298">
        <v>0.5</v>
      </c>
      <c r="I9298" s="11">
        <f t="shared" si="145"/>
        <v>0</v>
      </c>
      <c r="J9298" s="11">
        <f>1/(H9298*Utilities!$B$11)</f>
        <v>8</v>
      </c>
      <c r="K9298" s="11">
        <f>IF(B9298&lt;C9298,1,EXP(-1*(B9298-C9298)/(Utilities!$B$11*IterData!H9298)))</f>
        <v>1</v>
      </c>
    </row>
    <row r="9299" spans="8:11" x14ac:dyDescent="0.3">
      <c r="H9299">
        <v>0.5</v>
      </c>
      <c r="I9299" s="11">
        <f t="shared" si="145"/>
        <v>0</v>
      </c>
      <c r="J9299" s="11">
        <f>1/(H9299*Utilities!$B$11)</f>
        <v>8</v>
      </c>
      <c r="K9299" s="11">
        <f>IF(B9299&lt;C9299,1,EXP(-1*(B9299-C9299)/(Utilities!$B$11*IterData!H9299)))</f>
        <v>1</v>
      </c>
    </row>
    <row r="9300" spans="8:11" x14ac:dyDescent="0.3">
      <c r="H9300">
        <v>0.5</v>
      </c>
      <c r="I9300" s="11">
        <f t="shared" si="145"/>
        <v>0</v>
      </c>
      <c r="J9300" s="11">
        <f>1/(H9300*Utilities!$B$11)</f>
        <v>8</v>
      </c>
      <c r="K9300" s="11">
        <f>IF(B9300&lt;C9300,1,EXP(-1*(B9300-C9300)/(Utilities!$B$11*IterData!H9300)))</f>
        <v>1</v>
      </c>
    </row>
    <row r="9301" spans="8:11" x14ac:dyDescent="0.3">
      <c r="H9301">
        <v>0.5</v>
      </c>
      <c r="I9301" s="11">
        <f t="shared" si="145"/>
        <v>0</v>
      </c>
      <c r="J9301" s="11">
        <f>1/(H9301*Utilities!$B$11)</f>
        <v>8</v>
      </c>
      <c r="K9301" s="11">
        <f>IF(B9301&lt;C9301,1,EXP(-1*(B9301-C9301)/(Utilities!$B$11*IterData!H9301)))</f>
        <v>1</v>
      </c>
    </row>
    <row r="9302" spans="8:11" x14ac:dyDescent="0.3">
      <c r="H9302">
        <v>0.5</v>
      </c>
      <c r="I9302" s="11">
        <f t="shared" si="145"/>
        <v>0</v>
      </c>
      <c r="J9302" s="11">
        <f>1/(H9302*Utilities!$B$11)</f>
        <v>8</v>
      </c>
      <c r="K9302" s="11">
        <f>IF(B9302&lt;C9302,1,EXP(-1*(B9302-C9302)/(Utilities!$B$11*IterData!H9302)))</f>
        <v>1</v>
      </c>
    </row>
    <row r="9303" spans="8:11" x14ac:dyDescent="0.3">
      <c r="H9303">
        <v>0.5</v>
      </c>
      <c r="I9303" s="11">
        <f t="shared" si="145"/>
        <v>0</v>
      </c>
      <c r="J9303" s="11">
        <f>1/(H9303*Utilities!$B$11)</f>
        <v>8</v>
      </c>
      <c r="K9303" s="11">
        <f>IF(B9303&lt;C9303,1,EXP(-1*(B9303-C9303)/(Utilities!$B$11*IterData!H9303)))</f>
        <v>1</v>
      </c>
    </row>
    <row r="9304" spans="8:11" x14ac:dyDescent="0.3">
      <c r="H9304">
        <v>0.5</v>
      </c>
      <c r="I9304" s="11">
        <f t="shared" si="145"/>
        <v>0</v>
      </c>
      <c r="J9304" s="11">
        <f>1/(H9304*Utilities!$B$11)</f>
        <v>8</v>
      </c>
      <c r="K9304" s="11">
        <f>IF(B9304&lt;C9304,1,EXP(-1*(B9304-C9304)/(Utilities!$B$11*IterData!H9304)))</f>
        <v>1</v>
      </c>
    </row>
    <row r="9305" spans="8:11" x14ac:dyDescent="0.3">
      <c r="H9305">
        <v>0.5</v>
      </c>
      <c r="I9305" s="11">
        <f t="shared" si="145"/>
        <v>0</v>
      </c>
      <c r="J9305" s="11">
        <f>1/(H9305*Utilities!$B$11)</f>
        <v>8</v>
      </c>
      <c r="K9305" s="11">
        <f>IF(B9305&lt;C9305,1,EXP(-1*(B9305-C9305)/(Utilities!$B$11*IterData!H9305)))</f>
        <v>1</v>
      </c>
    </row>
    <row r="9306" spans="8:11" x14ac:dyDescent="0.3">
      <c r="H9306">
        <v>0.5</v>
      </c>
      <c r="I9306" s="11">
        <f t="shared" si="145"/>
        <v>0</v>
      </c>
      <c r="J9306" s="11">
        <f>1/(H9306*Utilities!$B$11)</f>
        <v>8</v>
      </c>
      <c r="K9306" s="11">
        <f>IF(B9306&lt;C9306,1,EXP(-1*(B9306-C9306)/(Utilities!$B$11*IterData!H9306)))</f>
        <v>1</v>
      </c>
    </row>
    <row r="9307" spans="8:11" x14ac:dyDescent="0.3">
      <c r="H9307">
        <v>0.5</v>
      </c>
      <c r="I9307" s="11">
        <f t="shared" si="145"/>
        <v>0</v>
      </c>
      <c r="J9307" s="11">
        <f>1/(H9307*Utilities!$B$11)</f>
        <v>8</v>
      </c>
      <c r="K9307" s="11">
        <f>IF(B9307&lt;C9307,1,EXP(-1*(B9307-C9307)/(Utilities!$B$11*IterData!H9307)))</f>
        <v>1</v>
      </c>
    </row>
    <row r="9308" spans="8:11" x14ac:dyDescent="0.3">
      <c r="H9308">
        <v>0.5</v>
      </c>
      <c r="I9308" s="11">
        <f t="shared" si="145"/>
        <v>0</v>
      </c>
      <c r="J9308" s="11">
        <f>1/(H9308*Utilities!$B$11)</f>
        <v>8</v>
      </c>
      <c r="K9308" s="11">
        <f>IF(B9308&lt;C9308,1,EXP(-1*(B9308-C9308)/(Utilities!$B$11*IterData!H9308)))</f>
        <v>1</v>
      </c>
    </row>
    <row r="9309" spans="8:11" x14ac:dyDescent="0.3">
      <c r="H9309">
        <v>0.5</v>
      </c>
      <c r="I9309" s="11">
        <f t="shared" si="145"/>
        <v>0</v>
      </c>
      <c r="J9309" s="11">
        <f>1/(H9309*Utilities!$B$11)</f>
        <v>8</v>
      </c>
      <c r="K9309" s="11">
        <f>IF(B9309&lt;C9309,1,EXP(-1*(B9309-C9309)/(Utilities!$B$11*IterData!H9309)))</f>
        <v>1</v>
      </c>
    </row>
    <row r="9310" spans="8:11" x14ac:dyDescent="0.3">
      <c r="H9310">
        <v>0.5</v>
      </c>
      <c r="I9310" s="11">
        <f t="shared" si="145"/>
        <v>0</v>
      </c>
      <c r="J9310" s="11">
        <f>1/(H9310*Utilities!$B$11)</f>
        <v>8</v>
      </c>
      <c r="K9310" s="11">
        <f>IF(B9310&lt;C9310,1,EXP(-1*(B9310-C9310)/(Utilities!$B$11*IterData!H9310)))</f>
        <v>1</v>
      </c>
    </row>
    <row r="9311" spans="8:11" x14ac:dyDescent="0.3">
      <c r="H9311">
        <v>0.5</v>
      </c>
      <c r="I9311" s="11">
        <f t="shared" si="145"/>
        <v>0</v>
      </c>
      <c r="J9311" s="11">
        <f>1/(H9311*Utilities!$B$11)</f>
        <v>8</v>
      </c>
      <c r="K9311" s="11">
        <f>IF(B9311&lt;C9311,1,EXP(-1*(B9311-C9311)/(Utilities!$B$11*IterData!H9311)))</f>
        <v>1</v>
      </c>
    </row>
    <row r="9312" spans="8:11" x14ac:dyDescent="0.3">
      <c r="H9312">
        <v>0.5</v>
      </c>
      <c r="I9312" s="11">
        <f t="shared" si="145"/>
        <v>0</v>
      </c>
      <c r="J9312" s="11">
        <f>1/(H9312*Utilities!$B$11)</f>
        <v>8</v>
      </c>
      <c r="K9312" s="11">
        <f>IF(B9312&lt;C9312,1,EXP(-1*(B9312-C9312)/(Utilities!$B$11*IterData!H9312)))</f>
        <v>1</v>
      </c>
    </row>
    <row r="9313" spans="8:11" x14ac:dyDescent="0.3">
      <c r="H9313">
        <v>0.5</v>
      </c>
      <c r="I9313" s="11">
        <f t="shared" si="145"/>
        <v>0</v>
      </c>
      <c r="J9313" s="11">
        <f>1/(H9313*Utilities!$B$11)</f>
        <v>8</v>
      </c>
      <c r="K9313" s="11">
        <f>IF(B9313&lt;C9313,1,EXP(-1*(B9313-C9313)/(Utilities!$B$11*IterData!H9313)))</f>
        <v>1</v>
      </c>
    </row>
    <row r="9314" spans="8:11" x14ac:dyDescent="0.3">
      <c r="H9314">
        <v>0.5</v>
      </c>
      <c r="I9314" s="11">
        <f t="shared" si="145"/>
        <v>0</v>
      </c>
      <c r="J9314" s="11">
        <f>1/(H9314*Utilities!$B$11)</f>
        <v>8</v>
      </c>
      <c r="K9314" s="11">
        <f>IF(B9314&lt;C9314,1,EXP(-1*(B9314-C9314)/(Utilities!$B$11*IterData!H9314)))</f>
        <v>1</v>
      </c>
    </row>
    <row r="9315" spans="8:11" x14ac:dyDescent="0.3">
      <c r="H9315">
        <v>0.5</v>
      </c>
      <c r="I9315" s="11">
        <f t="shared" si="145"/>
        <v>0</v>
      </c>
      <c r="J9315" s="11">
        <f>1/(H9315*Utilities!$B$11)</f>
        <v>8</v>
      </c>
      <c r="K9315" s="11">
        <f>IF(B9315&lt;C9315,1,EXP(-1*(B9315-C9315)/(Utilities!$B$11*IterData!H9315)))</f>
        <v>1</v>
      </c>
    </row>
    <row r="9316" spans="8:11" x14ac:dyDescent="0.3">
      <c r="H9316">
        <v>0.5</v>
      </c>
      <c r="I9316" s="11">
        <f t="shared" si="145"/>
        <v>0</v>
      </c>
      <c r="J9316" s="11">
        <f>1/(H9316*Utilities!$B$11)</f>
        <v>8</v>
      </c>
      <c r="K9316" s="11">
        <f>IF(B9316&lt;C9316,1,EXP(-1*(B9316-C9316)/(Utilities!$B$11*IterData!H9316)))</f>
        <v>1</v>
      </c>
    </row>
    <row r="9317" spans="8:11" x14ac:dyDescent="0.3">
      <c r="H9317">
        <v>0.5</v>
      </c>
      <c r="I9317" s="11">
        <f t="shared" si="145"/>
        <v>0</v>
      </c>
      <c r="J9317" s="11">
        <f>1/(H9317*Utilities!$B$11)</f>
        <v>8</v>
      </c>
      <c r="K9317" s="11">
        <f>IF(B9317&lt;C9317,1,EXP(-1*(B9317-C9317)/(Utilities!$B$11*IterData!H9317)))</f>
        <v>1</v>
      </c>
    </row>
    <row r="9318" spans="8:11" x14ac:dyDescent="0.3">
      <c r="H9318">
        <v>0.5</v>
      </c>
      <c r="I9318" s="11">
        <f t="shared" si="145"/>
        <v>0</v>
      </c>
      <c r="J9318" s="11">
        <f>1/(H9318*Utilities!$B$11)</f>
        <v>8</v>
      </c>
      <c r="K9318" s="11">
        <f>IF(B9318&lt;C9318,1,EXP(-1*(B9318-C9318)/(Utilities!$B$11*IterData!H9318)))</f>
        <v>1</v>
      </c>
    </row>
    <row r="9319" spans="8:11" x14ac:dyDescent="0.3">
      <c r="H9319">
        <v>0.5</v>
      </c>
      <c r="I9319" s="11">
        <f t="shared" si="145"/>
        <v>0</v>
      </c>
      <c r="J9319" s="11">
        <f>1/(H9319*Utilities!$B$11)</f>
        <v>8</v>
      </c>
      <c r="K9319" s="11">
        <f>IF(B9319&lt;C9319,1,EXP(-1*(B9319-C9319)/(Utilities!$B$11*IterData!H9319)))</f>
        <v>1</v>
      </c>
    </row>
    <row r="9320" spans="8:11" x14ac:dyDescent="0.3">
      <c r="H9320">
        <v>0.5</v>
      </c>
      <c r="I9320" s="11">
        <f t="shared" si="145"/>
        <v>0</v>
      </c>
      <c r="J9320" s="11">
        <f>1/(H9320*Utilities!$B$11)</f>
        <v>8</v>
      </c>
      <c r="K9320" s="11">
        <f>IF(B9320&lt;C9320,1,EXP(-1*(B9320-C9320)/(Utilities!$B$11*IterData!H9320)))</f>
        <v>1</v>
      </c>
    </row>
    <row r="9321" spans="8:11" x14ac:dyDescent="0.3">
      <c r="H9321">
        <v>0.5</v>
      </c>
      <c r="I9321" s="11">
        <f t="shared" si="145"/>
        <v>0</v>
      </c>
      <c r="J9321" s="11">
        <f>1/(H9321*Utilities!$B$11)</f>
        <v>8</v>
      </c>
      <c r="K9321" s="11">
        <f>IF(B9321&lt;C9321,1,EXP(-1*(B9321-C9321)/(Utilities!$B$11*IterData!H9321)))</f>
        <v>1</v>
      </c>
    </row>
    <row r="9322" spans="8:11" x14ac:dyDescent="0.3">
      <c r="H9322">
        <v>0.5</v>
      </c>
      <c r="I9322" s="11">
        <f t="shared" si="145"/>
        <v>0</v>
      </c>
      <c r="J9322" s="11">
        <f>1/(H9322*Utilities!$B$11)</f>
        <v>8</v>
      </c>
      <c r="K9322" s="11">
        <f>IF(B9322&lt;C9322,1,EXP(-1*(B9322-C9322)/(Utilities!$B$11*IterData!H9322)))</f>
        <v>1</v>
      </c>
    </row>
    <row r="9323" spans="8:11" x14ac:dyDescent="0.3">
      <c r="H9323">
        <v>0.5</v>
      </c>
      <c r="I9323" s="11">
        <f t="shared" si="145"/>
        <v>0</v>
      </c>
      <c r="J9323" s="11">
        <f>1/(H9323*Utilities!$B$11)</f>
        <v>8</v>
      </c>
      <c r="K9323" s="11">
        <f>IF(B9323&lt;C9323,1,EXP(-1*(B9323-C9323)/(Utilities!$B$11*IterData!H9323)))</f>
        <v>1</v>
      </c>
    </row>
    <row r="9324" spans="8:11" x14ac:dyDescent="0.3">
      <c r="H9324">
        <v>0.5</v>
      </c>
      <c r="I9324" s="11">
        <f t="shared" si="145"/>
        <v>0</v>
      </c>
      <c r="J9324" s="11">
        <f>1/(H9324*Utilities!$B$11)</f>
        <v>8</v>
      </c>
      <c r="K9324" s="11">
        <f>IF(B9324&lt;C9324,1,EXP(-1*(B9324-C9324)/(Utilities!$B$11*IterData!H9324)))</f>
        <v>1</v>
      </c>
    </row>
    <row r="9325" spans="8:11" x14ac:dyDescent="0.3">
      <c r="H9325">
        <v>0.5</v>
      </c>
      <c r="I9325" s="11">
        <f t="shared" si="145"/>
        <v>0</v>
      </c>
      <c r="J9325" s="11">
        <f>1/(H9325*Utilities!$B$11)</f>
        <v>8</v>
      </c>
      <c r="K9325" s="11">
        <f>IF(B9325&lt;C9325,1,EXP(-1*(B9325-C9325)/(Utilities!$B$11*IterData!H9325)))</f>
        <v>1</v>
      </c>
    </row>
    <row r="9326" spans="8:11" x14ac:dyDescent="0.3">
      <c r="H9326">
        <v>0.5</v>
      </c>
      <c r="I9326" s="11">
        <f t="shared" si="145"/>
        <v>0</v>
      </c>
      <c r="J9326" s="11">
        <f>1/(H9326*Utilities!$B$11)</f>
        <v>8</v>
      </c>
      <c r="K9326" s="11">
        <f>IF(B9326&lt;C9326,1,EXP(-1*(B9326-C9326)/(Utilities!$B$11*IterData!H9326)))</f>
        <v>1</v>
      </c>
    </row>
    <row r="9327" spans="8:11" x14ac:dyDescent="0.3">
      <c r="H9327">
        <v>0.5</v>
      </c>
      <c r="I9327" s="11">
        <f t="shared" si="145"/>
        <v>0</v>
      </c>
      <c r="J9327" s="11">
        <f>1/(H9327*Utilities!$B$11)</f>
        <v>8</v>
      </c>
      <c r="K9327" s="11">
        <f>IF(B9327&lt;C9327,1,EXP(-1*(B9327-C9327)/(Utilities!$B$11*IterData!H9327)))</f>
        <v>1</v>
      </c>
    </row>
    <row r="9328" spans="8:11" x14ac:dyDescent="0.3">
      <c r="H9328">
        <v>0.5</v>
      </c>
      <c r="I9328" s="11">
        <f t="shared" si="145"/>
        <v>0</v>
      </c>
      <c r="J9328" s="11">
        <f>1/(H9328*Utilities!$B$11)</f>
        <v>8</v>
      </c>
      <c r="K9328" s="11">
        <f>IF(B9328&lt;C9328,1,EXP(-1*(B9328-C9328)/(Utilities!$B$11*IterData!H9328)))</f>
        <v>1</v>
      </c>
    </row>
    <row r="9329" spans="8:11" x14ac:dyDescent="0.3">
      <c r="H9329">
        <v>0.5</v>
      </c>
      <c r="I9329" s="11">
        <f t="shared" si="145"/>
        <v>0</v>
      </c>
      <c r="J9329" s="11">
        <f>1/(H9329*Utilities!$B$11)</f>
        <v>8</v>
      </c>
      <c r="K9329" s="11">
        <f>IF(B9329&lt;C9329,1,EXP(-1*(B9329-C9329)/(Utilities!$B$11*IterData!H9329)))</f>
        <v>1</v>
      </c>
    </row>
    <row r="9330" spans="8:11" x14ac:dyDescent="0.3">
      <c r="H9330">
        <v>0.5</v>
      </c>
      <c r="I9330" s="11">
        <f t="shared" si="145"/>
        <v>0</v>
      </c>
      <c r="J9330" s="11">
        <f>1/(H9330*Utilities!$B$11)</f>
        <v>8</v>
      </c>
      <c r="K9330" s="11">
        <f>IF(B9330&lt;C9330,1,EXP(-1*(B9330-C9330)/(Utilities!$B$11*IterData!H9330)))</f>
        <v>1</v>
      </c>
    </row>
    <row r="9331" spans="8:11" x14ac:dyDescent="0.3">
      <c r="H9331">
        <v>0.5</v>
      </c>
      <c r="I9331" s="11">
        <f t="shared" si="145"/>
        <v>0</v>
      </c>
      <c r="J9331" s="11">
        <f>1/(H9331*Utilities!$B$11)</f>
        <v>8</v>
      </c>
      <c r="K9331" s="11">
        <f>IF(B9331&lt;C9331,1,EXP(-1*(B9331-C9331)/(Utilities!$B$11*IterData!H9331)))</f>
        <v>1</v>
      </c>
    </row>
    <row r="9332" spans="8:11" x14ac:dyDescent="0.3">
      <c r="H9332">
        <v>0.5</v>
      </c>
      <c r="I9332" s="11">
        <f t="shared" si="145"/>
        <v>0</v>
      </c>
      <c r="J9332" s="11">
        <f>1/(H9332*Utilities!$B$11)</f>
        <v>8</v>
      </c>
      <c r="K9332" s="11">
        <f>IF(B9332&lt;C9332,1,EXP(-1*(B9332-C9332)/(Utilities!$B$11*IterData!H9332)))</f>
        <v>1</v>
      </c>
    </row>
    <row r="9333" spans="8:11" x14ac:dyDescent="0.3">
      <c r="H9333">
        <v>0.5</v>
      </c>
      <c r="I9333" s="11">
        <f t="shared" si="145"/>
        <v>0</v>
      </c>
      <c r="J9333" s="11">
        <f>1/(H9333*Utilities!$B$11)</f>
        <v>8</v>
      </c>
      <c r="K9333" s="11">
        <f>IF(B9333&lt;C9333,1,EXP(-1*(B9333-C9333)/(Utilities!$B$11*IterData!H9333)))</f>
        <v>1</v>
      </c>
    </row>
    <row r="9334" spans="8:11" x14ac:dyDescent="0.3">
      <c r="H9334">
        <v>0.5</v>
      </c>
      <c r="I9334" s="11">
        <f t="shared" si="145"/>
        <v>0</v>
      </c>
      <c r="J9334" s="11">
        <f>1/(H9334*Utilities!$B$11)</f>
        <v>8</v>
      </c>
      <c r="K9334" s="11">
        <f>IF(B9334&lt;C9334,1,EXP(-1*(B9334-C9334)/(Utilities!$B$11*IterData!H9334)))</f>
        <v>1</v>
      </c>
    </row>
    <row r="9335" spans="8:11" x14ac:dyDescent="0.3">
      <c r="H9335">
        <v>0.5</v>
      </c>
      <c r="I9335" s="11">
        <f t="shared" si="145"/>
        <v>0</v>
      </c>
      <c r="J9335" s="11">
        <f>1/(H9335*Utilities!$B$11)</f>
        <v>8</v>
      </c>
      <c r="K9335" s="11">
        <f>IF(B9335&lt;C9335,1,EXP(-1*(B9335-C9335)/(Utilities!$B$11*IterData!H9335)))</f>
        <v>1</v>
      </c>
    </row>
    <row r="9336" spans="8:11" x14ac:dyDescent="0.3">
      <c r="H9336">
        <v>0.5</v>
      </c>
      <c r="I9336" s="11">
        <f t="shared" si="145"/>
        <v>0</v>
      </c>
      <c r="J9336" s="11">
        <f>1/(H9336*Utilities!$B$11)</f>
        <v>8</v>
      </c>
      <c r="K9336" s="11">
        <f>IF(B9336&lt;C9336,1,EXP(-1*(B9336-C9336)/(Utilities!$B$11*IterData!H9336)))</f>
        <v>1</v>
      </c>
    </row>
    <row r="9337" spans="8:11" x14ac:dyDescent="0.3">
      <c r="H9337">
        <v>0.5</v>
      </c>
      <c r="I9337" s="11">
        <f t="shared" si="145"/>
        <v>0</v>
      </c>
      <c r="J9337" s="11">
        <f>1/(H9337*Utilities!$B$11)</f>
        <v>8</v>
      </c>
      <c r="K9337" s="11">
        <f>IF(B9337&lt;C9337,1,EXP(-1*(B9337-C9337)/(Utilities!$B$11*IterData!H9337)))</f>
        <v>1</v>
      </c>
    </row>
    <row r="9338" spans="8:11" x14ac:dyDescent="0.3">
      <c r="H9338">
        <v>0.5</v>
      </c>
      <c r="I9338" s="11">
        <f t="shared" si="145"/>
        <v>0</v>
      </c>
      <c r="J9338" s="11">
        <f>1/(H9338*Utilities!$B$11)</f>
        <v>8</v>
      </c>
      <c r="K9338" s="11">
        <f>IF(B9338&lt;C9338,1,EXP(-1*(B9338-C9338)/(Utilities!$B$11*IterData!H9338)))</f>
        <v>1</v>
      </c>
    </row>
    <row r="9339" spans="8:11" x14ac:dyDescent="0.3">
      <c r="H9339">
        <v>0.5</v>
      </c>
      <c r="I9339" s="11">
        <f t="shared" si="145"/>
        <v>0</v>
      </c>
      <c r="J9339" s="11">
        <f>1/(H9339*Utilities!$B$11)</f>
        <v>8</v>
      </c>
      <c r="K9339" s="11">
        <f>IF(B9339&lt;C9339,1,EXP(-1*(B9339-C9339)/(Utilities!$B$11*IterData!H9339)))</f>
        <v>1</v>
      </c>
    </row>
    <row r="9340" spans="8:11" x14ac:dyDescent="0.3">
      <c r="H9340">
        <v>0.5</v>
      </c>
      <c r="I9340" s="11">
        <f t="shared" si="145"/>
        <v>0</v>
      </c>
      <c r="J9340" s="11">
        <f>1/(H9340*Utilities!$B$11)</f>
        <v>8</v>
      </c>
      <c r="K9340" s="11">
        <f>IF(B9340&lt;C9340,1,EXP(-1*(B9340-C9340)/(Utilities!$B$11*IterData!H9340)))</f>
        <v>1</v>
      </c>
    </row>
    <row r="9341" spans="8:11" x14ac:dyDescent="0.3">
      <c r="H9341">
        <v>0.5</v>
      </c>
      <c r="I9341" s="11">
        <f t="shared" si="145"/>
        <v>0</v>
      </c>
      <c r="J9341" s="11">
        <f>1/(H9341*Utilities!$B$11)</f>
        <v>8</v>
      </c>
      <c r="K9341" s="11">
        <f>IF(B9341&lt;C9341,1,EXP(-1*(B9341-C9341)/(Utilities!$B$11*IterData!H9341)))</f>
        <v>1</v>
      </c>
    </row>
    <row r="9342" spans="8:11" x14ac:dyDescent="0.3">
      <c r="H9342">
        <v>0.5</v>
      </c>
      <c r="I9342" s="11">
        <f t="shared" si="145"/>
        <v>0</v>
      </c>
      <c r="J9342" s="11">
        <f>1/(H9342*Utilities!$B$11)</f>
        <v>8</v>
      </c>
      <c r="K9342" s="11">
        <f>IF(B9342&lt;C9342,1,EXP(-1*(B9342-C9342)/(Utilities!$B$11*IterData!H9342)))</f>
        <v>1</v>
      </c>
    </row>
    <row r="9343" spans="8:11" x14ac:dyDescent="0.3">
      <c r="H9343">
        <v>0.5</v>
      </c>
      <c r="I9343" s="11">
        <f t="shared" si="145"/>
        <v>0</v>
      </c>
      <c r="J9343" s="11">
        <f>1/(H9343*Utilities!$B$11)</f>
        <v>8</v>
      </c>
      <c r="K9343" s="11">
        <f>IF(B9343&lt;C9343,1,EXP(-1*(B9343-C9343)/(Utilities!$B$11*IterData!H9343)))</f>
        <v>1</v>
      </c>
    </row>
    <row r="9344" spans="8:11" x14ac:dyDescent="0.3">
      <c r="H9344">
        <v>0.5</v>
      </c>
      <c r="I9344" s="11">
        <f t="shared" si="145"/>
        <v>0</v>
      </c>
      <c r="J9344" s="11">
        <f>1/(H9344*Utilities!$B$11)</f>
        <v>8</v>
      </c>
      <c r="K9344" s="11">
        <f>IF(B9344&lt;C9344,1,EXP(-1*(B9344-C9344)/(Utilities!$B$11*IterData!H9344)))</f>
        <v>1</v>
      </c>
    </row>
    <row r="9345" spans="8:11" x14ac:dyDescent="0.3">
      <c r="H9345">
        <v>0.5</v>
      </c>
      <c r="I9345" s="11">
        <f t="shared" si="145"/>
        <v>0</v>
      </c>
      <c r="J9345" s="11">
        <f>1/(H9345*Utilities!$B$11)</f>
        <v>8</v>
      </c>
      <c r="K9345" s="11">
        <f>IF(B9345&lt;C9345,1,EXP(-1*(B9345-C9345)/(Utilities!$B$11*IterData!H9345)))</f>
        <v>1</v>
      </c>
    </row>
    <row r="9346" spans="8:11" x14ac:dyDescent="0.3">
      <c r="H9346">
        <v>0.5</v>
      </c>
      <c r="I9346" s="11">
        <f t="shared" si="145"/>
        <v>0</v>
      </c>
      <c r="J9346" s="11">
        <f>1/(H9346*Utilities!$B$11)</f>
        <v>8</v>
      </c>
      <c r="K9346" s="11">
        <f>IF(B9346&lt;C9346,1,EXP(-1*(B9346-C9346)/(Utilities!$B$11*IterData!H9346)))</f>
        <v>1</v>
      </c>
    </row>
    <row r="9347" spans="8:11" x14ac:dyDescent="0.3">
      <c r="H9347">
        <v>0.5</v>
      </c>
      <c r="I9347" s="11">
        <f t="shared" ref="I9347:I9410" si="146">B9347-C9347</f>
        <v>0</v>
      </c>
      <c r="J9347" s="11">
        <f>1/(H9347*Utilities!$B$11)</f>
        <v>8</v>
      </c>
      <c r="K9347" s="11">
        <f>IF(B9347&lt;C9347,1,EXP(-1*(B9347-C9347)/(Utilities!$B$11*IterData!H9347)))</f>
        <v>1</v>
      </c>
    </row>
    <row r="9348" spans="8:11" x14ac:dyDescent="0.3">
      <c r="H9348">
        <v>0.5</v>
      </c>
      <c r="I9348" s="11">
        <f t="shared" si="146"/>
        <v>0</v>
      </c>
      <c r="J9348" s="11">
        <f>1/(H9348*Utilities!$B$11)</f>
        <v>8</v>
      </c>
      <c r="K9348" s="11">
        <f>IF(B9348&lt;C9348,1,EXP(-1*(B9348-C9348)/(Utilities!$B$11*IterData!H9348)))</f>
        <v>1</v>
      </c>
    </row>
    <row r="9349" spans="8:11" x14ac:dyDescent="0.3">
      <c r="H9349">
        <v>0.5</v>
      </c>
      <c r="I9349" s="11">
        <f t="shared" si="146"/>
        <v>0</v>
      </c>
      <c r="J9349" s="11">
        <f>1/(H9349*Utilities!$B$11)</f>
        <v>8</v>
      </c>
      <c r="K9349" s="11">
        <f>IF(B9349&lt;C9349,1,EXP(-1*(B9349-C9349)/(Utilities!$B$11*IterData!H9349)))</f>
        <v>1</v>
      </c>
    </row>
    <row r="9350" spans="8:11" x14ac:dyDescent="0.3">
      <c r="H9350">
        <v>0.5</v>
      </c>
      <c r="I9350" s="11">
        <f t="shared" si="146"/>
        <v>0</v>
      </c>
      <c r="J9350" s="11">
        <f>1/(H9350*Utilities!$B$11)</f>
        <v>8</v>
      </c>
      <c r="K9350" s="11">
        <f>IF(B9350&lt;C9350,1,EXP(-1*(B9350-C9350)/(Utilities!$B$11*IterData!H9350)))</f>
        <v>1</v>
      </c>
    </row>
    <row r="9351" spans="8:11" x14ac:dyDescent="0.3">
      <c r="H9351">
        <v>0.5</v>
      </c>
      <c r="I9351" s="11">
        <f t="shared" si="146"/>
        <v>0</v>
      </c>
      <c r="J9351" s="11">
        <f>1/(H9351*Utilities!$B$11)</f>
        <v>8</v>
      </c>
      <c r="K9351" s="11">
        <f>IF(B9351&lt;C9351,1,EXP(-1*(B9351-C9351)/(Utilities!$B$11*IterData!H9351)))</f>
        <v>1</v>
      </c>
    </row>
    <row r="9352" spans="8:11" x14ac:dyDescent="0.3">
      <c r="H9352">
        <v>0.5</v>
      </c>
      <c r="I9352" s="11">
        <f t="shared" si="146"/>
        <v>0</v>
      </c>
      <c r="J9352" s="11">
        <f>1/(H9352*Utilities!$B$11)</f>
        <v>8</v>
      </c>
      <c r="K9352" s="11">
        <f>IF(B9352&lt;C9352,1,EXP(-1*(B9352-C9352)/(Utilities!$B$11*IterData!H9352)))</f>
        <v>1</v>
      </c>
    </row>
    <row r="9353" spans="8:11" x14ac:dyDescent="0.3">
      <c r="H9353">
        <v>0.5</v>
      </c>
      <c r="I9353" s="11">
        <f t="shared" si="146"/>
        <v>0</v>
      </c>
      <c r="J9353" s="11">
        <f>1/(H9353*Utilities!$B$11)</f>
        <v>8</v>
      </c>
      <c r="K9353" s="11">
        <f>IF(B9353&lt;C9353,1,EXP(-1*(B9353-C9353)/(Utilities!$B$11*IterData!H9353)))</f>
        <v>1</v>
      </c>
    </row>
    <row r="9354" spans="8:11" x14ac:dyDescent="0.3">
      <c r="H9354">
        <v>0.5</v>
      </c>
      <c r="I9354" s="11">
        <f t="shared" si="146"/>
        <v>0</v>
      </c>
      <c r="J9354" s="11">
        <f>1/(H9354*Utilities!$B$11)</f>
        <v>8</v>
      </c>
      <c r="K9354" s="11">
        <f>IF(B9354&lt;C9354,1,EXP(-1*(B9354-C9354)/(Utilities!$B$11*IterData!H9354)))</f>
        <v>1</v>
      </c>
    </row>
    <row r="9355" spans="8:11" x14ac:dyDescent="0.3">
      <c r="H9355">
        <v>0.5</v>
      </c>
      <c r="I9355" s="11">
        <f t="shared" si="146"/>
        <v>0</v>
      </c>
      <c r="J9355" s="11">
        <f>1/(H9355*Utilities!$B$11)</f>
        <v>8</v>
      </c>
      <c r="K9355" s="11">
        <f>IF(B9355&lt;C9355,1,EXP(-1*(B9355-C9355)/(Utilities!$B$11*IterData!H9355)))</f>
        <v>1</v>
      </c>
    </row>
    <row r="9356" spans="8:11" x14ac:dyDescent="0.3">
      <c r="H9356">
        <v>0.5</v>
      </c>
      <c r="I9356" s="11">
        <f t="shared" si="146"/>
        <v>0</v>
      </c>
      <c r="J9356" s="11">
        <f>1/(H9356*Utilities!$B$11)</f>
        <v>8</v>
      </c>
      <c r="K9356" s="11">
        <f>IF(B9356&lt;C9356,1,EXP(-1*(B9356-C9356)/(Utilities!$B$11*IterData!H9356)))</f>
        <v>1</v>
      </c>
    </row>
    <row r="9357" spans="8:11" x14ac:dyDescent="0.3">
      <c r="H9357">
        <v>0.5</v>
      </c>
      <c r="I9357" s="11">
        <f t="shared" si="146"/>
        <v>0</v>
      </c>
      <c r="J9357" s="11">
        <f>1/(H9357*Utilities!$B$11)</f>
        <v>8</v>
      </c>
      <c r="K9357" s="11">
        <f>IF(B9357&lt;C9357,1,EXP(-1*(B9357-C9357)/(Utilities!$B$11*IterData!H9357)))</f>
        <v>1</v>
      </c>
    </row>
    <row r="9358" spans="8:11" x14ac:dyDescent="0.3">
      <c r="H9358">
        <v>0.5</v>
      </c>
      <c r="I9358" s="11">
        <f t="shared" si="146"/>
        <v>0</v>
      </c>
      <c r="J9358" s="11">
        <f>1/(H9358*Utilities!$B$11)</f>
        <v>8</v>
      </c>
      <c r="K9358" s="11">
        <f>IF(B9358&lt;C9358,1,EXP(-1*(B9358-C9358)/(Utilities!$B$11*IterData!H9358)))</f>
        <v>1</v>
      </c>
    </row>
    <row r="9359" spans="8:11" x14ac:dyDescent="0.3">
      <c r="H9359">
        <v>0.5</v>
      </c>
      <c r="I9359" s="11">
        <f t="shared" si="146"/>
        <v>0</v>
      </c>
      <c r="J9359" s="11">
        <f>1/(H9359*Utilities!$B$11)</f>
        <v>8</v>
      </c>
      <c r="K9359" s="11">
        <f>IF(B9359&lt;C9359,1,EXP(-1*(B9359-C9359)/(Utilities!$B$11*IterData!H9359)))</f>
        <v>1</v>
      </c>
    </row>
    <row r="9360" spans="8:11" x14ac:dyDescent="0.3">
      <c r="H9360">
        <v>0.5</v>
      </c>
      <c r="I9360" s="11">
        <f t="shared" si="146"/>
        <v>0</v>
      </c>
      <c r="J9360" s="11">
        <f>1/(H9360*Utilities!$B$11)</f>
        <v>8</v>
      </c>
      <c r="K9360" s="11">
        <f>IF(B9360&lt;C9360,1,EXP(-1*(B9360-C9360)/(Utilities!$B$11*IterData!H9360)))</f>
        <v>1</v>
      </c>
    </row>
    <row r="9361" spans="8:11" x14ac:dyDescent="0.3">
      <c r="H9361">
        <v>0.5</v>
      </c>
      <c r="I9361" s="11">
        <f t="shared" si="146"/>
        <v>0</v>
      </c>
      <c r="J9361" s="11">
        <f>1/(H9361*Utilities!$B$11)</f>
        <v>8</v>
      </c>
      <c r="K9361" s="11">
        <f>IF(B9361&lt;C9361,1,EXP(-1*(B9361-C9361)/(Utilities!$B$11*IterData!H9361)))</f>
        <v>1</v>
      </c>
    </row>
    <row r="9362" spans="8:11" x14ac:dyDescent="0.3">
      <c r="H9362">
        <v>0.5</v>
      </c>
      <c r="I9362" s="11">
        <f t="shared" si="146"/>
        <v>0</v>
      </c>
      <c r="J9362" s="11">
        <f>1/(H9362*Utilities!$B$11)</f>
        <v>8</v>
      </c>
      <c r="K9362" s="11">
        <f>IF(B9362&lt;C9362,1,EXP(-1*(B9362-C9362)/(Utilities!$B$11*IterData!H9362)))</f>
        <v>1</v>
      </c>
    </row>
    <row r="9363" spans="8:11" x14ac:dyDescent="0.3">
      <c r="H9363">
        <v>0.5</v>
      </c>
      <c r="I9363" s="11">
        <f t="shared" si="146"/>
        <v>0</v>
      </c>
      <c r="J9363" s="11">
        <f>1/(H9363*Utilities!$B$11)</f>
        <v>8</v>
      </c>
      <c r="K9363" s="11">
        <f>IF(B9363&lt;C9363,1,EXP(-1*(B9363-C9363)/(Utilities!$B$11*IterData!H9363)))</f>
        <v>1</v>
      </c>
    </row>
    <row r="9364" spans="8:11" x14ac:dyDescent="0.3">
      <c r="H9364">
        <v>0.5</v>
      </c>
      <c r="I9364" s="11">
        <f t="shared" si="146"/>
        <v>0</v>
      </c>
      <c r="J9364" s="11">
        <f>1/(H9364*Utilities!$B$11)</f>
        <v>8</v>
      </c>
      <c r="K9364" s="11">
        <f>IF(B9364&lt;C9364,1,EXP(-1*(B9364-C9364)/(Utilities!$B$11*IterData!H9364)))</f>
        <v>1</v>
      </c>
    </row>
    <row r="9365" spans="8:11" x14ac:dyDescent="0.3">
      <c r="H9365">
        <v>0.5</v>
      </c>
      <c r="I9365" s="11">
        <f t="shared" si="146"/>
        <v>0</v>
      </c>
      <c r="J9365" s="11">
        <f>1/(H9365*Utilities!$B$11)</f>
        <v>8</v>
      </c>
      <c r="K9365" s="11">
        <f>IF(B9365&lt;C9365,1,EXP(-1*(B9365-C9365)/(Utilities!$B$11*IterData!H9365)))</f>
        <v>1</v>
      </c>
    </row>
    <row r="9366" spans="8:11" x14ac:dyDescent="0.3">
      <c r="H9366">
        <v>0.5</v>
      </c>
      <c r="I9366" s="11">
        <f t="shared" si="146"/>
        <v>0</v>
      </c>
      <c r="J9366" s="11">
        <f>1/(H9366*Utilities!$B$11)</f>
        <v>8</v>
      </c>
      <c r="K9366" s="11">
        <f>IF(B9366&lt;C9366,1,EXP(-1*(B9366-C9366)/(Utilities!$B$11*IterData!H9366)))</f>
        <v>1</v>
      </c>
    </row>
    <row r="9367" spans="8:11" x14ac:dyDescent="0.3">
      <c r="H9367">
        <v>0.5</v>
      </c>
      <c r="I9367" s="11">
        <f t="shared" si="146"/>
        <v>0</v>
      </c>
      <c r="J9367" s="11">
        <f>1/(H9367*Utilities!$B$11)</f>
        <v>8</v>
      </c>
      <c r="K9367" s="11">
        <f>IF(B9367&lt;C9367,1,EXP(-1*(B9367-C9367)/(Utilities!$B$11*IterData!H9367)))</f>
        <v>1</v>
      </c>
    </row>
    <row r="9368" spans="8:11" x14ac:dyDescent="0.3">
      <c r="H9368">
        <v>0.5</v>
      </c>
      <c r="I9368" s="11">
        <f t="shared" si="146"/>
        <v>0</v>
      </c>
      <c r="J9368" s="11">
        <f>1/(H9368*Utilities!$B$11)</f>
        <v>8</v>
      </c>
      <c r="K9368" s="11">
        <f>IF(B9368&lt;C9368,1,EXP(-1*(B9368-C9368)/(Utilities!$B$11*IterData!H9368)))</f>
        <v>1</v>
      </c>
    </row>
    <row r="9369" spans="8:11" x14ac:dyDescent="0.3">
      <c r="H9369">
        <v>0.5</v>
      </c>
      <c r="I9369" s="11">
        <f t="shared" si="146"/>
        <v>0</v>
      </c>
      <c r="J9369" s="11">
        <f>1/(H9369*Utilities!$B$11)</f>
        <v>8</v>
      </c>
      <c r="K9369" s="11">
        <f>IF(B9369&lt;C9369,1,EXP(-1*(B9369-C9369)/(Utilities!$B$11*IterData!H9369)))</f>
        <v>1</v>
      </c>
    </row>
    <row r="9370" spans="8:11" x14ac:dyDescent="0.3">
      <c r="H9370">
        <v>0.5</v>
      </c>
      <c r="I9370" s="11">
        <f t="shared" si="146"/>
        <v>0</v>
      </c>
      <c r="J9370" s="11">
        <f>1/(H9370*Utilities!$B$11)</f>
        <v>8</v>
      </c>
      <c r="K9370" s="11">
        <f>IF(B9370&lt;C9370,1,EXP(-1*(B9370-C9370)/(Utilities!$B$11*IterData!H9370)))</f>
        <v>1</v>
      </c>
    </row>
    <row r="9371" spans="8:11" x14ac:dyDescent="0.3">
      <c r="H9371">
        <v>0.5</v>
      </c>
      <c r="I9371" s="11">
        <f t="shared" si="146"/>
        <v>0</v>
      </c>
      <c r="J9371" s="11">
        <f>1/(H9371*Utilities!$B$11)</f>
        <v>8</v>
      </c>
      <c r="K9371" s="11">
        <f>IF(B9371&lt;C9371,1,EXP(-1*(B9371-C9371)/(Utilities!$B$11*IterData!H9371)))</f>
        <v>1</v>
      </c>
    </row>
    <row r="9372" spans="8:11" x14ac:dyDescent="0.3">
      <c r="H9372">
        <v>0.5</v>
      </c>
      <c r="I9372" s="11">
        <f t="shared" si="146"/>
        <v>0</v>
      </c>
      <c r="J9372" s="11">
        <f>1/(H9372*Utilities!$B$11)</f>
        <v>8</v>
      </c>
      <c r="K9372" s="11">
        <f>IF(B9372&lt;C9372,1,EXP(-1*(B9372-C9372)/(Utilities!$B$11*IterData!H9372)))</f>
        <v>1</v>
      </c>
    </row>
    <row r="9373" spans="8:11" x14ac:dyDescent="0.3">
      <c r="H9373">
        <v>0.5</v>
      </c>
      <c r="I9373" s="11">
        <f t="shared" si="146"/>
        <v>0</v>
      </c>
      <c r="J9373" s="11">
        <f>1/(H9373*Utilities!$B$11)</f>
        <v>8</v>
      </c>
      <c r="K9373" s="11">
        <f>IF(B9373&lt;C9373,1,EXP(-1*(B9373-C9373)/(Utilities!$B$11*IterData!H9373)))</f>
        <v>1</v>
      </c>
    </row>
    <row r="9374" spans="8:11" x14ac:dyDescent="0.3">
      <c r="H9374">
        <v>0.5</v>
      </c>
      <c r="I9374" s="11">
        <f t="shared" si="146"/>
        <v>0</v>
      </c>
      <c r="J9374" s="11">
        <f>1/(H9374*Utilities!$B$11)</f>
        <v>8</v>
      </c>
      <c r="K9374" s="11">
        <f>IF(B9374&lt;C9374,1,EXP(-1*(B9374-C9374)/(Utilities!$B$11*IterData!H9374)))</f>
        <v>1</v>
      </c>
    </row>
    <row r="9375" spans="8:11" x14ac:dyDescent="0.3">
      <c r="H9375">
        <v>0.5</v>
      </c>
      <c r="I9375" s="11">
        <f t="shared" si="146"/>
        <v>0</v>
      </c>
      <c r="J9375" s="11">
        <f>1/(H9375*Utilities!$B$11)</f>
        <v>8</v>
      </c>
      <c r="K9375" s="11">
        <f>IF(B9375&lt;C9375,1,EXP(-1*(B9375-C9375)/(Utilities!$B$11*IterData!H9375)))</f>
        <v>1</v>
      </c>
    </row>
    <row r="9376" spans="8:11" x14ac:dyDescent="0.3">
      <c r="H9376">
        <v>0.5</v>
      </c>
      <c r="I9376" s="11">
        <f t="shared" si="146"/>
        <v>0</v>
      </c>
      <c r="J9376" s="11">
        <f>1/(H9376*Utilities!$B$11)</f>
        <v>8</v>
      </c>
      <c r="K9376" s="11">
        <f>IF(B9376&lt;C9376,1,EXP(-1*(B9376-C9376)/(Utilities!$B$11*IterData!H9376)))</f>
        <v>1</v>
      </c>
    </row>
    <row r="9377" spans="8:11" x14ac:dyDescent="0.3">
      <c r="H9377">
        <v>0.5</v>
      </c>
      <c r="I9377" s="11">
        <f t="shared" si="146"/>
        <v>0</v>
      </c>
      <c r="J9377" s="11">
        <f>1/(H9377*Utilities!$B$11)</f>
        <v>8</v>
      </c>
      <c r="K9377" s="11">
        <f>IF(B9377&lt;C9377,1,EXP(-1*(B9377-C9377)/(Utilities!$B$11*IterData!H9377)))</f>
        <v>1</v>
      </c>
    </row>
    <row r="9378" spans="8:11" x14ac:dyDescent="0.3">
      <c r="H9378">
        <v>0.5</v>
      </c>
      <c r="I9378" s="11">
        <f t="shared" si="146"/>
        <v>0</v>
      </c>
      <c r="J9378" s="11">
        <f>1/(H9378*Utilities!$B$11)</f>
        <v>8</v>
      </c>
      <c r="K9378" s="11">
        <f>IF(B9378&lt;C9378,1,EXP(-1*(B9378-C9378)/(Utilities!$B$11*IterData!H9378)))</f>
        <v>1</v>
      </c>
    </row>
    <row r="9379" spans="8:11" x14ac:dyDescent="0.3">
      <c r="H9379">
        <v>0.5</v>
      </c>
      <c r="I9379" s="11">
        <f t="shared" si="146"/>
        <v>0</v>
      </c>
      <c r="J9379" s="11">
        <f>1/(H9379*Utilities!$B$11)</f>
        <v>8</v>
      </c>
      <c r="K9379" s="11">
        <f>IF(B9379&lt;C9379,1,EXP(-1*(B9379-C9379)/(Utilities!$B$11*IterData!H9379)))</f>
        <v>1</v>
      </c>
    </row>
    <row r="9380" spans="8:11" x14ac:dyDescent="0.3">
      <c r="H9380">
        <v>0.5</v>
      </c>
      <c r="I9380" s="11">
        <f t="shared" si="146"/>
        <v>0</v>
      </c>
      <c r="J9380" s="11">
        <f>1/(H9380*Utilities!$B$11)</f>
        <v>8</v>
      </c>
      <c r="K9380" s="11">
        <f>IF(B9380&lt;C9380,1,EXP(-1*(B9380-C9380)/(Utilities!$B$11*IterData!H9380)))</f>
        <v>1</v>
      </c>
    </row>
    <row r="9381" spans="8:11" x14ac:dyDescent="0.3">
      <c r="H9381">
        <v>0.5</v>
      </c>
      <c r="I9381" s="11">
        <f t="shared" si="146"/>
        <v>0</v>
      </c>
      <c r="J9381" s="11">
        <f>1/(H9381*Utilities!$B$11)</f>
        <v>8</v>
      </c>
      <c r="K9381" s="11">
        <f>IF(B9381&lt;C9381,1,EXP(-1*(B9381-C9381)/(Utilities!$B$11*IterData!H9381)))</f>
        <v>1</v>
      </c>
    </row>
    <row r="9382" spans="8:11" x14ac:dyDescent="0.3">
      <c r="H9382">
        <v>0.5</v>
      </c>
      <c r="I9382" s="11">
        <f t="shared" si="146"/>
        <v>0</v>
      </c>
      <c r="J9382" s="11">
        <f>1/(H9382*Utilities!$B$11)</f>
        <v>8</v>
      </c>
      <c r="K9382" s="11">
        <f>IF(B9382&lt;C9382,1,EXP(-1*(B9382-C9382)/(Utilities!$B$11*IterData!H9382)))</f>
        <v>1</v>
      </c>
    </row>
    <row r="9383" spans="8:11" x14ac:dyDescent="0.3">
      <c r="H9383">
        <v>0.5</v>
      </c>
      <c r="I9383" s="11">
        <f t="shared" si="146"/>
        <v>0</v>
      </c>
      <c r="J9383" s="11">
        <f>1/(H9383*Utilities!$B$11)</f>
        <v>8</v>
      </c>
      <c r="K9383" s="11">
        <f>IF(B9383&lt;C9383,1,EXP(-1*(B9383-C9383)/(Utilities!$B$11*IterData!H9383)))</f>
        <v>1</v>
      </c>
    </row>
    <row r="9384" spans="8:11" x14ac:dyDescent="0.3">
      <c r="H9384">
        <v>0.5</v>
      </c>
      <c r="I9384" s="11">
        <f t="shared" si="146"/>
        <v>0</v>
      </c>
      <c r="J9384" s="11">
        <f>1/(H9384*Utilities!$B$11)</f>
        <v>8</v>
      </c>
      <c r="K9384" s="11">
        <f>IF(B9384&lt;C9384,1,EXP(-1*(B9384-C9384)/(Utilities!$B$11*IterData!H9384)))</f>
        <v>1</v>
      </c>
    </row>
    <row r="9385" spans="8:11" x14ac:dyDescent="0.3">
      <c r="H9385">
        <v>0.5</v>
      </c>
      <c r="I9385" s="11">
        <f t="shared" si="146"/>
        <v>0</v>
      </c>
      <c r="J9385" s="11">
        <f>1/(H9385*Utilities!$B$11)</f>
        <v>8</v>
      </c>
      <c r="K9385" s="11">
        <f>IF(B9385&lt;C9385,1,EXP(-1*(B9385-C9385)/(Utilities!$B$11*IterData!H9385)))</f>
        <v>1</v>
      </c>
    </row>
    <row r="9386" spans="8:11" x14ac:dyDescent="0.3">
      <c r="H9386">
        <v>0.5</v>
      </c>
      <c r="I9386" s="11">
        <f t="shared" si="146"/>
        <v>0</v>
      </c>
      <c r="J9386" s="11">
        <f>1/(H9386*Utilities!$B$11)</f>
        <v>8</v>
      </c>
      <c r="K9386" s="11">
        <f>IF(B9386&lt;C9386,1,EXP(-1*(B9386-C9386)/(Utilities!$B$11*IterData!H9386)))</f>
        <v>1</v>
      </c>
    </row>
    <row r="9387" spans="8:11" x14ac:dyDescent="0.3">
      <c r="H9387">
        <v>0.5</v>
      </c>
      <c r="I9387" s="11">
        <f t="shared" si="146"/>
        <v>0</v>
      </c>
      <c r="J9387" s="11">
        <f>1/(H9387*Utilities!$B$11)</f>
        <v>8</v>
      </c>
      <c r="K9387" s="11">
        <f>IF(B9387&lt;C9387,1,EXP(-1*(B9387-C9387)/(Utilities!$B$11*IterData!H9387)))</f>
        <v>1</v>
      </c>
    </row>
    <row r="9388" spans="8:11" x14ac:dyDescent="0.3">
      <c r="H9388">
        <v>0.5</v>
      </c>
      <c r="I9388" s="11">
        <f t="shared" si="146"/>
        <v>0</v>
      </c>
      <c r="J9388" s="11">
        <f>1/(H9388*Utilities!$B$11)</f>
        <v>8</v>
      </c>
      <c r="K9388" s="11">
        <f>IF(B9388&lt;C9388,1,EXP(-1*(B9388-C9388)/(Utilities!$B$11*IterData!H9388)))</f>
        <v>1</v>
      </c>
    </row>
    <row r="9389" spans="8:11" x14ac:dyDescent="0.3">
      <c r="H9389">
        <v>0.5</v>
      </c>
      <c r="I9389" s="11">
        <f t="shared" si="146"/>
        <v>0</v>
      </c>
      <c r="J9389" s="11">
        <f>1/(H9389*Utilities!$B$11)</f>
        <v>8</v>
      </c>
      <c r="K9389" s="11">
        <f>IF(B9389&lt;C9389,1,EXP(-1*(B9389-C9389)/(Utilities!$B$11*IterData!H9389)))</f>
        <v>1</v>
      </c>
    </row>
    <row r="9390" spans="8:11" x14ac:dyDescent="0.3">
      <c r="H9390">
        <v>0.5</v>
      </c>
      <c r="I9390" s="11">
        <f t="shared" si="146"/>
        <v>0</v>
      </c>
      <c r="J9390" s="11">
        <f>1/(H9390*Utilities!$B$11)</f>
        <v>8</v>
      </c>
      <c r="K9390" s="11">
        <f>IF(B9390&lt;C9390,1,EXP(-1*(B9390-C9390)/(Utilities!$B$11*IterData!H9390)))</f>
        <v>1</v>
      </c>
    </row>
    <row r="9391" spans="8:11" x14ac:dyDescent="0.3">
      <c r="H9391">
        <v>0.5</v>
      </c>
      <c r="I9391" s="11">
        <f t="shared" si="146"/>
        <v>0</v>
      </c>
      <c r="J9391" s="11">
        <f>1/(H9391*Utilities!$B$11)</f>
        <v>8</v>
      </c>
      <c r="K9391" s="11">
        <f>IF(B9391&lt;C9391,1,EXP(-1*(B9391-C9391)/(Utilities!$B$11*IterData!H9391)))</f>
        <v>1</v>
      </c>
    </row>
    <row r="9392" spans="8:11" x14ac:dyDescent="0.3">
      <c r="H9392">
        <v>0.5</v>
      </c>
      <c r="I9392" s="11">
        <f t="shared" si="146"/>
        <v>0</v>
      </c>
      <c r="J9392" s="11">
        <f>1/(H9392*Utilities!$B$11)</f>
        <v>8</v>
      </c>
      <c r="K9392" s="11">
        <f>IF(B9392&lt;C9392,1,EXP(-1*(B9392-C9392)/(Utilities!$B$11*IterData!H9392)))</f>
        <v>1</v>
      </c>
    </row>
    <row r="9393" spans="8:11" x14ac:dyDescent="0.3">
      <c r="H9393">
        <v>0.5</v>
      </c>
      <c r="I9393" s="11">
        <f t="shared" si="146"/>
        <v>0</v>
      </c>
      <c r="J9393" s="11">
        <f>1/(H9393*Utilities!$B$11)</f>
        <v>8</v>
      </c>
      <c r="K9393" s="11">
        <f>IF(B9393&lt;C9393,1,EXP(-1*(B9393-C9393)/(Utilities!$B$11*IterData!H9393)))</f>
        <v>1</v>
      </c>
    </row>
    <row r="9394" spans="8:11" x14ac:dyDescent="0.3">
      <c r="H9394">
        <v>0.5</v>
      </c>
      <c r="I9394" s="11">
        <f t="shared" si="146"/>
        <v>0</v>
      </c>
      <c r="J9394" s="11">
        <f>1/(H9394*Utilities!$B$11)</f>
        <v>8</v>
      </c>
      <c r="K9394" s="11">
        <f>IF(B9394&lt;C9394,1,EXP(-1*(B9394-C9394)/(Utilities!$B$11*IterData!H9394)))</f>
        <v>1</v>
      </c>
    </row>
    <row r="9395" spans="8:11" x14ac:dyDescent="0.3">
      <c r="H9395">
        <v>0.5</v>
      </c>
      <c r="I9395" s="11">
        <f t="shared" si="146"/>
        <v>0</v>
      </c>
      <c r="J9395" s="11">
        <f>1/(H9395*Utilities!$B$11)</f>
        <v>8</v>
      </c>
      <c r="K9395" s="11">
        <f>IF(B9395&lt;C9395,1,EXP(-1*(B9395-C9395)/(Utilities!$B$11*IterData!H9395)))</f>
        <v>1</v>
      </c>
    </row>
    <row r="9396" spans="8:11" x14ac:dyDescent="0.3">
      <c r="H9396">
        <v>0.5</v>
      </c>
      <c r="I9396" s="11">
        <f t="shared" si="146"/>
        <v>0</v>
      </c>
      <c r="J9396" s="11">
        <f>1/(H9396*Utilities!$B$11)</f>
        <v>8</v>
      </c>
      <c r="K9396" s="11">
        <f>IF(B9396&lt;C9396,1,EXP(-1*(B9396-C9396)/(Utilities!$B$11*IterData!H9396)))</f>
        <v>1</v>
      </c>
    </row>
    <row r="9397" spans="8:11" x14ac:dyDescent="0.3">
      <c r="H9397">
        <v>0.5</v>
      </c>
      <c r="I9397" s="11">
        <f t="shared" si="146"/>
        <v>0</v>
      </c>
      <c r="J9397" s="11">
        <f>1/(H9397*Utilities!$B$11)</f>
        <v>8</v>
      </c>
      <c r="K9397" s="11">
        <f>IF(B9397&lt;C9397,1,EXP(-1*(B9397-C9397)/(Utilities!$B$11*IterData!H9397)))</f>
        <v>1</v>
      </c>
    </row>
    <row r="9398" spans="8:11" x14ac:dyDescent="0.3">
      <c r="H9398">
        <v>0.5</v>
      </c>
      <c r="I9398" s="11">
        <f t="shared" si="146"/>
        <v>0</v>
      </c>
      <c r="J9398" s="11">
        <f>1/(H9398*Utilities!$B$11)</f>
        <v>8</v>
      </c>
      <c r="K9398" s="11">
        <f>IF(B9398&lt;C9398,1,EXP(-1*(B9398-C9398)/(Utilities!$B$11*IterData!H9398)))</f>
        <v>1</v>
      </c>
    </row>
    <row r="9399" spans="8:11" x14ac:dyDescent="0.3">
      <c r="H9399">
        <v>0.5</v>
      </c>
      <c r="I9399" s="11">
        <f t="shared" si="146"/>
        <v>0</v>
      </c>
      <c r="J9399" s="11">
        <f>1/(H9399*Utilities!$B$11)</f>
        <v>8</v>
      </c>
      <c r="K9399" s="11">
        <f>IF(B9399&lt;C9399,1,EXP(-1*(B9399-C9399)/(Utilities!$B$11*IterData!H9399)))</f>
        <v>1</v>
      </c>
    </row>
    <row r="9400" spans="8:11" x14ac:dyDescent="0.3">
      <c r="H9400">
        <v>0.5</v>
      </c>
      <c r="I9400" s="11">
        <f t="shared" si="146"/>
        <v>0</v>
      </c>
      <c r="J9400" s="11">
        <f>1/(H9400*Utilities!$B$11)</f>
        <v>8</v>
      </c>
      <c r="K9400" s="11">
        <f>IF(B9400&lt;C9400,1,EXP(-1*(B9400-C9400)/(Utilities!$B$11*IterData!H9400)))</f>
        <v>1</v>
      </c>
    </row>
    <row r="9401" spans="8:11" x14ac:dyDescent="0.3">
      <c r="H9401">
        <v>0.5</v>
      </c>
      <c r="I9401" s="11">
        <f t="shared" si="146"/>
        <v>0</v>
      </c>
      <c r="J9401" s="11">
        <f>1/(H9401*Utilities!$B$11)</f>
        <v>8</v>
      </c>
      <c r="K9401" s="11">
        <f>IF(B9401&lt;C9401,1,EXP(-1*(B9401-C9401)/(Utilities!$B$11*IterData!H9401)))</f>
        <v>1</v>
      </c>
    </row>
    <row r="9402" spans="8:11" x14ac:dyDescent="0.3">
      <c r="H9402">
        <v>0.5</v>
      </c>
      <c r="I9402" s="11">
        <f t="shared" si="146"/>
        <v>0</v>
      </c>
      <c r="J9402" s="11">
        <f>1/(H9402*Utilities!$B$11)</f>
        <v>8</v>
      </c>
      <c r="K9402" s="11">
        <f>IF(B9402&lt;C9402,1,EXP(-1*(B9402-C9402)/(Utilities!$B$11*IterData!H9402)))</f>
        <v>1</v>
      </c>
    </row>
    <row r="9403" spans="8:11" x14ac:dyDescent="0.3">
      <c r="H9403">
        <v>0.5</v>
      </c>
      <c r="I9403" s="11">
        <f t="shared" si="146"/>
        <v>0</v>
      </c>
      <c r="J9403" s="11">
        <f>1/(H9403*Utilities!$B$11)</f>
        <v>8</v>
      </c>
      <c r="K9403" s="11">
        <f>IF(B9403&lt;C9403,1,EXP(-1*(B9403-C9403)/(Utilities!$B$11*IterData!H9403)))</f>
        <v>1</v>
      </c>
    </row>
    <row r="9404" spans="8:11" x14ac:dyDescent="0.3">
      <c r="H9404">
        <v>0.5</v>
      </c>
      <c r="I9404" s="11">
        <f t="shared" si="146"/>
        <v>0</v>
      </c>
      <c r="J9404" s="11">
        <f>1/(H9404*Utilities!$B$11)</f>
        <v>8</v>
      </c>
      <c r="K9404" s="11">
        <f>IF(B9404&lt;C9404,1,EXP(-1*(B9404-C9404)/(Utilities!$B$11*IterData!H9404)))</f>
        <v>1</v>
      </c>
    </row>
    <row r="9405" spans="8:11" x14ac:dyDescent="0.3">
      <c r="H9405">
        <v>0.5</v>
      </c>
      <c r="I9405" s="11">
        <f t="shared" si="146"/>
        <v>0</v>
      </c>
      <c r="J9405" s="11">
        <f>1/(H9405*Utilities!$B$11)</f>
        <v>8</v>
      </c>
      <c r="K9405" s="11">
        <f>IF(B9405&lt;C9405,1,EXP(-1*(B9405-C9405)/(Utilities!$B$11*IterData!H9405)))</f>
        <v>1</v>
      </c>
    </row>
    <row r="9406" spans="8:11" x14ac:dyDescent="0.3">
      <c r="H9406">
        <v>0.5</v>
      </c>
      <c r="I9406" s="11">
        <f t="shared" si="146"/>
        <v>0</v>
      </c>
      <c r="J9406" s="11">
        <f>1/(H9406*Utilities!$B$11)</f>
        <v>8</v>
      </c>
      <c r="K9406" s="11">
        <f>IF(B9406&lt;C9406,1,EXP(-1*(B9406-C9406)/(Utilities!$B$11*IterData!H9406)))</f>
        <v>1</v>
      </c>
    </row>
    <row r="9407" spans="8:11" x14ac:dyDescent="0.3">
      <c r="H9407">
        <v>0.5</v>
      </c>
      <c r="I9407" s="11">
        <f t="shared" si="146"/>
        <v>0</v>
      </c>
      <c r="J9407" s="11">
        <f>1/(H9407*Utilities!$B$11)</f>
        <v>8</v>
      </c>
      <c r="K9407" s="11">
        <f>IF(B9407&lt;C9407,1,EXP(-1*(B9407-C9407)/(Utilities!$B$11*IterData!H9407)))</f>
        <v>1</v>
      </c>
    </row>
    <row r="9408" spans="8:11" x14ac:dyDescent="0.3">
      <c r="H9408">
        <v>0.5</v>
      </c>
      <c r="I9408" s="11">
        <f t="shared" si="146"/>
        <v>0</v>
      </c>
      <c r="J9408" s="11">
        <f>1/(H9408*Utilities!$B$11)</f>
        <v>8</v>
      </c>
      <c r="K9408" s="11">
        <f>IF(B9408&lt;C9408,1,EXP(-1*(B9408-C9408)/(Utilities!$B$11*IterData!H9408)))</f>
        <v>1</v>
      </c>
    </row>
    <row r="9409" spans="8:11" x14ac:dyDescent="0.3">
      <c r="H9409">
        <v>0.5</v>
      </c>
      <c r="I9409" s="11">
        <f t="shared" si="146"/>
        <v>0</v>
      </c>
      <c r="J9409" s="11">
        <f>1/(H9409*Utilities!$B$11)</f>
        <v>8</v>
      </c>
      <c r="K9409" s="11">
        <f>IF(B9409&lt;C9409,1,EXP(-1*(B9409-C9409)/(Utilities!$B$11*IterData!H9409)))</f>
        <v>1</v>
      </c>
    </row>
    <row r="9410" spans="8:11" x14ac:dyDescent="0.3">
      <c r="H9410">
        <v>0.5</v>
      </c>
      <c r="I9410" s="11">
        <f t="shared" si="146"/>
        <v>0</v>
      </c>
      <c r="J9410" s="11">
        <f>1/(H9410*Utilities!$B$11)</f>
        <v>8</v>
      </c>
      <c r="K9410" s="11">
        <f>IF(B9410&lt;C9410,1,EXP(-1*(B9410-C9410)/(Utilities!$B$11*IterData!H9410)))</f>
        <v>1</v>
      </c>
    </row>
    <row r="9411" spans="8:11" x14ac:dyDescent="0.3">
      <c r="H9411">
        <v>0.5</v>
      </c>
      <c r="I9411" s="11">
        <f t="shared" ref="I9411:I9474" si="147">B9411-C9411</f>
        <v>0</v>
      </c>
      <c r="J9411" s="11">
        <f>1/(H9411*Utilities!$B$11)</f>
        <v>8</v>
      </c>
      <c r="K9411" s="11">
        <f>IF(B9411&lt;C9411,1,EXP(-1*(B9411-C9411)/(Utilities!$B$11*IterData!H9411)))</f>
        <v>1</v>
      </c>
    </row>
    <row r="9412" spans="8:11" x14ac:dyDescent="0.3">
      <c r="H9412">
        <v>0.5</v>
      </c>
      <c r="I9412" s="11">
        <f t="shared" si="147"/>
        <v>0</v>
      </c>
      <c r="J9412" s="11">
        <f>1/(H9412*Utilities!$B$11)</f>
        <v>8</v>
      </c>
      <c r="K9412" s="11">
        <f>IF(B9412&lt;C9412,1,EXP(-1*(B9412-C9412)/(Utilities!$B$11*IterData!H9412)))</f>
        <v>1</v>
      </c>
    </row>
    <row r="9413" spans="8:11" x14ac:dyDescent="0.3">
      <c r="H9413">
        <v>0.5</v>
      </c>
      <c r="I9413" s="11">
        <f t="shared" si="147"/>
        <v>0</v>
      </c>
      <c r="J9413" s="11">
        <f>1/(H9413*Utilities!$B$11)</f>
        <v>8</v>
      </c>
      <c r="K9413" s="11">
        <f>IF(B9413&lt;C9413,1,EXP(-1*(B9413-C9413)/(Utilities!$B$11*IterData!H9413)))</f>
        <v>1</v>
      </c>
    </row>
    <row r="9414" spans="8:11" x14ac:dyDescent="0.3">
      <c r="H9414">
        <v>0.5</v>
      </c>
      <c r="I9414" s="11">
        <f t="shared" si="147"/>
        <v>0</v>
      </c>
      <c r="J9414" s="11">
        <f>1/(H9414*Utilities!$B$11)</f>
        <v>8</v>
      </c>
      <c r="K9414" s="11">
        <f>IF(B9414&lt;C9414,1,EXP(-1*(B9414-C9414)/(Utilities!$B$11*IterData!H9414)))</f>
        <v>1</v>
      </c>
    </row>
    <row r="9415" spans="8:11" x14ac:dyDescent="0.3">
      <c r="H9415">
        <v>0.5</v>
      </c>
      <c r="I9415" s="11">
        <f t="shared" si="147"/>
        <v>0</v>
      </c>
      <c r="J9415" s="11">
        <f>1/(H9415*Utilities!$B$11)</f>
        <v>8</v>
      </c>
      <c r="K9415" s="11">
        <f>IF(B9415&lt;C9415,1,EXP(-1*(B9415-C9415)/(Utilities!$B$11*IterData!H9415)))</f>
        <v>1</v>
      </c>
    </row>
    <row r="9416" spans="8:11" x14ac:dyDescent="0.3">
      <c r="H9416">
        <v>0.5</v>
      </c>
      <c r="I9416" s="11">
        <f t="shared" si="147"/>
        <v>0</v>
      </c>
      <c r="J9416" s="11">
        <f>1/(H9416*Utilities!$B$11)</f>
        <v>8</v>
      </c>
      <c r="K9416" s="11">
        <f>IF(B9416&lt;C9416,1,EXP(-1*(B9416-C9416)/(Utilities!$B$11*IterData!H9416)))</f>
        <v>1</v>
      </c>
    </row>
    <row r="9417" spans="8:11" x14ac:dyDescent="0.3">
      <c r="H9417">
        <v>0.5</v>
      </c>
      <c r="I9417" s="11">
        <f t="shared" si="147"/>
        <v>0</v>
      </c>
      <c r="J9417" s="11">
        <f>1/(H9417*Utilities!$B$11)</f>
        <v>8</v>
      </c>
      <c r="K9417" s="11">
        <f>IF(B9417&lt;C9417,1,EXP(-1*(B9417-C9417)/(Utilities!$B$11*IterData!H9417)))</f>
        <v>1</v>
      </c>
    </row>
    <row r="9418" spans="8:11" x14ac:dyDescent="0.3">
      <c r="H9418">
        <v>0.5</v>
      </c>
      <c r="I9418" s="11">
        <f t="shared" si="147"/>
        <v>0</v>
      </c>
      <c r="J9418" s="11">
        <f>1/(H9418*Utilities!$B$11)</f>
        <v>8</v>
      </c>
      <c r="K9418" s="11">
        <f>IF(B9418&lt;C9418,1,EXP(-1*(B9418-C9418)/(Utilities!$B$11*IterData!H9418)))</f>
        <v>1</v>
      </c>
    </row>
    <row r="9419" spans="8:11" x14ac:dyDescent="0.3">
      <c r="H9419">
        <v>0.5</v>
      </c>
      <c r="I9419" s="11">
        <f t="shared" si="147"/>
        <v>0</v>
      </c>
      <c r="J9419" s="11">
        <f>1/(H9419*Utilities!$B$11)</f>
        <v>8</v>
      </c>
      <c r="K9419" s="11">
        <f>IF(B9419&lt;C9419,1,EXP(-1*(B9419-C9419)/(Utilities!$B$11*IterData!H9419)))</f>
        <v>1</v>
      </c>
    </row>
    <row r="9420" spans="8:11" x14ac:dyDescent="0.3">
      <c r="H9420">
        <v>0.5</v>
      </c>
      <c r="I9420" s="11">
        <f t="shared" si="147"/>
        <v>0</v>
      </c>
      <c r="J9420" s="11">
        <f>1/(H9420*Utilities!$B$11)</f>
        <v>8</v>
      </c>
      <c r="K9420" s="11">
        <f>IF(B9420&lt;C9420,1,EXP(-1*(B9420-C9420)/(Utilities!$B$11*IterData!H9420)))</f>
        <v>1</v>
      </c>
    </row>
    <row r="9421" spans="8:11" x14ac:dyDescent="0.3">
      <c r="H9421">
        <v>0.5</v>
      </c>
      <c r="I9421" s="11">
        <f t="shared" si="147"/>
        <v>0</v>
      </c>
      <c r="J9421" s="11">
        <f>1/(H9421*Utilities!$B$11)</f>
        <v>8</v>
      </c>
      <c r="K9421" s="11">
        <f>IF(B9421&lt;C9421,1,EXP(-1*(B9421-C9421)/(Utilities!$B$11*IterData!H9421)))</f>
        <v>1</v>
      </c>
    </row>
    <row r="9422" spans="8:11" x14ac:dyDescent="0.3">
      <c r="H9422">
        <v>0.5</v>
      </c>
      <c r="I9422" s="11">
        <f t="shared" si="147"/>
        <v>0</v>
      </c>
      <c r="J9422" s="11">
        <f>1/(H9422*Utilities!$B$11)</f>
        <v>8</v>
      </c>
      <c r="K9422" s="11">
        <f>IF(B9422&lt;C9422,1,EXP(-1*(B9422-C9422)/(Utilities!$B$11*IterData!H9422)))</f>
        <v>1</v>
      </c>
    </row>
    <row r="9423" spans="8:11" x14ac:dyDescent="0.3">
      <c r="H9423">
        <v>0.5</v>
      </c>
      <c r="I9423" s="11">
        <f t="shared" si="147"/>
        <v>0</v>
      </c>
      <c r="J9423" s="11">
        <f>1/(H9423*Utilities!$B$11)</f>
        <v>8</v>
      </c>
      <c r="K9423" s="11">
        <f>IF(B9423&lt;C9423,1,EXP(-1*(B9423-C9423)/(Utilities!$B$11*IterData!H9423)))</f>
        <v>1</v>
      </c>
    </row>
    <row r="9424" spans="8:11" x14ac:dyDescent="0.3">
      <c r="H9424">
        <v>0.5</v>
      </c>
      <c r="I9424" s="11">
        <f t="shared" si="147"/>
        <v>0</v>
      </c>
      <c r="J9424" s="11">
        <f>1/(H9424*Utilities!$B$11)</f>
        <v>8</v>
      </c>
      <c r="K9424" s="11">
        <f>IF(B9424&lt;C9424,1,EXP(-1*(B9424-C9424)/(Utilities!$B$11*IterData!H9424)))</f>
        <v>1</v>
      </c>
    </row>
    <row r="9425" spans="8:11" x14ac:dyDescent="0.3">
      <c r="H9425">
        <v>0.5</v>
      </c>
      <c r="I9425" s="11">
        <f t="shared" si="147"/>
        <v>0</v>
      </c>
      <c r="J9425" s="11">
        <f>1/(H9425*Utilities!$B$11)</f>
        <v>8</v>
      </c>
      <c r="K9425" s="11">
        <f>IF(B9425&lt;C9425,1,EXP(-1*(B9425-C9425)/(Utilities!$B$11*IterData!H9425)))</f>
        <v>1</v>
      </c>
    </row>
    <row r="9426" spans="8:11" x14ac:dyDescent="0.3">
      <c r="H9426">
        <v>0.5</v>
      </c>
      <c r="I9426" s="11">
        <f t="shared" si="147"/>
        <v>0</v>
      </c>
      <c r="J9426" s="11">
        <f>1/(H9426*Utilities!$B$11)</f>
        <v>8</v>
      </c>
      <c r="K9426" s="11">
        <f>IF(B9426&lt;C9426,1,EXP(-1*(B9426-C9426)/(Utilities!$B$11*IterData!H9426)))</f>
        <v>1</v>
      </c>
    </row>
    <row r="9427" spans="8:11" x14ac:dyDescent="0.3">
      <c r="H9427">
        <v>0.5</v>
      </c>
      <c r="I9427" s="11">
        <f t="shared" si="147"/>
        <v>0</v>
      </c>
      <c r="J9427" s="11">
        <f>1/(H9427*Utilities!$B$11)</f>
        <v>8</v>
      </c>
      <c r="K9427" s="11">
        <f>IF(B9427&lt;C9427,1,EXP(-1*(B9427-C9427)/(Utilities!$B$11*IterData!H9427)))</f>
        <v>1</v>
      </c>
    </row>
    <row r="9428" spans="8:11" x14ac:dyDescent="0.3">
      <c r="H9428">
        <v>0.5</v>
      </c>
      <c r="I9428" s="11">
        <f t="shared" si="147"/>
        <v>0</v>
      </c>
      <c r="J9428" s="11">
        <f>1/(H9428*Utilities!$B$11)</f>
        <v>8</v>
      </c>
      <c r="K9428" s="11">
        <f>IF(B9428&lt;C9428,1,EXP(-1*(B9428-C9428)/(Utilities!$B$11*IterData!H9428)))</f>
        <v>1</v>
      </c>
    </row>
    <row r="9429" spans="8:11" x14ac:dyDescent="0.3">
      <c r="H9429">
        <v>0.5</v>
      </c>
      <c r="I9429" s="11">
        <f t="shared" si="147"/>
        <v>0</v>
      </c>
      <c r="J9429" s="11">
        <f>1/(H9429*Utilities!$B$11)</f>
        <v>8</v>
      </c>
      <c r="K9429" s="11">
        <f>IF(B9429&lt;C9429,1,EXP(-1*(B9429-C9429)/(Utilities!$B$11*IterData!H9429)))</f>
        <v>1</v>
      </c>
    </row>
    <row r="9430" spans="8:11" x14ac:dyDescent="0.3">
      <c r="H9430">
        <v>0.5</v>
      </c>
      <c r="I9430" s="11">
        <f t="shared" si="147"/>
        <v>0</v>
      </c>
      <c r="J9430" s="11">
        <f>1/(H9430*Utilities!$B$11)</f>
        <v>8</v>
      </c>
      <c r="K9430" s="11">
        <f>IF(B9430&lt;C9430,1,EXP(-1*(B9430-C9430)/(Utilities!$B$11*IterData!H9430)))</f>
        <v>1</v>
      </c>
    </row>
    <row r="9431" spans="8:11" x14ac:dyDescent="0.3">
      <c r="H9431">
        <v>0.5</v>
      </c>
      <c r="I9431" s="11">
        <f t="shared" si="147"/>
        <v>0</v>
      </c>
      <c r="J9431" s="11">
        <f>1/(H9431*Utilities!$B$11)</f>
        <v>8</v>
      </c>
      <c r="K9431" s="11">
        <f>IF(B9431&lt;C9431,1,EXP(-1*(B9431-C9431)/(Utilities!$B$11*IterData!H9431)))</f>
        <v>1</v>
      </c>
    </row>
    <row r="9432" spans="8:11" x14ac:dyDescent="0.3">
      <c r="H9432">
        <v>0.5</v>
      </c>
      <c r="I9432" s="11">
        <f t="shared" si="147"/>
        <v>0</v>
      </c>
      <c r="J9432" s="11">
        <f>1/(H9432*Utilities!$B$11)</f>
        <v>8</v>
      </c>
      <c r="K9432" s="11">
        <f>IF(B9432&lt;C9432,1,EXP(-1*(B9432-C9432)/(Utilities!$B$11*IterData!H9432)))</f>
        <v>1</v>
      </c>
    </row>
    <row r="9433" spans="8:11" x14ac:dyDescent="0.3">
      <c r="H9433">
        <v>0.5</v>
      </c>
      <c r="I9433" s="11">
        <f t="shared" si="147"/>
        <v>0</v>
      </c>
      <c r="J9433" s="11">
        <f>1/(H9433*Utilities!$B$11)</f>
        <v>8</v>
      </c>
      <c r="K9433" s="11">
        <f>IF(B9433&lt;C9433,1,EXP(-1*(B9433-C9433)/(Utilities!$B$11*IterData!H9433)))</f>
        <v>1</v>
      </c>
    </row>
    <row r="9434" spans="8:11" x14ac:dyDescent="0.3">
      <c r="H9434">
        <v>0.5</v>
      </c>
      <c r="I9434" s="11">
        <f t="shared" si="147"/>
        <v>0</v>
      </c>
      <c r="J9434" s="11">
        <f>1/(H9434*Utilities!$B$11)</f>
        <v>8</v>
      </c>
      <c r="K9434" s="11">
        <f>IF(B9434&lt;C9434,1,EXP(-1*(B9434-C9434)/(Utilities!$B$11*IterData!H9434)))</f>
        <v>1</v>
      </c>
    </row>
    <row r="9435" spans="8:11" x14ac:dyDescent="0.3">
      <c r="H9435">
        <v>0.5</v>
      </c>
      <c r="I9435" s="11">
        <f t="shared" si="147"/>
        <v>0</v>
      </c>
      <c r="J9435" s="11">
        <f>1/(H9435*Utilities!$B$11)</f>
        <v>8</v>
      </c>
      <c r="K9435" s="11">
        <f>IF(B9435&lt;C9435,1,EXP(-1*(B9435-C9435)/(Utilities!$B$11*IterData!H9435)))</f>
        <v>1</v>
      </c>
    </row>
    <row r="9436" spans="8:11" x14ac:dyDescent="0.3">
      <c r="H9436">
        <v>0.5</v>
      </c>
      <c r="I9436" s="11">
        <f t="shared" si="147"/>
        <v>0</v>
      </c>
      <c r="J9436" s="11">
        <f>1/(H9436*Utilities!$B$11)</f>
        <v>8</v>
      </c>
      <c r="K9436" s="11">
        <f>IF(B9436&lt;C9436,1,EXP(-1*(B9436-C9436)/(Utilities!$B$11*IterData!H9436)))</f>
        <v>1</v>
      </c>
    </row>
    <row r="9437" spans="8:11" x14ac:dyDescent="0.3">
      <c r="H9437">
        <v>0.5</v>
      </c>
      <c r="I9437" s="11">
        <f t="shared" si="147"/>
        <v>0</v>
      </c>
      <c r="J9437" s="11">
        <f>1/(H9437*Utilities!$B$11)</f>
        <v>8</v>
      </c>
      <c r="K9437" s="11">
        <f>IF(B9437&lt;C9437,1,EXP(-1*(B9437-C9437)/(Utilities!$B$11*IterData!H9437)))</f>
        <v>1</v>
      </c>
    </row>
    <row r="9438" spans="8:11" x14ac:dyDescent="0.3">
      <c r="H9438">
        <v>0.5</v>
      </c>
      <c r="I9438" s="11">
        <f t="shared" si="147"/>
        <v>0</v>
      </c>
      <c r="J9438" s="11">
        <f>1/(H9438*Utilities!$B$11)</f>
        <v>8</v>
      </c>
      <c r="K9438" s="11">
        <f>IF(B9438&lt;C9438,1,EXP(-1*(B9438-C9438)/(Utilities!$B$11*IterData!H9438)))</f>
        <v>1</v>
      </c>
    </row>
    <row r="9439" spans="8:11" x14ac:dyDescent="0.3">
      <c r="H9439">
        <v>0.5</v>
      </c>
      <c r="I9439" s="11">
        <f t="shared" si="147"/>
        <v>0</v>
      </c>
      <c r="J9439" s="11">
        <f>1/(H9439*Utilities!$B$11)</f>
        <v>8</v>
      </c>
      <c r="K9439" s="11">
        <f>IF(B9439&lt;C9439,1,EXP(-1*(B9439-C9439)/(Utilities!$B$11*IterData!H9439)))</f>
        <v>1</v>
      </c>
    </row>
    <row r="9440" spans="8:11" x14ac:dyDescent="0.3">
      <c r="H9440">
        <v>0.5</v>
      </c>
      <c r="I9440" s="11">
        <f t="shared" si="147"/>
        <v>0</v>
      </c>
      <c r="J9440" s="11">
        <f>1/(H9440*Utilities!$B$11)</f>
        <v>8</v>
      </c>
      <c r="K9440" s="11">
        <f>IF(B9440&lt;C9440,1,EXP(-1*(B9440-C9440)/(Utilities!$B$11*IterData!H9440)))</f>
        <v>1</v>
      </c>
    </row>
    <row r="9441" spans="8:11" x14ac:dyDescent="0.3">
      <c r="H9441">
        <v>0.5</v>
      </c>
      <c r="I9441" s="11">
        <f t="shared" si="147"/>
        <v>0</v>
      </c>
      <c r="J9441" s="11">
        <f>1/(H9441*Utilities!$B$11)</f>
        <v>8</v>
      </c>
      <c r="K9441" s="11">
        <f>IF(B9441&lt;C9441,1,EXP(-1*(B9441-C9441)/(Utilities!$B$11*IterData!H9441)))</f>
        <v>1</v>
      </c>
    </row>
    <row r="9442" spans="8:11" x14ac:dyDescent="0.3">
      <c r="H9442">
        <v>0.5</v>
      </c>
      <c r="I9442" s="11">
        <f t="shared" si="147"/>
        <v>0</v>
      </c>
      <c r="J9442" s="11">
        <f>1/(H9442*Utilities!$B$11)</f>
        <v>8</v>
      </c>
      <c r="K9442" s="11">
        <f>IF(B9442&lt;C9442,1,EXP(-1*(B9442-C9442)/(Utilities!$B$11*IterData!H9442)))</f>
        <v>1</v>
      </c>
    </row>
    <row r="9443" spans="8:11" x14ac:dyDescent="0.3">
      <c r="H9443">
        <v>0.5</v>
      </c>
      <c r="I9443" s="11">
        <f t="shared" si="147"/>
        <v>0</v>
      </c>
      <c r="J9443" s="11">
        <f>1/(H9443*Utilities!$B$11)</f>
        <v>8</v>
      </c>
      <c r="K9443" s="11">
        <f>IF(B9443&lt;C9443,1,EXP(-1*(B9443-C9443)/(Utilities!$B$11*IterData!H9443)))</f>
        <v>1</v>
      </c>
    </row>
    <row r="9444" spans="8:11" x14ac:dyDescent="0.3">
      <c r="H9444">
        <v>0.5</v>
      </c>
      <c r="I9444" s="11">
        <f t="shared" si="147"/>
        <v>0</v>
      </c>
      <c r="J9444" s="11">
        <f>1/(H9444*Utilities!$B$11)</f>
        <v>8</v>
      </c>
      <c r="K9444" s="11">
        <f>IF(B9444&lt;C9444,1,EXP(-1*(B9444-C9444)/(Utilities!$B$11*IterData!H9444)))</f>
        <v>1</v>
      </c>
    </row>
    <row r="9445" spans="8:11" x14ac:dyDescent="0.3">
      <c r="H9445">
        <v>0.5</v>
      </c>
      <c r="I9445" s="11">
        <f t="shared" si="147"/>
        <v>0</v>
      </c>
      <c r="J9445" s="11">
        <f>1/(H9445*Utilities!$B$11)</f>
        <v>8</v>
      </c>
      <c r="K9445" s="11">
        <f>IF(B9445&lt;C9445,1,EXP(-1*(B9445-C9445)/(Utilities!$B$11*IterData!H9445)))</f>
        <v>1</v>
      </c>
    </row>
    <row r="9446" spans="8:11" x14ac:dyDescent="0.3">
      <c r="H9446">
        <v>0.5</v>
      </c>
      <c r="I9446" s="11">
        <f t="shared" si="147"/>
        <v>0</v>
      </c>
      <c r="J9446" s="11">
        <f>1/(H9446*Utilities!$B$11)</f>
        <v>8</v>
      </c>
      <c r="K9446" s="11">
        <f>IF(B9446&lt;C9446,1,EXP(-1*(B9446-C9446)/(Utilities!$B$11*IterData!H9446)))</f>
        <v>1</v>
      </c>
    </row>
    <row r="9447" spans="8:11" x14ac:dyDescent="0.3">
      <c r="H9447">
        <v>0.5</v>
      </c>
      <c r="I9447" s="11">
        <f t="shared" si="147"/>
        <v>0</v>
      </c>
      <c r="J9447" s="11">
        <f>1/(H9447*Utilities!$B$11)</f>
        <v>8</v>
      </c>
      <c r="K9447" s="11">
        <f>IF(B9447&lt;C9447,1,EXP(-1*(B9447-C9447)/(Utilities!$B$11*IterData!H9447)))</f>
        <v>1</v>
      </c>
    </row>
    <row r="9448" spans="8:11" x14ac:dyDescent="0.3">
      <c r="H9448">
        <v>0.5</v>
      </c>
      <c r="I9448" s="11">
        <f t="shared" si="147"/>
        <v>0</v>
      </c>
      <c r="J9448" s="11">
        <f>1/(H9448*Utilities!$B$11)</f>
        <v>8</v>
      </c>
      <c r="K9448" s="11">
        <f>IF(B9448&lt;C9448,1,EXP(-1*(B9448-C9448)/(Utilities!$B$11*IterData!H9448)))</f>
        <v>1</v>
      </c>
    </row>
    <row r="9449" spans="8:11" x14ac:dyDescent="0.3">
      <c r="H9449">
        <v>0.5</v>
      </c>
      <c r="I9449" s="11">
        <f t="shared" si="147"/>
        <v>0</v>
      </c>
      <c r="J9449" s="11">
        <f>1/(H9449*Utilities!$B$11)</f>
        <v>8</v>
      </c>
      <c r="K9449" s="11">
        <f>IF(B9449&lt;C9449,1,EXP(-1*(B9449-C9449)/(Utilities!$B$11*IterData!H9449)))</f>
        <v>1</v>
      </c>
    </row>
    <row r="9450" spans="8:11" x14ac:dyDescent="0.3">
      <c r="H9450">
        <v>0.5</v>
      </c>
      <c r="I9450" s="11">
        <f t="shared" si="147"/>
        <v>0</v>
      </c>
      <c r="J9450" s="11">
        <f>1/(H9450*Utilities!$B$11)</f>
        <v>8</v>
      </c>
      <c r="K9450" s="11">
        <f>IF(B9450&lt;C9450,1,EXP(-1*(B9450-C9450)/(Utilities!$B$11*IterData!H9450)))</f>
        <v>1</v>
      </c>
    </row>
    <row r="9451" spans="8:11" x14ac:dyDescent="0.3">
      <c r="H9451">
        <v>0.5</v>
      </c>
      <c r="I9451" s="11">
        <f t="shared" si="147"/>
        <v>0</v>
      </c>
      <c r="J9451" s="11">
        <f>1/(H9451*Utilities!$B$11)</f>
        <v>8</v>
      </c>
      <c r="K9451" s="11">
        <f>IF(B9451&lt;C9451,1,EXP(-1*(B9451-C9451)/(Utilities!$B$11*IterData!H9451)))</f>
        <v>1</v>
      </c>
    </row>
    <row r="9452" spans="8:11" x14ac:dyDescent="0.3">
      <c r="H9452">
        <v>0.5</v>
      </c>
      <c r="I9452" s="11">
        <f t="shared" si="147"/>
        <v>0</v>
      </c>
      <c r="J9452" s="11">
        <f>1/(H9452*Utilities!$B$11)</f>
        <v>8</v>
      </c>
      <c r="K9452" s="11">
        <f>IF(B9452&lt;C9452,1,EXP(-1*(B9452-C9452)/(Utilities!$B$11*IterData!H9452)))</f>
        <v>1</v>
      </c>
    </row>
    <row r="9453" spans="8:11" x14ac:dyDescent="0.3">
      <c r="H9453">
        <v>0.5</v>
      </c>
      <c r="I9453" s="11">
        <f t="shared" si="147"/>
        <v>0</v>
      </c>
      <c r="J9453" s="11">
        <f>1/(H9453*Utilities!$B$11)</f>
        <v>8</v>
      </c>
      <c r="K9453" s="11">
        <f>IF(B9453&lt;C9453,1,EXP(-1*(B9453-C9453)/(Utilities!$B$11*IterData!H9453)))</f>
        <v>1</v>
      </c>
    </row>
    <row r="9454" spans="8:11" x14ac:dyDescent="0.3">
      <c r="H9454">
        <v>0.5</v>
      </c>
      <c r="I9454" s="11">
        <f t="shared" si="147"/>
        <v>0</v>
      </c>
      <c r="J9454" s="11">
        <f>1/(H9454*Utilities!$B$11)</f>
        <v>8</v>
      </c>
      <c r="K9454" s="11">
        <f>IF(B9454&lt;C9454,1,EXP(-1*(B9454-C9454)/(Utilities!$B$11*IterData!H9454)))</f>
        <v>1</v>
      </c>
    </row>
    <row r="9455" spans="8:11" x14ac:dyDescent="0.3">
      <c r="H9455">
        <v>0.5</v>
      </c>
      <c r="I9455" s="11">
        <f t="shared" si="147"/>
        <v>0</v>
      </c>
      <c r="J9455" s="11">
        <f>1/(H9455*Utilities!$B$11)</f>
        <v>8</v>
      </c>
      <c r="K9455" s="11">
        <f>IF(B9455&lt;C9455,1,EXP(-1*(B9455-C9455)/(Utilities!$B$11*IterData!H9455)))</f>
        <v>1</v>
      </c>
    </row>
    <row r="9456" spans="8:11" x14ac:dyDescent="0.3">
      <c r="H9456">
        <v>0.5</v>
      </c>
      <c r="I9456" s="11">
        <f t="shared" si="147"/>
        <v>0</v>
      </c>
      <c r="J9456" s="11">
        <f>1/(H9456*Utilities!$B$11)</f>
        <v>8</v>
      </c>
      <c r="K9456" s="11">
        <f>IF(B9456&lt;C9456,1,EXP(-1*(B9456-C9456)/(Utilities!$B$11*IterData!H9456)))</f>
        <v>1</v>
      </c>
    </row>
    <row r="9457" spans="8:11" x14ac:dyDescent="0.3">
      <c r="H9457">
        <v>0.5</v>
      </c>
      <c r="I9457" s="11">
        <f t="shared" si="147"/>
        <v>0</v>
      </c>
      <c r="J9457" s="11">
        <f>1/(H9457*Utilities!$B$11)</f>
        <v>8</v>
      </c>
      <c r="K9457" s="11">
        <f>IF(B9457&lt;C9457,1,EXP(-1*(B9457-C9457)/(Utilities!$B$11*IterData!H9457)))</f>
        <v>1</v>
      </c>
    </row>
    <row r="9458" spans="8:11" x14ac:dyDescent="0.3">
      <c r="H9458">
        <v>0.5</v>
      </c>
      <c r="I9458" s="11">
        <f t="shared" si="147"/>
        <v>0</v>
      </c>
      <c r="J9458" s="11">
        <f>1/(H9458*Utilities!$B$11)</f>
        <v>8</v>
      </c>
      <c r="K9458" s="11">
        <f>IF(B9458&lt;C9458,1,EXP(-1*(B9458-C9458)/(Utilities!$B$11*IterData!H9458)))</f>
        <v>1</v>
      </c>
    </row>
    <row r="9459" spans="8:11" x14ac:dyDescent="0.3">
      <c r="H9459">
        <v>0.5</v>
      </c>
      <c r="I9459" s="11">
        <f t="shared" si="147"/>
        <v>0</v>
      </c>
      <c r="J9459" s="11">
        <f>1/(H9459*Utilities!$B$11)</f>
        <v>8</v>
      </c>
      <c r="K9459" s="11">
        <f>IF(B9459&lt;C9459,1,EXP(-1*(B9459-C9459)/(Utilities!$B$11*IterData!H9459)))</f>
        <v>1</v>
      </c>
    </row>
    <row r="9460" spans="8:11" x14ac:dyDescent="0.3">
      <c r="H9460">
        <v>0.5</v>
      </c>
      <c r="I9460" s="11">
        <f t="shared" si="147"/>
        <v>0</v>
      </c>
      <c r="J9460" s="11">
        <f>1/(H9460*Utilities!$B$11)</f>
        <v>8</v>
      </c>
      <c r="K9460" s="11">
        <f>IF(B9460&lt;C9460,1,EXP(-1*(B9460-C9460)/(Utilities!$B$11*IterData!H9460)))</f>
        <v>1</v>
      </c>
    </row>
    <row r="9461" spans="8:11" x14ac:dyDescent="0.3">
      <c r="H9461">
        <v>0.5</v>
      </c>
      <c r="I9461" s="11">
        <f t="shared" si="147"/>
        <v>0</v>
      </c>
      <c r="J9461" s="11">
        <f>1/(H9461*Utilities!$B$11)</f>
        <v>8</v>
      </c>
      <c r="K9461" s="11">
        <f>IF(B9461&lt;C9461,1,EXP(-1*(B9461-C9461)/(Utilities!$B$11*IterData!H9461)))</f>
        <v>1</v>
      </c>
    </row>
    <row r="9462" spans="8:11" x14ac:dyDescent="0.3">
      <c r="H9462">
        <v>0.5</v>
      </c>
      <c r="I9462" s="11">
        <f t="shared" si="147"/>
        <v>0</v>
      </c>
      <c r="J9462" s="11">
        <f>1/(H9462*Utilities!$B$11)</f>
        <v>8</v>
      </c>
      <c r="K9462" s="11">
        <f>IF(B9462&lt;C9462,1,EXP(-1*(B9462-C9462)/(Utilities!$B$11*IterData!H9462)))</f>
        <v>1</v>
      </c>
    </row>
    <row r="9463" spans="8:11" x14ac:dyDescent="0.3">
      <c r="H9463">
        <v>0.5</v>
      </c>
      <c r="I9463" s="11">
        <f t="shared" si="147"/>
        <v>0</v>
      </c>
      <c r="J9463" s="11">
        <f>1/(H9463*Utilities!$B$11)</f>
        <v>8</v>
      </c>
      <c r="K9463" s="11">
        <f>IF(B9463&lt;C9463,1,EXP(-1*(B9463-C9463)/(Utilities!$B$11*IterData!H9463)))</f>
        <v>1</v>
      </c>
    </row>
    <row r="9464" spans="8:11" x14ac:dyDescent="0.3">
      <c r="H9464">
        <v>0.5</v>
      </c>
      <c r="I9464" s="11">
        <f t="shared" si="147"/>
        <v>0</v>
      </c>
      <c r="J9464" s="11">
        <f>1/(H9464*Utilities!$B$11)</f>
        <v>8</v>
      </c>
      <c r="K9464" s="11">
        <f>IF(B9464&lt;C9464,1,EXP(-1*(B9464-C9464)/(Utilities!$B$11*IterData!H9464)))</f>
        <v>1</v>
      </c>
    </row>
    <row r="9465" spans="8:11" x14ac:dyDescent="0.3">
      <c r="H9465">
        <v>0.5</v>
      </c>
      <c r="I9465" s="11">
        <f t="shared" si="147"/>
        <v>0</v>
      </c>
      <c r="J9465" s="11">
        <f>1/(H9465*Utilities!$B$11)</f>
        <v>8</v>
      </c>
      <c r="K9465" s="11">
        <f>IF(B9465&lt;C9465,1,EXP(-1*(B9465-C9465)/(Utilities!$B$11*IterData!H9465)))</f>
        <v>1</v>
      </c>
    </row>
    <row r="9466" spans="8:11" x14ac:dyDescent="0.3">
      <c r="H9466">
        <v>0.5</v>
      </c>
      <c r="I9466" s="11">
        <f t="shared" si="147"/>
        <v>0</v>
      </c>
      <c r="J9466" s="11">
        <f>1/(H9466*Utilities!$B$11)</f>
        <v>8</v>
      </c>
      <c r="K9466" s="11">
        <f>IF(B9466&lt;C9466,1,EXP(-1*(B9466-C9466)/(Utilities!$B$11*IterData!H9466)))</f>
        <v>1</v>
      </c>
    </row>
    <row r="9467" spans="8:11" x14ac:dyDescent="0.3">
      <c r="H9467">
        <v>0.5</v>
      </c>
      <c r="I9467" s="11">
        <f t="shared" si="147"/>
        <v>0</v>
      </c>
      <c r="J9467" s="11">
        <f>1/(H9467*Utilities!$B$11)</f>
        <v>8</v>
      </c>
      <c r="K9467" s="11">
        <f>IF(B9467&lt;C9467,1,EXP(-1*(B9467-C9467)/(Utilities!$B$11*IterData!H9467)))</f>
        <v>1</v>
      </c>
    </row>
    <row r="9468" spans="8:11" x14ac:dyDescent="0.3">
      <c r="H9468">
        <v>0.5</v>
      </c>
      <c r="I9468" s="11">
        <f t="shared" si="147"/>
        <v>0</v>
      </c>
      <c r="J9468" s="11">
        <f>1/(H9468*Utilities!$B$11)</f>
        <v>8</v>
      </c>
      <c r="K9468" s="11">
        <f>IF(B9468&lt;C9468,1,EXP(-1*(B9468-C9468)/(Utilities!$B$11*IterData!H9468)))</f>
        <v>1</v>
      </c>
    </row>
    <row r="9469" spans="8:11" x14ac:dyDescent="0.3">
      <c r="H9469">
        <v>0.5</v>
      </c>
      <c r="I9469" s="11">
        <f t="shared" si="147"/>
        <v>0</v>
      </c>
      <c r="J9469" s="11">
        <f>1/(H9469*Utilities!$B$11)</f>
        <v>8</v>
      </c>
      <c r="K9469" s="11">
        <f>IF(B9469&lt;C9469,1,EXP(-1*(B9469-C9469)/(Utilities!$B$11*IterData!H9469)))</f>
        <v>1</v>
      </c>
    </row>
    <row r="9470" spans="8:11" x14ac:dyDescent="0.3">
      <c r="H9470">
        <v>0.5</v>
      </c>
      <c r="I9470" s="11">
        <f t="shared" si="147"/>
        <v>0</v>
      </c>
      <c r="J9470" s="11">
        <f>1/(H9470*Utilities!$B$11)</f>
        <v>8</v>
      </c>
      <c r="K9470" s="11">
        <f>IF(B9470&lt;C9470,1,EXP(-1*(B9470-C9470)/(Utilities!$B$11*IterData!H9470)))</f>
        <v>1</v>
      </c>
    </row>
    <row r="9471" spans="8:11" x14ac:dyDescent="0.3">
      <c r="H9471">
        <v>0.5</v>
      </c>
      <c r="I9471" s="11">
        <f t="shared" si="147"/>
        <v>0</v>
      </c>
      <c r="J9471" s="11">
        <f>1/(H9471*Utilities!$B$11)</f>
        <v>8</v>
      </c>
      <c r="K9471" s="11">
        <f>IF(B9471&lt;C9471,1,EXP(-1*(B9471-C9471)/(Utilities!$B$11*IterData!H9471)))</f>
        <v>1</v>
      </c>
    </row>
    <row r="9472" spans="8:11" x14ac:dyDescent="0.3">
      <c r="H9472">
        <v>0.5</v>
      </c>
      <c r="I9472" s="11">
        <f t="shared" si="147"/>
        <v>0</v>
      </c>
      <c r="J9472" s="11">
        <f>1/(H9472*Utilities!$B$11)</f>
        <v>8</v>
      </c>
      <c r="K9472" s="11">
        <f>IF(B9472&lt;C9472,1,EXP(-1*(B9472-C9472)/(Utilities!$B$11*IterData!H9472)))</f>
        <v>1</v>
      </c>
    </row>
    <row r="9473" spans="8:11" x14ac:dyDescent="0.3">
      <c r="H9473">
        <v>0.5</v>
      </c>
      <c r="I9473" s="11">
        <f t="shared" si="147"/>
        <v>0</v>
      </c>
      <c r="J9473" s="11">
        <f>1/(H9473*Utilities!$B$11)</f>
        <v>8</v>
      </c>
      <c r="K9473" s="11">
        <f>IF(B9473&lt;C9473,1,EXP(-1*(B9473-C9473)/(Utilities!$B$11*IterData!H9473)))</f>
        <v>1</v>
      </c>
    </row>
    <row r="9474" spans="8:11" x14ac:dyDescent="0.3">
      <c r="H9474">
        <v>0.5</v>
      </c>
      <c r="I9474" s="11">
        <f t="shared" si="147"/>
        <v>0</v>
      </c>
      <c r="J9474" s="11">
        <f>1/(H9474*Utilities!$B$11)</f>
        <v>8</v>
      </c>
      <c r="K9474" s="11">
        <f>IF(B9474&lt;C9474,1,EXP(-1*(B9474-C9474)/(Utilities!$B$11*IterData!H9474)))</f>
        <v>1</v>
      </c>
    </row>
    <row r="9475" spans="8:11" x14ac:dyDescent="0.3">
      <c r="H9475">
        <v>0.5</v>
      </c>
      <c r="I9475" s="11">
        <f t="shared" ref="I9475:I9538" si="148">B9475-C9475</f>
        <v>0</v>
      </c>
      <c r="J9475" s="11">
        <f>1/(H9475*Utilities!$B$11)</f>
        <v>8</v>
      </c>
      <c r="K9475" s="11">
        <f>IF(B9475&lt;C9475,1,EXP(-1*(B9475-C9475)/(Utilities!$B$11*IterData!H9475)))</f>
        <v>1</v>
      </c>
    </row>
    <row r="9476" spans="8:11" x14ac:dyDescent="0.3">
      <c r="H9476">
        <v>0.5</v>
      </c>
      <c r="I9476" s="11">
        <f t="shared" si="148"/>
        <v>0</v>
      </c>
      <c r="J9476" s="11">
        <f>1/(H9476*Utilities!$B$11)</f>
        <v>8</v>
      </c>
      <c r="K9476" s="11">
        <f>IF(B9476&lt;C9476,1,EXP(-1*(B9476-C9476)/(Utilities!$B$11*IterData!H9476)))</f>
        <v>1</v>
      </c>
    </row>
    <row r="9477" spans="8:11" x14ac:dyDescent="0.3">
      <c r="H9477">
        <v>0.5</v>
      </c>
      <c r="I9477" s="11">
        <f t="shared" si="148"/>
        <v>0</v>
      </c>
      <c r="J9477" s="11">
        <f>1/(H9477*Utilities!$B$11)</f>
        <v>8</v>
      </c>
      <c r="K9477" s="11">
        <f>IF(B9477&lt;C9477,1,EXP(-1*(B9477-C9477)/(Utilities!$B$11*IterData!H9477)))</f>
        <v>1</v>
      </c>
    </row>
    <row r="9478" spans="8:11" x14ac:dyDescent="0.3">
      <c r="H9478">
        <v>0.5</v>
      </c>
      <c r="I9478" s="11">
        <f t="shared" si="148"/>
        <v>0</v>
      </c>
      <c r="J9478" s="11">
        <f>1/(H9478*Utilities!$B$11)</f>
        <v>8</v>
      </c>
      <c r="K9478" s="11">
        <f>IF(B9478&lt;C9478,1,EXP(-1*(B9478-C9478)/(Utilities!$B$11*IterData!H9478)))</f>
        <v>1</v>
      </c>
    </row>
    <row r="9479" spans="8:11" x14ac:dyDescent="0.3">
      <c r="H9479">
        <v>0.5</v>
      </c>
      <c r="I9479" s="11">
        <f t="shared" si="148"/>
        <v>0</v>
      </c>
      <c r="J9479" s="11">
        <f>1/(H9479*Utilities!$B$11)</f>
        <v>8</v>
      </c>
      <c r="K9479" s="11">
        <f>IF(B9479&lt;C9479,1,EXP(-1*(B9479-C9479)/(Utilities!$B$11*IterData!H9479)))</f>
        <v>1</v>
      </c>
    </row>
    <row r="9480" spans="8:11" x14ac:dyDescent="0.3">
      <c r="H9480">
        <v>0.5</v>
      </c>
      <c r="I9480" s="11">
        <f t="shared" si="148"/>
        <v>0</v>
      </c>
      <c r="J9480" s="11">
        <f>1/(H9480*Utilities!$B$11)</f>
        <v>8</v>
      </c>
      <c r="K9480" s="11">
        <f>IF(B9480&lt;C9480,1,EXP(-1*(B9480-C9480)/(Utilities!$B$11*IterData!H9480)))</f>
        <v>1</v>
      </c>
    </row>
    <row r="9481" spans="8:11" x14ac:dyDescent="0.3">
      <c r="H9481">
        <v>0.5</v>
      </c>
      <c r="I9481" s="11">
        <f t="shared" si="148"/>
        <v>0</v>
      </c>
      <c r="J9481" s="11">
        <f>1/(H9481*Utilities!$B$11)</f>
        <v>8</v>
      </c>
      <c r="K9481" s="11">
        <f>IF(B9481&lt;C9481,1,EXP(-1*(B9481-C9481)/(Utilities!$B$11*IterData!H9481)))</f>
        <v>1</v>
      </c>
    </row>
    <row r="9482" spans="8:11" x14ac:dyDescent="0.3">
      <c r="H9482">
        <v>0.5</v>
      </c>
      <c r="I9482" s="11">
        <f t="shared" si="148"/>
        <v>0</v>
      </c>
      <c r="J9482" s="11">
        <f>1/(H9482*Utilities!$B$11)</f>
        <v>8</v>
      </c>
      <c r="K9482" s="11">
        <f>IF(B9482&lt;C9482,1,EXP(-1*(B9482-C9482)/(Utilities!$B$11*IterData!H9482)))</f>
        <v>1</v>
      </c>
    </row>
    <row r="9483" spans="8:11" x14ac:dyDescent="0.3">
      <c r="H9483">
        <v>0.5</v>
      </c>
      <c r="I9483" s="11">
        <f t="shared" si="148"/>
        <v>0</v>
      </c>
      <c r="J9483" s="11">
        <f>1/(H9483*Utilities!$B$11)</f>
        <v>8</v>
      </c>
      <c r="K9483" s="11">
        <f>IF(B9483&lt;C9483,1,EXP(-1*(B9483-C9483)/(Utilities!$B$11*IterData!H9483)))</f>
        <v>1</v>
      </c>
    </row>
    <row r="9484" spans="8:11" x14ac:dyDescent="0.3">
      <c r="H9484">
        <v>0.5</v>
      </c>
      <c r="I9484" s="11">
        <f t="shared" si="148"/>
        <v>0</v>
      </c>
      <c r="J9484" s="11">
        <f>1/(H9484*Utilities!$B$11)</f>
        <v>8</v>
      </c>
      <c r="K9484" s="11">
        <f>IF(B9484&lt;C9484,1,EXP(-1*(B9484-C9484)/(Utilities!$B$11*IterData!H9484)))</f>
        <v>1</v>
      </c>
    </row>
    <row r="9485" spans="8:11" x14ac:dyDescent="0.3">
      <c r="H9485">
        <v>0.5</v>
      </c>
      <c r="I9485" s="11">
        <f t="shared" si="148"/>
        <v>0</v>
      </c>
      <c r="J9485" s="11">
        <f>1/(H9485*Utilities!$B$11)</f>
        <v>8</v>
      </c>
      <c r="K9485" s="11">
        <f>IF(B9485&lt;C9485,1,EXP(-1*(B9485-C9485)/(Utilities!$B$11*IterData!H9485)))</f>
        <v>1</v>
      </c>
    </row>
    <row r="9486" spans="8:11" x14ac:dyDescent="0.3">
      <c r="H9486">
        <v>0.5</v>
      </c>
      <c r="I9486" s="11">
        <f t="shared" si="148"/>
        <v>0</v>
      </c>
      <c r="J9486" s="11">
        <f>1/(H9486*Utilities!$B$11)</f>
        <v>8</v>
      </c>
      <c r="K9486" s="11">
        <f>IF(B9486&lt;C9486,1,EXP(-1*(B9486-C9486)/(Utilities!$B$11*IterData!H9486)))</f>
        <v>1</v>
      </c>
    </row>
    <row r="9487" spans="8:11" x14ac:dyDescent="0.3">
      <c r="H9487">
        <v>0.5</v>
      </c>
      <c r="I9487" s="11">
        <f t="shared" si="148"/>
        <v>0</v>
      </c>
      <c r="J9487" s="11">
        <f>1/(H9487*Utilities!$B$11)</f>
        <v>8</v>
      </c>
      <c r="K9487" s="11">
        <f>IF(B9487&lt;C9487,1,EXP(-1*(B9487-C9487)/(Utilities!$B$11*IterData!H9487)))</f>
        <v>1</v>
      </c>
    </row>
    <row r="9488" spans="8:11" x14ac:dyDescent="0.3">
      <c r="H9488">
        <v>0.5</v>
      </c>
      <c r="I9488" s="11">
        <f t="shared" si="148"/>
        <v>0</v>
      </c>
      <c r="J9488" s="11">
        <f>1/(H9488*Utilities!$B$11)</f>
        <v>8</v>
      </c>
      <c r="K9488" s="11">
        <f>IF(B9488&lt;C9488,1,EXP(-1*(B9488-C9488)/(Utilities!$B$11*IterData!H9488)))</f>
        <v>1</v>
      </c>
    </row>
    <row r="9489" spans="8:11" x14ac:dyDescent="0.3">
      <c r="H9489">
        <v>0.5</v>
      </c>
      <c r="I9489" s="11">
        <f t="shared" si="148"/>
        <v>0</v>
      </c>
      <c r="J9489" s="11">
        <f>1/(H9489*Utilities!$B$11)</f>
        <v>8</v>
      </c>
      <c r="K9489" s="11">
        <f>IF(B9489&lt;C9489,1,EXP(-1*(B9489-C9489)/(Utilities!$B$11*IterData!H9489)))</f>
        <v>1</v>
      </c>
    </row>
    <row r="9490" spans="8:11" x14ac:dyDescent="0.3">
      <c r="H9490">
        <v>0.5</v>
      </c>
      <c r="I9490" s="11">
        <f t="shared" si="148"/>
        <v>0</v>
      </c>
      <c r="J9490" s="11">
        <f>1/(H9490*Utilities!$B$11)</f>
        <v>8</v>
      </c>
      <c r="K9490" s="11">
        <f>IF(B9490&lt;C9490,1,EXP(-1*(B9490-C9490)/(Utilities!$B$11*IterData!H9490)))</f>
        <v>1</v>
      </c>
    </row>
    <row r="9491" spans="8:11" x14ac:dyDescent="0.3">
      <c r="H9491">
        <v>0.5</v>
      </c>
      <c r="I9491" s="11">
        <f t="shared" si="148"/>
        <v>0</v>
      </c>
      <c r="J9491" s="11">
        <f>1/(H9491*Utilities!$B$11)</f>
        <v>8</v>
      </c>
      <c r="K9491" s="11">
        <f>IF(B9491&lt;C9491,1,EXP(-1*(B9491-C9491)/(Utilities!$B$11*IterData!H9491)))</f>
        <v>1</v>
      </c>
    </row>
    <row r="9492" spans="8:11" x14ac:dyDescent="0.3">
      <c r="H9492">
        <v>0.5</v>
      </c>
      <c r="I9492" s="11">
        <f t="shared" si="148"/>
        <v>0</v>
      </c>
      <c r="J9492" s="11">
        <f>1/(H9492*Utilities!$B$11)</f>
        <v>8</v>
      </c>
      <c r="K9492" s="11">
        <f>IF(B9492&lt;C9492,1,EXP(-1*(B9492-C9492)/(Utilities!$B$11*IterData!H9492)))</f>
        <v>1</v>
      </c>
    </row>
    <row r="9493" spans="8:11" x14ac:dyDescent="0.3">
      <c r="H9493">
        <v>0.5</v>
      </c>
      <c r="I9493" s="11">
        <f t="shared" si="148"/>
        <v>0</v>
      </c>
      <c r="J9493" s="11">
        <f>1/(H9493*Utilities!$B$11)</f>
        <v>8</v>
      </c>
      <c r="K9493" s="11">
        <f>IF(B9493&lt;C9493,1,EXP(-1*(B9493-C9493)/(Utilities!$B$11*IterData!H9493)))</f>
        <v>1</v>
      </c>
    </row>
    <row r="9494" spans="8:11" x14ac:dyDescent="0.3">
      <c r="H9494">
        <v>0.5</v>
      </c>
      <c r="I9494" s="11">
        <f t="shared" si="148"/>
        <v>0</v>
      </c>
      <c r="J9494" s="11">
        <f>1/(H9494*Utilities!$B$11)</f>
        <v>8</v>
      </c>
      <c r="K9494" s="11">
        <f>IF(B9494&lt;C9494,1,EXP(-1*(B9494-C9494)/(Utilities!$B$11*IterData!H9494)))</f>
        <v>1</v>
      </c>
    </row>
    <row r="9495" spans="8:11" x14ac:dyDescent="0.3">
      <c r="H9495">
        <v>0.5</v>
      </c>
      <c r="I9495" s="11">
        <f t="shared" si="148"/>
        <v>0</v>
      </c>
      <c r="J9495" s="11">
        <f>1/(H9495*Utilities!$B$11)</f>
        <v>8</v>
      </c>
      <c r="K9495" s="11">
        <f>IF(B9495&lt;C9495,1,EXP(-1*(B9495-C9495)/(Utilities!$B$11*IterData!H9495)))</f>
        <v>1</v>
      </c>
    </row>
    <row r="9496" spans="8:11" x14ac:dyDescent="0.3">
      <c r="H9496">
        <v>0.5</v>
      </c>
      <c r="I9496" s="11">
        <f t="shared" si="148"/>
        <v>0</v>
      </c>
      <c r="J9496" s="11">
        <f>1/(H9496*Utilities!$B$11)</f>
        <v>8</v>
      </c>
      <c r="K9496" s="11">
        <f>IF(B9496&lt;C9496,1,EXP(-1*(B9496-C9496)/(Utilities!$B$11*IterData!H9496)))</f>
        <v>1</v>
      </c>
    </row>
    <row r="9497" spans="8:11" x14ac:dyDescent="0.3">
      <c r="H9497">
        <v>0.5</v>
      </c>
      <c r="I9497" s="11">
        <f t="shared" si="148"/>
        <v>0</v>
      </c>
      <c r="J9497" s="11">
        <f>1/(H9497*Utilities!$B$11)</f>
        <v>8</v>
      </c>
      <c r="K9497" s="11">
        <f>IF(B9497&lt;C9497,1,EXP(-1*(B9497-C9497)/(Utilities!$B$11*IterData!H9497)))</f>
        <v>1</v>
      </c>
    </row>
    <row r="9498" spans="8:11" x14ac:dyDescent="0.3">
      <c r="H9498">
        <v>0.5</v>
      </c>
      <c r="I9498" s="11">
        <f t="shared" si="148"/>
        <v>0</v>
      </c>
      <c r="J9498" s="11">
        <f>1/(H9498*Utilities!$B$11)</f>
        <v>8</v>
      </c>
      <c r="K9498" s="11">
        <f>IF(B9498&lt;C9498,1,EXP(-1*(B9498-C9498)/(Utilities!$B$11*IterData!H9498)))</f>
        <v>1</v>
      </c>
    </row>
    <row r="9499" spans="8:11" x14ac:dyDescent="0.3">
      <c r="H9499">
        <v>0.5</v>
      </c>
      <c r="I9499" s="11">
        <f t="shared" si="148"/>
        <v>0</v>
      </c>
      <c r="J9499" s="11">
        <f>1/(H9499*Utilities!$B$11)</f>
        <v>8</v>
      </c>
      <c r="K9499" s="11">
        <f>IF(B9499&lt;C9499,1,EXP(-1*(B9499-C9499)/(Utilities!$B$11*IterData!H9499)))</f>
        <v>1</v>
      </c>
    </row>
    <row r="9500" spans="8:11" x14ac:dyDescent="0.3">
      <c r="H9500">
        <v>0.5</v>
      </c>
      <c r="I9500" s="11">
        <f t="shared" si="148"/>
        <v>0</v>
      </c>
      <c r="J9500" s="11">
        <f>1/(H9500*Utilities!$B$11)</f>
        <v>8</v>
      </c>
      <c r="K9500" s="11">
        <f>IF(B9500&lt;C9500,1,EXP(-1*(B9500-C9500)/(Utilities!$B$11*IterData!H9500)))</f>
        <v>1</v>
      </c>
    </row>
    <row r="9501" spans="8:11" x14ac:dyDescent="0.3">
      <c r="H9501">
        <v>0.5</v>
      </c>
      <c r="I9501" s="11">
        <f t="shared" si="148"/>
        <v>0</v>
      </c>
      <c r="J9501" s="11">
        <f>1/(H9501*Utilities!$B$11)</f>
        <v>8</v>
      </c>
      <c r="K9501" s="11">
        <f>IF(B9501&lt;C9501,1,EXP(-1*(B9501-C9501)/(Utilities!$B$11*IterData!H9501)))</f>
        <v>1</v>
      </c>
    </row>
    <row r="9502" spans="8:11" x14ac:dyDescent="0.3">
      <c r="H9502">
        <v>0.5</v>
      </c>
      <c r="I9502" s="11">
        <f t="shared" si="148"/>
        <v>0</v>
      </c>
      <c r="J9502" s="11">
        <f>1/(H9502*Utilities!$B$11)</f>
        <v>8</v>
      </c>
      <c r="K9502" s="11">
        <f>IF(B9502&lt;C9502,1,EXP(-1*(B9502-C9502)/(Utilities!$B$11*IterData!H9502)))</f>
        <v>1</v>
      </c>
    </row>
    <row r="9503" spans="8:11" x14ac:dyDescent="0.3">
      <c r="H9503">
        <v>0.5</v>
      </c>
      <c r="I9503" s="11">
        <f t="shared" si="148"/>
        <v>0</v>
      </c>
      <c r="J9503" s="11">
        <f>1/(H9503*Utilities!$B$11)</f>
        <v>8</v>
      </c>
      <c r="K9503" s="11">
        <f>IF(B9503&lt;C9503,1,EXP(-1*(B9503-C9503)/(Utilities!$B$11*IterData!H9503)))</f>
        <v>1</v>
      </c>
    </row>
    <row r="9504" spans="8:11" x14ac:dyDescent="0.3">
      <c r="H9504">
        <v>0.5</v>
      </c>
      <c r="I9504" s="11">
        <f t="shared" si="148"/>
        <v>0</v>
      </c>
      <c r="J9504" s="11">
        <f>1/(H9504*Utilities!$B$11)</f>
        <v>8</v>
      </c>
      <c r="K9504" s="11">
        <f>IF(B9504&lt;C9504,1,EXP(-1*(B9504-C9504)/(Utilities!$B$11*IterData!H9504)))</f>
        <v>1</v>
      </c>
    </row>
    <row r="9505" spans="8:11" x14ac:dyDescent="0.3">
      <c r="H9505">
        <v>0.5</v>
      </c>
      <c r="I9505" s="11">
        <f t="shared" si="148"/>
        <v>0</v>
      </c>
      <c r="J9505" s="11">
        <f>1/(H9505*Utilities!$B$11)</f>
        <v>8</v>
      </c>
      <c r="K9505" s="11">
        <f>IF(B9505&lt;C9505,1,EXP(-1*(B9505-C9505)/(Utilities!$B$11*IterData!H9505)))</f>
        <v>1</v>
      </c>
    </row>
    <row r="9506" spans="8:11" x14ac:dyDescent="0.3">
      <c r="H9506">
        <v>0.5</v>
      </c>
      <c r="I9506" s="11">
        <f t="shared" si="148"/>
        <v>0</v>
      </c>
      <c r="J9506" s="11">
        <f>1/(H9506*Utilities!$B$11)</f>
        <v>8</v>
      </c>
      <c r="K9506" s="11">
        <f>IF(B9506&lt;C9506,1,EXP(-1*(B9506-C9506)/(Utilities!$B$11*IterData!H9506)))</f>
        <v>1</v>
      </c>
    </row>
    <row r="9507" spans="8:11" x14ac:dyDescent="0.3">
      <c r="H9507">
        <v>0.5</v>
      </c>
      <c r="I9507" s="11">
        <f t="shared" si="148"/>
        <v>0</v>
      </c>
      <c r="J9507" s="11">
        <f>1/(H9507*Utilities!$B$11)</f>
        <v>8</v>
      </c>
      <c r="K9507" s="11">
        <f>IF(B9507&lt;C9507,1,EXP(-1*(B9507-C9507)/(Utilities!$B$11*IterData!H9507)))</f>
        <v>1</v>
      </c>
    </row>
    <row r="9508" spans="8:11" x14ac:dyDescent="0.3">
      <c r="H9508">
        <v>0.5</v>
      </c>
      <c r="I9508" s="11">
        <f t="shared" si="148"/>
        <v>0</v>
      </c>
      <c r="J9508" s="11">
        <f>1/(H9508*Utilities!$B$11)</f>
        <v>8</v>
      </c>
      <c r="K9508" s="11">
        <f>IF(B9508&lt;C9508,1,EXP(-1*(B9508-C9508)/(Utilities!$B$11*IterData!H9508)))</f>
        <v>1</v>
      </c>
    </row>
    <row r="9509" spans="8:11" x14ac:dyDescent="0.3">
      <c r="H9509">
        <v>0.5</v>
      </c>
      <c r="I9509" s="11">
        <f t="shared" si="148"/>
        <v>0</v>
      </c>
      <c r="J9509" s="11">
        <f>1/(H9509*Utilities!$B$11)</f>
        <v>8</v>
      </c>
      <c r="K9509" s="11">
        <f>IF(B9509&lt;C9509,1,EXP(-1*(B9509-C9509)/(Utilities!$B$11*IterData!H9509)))</f>
        <v>1</v>
      </c>
    </row>
    <row r="9510" spans="8:11" x14ac:dyDescent="0.3">
      <c r="H9510">
        <v>0.5</v>
      </c>
      <c r="I9510" s="11">
        <f t="shared" si="148"/>
        <v>0</v>
      </c>
      <c r="J9510" s="11">
        <f>1/(H9510*Utilities!$B$11)</f>
        <v>8</v>
      </c>
      <c r="K9510" s="11">
        <f>IF(B9510&lt;C9510,1,EXP(-1*(B9510-C9510)/(Utilities!$B$11*IterData!H9510)))</f>
        <v>1</v>
      </c>
    </row>
    <row r="9511" spans="8:11" x14ac:dyDescent="0.3">
      <c r="H9511">
        <v>0.5</v>
      </c>
      <c r="I9511" s="11">
        <f t="shared" si="148"/>
        <v>0</v>
      </c>
      <c r="J9511" s="11">
        <f>1/(H9511*Utilities!$B$11)</f>
        <v>8</v>
      </c>
      <c r="K9511" s="11">
        <f>IF(B9511&lt;C9511,1,EXP(-1*(B9511-C9511)/(Utilities!$B$11*IterData!H9511)))</f>
        <v>1</v>
      </c>
    </row>
    <row r="9512" spans="8:11" x14ac:dyDescent="0.3">
      <c r="H9512">
        <v>0.5</v>
      </c>
      <c r="I9512" s="11">
        <f t="shared" si="148"/>
        <v>0</v>
      </c>
      <c r="J9512" s="11">
        <f>1/(H9512*Utilities!$B$11)</f>
        <v>8</v>
      </c>
      <c r="K9512" s="11">
        <f>IF(B9512&lt;C9512,1,EXP(-1*(B9512-C9512)/(Utilities!$B$11*IterData!H9512)))</f>
        <v>1</v>
      </c>
    </row>
    <row r="9513" spans="8:11" x14ac:dyDescent="0.3">
      <c r="H9513">
        <v>0.5</v>
      </c>
      <c r="I9513" s="11">
        <f t="shared" si="148"/>
        <v>0</v>
      </c>
      <c r="J9513" s="11">
        <f>1/(H9513*Utilities!$B$11)</f>
        <v>8</v>
      </c>
      <c r="K9513" s="11">
        <f>IF(B9513&lt;C9513,1,EXP(-1*(B9513-C9513)/(Utilities!$B$11*IterData!H9513)))</f>
        <v>1</v>
      </c>
    </row>
    <row r="9514" spans="8:11" x14ac:dyDescent="0.3">
      <c r="H9514">
        <v>0.5</v>
      </c>
      <c r="I9514" s="11">
        <f t="shared" si="148"/>
        <v>0</v>
      </c>
      <c r="J9514" s="11">
        <f>1/(H9514*Utilities!$B$11)</f>
        <v>8</v>
      </c>
      <c r="K9514" s="11">
        <f>IF(B9514&lt;C9514,1,EXP(-1*(B9514-C9514)/(Utilities!$B$11*IterData!H9514)))</f>
        <v>1</v>
      </c>
    </row>
    <row r="9515" spans="8:11" x14ac:dyDescent="0.3">
      <c r="H9515">
        <v>0.5</v>
      </c>
      <c r="I9515" s="11">
        <f t="shared" si="148"/>
        <v>0</v>
      </c>
      <c r="J9515" s="11">
        <f>1/(H9515*Utilities!$B$11)</f>
        <v>8</v>
      </c>
      <c r="K9515" s="11">
        <f>IF(B9515&lt;C9515,1,EXP(-1*(B9515-C9515)/(Utilities!$B$11*IterData!H9515)))</f>
        <v>1</v>
      </c>
    </row>
    <row r="9516" spans="8:11" x14ac:dyDescent="0.3">
      <c r="H9516">
        <v>0.5</v>
      </c>
      <c r="I9516" s="11">
        <f t="shared" si="148"/>
        <v>0</v>
      </c>
      <c r="J9516" s="11">
        <f>1/(H9516*Utilities!$B$11)</f>
        <v>8</v>
      </c>
      <c r="K9516" s="11">
        <f>IF(B9516&lt;C9516,1,EXP(-1*(B9516-C9516)/(Utilities!$B$11*IterData!H9516)))</f>
        <v>1</v>
      </c>
    </row>
    <row r="9517" spans="8:11" x14ac:dyDescent="0.3">
      <c r="H9517">
        <v>0.5</v>
      </c>
      <c r="I9517" s="11">
        <f t="shared" si="148"/>
        <v>0</v>
      </c>
      <c r="J9517" s="11">
        <f>1/(H9517*Utilities!$B$11)</f>
        <v>8</v>
      </c>
      <c r="K9517" s="11">
        <f>IF(B9517&lt;C9517,1,EXP(-1*(B9517-C9517)/(Utilities!$B$11*IterData!H9517)))</f>
        <v>1</v>
      </c>
    </row>
    <row r="9518" spans="8:11" x14ac:dyDescent="0.3">
      <c r="H9518">
        <v>0.5</v>
      </c>
      <c r="I9518" s="11">
        <f t="shared" si="148"/>
        <v>0</v>
      </c>
      <c r="J9518" s="11">
        <f>1/(H9518*Utilities!$B$11)</f>
        <v>8</v>
      </c>
      <c r="K9518" s="11">
        <f>IF(B9518&lt;C9518,1,EXP(-1*(B9518-C9518)/(Utilities!$B$11*IterData!H9518)))</f>
        <v>1</v>
      </c>
    </row>
    <row r="9519" spans="8:11" x14ac:dyDescent="0.3">
      <c r="H9519">
        <v>0.5</v>
      </c>
      <c r="I9519" s="11">
        <f t="shared" si="148"/>
        <v>0</v>
      </c>
      <c r="J9519" s="11">
        <f>1/(H9519*Utilities!$B$11)</f>
        <v>8</v>
      </c>
      <c r="K9519" s="11">
        <f>IF(B9519&lt;C9519,1,EXP(-1*(B9519-C9519)/(Utilities!$B$11*IterData!H9519)))</f>
        <v>1</v>
      </c>
    </row>
    <row r="9520" spans="8:11" x14ac:dyDescent="0.3">
      <c r="H9520">
        <v>0.5</v>
      </c>
      <c r="I9520" s="11">
        <f t="shared" si="148"/>
        <v>0</v>
      </c>
      <c r="J9520" s="11">
        <f>1/(H9520*Utilities!$B$11)</f>
        <v>8</v>
      </c>
      <c r="K9520" s="11">
        <f>IF(B9520&lt;C9520,1,EXP(-1*(B9520-C9520)/(Utilities!$B$11*IterData!H9520)))</f>
        <v>1</v>
      </c>
    </row>
    <row r="9521" spans="8:11" x14ac:dyDescent="0.3">
      <c r="H9521">
        <v>0.5</v>
      </c>
      <c r="I9521" s="11">
        <f t="shared" si="148"/>
        <v>0</v>
      </c>
      <c r="J9521" s="11">
        <f>1/(H9521*Utilities!$B$11)</f>
        <v>8</v>
      </c>
      <c r="K9521" s="11">
        <f>IF(B9521&lt;C9521,1,EXP(-1*(B9521-C9521)/(Utilities!$B$11*IterData!H9521)))</f>
        <v>1</v>
      </c>
    </row>
    <row r="9522" spans="8:11" x14ac:dyDescent="0.3">
      <c r="H9522">
        <v>0.5</v>
      </c>
      <c r="I9522" s="11">
        <f t="shared" si="148"/>
        <v>0</v>
      </c>
      <c r="J9522" s="11">
        <f>1/(H9522*Utilities!$B$11)</f>
        <v>8</v>
      </c>
      <c r="K9522" s="11">
        <f>IF(B9522&lt;C9522,1,EXP(-1*(B9522-C9522)/(Utilities!$B$11*IterData!H9522)))</f>
        <v>1</v>
      </c>
    </row>
    <row r="9523" spans="8:11" x14ac:dyDescent="0.3">
      <c r="H9523">
        <v>0.5</v>
      </c>
      <c r="I9523" s="11">
        <f t="shared" si="148"/>
        <v>0</v>
      </c>
      <c r="J9523" s="11">
        <f>1/(H9523*Utilities!$B$11)</f>
        <v>8</v>
      </c>
      <c r="K9523" s="11">
        <f>IF(B9523&lt;C9523,1,EXP(-1*(B9523-C9523)/(Utilities!$B$11*IterData!H9523)))</f>
        <v>1</v>
      </c>
    </row>
    <row r="9524" spans="8:11" x14ac:dyDescent="0.3">
      <c r="H9524">
        <v>0.5</v>
      </c>
      <c r="I9524" s="11">
        <f t="shared" si="148"/>
        <v>0</v>
      </c>
      <c r="J9524" s="11">
        <f>1/(H9524*Utilities!$B$11)</f>
        <v>8</v>
      </c>
      <c r="K9524" s="11">
        <f>IF(B9524&lt;C9524,1,EXP(-1*(B9524-C9524)/(Utilities!$B$11*IterData!H9524)))</f>
        <v>1</v>
      </c>
    </row>
    <row r="9525" spans="8:11" x14ac:dyDescent="0.3">
      <c r="H9525">
        <v>0.5</v>
      </c>
      <c r="I9525" s="11">
        <f t="shared" si="148"/>
        <v>0</v>
      </c>
      <c r="J9525" s="11">
        <f>1/(H9525*Utilities!$B$11)</f>
        <v>8</v>
      </c>
      <c r="K9525" s="11">
        <f>IF(B9525&lt;C9525,1,EXP(-1*(B9525-C9525)/(Utilities!$B$11*IterData!H9525)))</f>
        <v>1</v>
      </c>
    </row>
    <row r="9526" spans="8:11" x14ac:dyDescent="0.3">
      <c r="H9526">
        <v>0.5</v>
      </c>
      <c r="I9526" s="11">
        <f t="shared" si="148"/>
        <v>0</v>
      </c>
      <c r="J9526" s="11">
        <f>1/(H9526*Utilities!$B$11)</f>
        <v>8</v>
      </c>
      <c r="K9526" s="11">
        <f>IF(B9526&lt;C9526,1,EXP(-1*(B9526-C9526)/(Utilities!$B$11*IterData!H9526)))</f>
        <v>1</v>
      </c>
    </row>
    <row r="9527" spans="8:11" x14ac:dyDescent="0.3">
      <c r="H9527">
        <v>0.5</v>
      </c>
      <c r="I9527" s="11">
        <f t="shared" si="148"/>
        <v>0</v>
      </c>
      <c r="J9527" s="11">
        <f>1/(H9527*Utilities!$B$11)</f>
        <v>8</v>
      </c>
      <c r="K9527" s="11">
        <f>IF(B9527&lt;C9527,1,EXP(-1*(B9527-C9527)/(Utilities!$B$11*IterData!H9527)))</f>
        <v>1</v>
      </c>
    </row>
    <row r="9528" spans="8:11" x14ac:dyDescent="0.3">
      <c r="H9528">
        <v>0.5</v>
      </c>
      <c r="I9528" s="11">
        <f t="shared" si="148"/>
        <v>0</v>
      </c>
      <c r="J9528" s="11">
        <f>1/(H9528*Utilities!$B$11)</f>
        <v>8</v>
      </c>
      <c r="K9528" s="11">
        <f>IF(B9528&lt;C9528,1,EXP(-1*(B9528-C9528)/(Utilities!$B$11*IterData!H9528)))</f>
        <v>1</v>
      </c>
    </row>
    <row r="9529" spans="8:11" x14ac:dyDescent="0.3">
      <c r="H9529">
        <v>0.5</v>
      </c>
      <c r="I9529" s="11">
        <f t="shared" si="148"/>
        <v>0</v>
      </c>
      <c r="J9529" s="11">
        <f>1/(H9529*Utilities!$B$11)</f>
        <v>8</v>
      </c>
      <c r="K9529" s="11">
        <f>IF(B9529&lt;C9529,1,EXP(-1*(B9529-C9529)/(Utilities!$B$11*IterData!H9529)))</f>
        <v>1</v>
      </c>
    </row>
    <row r="9530" spans="8:11" x14ac:dyDescent="0.3">
      <c r="H9530">
        <v>0.5</v>
      </c>
      <c r="I9530" s="11">
        <f t="shared" si="148"/>
        <v>0</v>
      </c>
      <c r="J9530" s="11">
        <f>1/(H9530*Utilities!$B$11)</f>
        <v>8</v>
      </c>
      <c r="K9530" s="11">
        <f>IF(B9530&lt;C9530,1,EXP(-1*(B9530-C9530)/(Utilities!$B$11*IterData!H9530)))</f>
        <v>1</v>
      </c>
    </row>
    <row r="9531" spans="8:11" x14ac:dyDescent="0.3">
      <c r="H9531">
        <v>0.5</v>
      </c>
      <c r="I9531" s="11">
        <f t="shared" si="148"/>
        <v>0</v>
      </c>
      <c r="J9531" s="11">
        <f>1/(H9531*Utilities!$B$11)</f>
        <v>8</v>
      </c>
      <c r="K9531" s="11">
        <f>IF(B9531&lt;C9531,1,EXP(-1*(B9531-C9531)/(Utilities!$B$11*IterData!H9531)))</f>
        <v>1</v>
      </c>
    </row>
    <row r="9532" spans="8:11" x14ac:dyDescent="0.3">
      <c r="H9532">
        <v>0.5</v>
      </c>
      <c r="I9532" s="11">
        <f t="shared" si="148"/>
        <v>0</v>
      </c>
      <c r="J9532" s="11">
        <f>1/(H9532*Utilities!$B$11)</f>
        <v>8</v>
      </c>
      <c r="K9532" s="11">
        <f>IF(B9532&lt;C9532,1,EXP(-1*(B9532-C9532)/(Utilities!$B$11*IterData!H9532)))</f>
        <v>1</v>
      </c>
    </row>
    <row r="9533" spans="8:11" x14ac:dyDescent="0.3">
      <c r="H9533">
        <v>0.5</v>
      </c>
      <c r="I9533" s="11">
        <f t="shared" si="148"/>
        <v>0</v>
      </c>
      <c r="J9533" s="11">
        <f>1/(H9533*Utilities!$B$11)</f>
        <v>8</v>
      </c>
      <c r="K9533" s="11">
        <f>IF(B9533&lt;C9533,1,EXP(-1*(B9533-C9533)/(Utilities!$B$11*IterData!H9533)))</f>
        <v>1</v>
      </c>
    </row>
    <row r="9534" spans="8:11" x14ac:dyDescent="0.3">
      <c r="H9534">
        <v>0.5</v>
      </c>
      <c r="I9534" s="11">
        <f t="shared" si="148"/>
        <v>0</v>
      </c>
      <c r="J9534" s="11">
        <f>1/(H9534*Utilities!$B$11)</f>
        <v>8</v>
      </c>
      <c r="K9534" s="11">
        <f>IF(B9534&lt;C9534,1,EXP(-1*(B9534-C9534)/(Utilities!$B$11*IterData!H9534)))</f>
        <v>1</v>
      </c>
    </row>
    <row r="9535" spans="8:11" x14ac:dyDescent="0.3">
      <c r="H9535">
        <v>0.5</v>
      </c>
      <c r="I9535" s="11">
        <f t="shared" si="148"/>
        <v>0</v>
      </c>
      <c r="J9535" s="11">
        <f>1/(H9535*Utilities!$B$11)</f>
        <v>8</v>
      </c>
      <c r="K9535" s="11">
        <f>IF(B9535&lt;C9535,1,EXP(-1*(B9535-C9535)/(Utilities!$B$11*IterData!H9535)))</f>
        <v>1</v>
      </c>
    </row>
    <row r="9536" spans="8:11" x14ac:dyDescent="0.3">
      <c r="H9536">
        <v>0.5</v>
      </c>
      <c r="I9536" s="11">
        <f t="shared" si="148"/>
        <v>0</v>
      </c>
      <c r="J9536" s="11">
        <f>1/(H9536*Utilities!$B$11)</f>
        <v>8</v>
      </c>
      <c r="K9536" s="11">
        <f>IF(B9536&lt;C9536,1,EXP(-1*(B9536-C9536)/(Utilities!$B$11*IterData!H9536)))</f>
        <v>1</v>
      </c>
    </row>
    <row r="9537" spans="8:11" x14ac:dyDescent="0.3">
      <c r="H9537">
        <v>0.5</v>
      </c>
      <c r="I9537" s="11">
        <f t="shared" si="148"/>
        <v>0</v>
      </c>
      <c r="J9537" s="11">
        <f>1/(H9537*Utilities!$B$11)</f>
        <v>8</v>
      </c>
      <c r="K9537" s="11">
        <f>IF(B9537&lt;C9537,1,EXP(-1*(B9537-C9537)/(Utilities!$B$11*IterData!H9537)))</f>
        <v>1</v>
      </c>
    </row>
    <row r="9538" spans="8:11" x14ac:dyDescent="0.3">
      <c r="H9538">
        <v>0.5</v>
      </c>
      <c r="I9538" s="11">
        <f t="shared" si="148"/>
        <v>0</v>
      </c>
      <c r="J9538" s="11">
        <f>1/(H9538*Utilities!$B$11)</f>
        <v>8</v>
      </c>
      <c r="K9538" s="11">
        <f>IF(B9538&lt;C9538,1,EXP(-1*(B9538-C9538)/(Utilities!$B$11*IterData!H9538)))</f>
        <v>1</v>
      </c>
    </row>
    <row r="9539" spans="8:11" x14ac:dyDescent="0.3">
      <c r="H9539">
        <v>0.5</v>
      </c>
      <c r="I9539" s="11">
        <f t="shared" ref="I9539:I9602" si="149">B9539-C9539</f>
        <v>0</v>
      </c>
      <c r="J9539" s="11">
        <f>1/(H9539*Utilities!$B$11)</f>
        <v>8</v>
      </c>
      <c r="K9539" s="11">
        <f>IF(B9539&lt;C9539,1,EXP(-1*(B9539-C9539)/(Utilities!$B$11*IterData!H9539)))</f>
        <v>1</v>
      </c>
    </row>
    <row r="9540" spans="8:11" x14ac:dyDescent="0.3">
      <c r="H9540">
        <v>0.5</v>
      </c>
      <c r="I9540" s="11">
        <f t="shared" si="149"/>
        <v>0</v>
      </c>
      <c r="J9540" s="11">
        <f>1/(H9540*Utilities!$B$11)</f>
        <v>8</v>
      </c>
      <c r="K9540" s="11">
        <f>IF(B9540&lt;C9540,1,EXP(-1*(B9540-C9540)/(Utilities!$B$11*IterData!H9540)))</f>
        <v>1</v>
      </c>
    </row>
    <row r="9541" spans="8:11" x14ac:dyDescent="0.3">
      <c r="H9541">
        <v>0.5</v>
      </c>
      <c r="I9541" s="11">
        <f t="shared" si="149"/>
        <v>0</v>
      </c>
      <c r="J9541" s="11">
        <f>1/(H9541*Utilities!$B$11)</f>
        <v>8</v>
      </c>
      <c r="K9541" s="11">
        <f>IF(B9541&lt;C9541,1,EXP(-1*(B9541-C9541)/(Utilities!$B$11*IterData!H9541)))</f>
        <v>1</v>
      </c>
    </row>
    <row r="9542" spans="8:11" x14ac:dyDescent="0.3">
      <c r="H9542">
        <v>0.5</v>
      </c>
      <c r="I9542" s="11">
        <f t="shared" si="149"/>
        <v>0</v>
      </c>
      <c r="J9542" s="11">
        <f>1/(H9542*Utilities!$B$11)</f>
        <v>8</v>
      </c>
      <c r="K9542" s="11">
        <f>IF(B9542&lt;C9542,1,EXP(-1*(B9542-C9542)/(Utilities!$B$11*IterData!H9542)))</f>
        <v>1</v>
      </c>
    </row>
    <row r="9543" spans="8:11" x14ac:dyDescent="0.3">
      <c r="H9543">
        <v>0.5</v>
      </c>
      <c r="I9543" s="11">
        <f t="shared" si="149"/>
        <v>0</v>
      </c>
      <c r="J9543" s="11">
        <f>1/(H9543*Utilities!$B$11)</f>
        <v>8</v>
      </c>
      <c r="K9543" s="11">
        <f>IF(B9543&lt;C9543,1,EXP(-1*(B9543-C9543)/(Utilities!$B$11*IterData!H9543)))</f>
        <v>1</v>
      </c>
    </row>
    <row r="9544" spans="8:11" x14ac:dyDescent="0.3">
      <c r="H9544">
        <v>0.5</v>
      </c>
      <c r="I9544" s="11">
        <f t="shared" si="149"/>
        <v>0</v>
      </c>
      <c r="J9544" s="11">
        <f>1/(H9544*Utilities!$B$11)</f>
        <v>8</v>
      </c>
      <c r="K9544" s="11">
        <f>IF(B9544&lt;C9544,1,EXP(-1*(B9544-C9544)/(Utilities!$B$11*IterData!H9544)))</f>
        <v>1</v>
      </c>
    </row>
    <row r="9545" spans="8:11" x14ac:dyDescent="0.3">
      <c r="H9545">
        <v>0.5</v>
      </c>
      <c r="I9545" s="11">
        <f t="shared" si="149"/>
        <v>0</v>
      </c>
      <c r="J9545" s="11">
        <f>1/(H9545*Utilities!$B$11)</f>
        <v>8</v>
      </c>
      <c r="K9545" s="11">
        <f>IF(B9545&lt;C9545,1,EXP(-1*(B9545-C9545)/(Utilities!$B$11*IterData!H9545)))</f>
        <v>1</v>
      </c>
    </row>
    <row r="9546" spans="8:11" x14ac:dyDescent="0.3">
      <c r="H9546">
        <v>0.5</v>
      </c>
      <c r="I9546" s="11">
        <f t="shared" si="149"/>
        <v>0</v>
      </c>
      <c r="J9546" s="11">
        <f>1/(H9546*Utilities!$B$11)</f>
        <v>8</v>
      </c>
      <c r="K9546" s="11">
        <f>IF(B9546&lt;C9546,1,EXP(-1*(B9546-C9546)/(Utilities!$B$11*IterData!H9546)))</f>
        <v>1</v>
      </c>
    </row>
    <row r="9547" spans="8:11" x14ac:dyDescent="0.3">
      <c r="H9547">
        <v>0.5</v>
      </c>
      <c r="I9547" s="11">
        <f t="shared" si="149"/>
        <v>0</v>
      </c>
      <c r="J9547" s="11">
        <f>1/(H9547*Utilities!$B$11)</f>
        <v>8</v>
      </c>
      <c r="K9547" s="11">
        <f>IF(B9547&lt;C9547,1,EXP(-1*(B9547-C9547)/(Utilities!$B$11*IterData!H9547)))</f>
        <v>1</v>
      </c>
    </row>
    <row r="9548" spans="8:11" x14ac:dyDescent="0.3">
      <c r="H9548">
        <v>0.5</v>
      </c>
      <c r="I9548" s="11">
        <f t="shared" si="149"/>
        <v>0</v>
      </c>
      <c r="J9548" s="11">
        <f>1/(H9548*Utilities!$B$11)</f>
        <v>8</v>
      </c>
      <c r="K9548" s="11">
        <f>IF(B9548&lt;C9548,1,EXP(-1*(B9548-C9548)/(Utilities!$B$11*IterData!H9548)))</f>
        <v>1</v>
      </c>
    </row>
    <row r="9549" spans="8:11" x14ac:dyDescent="0.3">
      <c r="H9549">
        <v>0.5</v>
      </c>
      <c r="I9549" s="11">
        <f t="shared" si="149"/>
        <v>0</v>
      </c>
      <c r="J9549" s="11">
        <f>1/(H9549*Utilities!$B$11)</f>
        <v>8</v>
      </c>
      <c r="K9549" s="11">
        <f>IF(B9549&lt;C9549,1,EXP(-1*(B9549-C9549)/(Utilities!$B$11*IterData!H9549)))</f>
        <v>1</v>
      </c>
    </row>
    <row r="9550" spans="8:11" x14ac:dyDescent="0.3">
      <c r="H9550">
        <v>0.5</v>
      </c>
      <c r="I9550" s="11">
        <f t="shared" si="149"/>
        <v>0</v>
      </c>
      <c r="J9550" s="11">
        <f>1/(H9550*Utilities!$B$11)</f>
        <v>8</v>
      </c>
      <c r="K9550" s="11">
        <f>IF(B9550&lt;C9550,1,EXP(-1*(B9550-C9550)/(Utilities!$B$11*IterData!H9550)))</f>
        <v>1</v>
      </c>
    </row>
    <row r="9551" spans="8:11" x14ac:dyDescent="0.3">
      <c r="H9551">
        <v>0.5</v>
      </c>
      <c r="I9551" s="11">
        <f t="shared" si="149"/>
        <v>0</v>
      </c>
      <c r="J9551" s="11">
        <f>1/(H9551*Utilities!$B$11)</f>
        <v>8</v>
      </c>
      <c r="K9551" s="11">
        <f>IF(B9551&lt;C9551,1,EXP(-1*(B9551-C9551)/(Utilities!$B$11*IterData!H9551)))</f>
        <v>1</v>
      </c>
    </row>
    <row r="9552" spans="8:11" x14ac:dyDescent="0.3">
      <c r="H9552">
        <v>0.5</v>
      </c>
      <c r="I9552" s="11">
        <f t="shared" si="149"/>
        <v>0</v>
      </c>
      <c r="J9552" s="11">
        <f>1/(H9552*Utilities!$B$11)</f>
        <v>8</v>
      </c>
      <c r="K9552" s="11">
        <f>IF(B9552&lt;C9552,1,EXP(-1*(B9552-C9552)/(Utilities!$B$11*IterData!H9552)))</f>
        <v>1</v>
      </c>
    </row>
    <row r="9553" spans="8:11" x14ac:dyDescent="0.3">
      <c r="H9553">
        <v>0.5</v>
      </c>
      <c r="I9553" s="11">
        <f t="shared" si="149"/>
        <v>0</v>
      </c>
      <c r="J9553" s="11">
        <f>1/(H9553*Utilities!$B$11)</f>
        <v>8</v>
      </c>
      <c r="K9553" s="11">
        <f>IF(B9553&lt;C9553,1,EXP(-1*(B9553-C9553)/(Utilities!$B$11*IterData!H9553)))</f>
        <v>1</v>
      </c>
    </row>
    <row r="9554" spans="8:11" x14ac:dyDescent="0.3">
      <c r="H9554">
        <v>0.5</v>
      </c>
      <c r="I9554" s="11">
        <f t="shared" si="149"/>
        <v>0</v>
      </c>
      <c r="J9554" s="11">
        <f>1/(H9554*Utilities!$B$11)</f>
        <v>8</v>
      </c>
      <c r="K9554" s="11">
        <f>IF(B9554&lt;C9554,1,EXP(-1*(B9554-C9554)/(Utilities!$B$11*IterData!H9554)))</f>
        <v>1</v>
      </c>
    </row>
    <row r="9555" spans="8:11" x14ac:dyDescent="0.3">
      <c r="H9555">
        <v>0.5</v>
      </c>
      <c r="I9555" s="11">
        <f t="shared" si="149"/>
        <v>0</v>
      </c>
      <c r="J9555" s="11">
        <f>1/(H9555*Utilities!$B$11)</f>
        <v>8</v>
      </c>
      <c r="K9555" s="11">
        <f>IF(B9555&lt;C9555,1,EXP(-1*(B9555-C9555)/(Utilities!$B$11*IterData!H9555)))</f>
        <v>1</v>
      </c>
    </row>
    <row r="9556" spans="8:11" x14ac:dyDescent="0.3">
      <c r="H9556">
        <v>0.5</v>
      </c>
      <c r="I9556" s="11">
        <f t="shared" si="149"/>
        <v>0</v>
      </c>
      <c r="J9556" s="11">
        <f>1/(H9556*Utilities!$B$11)</f>
        <v>8</v>
      </c>
      <c r="K9556" s="11">
        <f>IF(B9556&lt;C9556,1,EXP(-1*(B9556-C9556)/(Utilities!$B$11*IterData!H9556)))</f>
        <v>1</v>
      </c>
    </row>
    <row r="9557" spans="8:11" x14ac:dyDescent="0.3">
      <c r="H9557">
        <v>0.5</v>
      </c>
      <c r="I9557" s="11">
        <f t="shared" si="149"/>
        <v>0</v>
      </c>
      <c r="J9557" s="11">
        <f>1/(H9557*Utilities!$B$11)</f>
        <v>8</v>
      </c>
      <c r="K9557" s="11">
        <f>IF(B9557&lt;C9557,1,EXP(-1*(B9557-C9557)/(Utilities!$B$11*IterData!H9557)))</f>
        <v>1</v>
      </c>
    </row>
    <row r="9558" spans="8:11" x14ac:dyDescent="0.3">
      <c r="H9558">
        <v>0.5</v>
      </c>
      <c r="I9558" s="11">
        <f t="shared" si="149"/>
        <v>0</v>
      </c>
      <c r="J9558" s="11">
        <f>1/(H9558*Utilities!$B$11)</f>
        <v>8</v>
      </c>
      <c r="K9558" s="11">
        <f>IF(B9558&lt;C9558,1,EXP(-1*(B9558-C9558)/(Utilities!$B$11*IterData!H9558)))</f>
        <v>1</v>
      </c>
    </row>
    <row r="9559" spans="8:11" x14ac:dyDescent="0.3">
      <c r="H9559">
        <v>0.5</v>
      </c>
      <c r="I9559" s="11">
        <f t="shared" si="149"/>
        <v>0</v>
      </c>
      <c r="J9559" s="11">
        <f>1/(H9559*Utilities!$B$11)</f>
        <v>8</v>
      </c>
      <c r="K9559" s="11">
        <f>IF(B9559&lt;C9559,1,EXP(-1*(B9559-C9559)/(Utilities!$B$11*IterData!H9559)))</f>
        <v>1</v>
      </c>
    </row>
    <row r="9560" spans="8:11" x14ac:dyDescent="0.3">
      <c r="H9560">
        <v>0.5</v>
      </c>
      <c r="I9560" s="11">
        <f t="shared" si="149"/>
        <v>0</v>
      </c>
      <c r="J9560" s="11">
        <f>1/(H9560*Utilities!$B$11)</f>
        <v>8</v>
      </c>
      <c r="K9560" s="11">
        <f>IF(B9560&lt;C9560,1,EXP(-1*(B9560-C9560)/(Utilities!$B$11*IterData!H9560)))</f>
        <v>1</v>
      </c>
    </row>
    <row r="9561" spans="8:11" x14ac:dyDescent="0.3">
      <c r="H9561">
        <v>0.5</v>
      </c>
      <c r="I9561" s="11">
        <f t="shared" si="149"/>
        <v>0</v>
      </c>
      <c r="J9561" s="11">
        <f>1/(H9561*Utilities!$B$11)</f>
        <v>8</v>
      </c>
      <c r="K9561" s="11">
        <f>IF(B9561&lt;C9561,1,EXP(-1*(B9561-C9561)/(Utilities!$B$11*IterData!H9561)))</f>
        <v>1</v>
      </c>
    </row>
    <row r="9562" spans="8:11" x14ac:dyDescent="0.3">
      <c r="H9562">
        <v>0.5</v>
      </c>
      <c r="I9562" s="11">
        <f t="shared" si="149"/>
        <v>0</v>
      </c>
      <c r="J9562" s="11">
        <f>1/(H9562*Utilities!$B$11)</f>
        <v>8</v>
      </c>
      <c r="K9562" s="11">
        <f>IF(B9562&lt;C9562,1,EXP(-1*(B9562-C9562)/(Utilities!$B$11*IterData!H9562)))</f>
        <v>1</v>
      </c>
    </row>
    <row r="9563" spans="8:11" x14ac:dyDescent="0.3">
      <c r="H9563">
        <v>0.5</v>
      </c>
      <c r="I9563" s="11">
        <f t="shared" si="149"/>
        <v>0</v>
      </c>
      <c r="J9563" s="11">
        <f>1/(H9563*Utilities!$B$11)</f>
        <v>8</v>
      </c>
      <c r="K9563" s="11">
        <f>IF(B9563&lt;C9563,1,EXP(-1*(B9563-C9563)/(Utilities!$B$11*IterData!H9563)))</f>
        <v>1</v>
      </c>
    </row>
    <row r="9564" spans="8:11" x14ac:dyDescent="0.3">
      <c r="H9564">
        <v>0.5</v>
      </c>
      <c r="I9564" s="11">
        <f t="shared" si="149"/>
        <v>0</v>
      </c>
      <c r="J9564" s="11">
        <f>1/(H9564*Utilities!$B$11)</f>
        <v>8</v>
      </c>
      <c r="K9564" s="11">
        <f>IF(B9564&lt;C9564,1,EXP(-1*(B9564-C9564)/(Utilities!$B$11*IterData!H9564)))</f>
        <v>1</v>
      </c>
    </row>
    <row r="9565" spans="8:11" x14ac:dyDescent="0.3">
      <c r="H9565">
        <v>0.5</v>
      </c>
      <c r="I9565" s="11">
        <f t="shared" si="149"/>
        <v>0</v>
      </c>
      <c r="J9565" s="11">
        <f>1/(H9565*Utilities!$B$11)</f>
        <v>8</v>
      </c>
      <c r="K9565" s="11">
        <f>IF(B9565&lt;C9565,1,EXP(-1*(B9565-C9565)/(Utilities!$B$11*IterData!H9565)))</f>
        <v>1</v>
      </c>
    </row>
    <row r="9566" spans="8:11" x14ac:dyDescent="0.3">
      <c r="H9566">
        <v>0.5</v>
      </c>
      <c r="I9566" s="11">
        <f t="shared" si="149"/>
        <v>0</v>
      </c>
      <c r="J9566" s="11">
        <f>1/(H9566*Utilities!$B$11)</f>
        <v>8</v>
      </c>
      <c r="K9566" s="11">
        <f>IF(B9566&lt;C9566,1,EXP(-1*(B9566-C9566)/(Utilities!$B$11*IterData!H9566)))</f>
        <v>1</v>
      </c>
    </row>
    <row r="9567" spans="8:11" x14ac:dyDescent="0.3">
      <c r="H9567">
        <v>0.5</v>
      </c>
      <c r="I9567" s="11">
        <f t="shared" si="149"/>
        <v>0</v>
      </c>
      <c r="J9567" s="11">
        <f>1/(H9567*Utilities!$B$11)</f>
        <v>8</v>
      </c>
      <c r="K9567" s="11">
        <f>IF(B9567&lt;C9567,1,EXP(-1*(B9567-C9567)/(Utilities!$B$11*IterData!H9567)))</f>
        <v>1</v>
      </c>
    </row>
    <row r="9568" spans="8:11" x14ac:dyDescent="0.3">
      <c r="H9568">
        <v>0.5</v>
      </c>
      <c r="I9568" s="11">
        <f t="shared" si="149"/>
        <v>0</v>
      </c>
      <c r="J9568" s="11">
        <f>1/(H9568*Utilities!$B$11)</f>
        <v>8</v>
      </c>
      <c r="K9568" s="11">
        <f>IF(B9568&lt;C9568,1,EXP(-1*(B9568-C9568)/(Utilities!$B$11*IterData!H9568)))</f>
        <v>1</v>
      </c>
    </row>
    <row r="9569" spans="8:11" x14ac:dyDescent="0.3">
      <c r="H9569">
        <v>0.5</v>
      </c>
      <c r="I9569" s="11">
        <f t="shared" si="149"/>
        <v>0</v>
      </c>
      <c r="J9569" s="11">
        <f>1/(H9569*Utilities!$B$11)</f>
        <v>8</v>
      </c>
      <c r="K9569" s="11">
        <f>IF(B9569&lt;C9569,1,EXP(-1*(B9569-C9569)/(Utilities!$B$11*IterData!H9569)))</f>
        <v>1</v>
      </c>
    </row>
    <row r="9570" spans="8:11" x14ac:dyDescent="0.3">
      <c r="H9570">
        <v>0.5</v>
      </c>
      <c r="I9570" s="11">
        <f t="shared" si="149"/>
        <v>0</v>
      </c>
      <c r="J9570" s="11">
        <f>1/(H9570*Utilities!$B$11)</f>
        <v>8</v>
      </c>
      <c r="K9570" s="11">
        <f>IF(B9570&lt;C9570,1,EXP(-1*(B9570-C9570)/(Utilities!$B$11*IterData!H9570)))</f>
        <v>1</v>
      </c>
    </row>
    <row r="9571" spans="8:11" x14ac:dyDescent="0.3">
      <c r="H9571">
        <v>0.5</v>
      </c>
      <c r="I9571" s="11">
        <f t="shared" si="149"/>
        <v>0</v>
      </c>
      <c r="J9571" s="11">
        <f>1/(H9571*Utilities!$B$11)</f>
        <v>8</v>
      </c>
      <c r="K9571" s="11">
        <f>IF(B9571&lt;C9571,1,EXP(-1*(B9571-C9571)/(Utilities!$B$11*IterData!H9571)))</f>
        <v>1</v>
      </c>
    </row>
    <row r="9572" spans="8:11" x14ac:dyDescent="0.3">
      <c r="H9572">
        <v>0.5</v>
      </c>
      <c r="I9572" s="11">
        <f t="shared" si="149"/>
        <v>0</v>
      </c>
      <c r="J9572" s="11">
        <f>1/(H9572*Utilities!$B$11)</f>
        <v>8</v>
      </c>
      <c r="K9572" s="11">
        <f>IF(B9572&lt;C9572,1,EXP(-1*(B9572-C9572)/(Utilities!$B$11*IterData!H9572)))</f>
        <v>1</v>
      </c>
    </row>
    <row r="9573" spans="8:11" x14ac:dyDescent="0.3">
      <c r="H9573">
        <v>0.5</v>
      </c>
      <c r="I9573" s="11">
        <f t="shared" si="149"/>
        <v>0</v>
      </c>
      <c r="J9573" s="11">
        <f>1/(H9573*Utilities!$B$11)</f>
        <v>8</v>
      </c>
      <c r="K9573" s="11">
        <f>IF(B9573&lt;C9573,1,EXP(-1*(B9573-C9573)/(Utilities!$B$11*IterData!H9573)))</f>
        <v>1</v>
      </c>
    </row>
    <row r="9574" spans="8:11" x14ac:dyDescent="0.3">
      <c r="H9574">
        <v>0.5</v>
      </c>
      <c r="I9574" s="11">
        <f t="shared" si="149"/>
        <v>0</v>
      </c>
      <c r="J9574" s="11">
        <f>1/(H9574*Utilities!$B$11)</f>
        <v>8</v>
      </c>
      <c r="K9574" s="11">
        <f>IF(B9574&lt;C9574,1,EXP(-1*(B9574-C9574)/(Utilities!$B$11*IterData!H9574)))</f>
        <v>1</v>
      </c>
    </row>
    <row r="9575" spans="8:11" x14ac:dyDescent="0.3">
      <c r="H9575">
        <v>0.5</v>
      </c>
      <c r="I9575" s="11">
        <f t="shared" si="149"/>
        <v>0</v>
      </c>
      <c r="J9575" s="11">
        <f>1/(H9575*Utilities!$B$11)</f>
        <v>8</v>
      </c>
      <c r="K9575" s="11">
        <f>IF(B9575&lt;C9575,1,EXP(-1*(B9575-C9575)/(Utilities!$B$11*IterData!H9575)))</f>
        <v>1</v>
      </c>
    </row>
    <row r="9576" spans="8:11" x14ac:dyDescent="0.3">
      <c r="H9576">
        <v>0.5</v>
      </c>
      <c r="I9576" s="11">
        <f t="shared" si="149"/>
        <v>0</v>
      </c>
      <c r="J9576" s="11">
        <f>1/(H9576*Utilities!$B$11)</f>
        <v>8</v>
      </c>
      <c r="K9576" s="11">
        <f>IF(B9576&lt;C9576,1,EXP(-1*(B9576-C9576)/(Utilities!$B$11*IterData!H9576)))</f>
        <v>1</v>
      </c>
    </row>
    <row r="9577" spans="8:11" x14ac:dyDescent="0.3">
      <c r="H9577">
        <v>0.5</v>
      </c>
      <c r="I9577" s="11">
        <f t="shared" si="149"/>
        <v>0</v>
      </c>
      <c r="J9577" s="11">
        <f>1/(H9577*Utilities!$B$11)</f>
        <v>8</v>
      </c>
      <c r="K9577" s="11">
        <f>IF(B9577&lt;C9577,1,EXP(-1*(B9577-C9577)/(Utilities!$B$11*IterData!H9577)))</f>
        <v>1</v>
      </c>
    </row>
    <row r="9578" spans="8:11" x14ac:dyDescent="0.3">
      <c r="H9578">
        <v>0.5</v>
      </c>
      <c r="I9578" s="11">
        <f t="shared" si="149"/>
        <v>0</v>
      </c>
      <c r="J9578" s="11">
        <f>1/(H9578*Utilities!$B$11)</f>
        <v>8</v>
      </c>
      <c r="K9578" s="11">
        <f>IF(B9578&lt;C9578,1,EXP(-1*(B9578-C9578)/(Utilities!$B$11*IterData!H9578)))</f>
        <v>1</v>
      </c>
    </row>
    <row r="9579" spans="8:11" x14ac:dyDescent="0.3">
      <c r="H9579">
        <v>0.5</v>
      </c>
      <c r="I9579" s="11">
        <f t="shared" si="149"/>
        <v>0</v>
      </c>
      <c r="J9579" s="11">
        <f>1/(H9579*Utilities!$B$11)</f>
        <v>8</v>
      </c>
      <c r="K9579" s="11">
        <f>IF(B9579&lt;C9579,1,EXP(-1*(B9579-C9579)/(Utilities!$B$11*IterData!H9579)))</f>
        <v>1</v>
      </c>
    </row>
    <row r="9580" spans="8:11" x14ac:dyDescent="0.3">
      <c r="H9580">
        <v>0.5</v>
      </c>
      <c r="I9580" s="11">
        <f t="shared" si="149"/>
        <v>0</v>
      </c>
      <c r="J9580" s="11">
        <f>1/(H9580*Utilities!$B$11)</f>
        <v>8</v>
      </c>
      <c r="K9580" s="11">
        <f>IF(B9580&lt;C9580,1,EXP(-1*(B9580-C9580)/(Utilities!$B$11*IterData!H9580)))</f>
        <v>1</v>
      </c>
    </row>
    <row r="9581" spans="8:11" x14ac:dyDescent="0.3">
      <c r="H9581">
        <v>0.5</v>
      </c>
      <c r="I9581" s="11">
        <f t="shared" si="149"/>
        <v>0</v>
      </c>
      <c r="J9581" s="11">
        <f>1/(H9581*Utilities!$B$11)</f>
        <v>8</v>
      </c>
      <c r="K9581" s="11">
        <f>IF(B9581&lt;C9581,1,EXP(-1*(B9581-C9581)/(Utilities!$B$11*IterData!H9581)))</f>
        <v>1</v>
      </c>
    </row>
    <row r="9582" spans="8:11" x14ac:dyDescent="0.3">
      <c r="H9582">
        <v>0.5</v>
      </c>
      <c r="I9582" s="11">
        <f t="shared" si="149"/>
        <v>0</v>
      </c>
      <c r="J9582" s="11">
        <f>1/(H9582*Utilities!$B$11)</f>
        <v>8</v>
      </c>
      <c r="K9582" s="11">
        <f>IF(B9582&lt;C9582,1,EXP(-1*(B9582-C9582)/(Utilities!$B$11*IterData!H9582)))</f>
        <v>1</v>
      </c>
    </row>
    <row r="9583" spans="8:11" x14ac:dyDescent="0.3">
      <c r="H9583">
        <v>0.5</v>
      </c>
      <c r="I9583" s="11">
        <f t="shared" si="149"/>
        <v>0</v>
      </c>
      <c r="J9583" s="11">
        <f>1/(H9583*Utilities!$B$11)</f>
        <v>8</v>
      </c>
      <c r="K9583" s="11">
        <f>IF(B9583&lt;C9583,1,EXP(-1*(B9583-C9583)/(Utilities!$B$11*IterData!H9583)))</f>
        <v>1</v>
      </c>
    </row>
    <row r="9584" spans="8:11" x14ac:dyDescent="0.3">
      <c r="H9584">
        <v>0.5</v>
      </c>
      <c r="I9584" s="11">
        <f t="shared" si="149"/>
        <v>0</v>
      </c>
      <c r="J9584" s="11">
        <f>1/(H9584*Utilities!$B$11)</f>
        <v>8</v>
      </c>
      <c r="K9584" s="11">
        <f>IF(B9584&lt;C9584,1,EXP(-1*(B9584-C9584)/(Utilities!$B$11*IterData!H9584)))</f>
        <v>1</v>
      </c>
    </row>
    <row r="9585" spans="8:11" x14ac:dyDescent="0.3">
      <c r="H9585">
        <v>0.5</v>
      </c>
      <c r="I9585" s="11">
        <f t="shared" si="149"/>
        <v>0</v>
      </c>
      <c r="J9585" s="11">
        <f>1/(H9585*Utilities!$B$11)</f>
        <v>8</v>
      </c>
      <c r="K9585" s="11">
        <f>IF(B9585&lt;C9585,1,EXP(-1*(B9585-C9585)/(Utilities!$B$11*IterData!H9585)))</f>
        <v>1</v>
      </c>
    </row>
    <row r="9586" spans="8:11" x14ac:dyDescent="0.3">
      <c r="H9586">
        <v>0.5</v>
      </c>
      <c r="I9586" s="11">
        <f t="shared" si="149"/>
        <v>0</v>
      </c>
      <c r="J9586" s="11">
        <f>1/(H9586*Utilities!$B$11)</f>
        <v>8</v>
      </c>
      <c r="K9586" s="11">
        <f>IF(B9586&lt;C9586,1,EXP(-1*(B9586-C9586)/(Utilities!$B$11*IterData!H9586)))</f>
        <v>1</v>
      </c>
    </row>
    <row r="9587" spans="8:11" x14ac:dyDescent="0.3">
      <c r="H9587">
        <v>0.5</v>
      </c>
      <c r="I9587" s="11">
        <f t="shared" si="149"/>
        <v>0</v>
      </c>
      <c r="J9587" s="11">
        <f>1/(H9587*Utilities!$B$11)</f>
        <v>8</v>
      </c>
      <c r="K9587" s="11">
        <f>IF(B9587&lt;C9587,1,EXP(-1*(B9587-C9587)/(Utilities!$B$11*IterData!H9587)))</f>
        <v>1</v>
      </c>
    </row>
    <row r="9588" spans="8:11" x14ac:dyDescent="0.3">
      <c r="H9588">
        <v>0.5</v>
      </c>
      <c r="I9588" s="11">
        <f t="shared" si="149"/>
        <v>0</v>
      </c>
      <c r="J9588" s="11">
        <f>1/(H9588*Utilities!$B$11)</f>
        <v>8</v>
      </c>
      <c r="K9588" s="11">
        <f>IF(B9588&lt;C9588,1,EXP(-1*(B9588-C9588)/(Utilities!$B$11*IterData!H9588)))</f>
        <v>1</v>
      </c>
    </row>
    <row r="9589" spans="8:11" x14ac:dyDescent="0.3">
      <c r="H9589">
        <v>0.5</v>
      </c>
      <c r="I9589" s="11">
        <f t="shared" si="149"/>
        <v>0</v>
      </c>
      <c r="J9589" s="11">
        <f>1/(H9589*Utilities!$B$11)</f>
        <v>8</v>
      </c>
      <c r="K9589" s="11">
        <f>IF(B9589&lt;C9589,1,EXP(-1*(B9589-C9589)/(Utilities!$B$11*IterData!H9589)))</f>
        <v>1</v>
      </c>
    </row>
    <row r="9590" spans="8:11" x14ac:dyDescent="0.3">
      <c r="H9590">
        <v>0.5</v>
      </c>
      <c r="I9590" s="11">
        <f t="shared" si="149"/>
        <v>0</v>
      </c>
      <c r="J9590" s="11">
        <f>1/(H9590*Utilities!$B$11)</f>
        <v>8</v>
      </c>
      <c r="K9590" s="11">
        <f>IF(B9590&lt;C9590,1,EXP(-1*(B9590-C9590)/(Utilities!$B$11*IterData!H9590)))</f>
        <v>1</v>
      </c>
    </row>
    <row r="9591" spans="8:11" x14ac:dyDescent="0.3">
      <c r="H9591">
        <v>0.5</v>
      </c>
      <c r="I9591" s="11">
        <f t="shared" si="149"/>
        <v>0</v>
      </c>
      <c r="J9591" s="11">
        <f>1/(H9591*Utilities!$B$11)</f>
        <v>8</v>
      </c>
      <c r="K9591" s="11">
        <f>IF(B9591&lt;C9591,1,EXP(-1*(B9591-C9591)/(Utilities!$B$11*IterData!H9591)))</f>
        <v>1</v>
      </c>
    </row>
    <row r="9592" spans="8:11" x14ac:dyDescent="0.3">
      <c r="H9592">
        <v>0.5</v>
      </c>
      <c r="I9592" s="11">
        <f t="shared" si="149"/>
        <v>0</v>
      </c>
      <c r="J9592" s="11">
        <f>1/(H9592*Utilities!$B$11)</f>
        <v>8</v>
      </c>
      <c r="K9592" s="11">
        <f>IF(B9592&lt;C9592,1,EXP(-1*(B9592-C9592)/(Utilities!$B$11*IterData!H9592)))</f>
        <v>1</v>
      </c>
    </row>
    <row r="9593" spans="8:11" x14ac:dyDescent="0.3">
      <c r="H9593">
        <v>0.5</v>
      </c>
      <c r="I9593" s="11">
        <f t="shared" si="149"/>
        <v>0</v>
      </c>
      <c r="J9593" s="11">
        <f>1/(H9593*Utilities!$B$11)</f>
        <v>8</v>
      </c>
      <c r="K9593" s="11">
        <f>IF(B9593&lt;C9593,1,EXP(-1*(B9593-C9593)/(Utilities!$B$11*IterData!H9593)))</f>
        <v>1</v>
      </c>
    </row>
    <row r="9594" spans="8:11" x14ac:dyDescent="0.3">
      <c r="H9594">
        <v>0.5</v>
      </c>
      <c r="I9594" s="11">
        <f t="shared" si="149"/>
        <v>0</v>
      </c>
      <c r="J9594" s="11">
        <f>1/(H9594*Utilities!$B$11)</f>
        <v>8</v>
      </c>
      <c r="K9594" s="11">
        <f>IF(B9594&lt;C9594,1,EXP(-1*(B9594-C9594)/(Utilities!$B$11*IterData!H9594)))</f>
        <v>1</v>
      </c>
    </row>
    <row r="9595" spans="8:11" x14ac:dyDescent="0.3">
      <c r="H9595">
        <v>0.5</v>
      </c>
      <c r="I9595" s="11">
        <f t="shared" si="149"/>
        <v>0</v>
      </c>
      <c r="J9595" s="11">
        <f>1/(H9595*Utilities!$B$11)</f>
        <v>8</v>
      </c>
      <c r="K9595" s="11">
        <f>IF(B9595&lt;C9595,1,EXP(-1*(B9595-C9595)/(Utilities!$B$11*IterData!H9595)))</f>
        <v>1</v>
      </c>
    </row>
    <row r="9596" spans="8:11" x14ac:dyDescent="0.3">
      <c r="H9596">
        <v>0.5</v>
      </c>
      <c r="I9596" s="11">
        <f t="shared" si="149"/>
        <v>0</v>
      </c>
      <c r="J9596" s="11">
        <f>1/(H9596*Utilities!$B$11)</f>
        <v>8</v>
      </c>
      <c r="K9596" s="11">
        <f>IF(B9596&lt;C9596,1,EXP(-1*(B9596-C9596)/(Utilities!$B$11*IterData!H9596)))</f>
        <v>1</v>
      </c>
    </row>
    <row r="9597" spans="8:11" x14ac:dyDescent="0.3">
      <c r="H9597">
        <v>0.5</v>
      </c>
      <c r="I9597" s="11">
        <f t="shared" si="149"/>
        <v>0</v>
      </c>
      <c r="J9597" s="11">
        <f>1/(H9597*Utilities!$B$11)</f>
        <v>8</v>
      </c>
      <c r="K9597" s="11">
        <f>IF(B9597&lt;C9597,1,EXP(-1*(B9597-C9597)/(Utilities!$B$11*IterData!H9597)))</f>
        <v>1</v>
      </c>
    </row>
    <row r="9598" spans="8:11" x14ac:dyDescent="0.3">
      <c r="H9598">
        <v>0.5</v>
      </c>
      <c r="I9598" s="11">
        <f t="shared" si="149"/>
        <v>0</v>
      </c>
      <c r="J9598" s="11">
        <f>1/(H9598*Utilities!$B$11)</f>
        <v>8</v>
      </c>
      <c r="K9598" s="11">
        <f>IF(B9598&lt;C9598,1,EXP(-1*(B9598-C9598)/(Utilities!$B$11*IterData!H9598)))</f>
        <v>1</v>
      </c>
    </row>
    <row r="9599" spans="8:11" x14ac:dyDescent="0.3">
      <c r="H9599">
        <v>0.5</v>
      </c>
      <c r="I9599" s="11">
        <f t="shared" si="149"/>
        <v>0</v>
      </c>
      <c r="J9599" s="11">
        <f>1/(H9599*Utilities!$B$11)</f>
        <v>8</v>
      </c>
      <c r="K9599" s="11">
        <f>IF(B9599&lt;C9599,1,EXP(-1*(B9599-C9599)/(Utilities!$B$11*IterData!H9599)))</f>
        <v>1</v>
      </c>
    </row>
    <row r="9600" spans="8:11" x14ac:dyDescent="0.3">
      <c r="H9600">
        <v>0.5</v>
      </c>
      <c r="I9600" s="11">
        <f t="shared" si="149"/>
        <v>0</v>
      </c>
      <c r="J9600" s="11">
        <f>1/(H9600*Utilities!$B$11)</f>
        <v>8</v>
      </c>
      <c r="K9600" s="11">
        <f>IF(B9600&lt;C9600,1,EXP(-1*(B9600-C9600)/(Utilities!$B$11*IterData!H9600)))</f>
        <v>1</v>
      </c>
    </row>
    <row r="9601" spans="8:11" x14ac:dyDescent="0.3">
      <c r="H9601">
        <v>0.5</v>
      </c>
      <c r="I9601" s="11">
        <f t="shared" si="149"/>
        <v>0</v>
      </c>
      <c r="J9601" s="11">
        <f>1/(H9601*Utilities!$B$11)</f>
        <v>8</v>
      </c>
      <c r="K9601" s="11">
        <f>IF(B9601&lt;C9601,1,EXP(-1*(B9601-C9601)/(Utilities!$B$11*IterData!H9601)))</f>
        <v>1</v>
      </c>
    </row>
    <row r="9602" spans="8:11" x14ac:dyDescent="0.3">
      <c r="H9602">
        <v>0.5</v>
      </c>
      <c r="I9602" s="11">
        <f t="shared" si="149"/>
        <v>0</v>
      </c>
      <c r="J9602" s="11">
        <f>1/(H9602*Utilities!$B$11)</f>
        <v>8</v>
      </c>
      <c r="K9602" s="11">
        <f>IF(B9602&lt;C9602,1,EXP(-1*(B9602-C9602)/(Utilities!$B$11*IterData!H9602)))</f>
        <v>1</v>
      </c>
    </row>
    <row r="9603" spans="8:11" x14ac:dyDescent="0.3">
      <c r="H9603">
        <v>0.5</v>
      </c>
      <c r="I9603" s="11">
        <f t="shared" ref="I9603:I9666" si="150">B9603-C9603</f>
        <v>0</v>
      </c>
      <c r="J9603" s="11">
        <f>1/(H9603*Utilities!$B$11)</f>
        <v>8</v>
      </c>
      <c r="K9603" s="11">
        <f>IF(B9603&lt;C9603,1,EXP(-1*(B9603-C9603)/(Utilities!$B$11*IterData!H9603)))</f>
        <v>1</v>
      </c>
    </row>
    <row r="9604" spans="8:11" x14ac:dyDescent="0.3">
      <c r="H9604">
        <v>0.5</v>
      </c>
      <c r="I9604" s="11">
        <f t="shared" si="150"/>
        <v>0</v>
      </c>
      <c r="J9604" s="11">
        <f>1/(H9604*Utilities!$B$11)</f>
        <v>8</v>
      </c>
      <c r="K9604" s="11">
        <f>IF(B9604&lt;C9604,1,EXP(-1*(B9604-C9604)/(Utilities!$B$11*IterData!H9604)))</f>
        <v>1</v>
      </c>
    </row>
    <row r="9605" spans="8:11" x14ac:dyDescent="0.3">
      <c r="H9605">
        <v>0.5</v>
      </c>
      <c r="I9605" s="11">
        <f t="shared" si="150"/>
        <v>0</v>
      </c>
      <c r="J9605" s="11">
        <f>1/(H9605*Utilities!$B$11)</f>
        <v>8</v>
      </c>
      <c r="K9605" s="11">
        <f>IF(B9605&lt;C9605,1,EXP(-1*(B9605-C9605)/(Utilities!$B$11*IterData!H9605)))</f>
        <v>1</v>
      </c>
    </row>
    <row r="9606" spans="8:11" x14ac:dyDescent="0.3">
      <c r="H9606">
        <v>0.5</v>
      </c>
      <c r="I9606" s="11">
        <f t="shared" si="150"/>
        <v>0</v>
      </c>
      <c r="J9606" s="11">
        <f>1/(H9606*Utilities!$B$11)</f>
        <v>8</v>
      </c>
      <c r="K9606" s="11">
        <f>IF(B9606&lt;C9606,1,EXP(-1*(B9606-C9606)/(Utilities!$B$11*IterData!H9606)))</f>
        <v>1</v>
      </c>
    </row>
    <row r="9607" spans="8:11" x14ac:dyDescent="0.3">
      <c r="H9607">
        <v>0.5</v>
      </c>
      <c r="I9607" s="11">
        <f t="shared" si="150"/>
        <v>0</v>
      </c>
      <c r="J9607" s="11">
        <f>1/(H9607*Utilities!$B$11)</f>
        <v>8</v>
      </c>
      <c r="K9607" s="11">
        <f>IF(B9607&lt;C9607,1,EXP(-1*(B9607-C9607)/(Utilities!$B$11*IterData!H9607)))</f>
        <v>1</v>
      </c>
    </row>
    <row r="9608" spans="8:11" x14ac:dyDescent="0.3">
      <c r="H9608">
        <v>0.5</v>
      </c>
      <c r="I9608" s="11">
        <f t="shared" si="150"/>
        <v>0</v>
      </c>
      <c r="J9608" s="11">
        <f>1/(H9608*Utilities!$B$11)</f>
        <v>8</v>
      </c>
      <c r="K9608" s="11">
        <f>IF(B9608&lt;C9608,1,EXP(-1*(B9608-C9608)/(Utilities!$B$11*IterData!H9608)))</f>
        <v>1</v>
      </c>
    </row>
    <row r="9609" spans="8:11" x14ac:dyDescent="0.3">
      <c r="H9609">
        <v>0.5</v>
      </c>
      <c r="I9609" s="11">
        <f t="shared" si="150"/>
        <v>0</v>
      </c>
      <c r="J9609" s="11">
        <f>1/(H9609*Utilities!$B$11)</f>
        <v>8</v>
      </c>
      <c r="K9609" s="11">
        <f>IF(B9609&lt;C9609,1,EXP(-1*(B9609-C9609)/(Utilities!$B$11*IterData!H9609)))</f>
        <v>1</v>
      </c>
    </row>
    <row r="9610" spans="8:11" x14ac:dyDescent="0.3">
      <c r="H9610">
        <v>0.5</v>
      </c>
      <c r="I9610" s="11">
        <f t="shared" si="150"/>
        <v>0</v>
      </c>
      <c r="J9610" s="11">
        <f>1/(H9610*Utilities!$B$11)</f>
        <v>8</v>
      </c>
      <c r="K9610" s="11">
        <f>IF(B9610&lt;C9610,1,EXP(-1*(B9610-C9610)/(Utilities!$B$11*IterData!H9610)))</f>
        <v>1</v>
      </c>
    </row>
    <row r="9611" spans="8:11" x14ac:dyDescent="0.3">
      <c r="H9611">
        <v>0.5</v>
      </c>
      <c r="I9611" s="11">
        <f t="shared" si="150"/>
        <v>0</v>
      </c>
      <c r="J9611" s="11">
        <f>1/(H9611*Utilities!$B$11)</f>
        <v>8</v>
      </c>
      <c r="K9611" s="11">
        <f>IF(B9611&lt;C9611,1,EXP(-1*(B9611-C9611)/(Utilities!$B$11*IterData!H9611)))</f>
        <v>1</v>
      </c>
    </row>
    <row r="9612" spans="8:11" x14ac:dyDescent="0.3">
      <c r="H9612">
        <v>0.5</v>
      </c>
      <c r="I9612" s="11">
        <f t="shared" si="150"/>
        <v>0</v>
      </c>
      <c r="J9612" s="11">
        <f>1/(H9612*Utilities!$B$11)</f>
        <v>8</v>
      </c>
      <c r="K9612" s="11">
        <f>IF(B9612&lt;C9612,1,EXP(-1*(B9612-C9612)/(Utilities!$B$11*IterData!H9612)))</f>
        <v>1</v>
      </c>
    </row>
    <row r="9613" spans="8:11" x14ac:dyDescent="0.3">
      <c r="H9613">
        <v>0.5</v>
      </c>
      <c r="I9613" s="11">
        <f t="shared" si="150"/>
        <v>0</v>
      </c>
      <c r="J9613" s="11">
        <f>1/(H9613*Utilities!$B$11)</f>
        <v>8</v>
      </c>
      <c r="K9613" s="11">
        <f>IF(B9613&lt;C9613,1,EXP(-1*(B9613-C9613)/(Utilities!$B$11*IterData!H9613)))</f>
        <v>1</v>
      </c>
    </row>
    <row r="9614" spans="8:11" x14ac:dyDescent="0.3">
      <c r="H9614">
        <v>0.5</v>
      </c>
      <c r="I9614" s="11">
        <f t="shared" si="150"/>
        <v>0</v>
      </c>
      <c r="J9614" s="11">
        <f>1/(H9614*Utilities!$B$11)</f>
        <v>8</v>
      </c>
      <c r="K9614" s="11">
        <f>IF(B9614&lt;C9614,1,EXP(-1*(B9614-C9614)/(Utilities!$B$11*IterData!H9614)))</f>
        <v>1</v>
      </c>
    </row>
    <row r="9615" spans="8:11" x14ac:dyDescent="0.3">
      <c r="H9615">
        <v>0.5</v>
      </c>
      <c r="I9615" s="11">
        <f t="shared" si="150"/>
        <v>0</v>
      </c>
      <c r="J9615" s="11">
        <f>1/(H9615*Utilities!$B$11)</f>
        <v>8</v>
      </c>
      <c r="K9615" s="11">
        <f>IF(B9615&lt;C9615,1,EXP(-1*(B9615-C9615)/(Utilities!$B$11*IterData!H9615)))</f>
        <v>1</v>
      </c>
    </row>
    <row r="9616" spans="8:11" x14ac:dyDescent="0.3">
      <c r="H9616">
        <v>0.5</v>
      </c>
      <c r="I9616" s="11">
        <f t="shared" si="150"/>
        <v>0</v>
      </c>
      <c r="J9616" s="11">
        <f>1/(H9616*Utilities!$B$11)</f>
        <v>8</v>
      </c>
      <c r="K9616" s="11">
        <f>IF(B9616&lt;C9616,1,EXP(-1*(B9616-C9616)/(Utilities!$B$11*IterData!H9616)))</f>
        <v>1</v>
      </c>
    </row>
    <row r="9617" spans="8:11" x14ac:dyDescent="0.3">
      <c r="H9617">
        <v>0.5</v>
      </c>
      <c r="I9617" s="11">
        <f t="shared" si="150"/>
        <v>0</v>
      </c>
      <c r="J9617" s="11">
        <f>1/(H9617*Utilities!$B$11)</f>
        <v>8</v>
      </c>
      <c r="K9617" s="11">
        <f>IF(B9617&lt;C9617,1,EXP(-1*(B9617-C9617)/(Utilities!$B$11*IterData!H9617)))</f>
        <v>1</v>
      </c>
    </row>
    <row r="9618" spans="8:11" x14ac:dyDescent="0.3">
      <c r="H9618">
        <v>0.5</v>
      </c>
      <c r="I9618" s="11">
        <f t="shared" si="150"/>
        <v>0</v>
      </c>
      <c r="J9618" s="11">
        <f>1/(H9618*Utilities!$B$11)</f>
        <v>8</v>
      </c>
      <c r="K9618" s="11">
        <f>IF(B9618&lt;C9618,1,EXP(-1*(B9618-C9618)/(Utilities!$B$11*IterData!H9618)))</f>
        <v>1</v>
      </c>
    </row>
    <row r="9619" spans="8:11" x14ac:dyDescent="0.3">
      <c r="H9619">
        <v>0.5</v>
      </c>
      <c r="I9619" s="11">
        <f t="shared" si="150"/>
        <v>0</v>
      </c>
      <c r="J9619" s="11">
        <f>1/(H9619*Utilities!$B$11)</f>
        <v>8</v>
      </c>
      <c r="K9619" s="11">
        <f>IF(B9619&lt;C9619,1,EXP(-1*(B9619-C9619)/(Utilities!$B$11*IterData!H9619)))</f>
        <v>1</v>
      </c>
    </row>
    <row r="9620" spans="8:11" x14ac:dyDescent="0.3">
      <c r="H9620">
        <v>0.5</v>
      </c>
      <c r="I9620" s="11">
        <f t="shared" si="150"/>
        <v>0</v>
      </c>
      <c r="J9620" s="11">
        <f>1/(H9620*Utilities!$B$11)</f>
        <v>8</v>
      </c>
      <c r="K9620" s="11">
        <f>IF(B9620&lt;C9620,1,EXP(-1*(B9620-C9620)/(Utilities!$B$11*IterData!H9620)))</f>
        <v>1</v>
      </c>
    </row>
    <row r="9621" spans="8:11" x14ac:dyDescent="0.3">
      <c r="H9621">
        <v>0.5</v>
      </c>
      <c r="I9621" s="11">
        <f t="shared" si="150"/>
        <v>0</v>
      </c>
      <c r="J9621" s="11">
        <f>1/(H9621*Utilities!$B$11)</f>
        <v>8</v>
      </c>
      <c r="K9621" s="11">
        <f>IF(B9621&lt;C9621,1,EXP(-1*(B9621-C9621)/(Utilities!$B$11*IterData!H9621)))</f>
        <v>1</v>
      </c>
    </row>
    <row r="9622" spans="8:11" x14ac:dyDescent="0.3">
      <c r="H9622">
        <v>0.5</v>
      </c>
      <c r="I9622" s="11">
        <f t="shared" si="150"/>
        <v>0</v>
      </c>
      <c r="J9622" s="11">
        <f>1/(H9622*Utilities!$B$11)</f>
        <v>8</v>
      </c>
      <c r="K9622" s="11">
        <f>IF(B9622&lt;C9622,1,EXP(-1*(B9622-C9622)/(Utilities!$B$11*IterData!H9622)))</f>
        <v>1</v>
      </c>
    </row>
    <row r="9623" spans="8:11" x14ac:dyDescent="0.3">
      <c r="H9623">
        <v>0.5</v>
      </c>
      <c r="I9623" s="11">
        <f t="shared" si="150"/>
        <v>0</v>
      </c>
      <c r="J9623" s="11">
        <f>1/(H9623*Utilities!$B$11)</f>
        <v>8</v>
      </c>
      <c r="K9623" s="11">
        <f>IF(B9623&lt;C9623,1,EXP(-1*(B9623-C9623)/(Utilities!$B$11*IterData!H9623)))</f>
        <v>1</v>
      </c>
    </row>
    <row r="9624" spans="8:11" x14ac:dyDescent="0.3">
      <c r="H9624">
        <v>0.5</v>
      </c>
      <c r="I9624" s="11">
        <f t="shared" si="150"/>
        <v>0</v>
      </c>
      <c r="J9624" s="11">
        <f>1/(H9624*Utilities!$B$11)</f>
        <v>8</v>
      </c>
      <c r="K9624" s="11">
        <f>IF(B9624&lt;C9624,1,EXP(-1*(B9624-C9624)/(Utilities!$B$11*IterData!H9624)))</f>
        <v>1</v>
      </c>
    </row>
    <row r="9625" spans="8:11" x14ac:dyDescent="0.3">
      <c r="H9625">
        <v>0.5</v>
      </c>
      <c r="I9625" s="11">
        <f t="shared" si="150"/>
        <v>0</v>
      </c>
      <c r="J9625" s="11">
        <f>1/(H9625*Utilities!$B$11)</f>
        <v>8</v>
      </c>
      <c r="K9625" s="11">
        <f>IF(B9625&lt;C9625,1,EXP(-1*(B9625-C9625)/(Utilities!$B$11*IterData!H9625)))</f>
        <v>1</v>
      </c>
    </row>
    <row r="9626" spans="8:11" x14ac:dyDescent="0.3">
      <c r="H9626">
        <v>0.5</v>
      </c>
      <c r="I9626" s="11">
        <f t="shared" si="150"/>
        <v>0</v>
      </c>
      <c r="J9626" s="11">
        <f>1/(H9626*Utilities!$B$11)</f>
        <v>8</v>
      </c>
      <c r="K9626" s="11">
        <f>IF(B9626&lt;C9626,1,EXP(-1*(B9626-C9626)/(Utilities!$B$11*IterData!H9626)))</f>
        <v>1</v>
      </c>
    </row>
    <row r="9627" spans="8:11" x14ac:dyDescent="0.3">
      <c r="H9627">
        <v>0.5</v>
      </c>
      <c r="I9627" s="11">
        <f t="shared" si="150"/>
        <v>0</v>
      </c>
      <c r="J9627" s="11">
        <f>1/(H9627*Utilities!$B$11)</f>
        <v>8</v>
      </c>
      <c r="K9627" s="11">
        <f>IF(B9627&lt;C9627,1,EXP(-1*(B9627-C9627)/(Utilities!$B$11*IterData!H9627)))</f>
        <v>1</v>
      </c>
    </row>
    <row r="9628" spans="8:11" x14ac:dyDescent="0.3">
      <c r="H9628">
        <v>0.5</v>
      </c>
      <c r="I9628" s="11">
        <f t="shared" si="150"/>
        <v>0</v>
      </c>
      <c r="J9628" s="11">
        <f>1/(H9628*Utilities!$B$11)</f>
        <v>8</v>
      </c>
      <c r="K9628" s="11">
        <f>IF(B9628&lt;C9628,1,EXP(-1*(B9628-C9628)/(Utilities!$B$11*IterData!H9628)))</f>
        <v>1</v>
      </c>
    </row>
    <row r="9629" spans="8:11" x14ac:dyDescent="0.3">
      <c r="H9629">
        <v>0.5</v>
      </c>
      <c r="I9629" s="11">
        <f t="shared" si="150"/>
        <v>0</v>
      </c>
      <c r="J9629" s="11">
        <f>1/(H9629*Utilities!$B$11)</f>
        <v>8</v>
      </c>
      <c r="K9629" s="11">
        <f>IF(B9629&lt;C9629,1,EXP(-1*(B9629-C9629)/(Utilities!$B$11*IterData!H9629)))</f>
        <v>1</v>
      </c>
    </row>
    <row r="9630" spans="8:11" x14ac:dyDescent="0.3">
      <c r="H9630">
        <v>0.5</v>
      </c>
      <c r="I9630" s="11">
        <f t="shared" si="150"/>
        <v>0</v>
      </c>
      <c r="J9630" s="11">
        <f>1/(H9630*Utilities!$B$11)</f>
        <v>8</v>
      </c>
      <c r="K9630" s="11">
        <f>IF(B9630&lt;C9630,1,EXP(-1*(B9630-C9630)/(Utilities!$B$11*IterData!H9630)))</f>
        <v>1</v>
      </c>
    </row>
    <row r="9631" spans="8:11" x14ac:dyDescent="0.3">
      <c r="H9631">
        <v>0.5</v>
      </c>
      <c r="I9631" s="11">
        <f t="shared" si="150"/>
        <v>0</v>
      </c>
      <c r="J9631" s="11">
        <f>1/(H9631*Utilities!$B$11)</f>
        <v>8</v>
      </c>
      <c r="K9631" s="11">
        <f>IF(B9631&lt;C9631,1,EXP(-1*(B9631-C9631)/(Utilities!$B$11*IterData!H9631)))</f>
        <v>1</v>
      </c>
    </row>
    <row r="9632" spans="8:11" x14ac:dyDescent="0.3">
      <c r="H9632">
        <v>0.5</v>
      </c>
      <c r="I9632" s="11">
        <f t="shared" si="150"/>
        <v>0</v>
      </c>
      <c r="J9632" s="11">
        <f>1/(H9632*Utilities!$B$11)</f>
        <v>8</v>
      </c>
      <c r="K9632" s="11">
        <f>IF(B9632&lt;C9632,1,EXP(-1*(B9632-C9632)/(Utilities!$B$11*IterData!H9632)))</f>
        <v>1</v>
      </c>
    </row>
    <row r="9633" spans="8:11" x14ac:dyDescent="0.3">
      <c r="H9633">
        <v>0.5</v>
      </c>
      <c r="I9633" s="11">
        <f t="shared" si="150"/>
        <v>0</v>
      </c>
      <c r="J9633" s="11">
        <f>1/(H9633*Utilities!$B$11)</f>
        <v>8</v>
      </c>
      <c r="K9633" s="11">
        <f>IF(B9633&lt;C9633,1,EXP(-1*(B9633-C9633)/(Utilities!$B$11*IterData!H9633)))</f>
        <v>1</v>
      </c>
    </row>
    <row r="9634" spans="8:11" x14ac:dyDescent="0.3">
      <c r="H9634">
        <v>0.5</v>
      </c>
      <c r="I9634" s="11">
        <f t="shared" si="150"/>
        <v>0</v>
      </c>
      <c r="J9634" s="11">
        <f>1/(H9634*Utilities!$B$11)</f>
        <v>8</v>
      </c>
      <c r="K9634" s="11">
        <f>IF(B9634&lt;C9634,1,EXP(-1*(B9634-C9634)/(Utilities!$B$11*IterData!H9634)))</f>
        <v>1</v>
      </c>
    </row>
    <row r="9635" spans="8:11" x14ac:dyDescent="0.3">
      <c r="H9635">
        <v>0.5</v>
      </c>
      <c r="I9635" s="11">
        <f t="shared" si="150"/>
        <v>0</v>
      </c>
      <c r="J9635" s="11">
        <f>1/(H9635*Utilities!$B$11)</f>
        <v>8</v>
      </c>
      <c r="K9635" s="11">
        <f>IF(B9635&lt;C9635,1,EXP(-1*(B9635-C9635)/(Utilities!$B$11*IterData!H9635)))</f>
        <v>1</v>
      </c>
    </row>
    <row r="9636" spans="8:11" x14ac:dyDescent="0.3">
      <c r="H9636">
        <v>0.5</v>
      </c>
      <c r="I9636" s="11">
        <f t="shared" si="150"/>
        <v>0</v>
      </c>
      <c r="J9636" s="11">
        <f>1/(H9636*Utilities!$B$11)</f>
        <v>8</v>
      </c>
      <c r="K9636" s="11">
        <f>IF(B9636&lt;C9636,1,EXP(-1*(B9636-C9636)/(Utilities!$B$11*IterData!H9636)))</f>
        <v>1</v>
      </c>
    </row>
    <row r="9637" spans="8:11" x14ac:dyDescent="0.3">
      <c r="H9637">
        <v>0.5</v>
      </c>
      <c r="I9637" s="11">
        <f t="shared" si="150"/>
        <v>0</v>
      </c>
      <c r="J9637" s="11">
        <f>1/(H9637*Utilities!$B$11)</f>
        <v>8</v>
      </c>
      <c r="K9637" s="11">
        <f>IF(B9637&lt;C9637,1,EXP(-1*(B9637-C9637)/(Utilities!$B$11*IterData!H9637)))</f>
        <v>1</v>
      </c>
    </row>
    <row r="9638" spans="8:11" x14ac:dyDescent="0.3">
      <c r="H9638">
        <v>0.5</v>
      </c>
      <c r="I9638" s="11">
        <f t="shared" si="150"/>
        <v>0</v>
      </c>
      <c r="J9638" s="11">
        <f>1/(H9638*Utilities!$B$11)</f>
        <v>8</v>
      </c>
      <c r="K9638" s="11">
        <f>IF(B9638&lt;C9638,1,EXP(-1*(B9638-C9638)/(Utilities!$B$11*IterData!H9638)))</f>
        <v>1</v>
      </c>
    </row>
    <row r="9639" spans="8:11" x14ac:dyDescent="0.3">
      <c r="H9639">
        <v>0.5</v>
      </c>
      <c r="I9639" s="11">
        <f t="shared" si="150"/>
        <v>0</v>
      </c>
      <c r="J9639" s="11">
        <f>1/(H9639*Utilities!$B$11)</f>
        <v>8</v>
      </c>
      <c r="K9639" s="11">
        <f>IF(B9639&lt;C9639,1,EXP(-1*(B9639-C9639)/(Utilities!$B$11*IterData!H9639)))</f>
        <v>1</v>
      </c>
    </row>
    <row r="9640" spans="8:11" x14ac:dyDescent="0.3">
      <c r="H9640">
        <v>0.5</v>
      </c>
      <c r="I9640" s="11">
        <f t="shared" si="150"/>
        <v>0</v>
      </c>
      <c r="J9640" s="11">
        <f>1/(H9640*Utilities!$B$11)</f>
        <v>8</v>
      </c>
      <c r="K9640" s="11">
        <f>IF(B9640&lt;C9640,1,EXP(-1*(B9640-C9640)/(Utilities!$B$11*IterData!H9640)))</f>
        <v>1</v>
      </c>
    </row>
    <row r="9641" spans="8:11" x14ac:dyDescent="0.3">
      <c r="H9641">
        <v>0.5</v>
      </c>
      <c r="I9641" s="11">
        <f t="shared" si="150"/>
        <v>0</v>
      </c>
      <c r="J9641" s="11">
        <f>1/(H9641*Utilities!$B$11)</f>
        <v>8</v>
      </c>
      <c r="K9641" s="11">
        <f>IF(B9641&lt;C9641,1,EXP(-1*(B9641-C9641)/(Utilities!$B$11*IterData!H9641)))</f>
        <v>1</v>
      </c>
    </row>
    <row r="9642" spans="8:11" x14ac:dyDescent="0.3">
      <c r="H9642">
        <v>0.5</v>
      </c>
      <c r="I9642" s="11">
        <f t="shared" si="150"/>
        <v>0</v>
      </c>
      <c r="J9642" s="11">
        <f>1/(H9642*Utilities!$B$11)</f>
        <v>8</v>
      </c>
      <c r="K9642" s="11">
        <f>IF(B9642&lt;C9642,1,EXP(-1*(B9642-C9642)/(Utilities!$B$11*IterData!H9642)))</f>
        <v>1</v>
      </c>
    </row>
    <row r="9643" spans="8:11" x14ac:dyDescent="0.3">
      <c r="H9643">
        <v>0.5</v>
      </c>
      <c r="I9643" s="11">
        <f t="shared" si="150"/>
        <v>0</v>
      </c>
      <c r="J9643" s="11">
        <f>1/(H9643*Utilities!$B$11)</f>
        <v>8</v>
      </c>
      <c r="K9643" s="11">
        <f>IF(B9643&lt;C9643,1,EXP(-1*(B9643-C9643)/(Utilities!$B$11*IterData!H9643)))</f>
        <v>1</v>
      </c>
    </row>
    <row r="9644" spans="8:11" x14ac:dyDescent="0.3">
      <c r="H9644">
        <v>0.5</v>
      </c>
      <c r="I9644" s="11">
        <f t="shared" si="150"/>
        <v>0</v>
      </c>
      <c r="J9644" s="11">
        <f>1/(H9644*Utilities!$B$11)</f>
        <v>8</v>
      </c>
      <c r="K9644" s="11">
        <f>IF(B9644&lt;C9644,1,EXP(-1*(B9644-C9644)/(Utilities!$B$11*IterData!H9644)))</f>
        <v>1</v>
      </c>
    </row>
    <row r="9645" spans="8:11" x14ac:dyDescent="0.3">
      <c r="H9645">
        <v>0.5</v>
      </c>
      <c r="I9645" s="11">
        <f t="shared" si="150"/>
        <v>0</v>
      </c>
      <c r="J9645" s="11">
        <f>1/(H9645*Utilities!$B$11)</f>
        <v>8</v>
      </c>
      <c r="K9645" s="11">
        <f>IF(B9645&lt;C9645,1,EXP(-1*(B9645-C9645)/(Utilities!$B$11*IterData!H9645)))</f>
        <v>1</v>
      </c>
    </row>
    <row r="9646" spans="8:11" x14ac:dyDescent="0.3">
      <c r="H9646">
        <v>0.5</v>
      </c>
      <c r="I9646" s="11">
        <f t="shared" si="150"/>
        <v>0</v>
      </c>
      <c r="J9646" s="11">
        <f>1/(H9646*Utilities!$B$11)</f>
        <v>8</v>
      </c>
      <c r="K9646" s="11">
        <f>IF(B9646&lt;C9646,1,EXP(-1*(B9646-C9646)/(Utilities!$B$11*IterData!H9646)))</f>
        <v>1</v>
      </c>
    </row>
    <row r="9647" spans="8:11" x14ac:dyDescent="0.3">
      <c r="H9647">
        <v>0.5</v>
      </c>
      <c r="I9647" s="11">
        <f t="shared" si="150"/>
        <v>0</v>
      </c>
      <c r="J9647" s="11">
        <f>1/(H9647*Utilities!$B$11)</f>
        <v>8</v>
      </c>
      <c r="K9647" s="11">
        <f>IF(B9647&lt;C9647,1,EXP(-1*(B9647-C9647)/(Utilities!$B$11*IterData!H9647)))</f>
        <v>1</v>
      </c>
    </row>
    <row r="9648" spans="8:11" x14ac:dyDescent="0.3">
      <c r="H9648">
        <v>0.5</v>
      </c>
      <c r="I9648" s="11">
        <f t="shared" si="150"/>
        <v>0</v>
      </c>
      <c r="J9648" s="11">
        <f>1/(H9648*Utilities!$B$11)</f>
        <v>8</v>
      </c>
      <c r="K9648" s="11">
        <f>IF(B9648&lt;C9648,1,EXP(-1*(B9648-C9648)/(Utilities!$B$11*IterData!H9648)))</f>
        <v>1</v>
      </c>
    </row>
    <row r="9649" spans="8:11" x14ac:dyDescent="0.3">
      <c r="H9649">
        <v>0.5</v>
      </c>
      <c r="I9649" s="11">
        <f t="shared" si="150"/>
        <v>0</v>
      </c>
      <c r="J9649" s="11">
        <f>1/(H9649*Utilities!$B$11)</f>
        <v>8</v>
      </c>
      <c r="K9649" s="11">
        <f>IF(B9649&lt;C9649,1,EXP(-1*(B9649-C9649)/(Utilities!$B$11*IterData!H9649)))</f>
        <v>1</v>
      </c>
    </row>
    <row r="9650" spans="8:11" x14ac:dyDescent="0.3">
      <c r="H9650">
        <v>0.5</v>
      </c>
      <c r="I9650" s="11">
        <f t="shared" si="150"/>
        <v>0</v>
      </c>
      <c r="J9650" s="11">
        <f>1/(H9650*Utilities!$B$11)</f>
        <v>8</v>
      </c>
      <c r="K9650" s="11">
        <f>IF(B9650&lt;C9650,1,EXP(-1*(B9650-C9650)/(Utilities!$B$11*IterData!H9650)))</f>
        <v>1</v>
      </c>
    </row>
    <row r="9651" spans="8:11" x14ac:dyDescent="0.3">
      <c r="H9651">
        <v>0.5</v>
      </c>
      <c r="I9651" s="11">
        <f t="shared" si="150"/>
        <v>0</v>
      </c>
      <c r="J9651" s="11">
        <f>1/(H9651*Utilities!$B$11)</f>
        <v>8</v>
      </c>
      <c r="K9651" s="11">
        <f>IF(B9651&lt;C9651,1,EXP(-1*(B9651-C9651)/(Utilities!$B$11*IterData!H9651)))</f>
        <v>1</v>
      </c>
    </row>
    <row r="9652" spans="8:11" x14ac:dyDescent="0.3">
      <c r="H9652">
        <v>0.5</v>
      </c>
      <c r="I9652" s="11">
        <f t="shared" si="150"/>
        <v>0</v>
      </c>
      <c r="J9652" s="11">
        <f>1/(H9652*Utilities!$B$11)</f>
        <v>8</v>
      </c>
      <c r="K9652" s="11">
        <f>IF(B9652&lt;C9652,1,EXP(-1*(B9652-C9652)/(Utilities!$B$11*IterData!H9652)))</f>
        <v>1</v>
      </c>
    </row>
    <row r="9653" spans="8:11" x14ac:dyDescent="0.3">
      <c r="H9653">
        <v>0.5</v>
      </c>
      <c r="I9653" s="11">
        <f t="shared" si="150"/>
        <v>0</v>
      </c>
      <c r="J9653" s="11">
        <f>1/(H9653*Utilities!$B$11)</f>
        <v>8</v>
      </c>
      <c r="K9653" s="11">
        <f>IF(B9653&lt;C9653,1,EXP(-1*(B9653-C9653)/(Utilities!$B$11*IterData!H9653)))</f>
        <v>1</v>
      </c>
    </row>
    <row r="9654" spans="8:11" x14ac:dyDescent="0.3">
      <c r="H9654">
        <v>0.5</v>
      </c>
      <c r="I9654" s="11">
        <f t="shared" si="150"/>
        <v>0</v>
      </c>
      <c r="J9654" s="11">
        <f>1/(H9654*Utilities!$B$11)</f>
        <v>8</v>
      </c>
      <c r="K9654" s="11">
        <f>IF(B9654&lt;C9654,1,EXP(-1*(B9654-C9654)/(Utilities!$B$11*IterData!H9654)))</f>
        <v>1</v>
      </c>
    </row>
    <row r="9655" spans="8:11" x14ac:dyDescent="0.3">
      <c r="H9655">
        <v>0.5</v>
      </c>
      <c r="I9655" s="11">
        <f t="shared" si="150"/>
        <v>0</v>
      </c>
      <c r="J9655" s="11">
        <f>1/(H9655*Utilities!$B$11)</f>
        <v>8</v>
      </c>
      <c r="K9655" s="11">
        <f>IF(B9655&lt;C9655,1,EXP(-1*(B9655-C9655)/(Utilities!$B$11*IterData!H9655)))</f>
        <v>1</v>
      </c>
    </row>
    <row r="9656" spans="8:11" x14ac:dyDescent="0.3">
      <c r="H9656">
        <v>0.5</v>
      </c>
      <c r="I9656" s="11">
        <f t="shared" si="150"/>
        <v>0</v>
      </c>
      <c r="J9656" s="11">
        <f>1/(H9656*Utilities!$B$11)</f>
        <v>8</v>
      </c>
      <c r="K9656" s="11">
        <f>IF(B9656&lt;C9656,1,EXP(-1*(B9656-C9656)/(Utilities!$B$11*IterData!H9656)))</f>
        <v>1</v>
      </c>
    </row>
    <row r="9657" spans="8:11" x14ac:dyDescent="0.3">
      <c r="H9657">
        <v>0.5</v>
      </c>
      <c r="I9657" s="11">
        <f t="shared" si="150"/>
        <v>0</v>
      </c>
      <c r="J9657" s="11">
        <f>1/(H9657*Utilities!$B$11)</f>
        <v>8</v>
      </c>
      <c r="K9657" s="11">
        <f>IF(B9657&lt;C9657,1,EXP(-1*(B9657-C9657)/(Utilities!$B$11*IterData!H9657)))</f>
        <v>1</v>
      </c>
    </row>
    <row r="9658" spans="8:11" x14ac:dyDescent="0.3">
      <c r="H9658">
        <v>0.5</v>
      </c>
      <c r="I9658" s="11">
        <f t="shared" si="150"/>
        <v>0</v>
      </c>
      <c r="J9658" s="11">
        <f>1/(H9658*Utilities!$B$11)</f>
        <v>8</v>
      </c>
      <c r="K9658" s="11">
        <f>IF(B9658&lt;C9658,1,EXP(-1*(B9658-C9658)/(Utilities!$B$11*IterData!H9658)))</f>
        <v>1</v>
      </c>
    </row>
    <row r="9659" spans="8:11" x14ac:dyDescent="0.3">
      <c r="H9659">
        <v>0.5</v>
      </c>
      <c r="I9659" s="11">
        <f t="shared" si="150"/>
        <v>0</v>
      </c>
      <c r="J9659" s="11">
        <f>1/(H9659*Utilities!$B$11)</f>
        <v>8</v>
      </c>
      <c r="K9659" s="11">
        <f>IF(B9659&lt;C9659,1,EXP(-1*(B9659-C9659)/(Utilities!$B$11*IterData!H9659)))</f>
        <v>1</v>
      </c>
    </row>
    <row r="9660" spans="8:11" x14ac:dyDescent="0.3">
      <c r="H9660">
        <v>0.5</v>
      </c>
      <c r="I9660" s="11">
        <f t="shared" si="150"/>
        <v>0</v>
      </c>
      <c r="J9660" s="11">
        <f>1/(H9660*Utilities!$B$11)</f>
        <v>8</v>
      </c>
      <c r="K9660" s="11">
        <f>IF(B9660&lt;C9660,1,EXP(-1*(B9660-C9660)/(Utilities!$B$11*IterData!H9660)))</f>
        <v>1</v>
      </c>
    </row>
    <row r="9661" spans="8:11" x14ac:dyDescent="0.3">
      <c r="H9661">
        <v>0.5</v>
      </c>
      <c r="I9661" s="11">
        <f t="shared" si="150"/>
        <v>0</v>
      </c>
      <c r="J9661" s="11">
        <f>1/(H9661*Utilities!$B$11)</f>
        <v>8</v>
      </c>
      <c r="K9661" s="11">
        <f>IF(B9661&lt;C9661,1,EXP(-1*(B9661-C9661)/(Utilities!$B$11*IterData!H9661)))</f>
        <v>1</v>
      </c>
    </row>
    <row r="9662" spans="8:11" x14ac:dyDescent="0.3">
      <c r="H9662">
        <v>0.5</v>
      </c>
      <c r="I9662" s="11">
        <f t="shared" si="150"/>
        <v>0</v>
      </c>
      <c r="J9662" s="11">
        <f>1/(H9662*Utilities!$B$11)</f>
        <v>8</v>
      </c>
      <c r="K9662" s="11">
        <f>IF(B9662&lt;C9662,1,EXP(-1*(B9662-C9662)/(Utilities!$B$11*IterData!H9662)))</f>
        <v>1</v>
      </c>
    </row>
    <row r="9663" spans="8:11" x14ac:dyDescent="0.3">
      <c r="H9663">
        <v>0.5</v>
      </c>
      <c r="I9663" s="11">
        <f t="shared" si="150"/>
        <v>0</v>
      </c>
      <c r="J9663" s="11">
        <f>1/(H9663*Utilities!$B$11)</f>
        <v>8</v>
      </c>
      <c r="K9663" s="11">
        <f>IF(B9663&lt;C9663,1,EXP(-1*(B9663-C9663)/(Utilities!$B$11*IterData!H9663)))</f>
        <v>1</v>
      </c>
    </row>
    <row r="9664" spans="8:11" x14ac:dyDescent="0.3">
      <c r="H9664">
        <v>0.5</v>
      </c>
      <c r="I9664" s="11">
        <f t="shared" si="150"/>
        <v>0</v>
      </c>
      <c r="J9664" s="11">
        <f>1/(H9664*Utilities!$B$11)</f>
        <v>8</v>
      </c>
      <c r="K9664" s="11">
        <f>IF(B9664&lt;C9664,1,EXP(-1*(B9664-C9664)/(Utilities!$B$11*IterData!H9664)))</f>
        <v>1</v>
      </c>
    </row>
    <row r="9665" spans="8:11" x14ac:dyDescent="0.3">
      <c r="H9665">
        <v>0.5</v>
      </c>
      <c r="I9665" s="11">
        <f t="shared" si="150"/>
        <v>0</v>
      </c>
      <c r="J9665" s="11">
        <f>1/(H9665*Utilities!$B$11)</f>
        <v>8</v>
      </c>
      <c r="K9665" s="11">
        <f>IF(B9665&lt;C9665,1,EXP(-1*(B9665-C9665)/(Utilities!$B$11*IterData!H9665)))</f>
        <v>1</v>
      </c>
    </row>
    <row r="9666" spans="8:11" x14ac:dyDescent="0.3">
      <c r="H9666">
        <v>0.5</v>
      </c>
      <c r="I9666" s="11">
        <f t="shared" si="150"/>
        <v>0</v>
      </c>
      <c r="J9666" s="11">
        <f>1/(H9666*Utilities!$B$11)</f>
        <v>8</v>
      </c>
      <c r="K9666" s="11">
        <f>IF(B9666&lt;C9666,1,EXP(-1*(B9666-C9666)/(Utilities!$B$11*IterData!H9666)))</f>
        <v>1</v>
      </c>
    </row>
    <row r="9667" spans="8:11" x14ac:dyDescent="0.3">
      <c r="H9667">
        <v>0.5</v>
      </c>
      <c r="I9667" s="11">
        <f t="shared" ref="I9667:I9730" si="151">B9667-C9667</f>
        <v>0</v>
      </c>
      <c r="J9667" s="11">
        <f>1/(H9667*Utilities!$B$11)</f>
        <v>8</v>
      </c>
      <c r="K9667" s="11">
        <f>IF(B9667&lt;C9667,1,EXP(-1*(B9667-C9667)/(Utilities!$B$11*IterData!H9667)))</f>
        <v>1</v>
      </c>
    </row>
    <row r="9668" spans="8:11" x14ac:dyDescent="0.3">
      <c r="H9668">
        <v>0.5</v>
      </c>
      <c r="I9668" s="11">
        <f t="shared" si="151"/>
        <v>0</v>
      </c>
      <c r="J9668" s="11">
        <f>1/(H9668*Utilities!$B$11)</f>
        <v>8</v>
      </c>
      <c r="K9668" s="11">
        <f>IF(B9668&lt;C9668,1,EXP(-1*(B9668-C9668)/(Utilities!$B$11*IterData!H9668)))</f>
        <v>1</v>
      </c>
    </row>
    <row r="9669" spans="8:11" x14ac:dyDescent="0.3">
      <c r="H9669">
        <v>0.5</v>
      </c>
      <c r="I9669" s="11">
        <f t="shared" si="151"/>
        <v>0</v>
      </c>
      <c r="J9669" s="11">
        <f>1/(H9669*Utilities!$B$11)</f>
        <v>8</v>
      </c>
      <c r="K9669" s="11">
        <f>IF(B9669&lt;C9669,1,EXP(-1*(B9669-C9669)/(Utilities!$B$11*IterData!H9669)))</f>
        <v>1</v>
      </c>
    </row>
    <row r="9670" spans="8:11" x14ac:dyDescent="0.3">
      <c r="H9670">
        <v>0.5</v>
      </c>
      <c r="I9670" s="11">
        <f t="shared" si="151"/>
        <v>0</v>
      </c>
      <c r="J9670" s="11">
        <f>1/(H9670*Utilities!$B$11)</f>
        <v>8</v>
      </c>
      <c r="K9670" s="11">
        <f>IF(B9670&lt;C9670,1,EXP(-1*(B9670-C9670)/(Utilities!$B$11*IterData!H9670)))</f>
        <v>1</v>
      </c>
    </row>
    <row r="9671" spans="8:11" x14ac:dyDescent="0.3">
      <c r="H9671">
        <v>0.5</v>
      </c>
      <c r="I9671" s="11">
        <f t="shared" si="151"/>
        <v>0</v>
      </c>
      <c r="J9671" s="11">
        <f>1/(H9671*Utilities!$B$11)</f>
        <v>8</v>
      </c>
      <c r="K9671" s="11">
        <f>IF(B9671&lt;C9671,1,EXP(-1*(B9671-C9671)/(Utilities!$B$11*IterData!H9671)))</f>
        <v>1</v>
      </c>
    </row>
    <row r="9672" spans="8:11" x14ac:dyDescent="0.3">
      <c r="H9672">
        <v>0.5</v>
      </c>
      <c r="I9672" s="11">
        <f t="shared" si="151"/>
        <v>0</v>
      </c>
      <c r="J9672" s="11">
        <f>1/(H9672*Utilities!$B$11)</f>
        <v>8</v>
      </c>
      <c r="K9672" s="11">
        <f>IF(B9672&lt;C9672,1,EXP(-1*(B9672-C9672)/(Utilities!$B$11*IterData!H9672)))</f>
        <v>1</v>
      </c>
    </row>
    <row r="9673" spans="8:11" x14ac:dyDescent="0.3">
      <c r="H9673">
        <v>0.5</v>
      </c>
      <c r="I9673" s="11">
        <f t="shared" si="151"/>
        <v>0</v>
      </c>
      <c r="J9673" s="11">
        <f>1/(H9673*Utilities!$B$11)</f>
        <v>8</v>
      </c>
      <c r="K9673" s="11">
        <f>IF(B9673&lt;C9673,1,EXP(-1*(B9673-C9673)/(Utilities!$B$11*IterData!H9673)))</f>
        <v>1</v>
      </c>
    </row>
    <row r="9674" spans="8:11" x14ac:dyDescent="0.3">
      <c r="H9674">
        <v>0.5</v>
      </c>
      <c r="I9674" s="11">
        <f t="shared" si="151"/>
        <v>0</v>
      </c>
      <c r="J9674" s="11">
        <f>1/(H9674*Utilities!$B$11)</f>
        <v>8</v>
      </c>
      <c r="K9674" s="11">
        <f>IF(B9674&lt;C9674,1,EXP(-1*(B9674-C9674)/(Utilities!$B$11*IterData!H9674)))</f>
        <v>1</v>
      </c>
    </row>
    <row r="9675" spans="8:11" x14ac:dyDescent="0.3">
      <c r="H9675">
        <v>0.5</v>
      </c>
      <c r="I9675" s="11">
        <f t="shared" si="151"/>
        <v>0</v>
      </c>
      <c r="J9675" s="11">
        <f>1/(H9675*Utilities!$B$11)</f>
        <v>8</v>
      </c>
      <c r="K9675" s="11">
        <f>IF(B9675&lt;C9675,1,EXP(-1*(B9675-C9675)/(Utilities!$B$11*IterData!H9675)))</f>
        <v>1</v>
      </c>
    </row>
    <row r="9676" spans="8:11" x14ac:dyDescent="0.3">
      <c r="H9676">
        <v>0.5</v>
      </c>
      <c r="I9676" s="11">
        <f t="shared" si="151"/>
        <v>0</v>
      </c>
      <c r="J9676" s="11">
        <f>1/(H9676*Utilities!$B$11)</f>
        <v>8</v>
      </c>
      <c r="K9676" s="11">
        <f>IF(B9676&lt;C9676,1,EXP(-1*(B9676-C9676)/(Utilities!$B$11*IterData!H9676)))</f>
        <v>1</v>
      </c>
    </row>
    <row r="9677" spans="8:11" x14ac:dyDescent="0.3">
      <c r="H9677">
        <v>0.5</v>
      </c>
      <c r="I9677" s="11">
        <f t="shared" si="151"/>
        <v>0</v>
      </c>
      <c r="J9677" s="11">
        <f>1/(H9677*Utilities!$B$11)</f>
        <v>8</v>
      </c>
      <c r="K9677" s="11">
        <f>IF(B9677&lt;C9677,1,EXP(-1*(B9677-C9677)/(Utilities!$B$11*IterData!H9677)))</f>
        <v>1</v>
      </c>
    </row>
    <row r="9678" spans="8:11" x14ac:dyDescent="0.3">
      <c r="H9678">
        <v>0.5</v>
      </c>
      <c r="I9678" s="11">
        <f t="shared" si="151"/>
        <v>0</v>
      </c>
      <c r="J9678" s="11">
        <f>1/(H9678*Utilities!$B$11)</f>
        <v>8</v>
      </c>
      <c r="K9678" s="11">
        <f>IF(B9678&lt;C9678,1,EXP(-1*(B9678-C9678)/(Utilities!$B$11*IterData!H9678)))</f>
        <v>1</v>
      </c>
    </row>
    <row r="9679" spans="8:11" x14ac:dyDescent="0.3">
      <c r="H9679">
        <v>0.5</v>
      </c>
      <c r="I9679" s="11">
        <f t="shared" si="151"/>
        <v>0</v>
      </c>
      <c r="J9679" s="11">
        <f>1/(H9679*Utilities!$B$11)</f>
        <v>8</v>
      </c>
      <c r="K9679" s="11">
        <f>IF(B9679&lt;C9679,1,EXP(-1*(B9679-C9679)/(Utilities!$B$11*IterData!H9679)))</f>
        <v>1</v>
      </c>
    </row>
    <row r="9680" spans="8:11" x14ac:dyDescent="0.3">
      <c r="H9680">
        <v>0.5</v>
      </c>
      <c r="I9680" s="11">
        <f t="shared" si="151"/>
        <v>0</v>
      </c>
      <c r="J9680" s="11">
        <f>1/(H9680*Utilities!$B$11)</f>
        <v>8</v>
      </c>
      <c r="K9680" s="11">
        <f>IF(B9680&lt;C9680,1,EXP(-1*(B9680-C9680)/(Utilities!$B$11*IterData!H9680)))</f>
        <v>1</v>
      </c>
    </row>
    <row r="9681" spans="8:11" x14ac:dyDescent="0.3">
      <c r="H9681">
        <v>0.5</v>
      </c>
      <c r="I9681" s="11">
        <f t="shared" si="151"/>
        <v>0</v>
      </c>
      <c r="J9681" s="11">
        <f>1/(H9681*Utilities!$B$11)</f>
        <v>8</v>
      </c>
      <c r="K9681" s="11">
        <f>IF(B9681&lt;C9681,1,EXP(-1*(B9681-C9681)/(Utilities!$B$11*IterData!H9681)))</f>
        <v>1</v>
      </c>
    </row>
    <row r="9682" spans="8:11" x14ac:dyDescent="0.3">
      <c r="H9682">
        <v>0.5</v>
      </c>
      <c r="I9682" s="11">
        <f t="shared" si="151"/>
        <v>0</v>
      </c>
      <c r="J9682" s="11">
        <f>1/(H9682*Utilities!$B$11)</f>
        <v>8</v>
      </c>
      <c r="K9682" s="11">
        <f>IF(B9682&lt;C9682,1,EXP(-1*(B9682-C9682)/(Utilities!$B$11*IterData!H9682)))</f>
        <v>1</v>
      </c>
    </row>
    <row r="9683" spans="8:11" x14ac:dyDescent="0.3">
      <c r="H9683">
        <v>0.5</v>
      </c>
      <c r="I9683" s="11">
        <f t="shared" si="151"/>
        <v>0</v>
      </c>
      <c r="J9683" s="11">
        <f>1/(H9683*Utilities!$B$11)</f>
        <v>8</v>
      </c>
      <c r="K9683" s="11">
        <f>IF(B9683&lt;C9683,1,EXP(-1*(B9683-C9683)/(Utilities!$B$11*IterData!H9683)))</f>
        <v>1</v>
      </c>
    </row>
    <row r="9684" spans="8:11" x14ac:dyDescent="0.3">
      <c r="H9684">
        <v>0.5</v>
      </c>
      <c r="I9684" s="11">
        <f t="shared" si="151"/>
        <v>0</v>
      </c>
      <c r="J9684" s="11">
        <f>1/(H9684*Utilities!$B$11)</f>
        <v>8</v>
      </c>
      <c r="K9684" s="11">
        <f>IF(B9684&lt;C9684,1,EXP(-1*(B9684-C9684)/(Utilities!$B$11*IterData!H9684)))</f>
        <v>1</v>
      </c>
    </row>
    <row r="9685" spans="8:11" x14ac:dyDescent="0.3">
      <c r="H9685">
        <v>0.5</v>
      </c>
      <c r="I9685" s="11">
        <f t="shared" si="151"/>
        <v>0</v>
      </c>
      <c r="J9685" s="11">
        <f>1/(H9685*Utilities!$B$11)</f>
        <v>8</v>
      </c>
      <c r="K9685" s="11">
        <f>IF(B9685&lt;C9685,1,EXP(-1*(B9685-C9685)/(Utilities!$B$11*IterData!H9685)))</f>
        <v>1</v>
      </c>
    </row>
    <row r="9686" spans="8:11" x14ac:dyDescent="0.3">
      <c r="H9686">
        <v>0.5</v>
      </c>
      <c r="I9686" s="11">
        <f t="shared" si="151"/>
        <v>0</v>
      </c>
      <c r="J9686" s="11">
        <f>1/(H9686*Utilities!$B$11)</f>
        <v>8</v>
      </c>
      <c r="K9686" s="11">
        <f>IF(B9686&lt;C9686,1,EXP(-1*(B9686-C9686)/(Utilities!$B$11*IterData!H9686)))</f>
        <v>1</v>
      </c>
    </row>
    <row r="9687" spans="8:11" x14ac:dyDescent="0.3">
      <c r="H9687">
        <v>0.5</v>
      </c>
      <c r="I9687" s="11">
        <f t="shared" si="151"/>
        <v>0</v>
      </c>
      <c r="J9687" s="11">
        <f>1/(H9687*Utilities!$B$11)</f>
        <v>8</v>
      </c>
      <c r="K9687" s="11">
        <f>IF(B9687&lt;C9687,1,EXP(-1*(B9687-C9687)/(Utilities!$B$11*IterData!H9687)))</f>
        <v>1</v>
      </c>
    </row>
    <row r="9688" spans="8:11" x14ac:dyDescent="0.3">
      <c r="H9688">
        <v>0.5</v>
      </c>
      <c r="I9688" s="11">
        <f t="shared" si="151"/>
        <v>0</v>
      </c>
      <c r="J9688" s="11">
        <f>1/(H9688*Utilities!$B$11)</f>
        <v>8</v>
      </c>
      <c r="K9688" s="11">
        <f>IF(B9688&lt;C9688,1,EXP(-1*(B9688-C9688)/(Utilities!$B$11*IterData!H9688)))</f>
        <v>1</v>
      </c>
    </row>
    <row r="9689" spans="8:11" x14ac:dyDescent="0.3">
      <c r="H9689">
        <v>0.5</v>
      </c>
      <c r="I9689" s="11">
        <f t="shared" si="151"/>
        <v>0</v>
      </c>
      <c r="J9689" s="11">
        <f>1/(H9689*Utilities!$B$11)</f>
        <v>8</v>
      </c>
      <c r="K9689" s="11">
        <f>IF(B9689&lt;C9689,1,EXP(-1*(B9689-C9689)/(Utilities!$B$11*IterData!H9689)))</f>
        <v>1</v>
      </c>
    </row>
    <row r="9690" spans="8:11" x14ac:dyDescent="0.3">
      <c r="H9690">
        <v>0.5</v>
      </c>
      <c r="I9690" s="11">
        <f t="shared" si="151"/>
        <v>0</v>
      </c>
      <c r="J9690" s="11">
        <f>1/(H9690*Utilities!$B$11)</f>
        <v>8</v>
      </c>
      <c r="K9690" s="11">
        <f>IF(B9690&lt;C9690,1,EXP(-1*(B9690-C9690)/(Utilities!$B$11*IterData!H9690)))</f>
        <v>1</v>
      </c>
    </row>
    <row r="9691" spans="8:11" x14ac:dyDescent="0.3">
      <c r="H9691">
        <v>0.5</v>
      </c>
      <c r="I9691" s="11">
        <f t="shared" si="151"/>
        <v>0</v>
      </c>
      <c r="J9691" s="11">
        <f>1/(H9691*Utilities!$B$11)</f>
        <v>8</v>
      </c>
      <c r="K9691" s="11">
        <f>IF(B9691&lt;C9691,1,EXP(-1*(B9691-C9691)/(Utilities!$B$11*IterData!H9691)))</f>
        <v>1</v>
      </c>
    </row>
    <row r="9692" spans="8:11" x14ac:dyDescent="0.3">
      <c r="H9692">
        <v>0.5</v>
      </c>
      <c r="I9692" s="11">
        <f t="shared" si="151"/>
        <v>0</v>
      </c>
      <c r="J9692" s="11">
        <f>1/(H9692*Utilities!$B$11)</f>
        <v>8</v>
      </c>
      <c r="K9692" s="11">
        <f>IF(B9692&lt;C9692,1,EXP(-1*(B9692-C9692)/(Utilities!$B$11*IterData!H9692)))</f>
        <v>1</v>
      </c>
    </row>
    <row r="9693" spans="8:11" x14ac:dyDescent="0.3">
      <c r="H9693">
        <v>0.5</v>
      </c>
      <c r="I9693" s="11">
        <f t="shared" si="151"/>
        <v>0</v>
      </c>
      <c r="J9693" s="11">
        <f>1/(H9693*Utilities!$B$11)</f>
        <v>8</v>
      </c>
      <c r="K9693" s="11">
        <f>IF(B9693&lt;C9693,1,EXP(-1*(B9693-C9693)/(Utilities!$B$11*IterData!H9693)))</f>
        <v>1</v>
      </c>
    </row>
    <row r="9694" spans="8:11" x14ac:dyDescent="0.3">
      <c r="H9694">
        <v>0.5</v>
      </c>
      <c r="I9694" s="11">
        <f t="shared" si="151"/>
        <v>0</v>
      </c>
      <c r="J9694" s="11">
        <f>1/(H9694*Utilities!$B$11)</f>
        <v>8</v>
      </c>
      <c r="K9694" s="11">
        <f>IF(B9694&lt;C9694,1,EXP(-1*(B9694-C9694)/(Utilities!$B$11*IterData!H9694)))</f>
        <v>1</v>
      </c>
    </row>
    <row r="9695" spans="8:11" x14ac:dyDescent="0.3">
      <c r="H9695">
        <v>0.5</v>
      </c>
      <c r="I9695" s="11">
        <f t="shared" si="151"/>
        <v>0</v>
      </c>
      <c r="J9695" s="11">
        <f>1/(H9695*Utilities!$B$11)</f>
        <v>8</v>
      </c>
      <c r="K9695" s="11">
        <f>IF(B9695&lt;C9695,1,EXP(-1*(B9695-C9695)/(Utilities!$B$11*IterData!H9695)))</f>
        <v>1</v>
      </c>
    </row>
    <row r="9696" spans="8:11" x14ac:dyDescent="0.3">
      <c r="H9696">
        <v>0.5</v>
      </c>
      <c r="I9696" s="11">
        <f t="shared" si="151"/>
        <v>0</v>
      </c>
      <c r="J9696" s="11">
        <f>1/(H9696*Utilities!$B$11)</f>
        <v>8</v>
      </c>
      <c r="K9696" s="11">
        <f>IF(B9696&lt;C9696,1,EXP(-1*(B9696-C9696)/(Utilities!$B$11*IterData!H9696)))</f>
        <v>1</v>
      </c>
    </row>
    <row r="9697" spans="8:11" x14ac:dyDescent="0.3">
      <c r="H9697">
        <v>0.5</v>
      </c>
      <c r="I9697" s="11">
        <f t="shared" si="151"/>
        <v>0</v>
      </c>
      <c r="J9697" s="11">
        <f>1/(H9697*Utilities!$B$11)</f>
        <v>8</v>
      </c>
      <c r="K9697" s="11">
        <f>IF(B9697&lt;C9697,1,EXP(-1*(B9697-C9697)/(Utilities!$B$11*IterData!H9697)))</f>
        <v>1</v>
      </c>
    </row>
    <row r="9698" spans="8:11" x14ac:dyDescent="0.3">
      <c r="H9698">
        <v>0.5</v>
      </c>
      <c r="I9698" s="11">
        <f t="shared" si="151"/>
        <v>0</v>
      </c>
      <c r="J9698" s="11">
        <f>1/(H9698*Utilities!$B$11)</f>
        <v>8</v>
      </c>
      <c r="K9698" s="11">
        <f>IF(B9698&lt;C9698,1,EXP(-1*(B9698-C9698)/(Utilities!$B$11*IterData!H9698)))</f>
        <v>1</v>
      </c>
    </row>
    <row r="9699" spans="8:11" x14ac:dyDescent="0.3">
      <c r="H9699">
        <v>0.5</v>
      </c>
      <c r="I9699" s="11">
        <f t="shared" si="151"/>
        <v>0</v>
      </c>
      <c r="J9699" s="11">
        <f>1/(H9699*Utilities!$B$11)</f>
        <v>8</v>
      </c>
      <c r="K9699" s="11">
        <f>IF(B9699&lt;C9699,1,EXP(-1*(B9699-C9699)/(Utilities!$B$11*IterData!H9699)))</f>
        <v>1</v>
      </c>
    </row>
    <row r="9700" spans="8:11" x14ac:dyDescent="0.3">
      <c r="H9700">
        <v>0.5</v>
      </c>
      <c r="I9700" s="11">
        <f t="shared" si="151"/>
        <v>0</v>
      </c>
      <c r="J9700" s="11">
        <f>1/(H9700*Utilities!$B$11)</f>
        <v>8</v>
      </c>
      <c r="K9700" s="11">
        <f>IF(B9700&lt;C9700,1,EXP(-1*(B9700-C9700)/(Utilities!$B$11*IterData!H9700)))</f>
        <v>1</v>
      </c>
    </row>
    <row r="9701" spans="8:11" x14ac:dyDescent="0.3">
      <c r="H9701">
        <v>0.5</v>
      </c>
      <c r="I9701" s="11">
        <f t="shared" si="151"/>
        <v>0</v>
      </c>
      <c r="J9701" s="11">
        <f>1/(H9701*Utilities!$B$11)</f>
        <v>8</v>
      </c>
      <c r="K9701" s="11">
        <f>IF(B9701&lt;C9701,1,EXP(-1*(B9701-C9701)/(Utilities!$B$11*IterData!H9701)))</f>
        <v>1</v>
      </c>
    </row>
    <row r="9702" spans="8:11" x14ac:dyDescent="0.3">
      <c r="H9702">
        <v>0.5</v>
      </c>
      <c r="I9702" s="11">
        <f t="shared" si="151"/>
        <v>0</v>
      </c>
      <c r="J9702" s="11">
        <f>1/(H9702*Utilities!$B$11)</f>
        <v>8</v>
      </c>
      <c r="K9702" s="11">
        <f>IF(B9702&lt;C9702,1,EXP(-1*(B9702-C9702)/(Utilities!$B$11*IterData!H9702)))</f>
        <v>1</v>
      </c>
    </row>
    <row r="9703" spans="8:11" x14ac:dyDescent="0.3">
      <c r="H9703">
        <v>0.5</v>
      </c>
      <c r="I9703" s="11">
        <f t="shared" si="151"/>
        <v>0</v>
      </c>
      <c r="J9703" s="11">
        <f>1/(H9703*Utilities!$B$11)</f>
        <v>8</v>
      </c>
      <c r="K9703" s="11">
        <f>IF(B9703&lt;C9703,1,EXP(-1*(B9703-C9703)/(Utilities!$B$11*IterData!H9703)))</f>
        <v>1</v>
      </c>
    </row>
    <row r="9704" spans="8:11" x14ac:dyDescent="0.3">
      <c r="H9704">
        <v>0.5</v>
      </c>
      <c r="I9704" s="11">
        <f t="shared" si="151"/>
        <v>0</v>
      </c>
      <c r="J9704" s="11">
        <f>1/(H9704*Utilities!$B$11)</f>
        <v>8</v>
      </c>
      <c r="K9704" s="11">
        <f>IF(B9704&lt;C9704,1,EXP(-1*(B9704-C9704)/(Utilities!$B$11*IterData!H9704)))</f>
        <v>1</v>
      </c>
    </row>
    <row r="9705" spans="8:11" x14ac:dyDescent="0.3">
      <c r="H9705">
        <v>0.5</v>
      </c>
      <c r="I9705" s="11">
        <f t="shared" si="151"/>
        <v>0</v>
      </c>
      <c r="J9705" s="11">
        <f>1/(H9705*Utilities!$B$11)</f>
        <v>8</v>
      </c>
      <c r="K9705" s="11">
        <f>IF(B9705&lt;C9705,1,EXP(-1*(B9705-C9705)/(Utilities!$B$11*IterData!H9705)))</f>
        <v>1</v>
      </c>
    </row>
    <row r="9706" spans="8:11" x14ac:dyDescent="0.3">
      <c r="H9706">
        <v>0.5</v>
      </c>
      <c r="I9706" s="11">
        <f t="shared" si="151"/>
        <v>0</v>
      </c>
      <c r="J9706" s="11">
        <f>1/(H9706*Utilities!$B$11)</f>
        <v>8</v>
      </c>
      <c r="K9706" s="11">
        <f>IF(B9706&lt;C9706,1,EXP(-1*(B9706-C9706)/(Utilities!$B$11*IterData!H9706)))</f>
        <v>1</v>
      </c>
    </row>
    <row r="9707" spans="8:11" x14ac:dyDescent="0.3">
      <c r="H9707">
        <v>0.5</v>
      </c>
      <c r="I9707" s="11">
        <f t="shared" si="151"/>
        <v>0</v>
      </c>
      <c r="J9707" s="11">
        <f>1/(H9707*Utilities!$B$11)</f>
        <v>8</v>
      </c>
      <c r="K9707" s="11">
        <f>IF(B9707&lt;C9707,1,EXP(-1*(B9707-C9707)/(Utilities!$B$11*IterData!H9707)))</f>
        <v>1</v>
      </c>
    </row>
    <row r="9708" spans="8:11" x14ac:dyDescent="0.3">
      <c r="H9708">
        <v>0.5</v>
      </c>
      <c r="I9708" s="11">
        <f t="shared" si="151"/>
        <v>0</v>
      </c>
      <c r="J9708" s="11">
        <f>1/(H9708*Utilities!$B$11)</f>
        <v>8</v>
      </c>
      <c r="K9708" s="11">
        <f>IF(B9708&lt;C9708,1,EXP(-1*(B9708-C9708)/(Utilities!$B$11*IterData!H9708)))</f>
        <v>1</v>
      </c>
    </row>
    <row r="9709" spans="8:11" x14ac:dyDescent="0.3">
      <c r="H9709">
        <v>0.5</v>
      </c>
      <c r="I9709" s="11">
        <f t="shared" si="151"/>
        <v>0</v>
      </c>
      <c r="J9709" s="11">
        <f>1/(H9709*Utilities!$B$11)</f>
        <v>8</v>
      </c>
      <c r="K9709" s="11">
        <f>IF(B9709&lt;C9709,1,EXP(-1*(B9709-C9709)/(Utilities!$B$11*IterData!H9709)))</f>
        <v>1</v>
      </c>
    </row>
    <row r="9710" spans="8:11" x14ac:dyDescent="0.3">
      <c r="H9710">
        <v>0.5</v>
      </c>
      <c r="I9710" s="11">
        <f t="shared" si="151"/>
        <v>0</v>
      </c>
      <c r="J9710" s="11">
        <f>1/(H9710*Utilities!$B$11)</f>
        <v>8</v>
      </c>
      <c r="K9710" s="11">
        <f>IF(B9710&lt;C9710,1,EXP(-1*(B9710-C9710)/(Utilities!$B$11*IterData!H9710)))</f>
        <v>1</v>
      </c>
    </row>
    <row r="9711" spans="8:11" x14ac:dyDescent="0.3">
      <c r="H9711">
        <v>0.5</v>
      </c>
      <c r="I9711" s="11">
        <f t="shared" si="151"/>
        <v>0</v>
      </c>
      <c r="J9711" s="11">
        <f>1/(H9711*Utilities!$B$11)</f>
        <v>8</v>
      </c>
      <c r="K9711" s="11">
        <f>IF(B9711&lt;C9711,1,EXP(-1*(B9711-C9711)/(Utilities!$B$11*IterData!H9711)))</f>
        <v>1</v>
      </c>
    </row>
    <row r="9712" spans="8:11" x14ac:dyDescent="0.3">
      <c r="H9712">
        <v>0.5</v>
      </c>
      <c r="I9712" s="11">
        <f t="shared" si="151"/>
        <v>0</v>
      </c>
      <c r="J9712" s="11">
        <f>1/(H9712*Utilities!$B$11)</f>
        <v>8</v>
      </c>
      <c r="K9712" s="11">
        <f>IF(B9712&lt;C9712,1,EXP(-1*(B9712-C9712)/(Utilities!$B$11*IterData!H9712)))</f>
        <v>1</v>
      </c>
    </row>
    <row r="9713" spans="8:11" x14ac:dyDescent="0.3">
      <c r="H9713">
        <v>0.5</v>
      </c>
      <c r="I9713" s="11">
        <f t="shared" si="151"/>
        <v>0</v>
      </c>
      <c r="J9713" s="11">
        <f>1/(H9713*Utilities!$B$11)</f>
        <v>8</v>
      </c>
      <c r="K9713" s="11">
        <f>IF(B9713&lt;C9713,1,EXP(-1*(B9713-C9713)/(Utilities!$B$11*IterData!H9713)))</f>
        <v>1</v>
      </c>
    </row>
    <row r="9714" spans="8:11" x14ac:dyDescent="0.3">
      <c r="H9714">
        <v>0.5</v>
      </c>
      <c r="I9714" s="11">
        <f t="shared" si="151"/>
        <v>0</v>
      </c>
      <c r="J9714" s="11">
        <f>1/(H9714*Utilities!$B$11)</f>
        <v>8</v>
      </c>
      <c r="K9714" s="11">
        <f>IF(B9714&lt;C9714,1,EXP(-1*(B9714-C9714)/(Utilities!$B$11*IterData!H9714)))</f>
        <v>1</v>
      </c>
    </row>
    <row r="9715" spans="8:11" x14ac:dyDescent="0.3">
      <c r="H9715">
        <v>0.5</v>
      </c>
      <c r="I9715" s="11">
        <f t="shared" si="151"/>
        <v>0</v>
      </c>
      <c r="J9715" s="11">
        <f>1/(H9715*Utilities!$B$11)</f>
        <v>8</v>
      </c>
      <c r="K9715" s="11">
        <f>IF(B9715&lt;C9715,1,EXP(-1*(B9715-C9715)/(Utilities!$B$11*IterData!H9715)))</f>
        <v>1</v>
      </c>
    </row>
    <row r="9716" spans="8:11" x14ac:dyDescent="0.3">
      <c r="H9716">
        <v>0.5</v>
      </c>
      <c r="I9716" s="11">
        <f t="shared" si="151"/>
        <v>0</v>
      </c>
      <c r="J9716" s="11">
        <f>1/(H9716*Utilities!$B$11)</f>
        <v>8</v>
      </c>
      <c r="K9716" s="11">
        <f>IF(B9716&lt;C9716,1,EXP(-1*(B9716-C9716)/(Utilities!$B$11*IterData!H9716)))</f>
        <v>1</v>
      </c>
    </row>
    <row r="9717" spans="8:11" x14ac:dyDescent="0.3">
      <c r="H9717">
        <v>0.5</v>
      </c>
      <c r="I9717" s="11">
        <f t="shared" si="151"/>
        <v>0</v>
      </c>
      <c r="J9717" s="11">
        <f>1/(H9717*Utilities!$B$11)</f>
        <v>8</v>
      </c>
      <c r="K9717" s="11">
        <f>IF(B9717&lt;C9717,1,EXP(-1*(B9717-C9717)/(Utilities!$B$11*IterData!H9717)))</f>
        <v>1</v>
      </c>
    </row>
    <row r="9718" spans="8:11" x14ac:dyDescent="0.3">
      <c r="H9718">
        <v>0.5</v>
      </c>
      <c r="I9718" s="11">
        <f t="shared" si="151"/>
        <v>0</v>
      </c>
      <c r="J9718" s="11">
        <f>1/(H9718*Utilities!$B$11)</f>
        <v>8</v>
      </c>
      <c r="K9718" s="11">
        <f>IF(B9718&lt;C9718,1,EXP(-1*(B9718-C9718)/(Utilities!$B$11*IterData!H9718)))</f>
        <v>1</v>
      </c>
    </row>
    <row r="9719" spans="8:11" x14ac:dyDescent="0.3">
      <c r="H9719">
        <v>0.5</v>
      </c>
      <c r="I9719" s="11">
        <f t="shared" si="151"/>
        <v>0</v>
      </c>
      <c r="J9719" s="11">
        <f>1/(H9719*Utilities!$B$11)</f>
        <v>8</v>
      </c>
      <c r="K9719" s="11">
        <f>IF(B9719&lt;C9719,1,EXP(-1*(B9719-C9719)/(Utilities!$B$11*IterData!H9719)))</f>
        <v>1</v>
      </c>
    </row>
    <row r="9720" spans="8:11" x14ac:dyDescent="0.3">
      <c r="H9720">
        <v>0.5</v>
      </c>
      <c r="I9720" s="11">
        <f t="shared" si="151"/>
        <v>0</v>
      </c>
      <c r="J9720" s="11">
        <f>1/(H9720*Utilities!$B$11)</f>
        <v>8</v>
      </c>
      <c r="K9720" s="11">
        <f>IF(B9720&lt;C9720,1,EXP(-1*(B9720-C9720)/(Utilities!$B$11*IterData!H9720)))</f>
        <v>1</v>
      </c>
    </row>
    <row r="9721" spans="8:11" x14ac:dyDescent="0.3">
      <c r="H9721">
        <v>0.5</v>
      </c>
      <c r="I9721" s="11">
        <f t="shared" si="151"/>
        <v>0</v>
      </c>
      <c r="J9721" s="11">
        <f>1/(H9721*Utilities!$B$11)</f>
        <v>8</v>
      </c>
      <c r="K9721" s="11">
        <f>IF(B9721&lt;C9721,1,EXP(-1*(B9721-C9721)/(Utilities!$B$11*IterData!H9721)))</f>
        <v>1</v>
      </c>
    </row>
    <row r="9722" spans="8:11" x14ac:dyDescent="0.3">
      <c r="H9722">
        <v>0.5</v>
      </c>
      <c r="I9722" s="11">
        <f t="shared" si="151"/>
        <v>0</v>
      </c>
      <c r="J9722" s="11">
        <f>1/(H9722*Utilities!$B$11)</f>
        <v>8</v>
      </c>
      <c r="K9722" s="11">
        <f>IF(B9722&lt;C9722,1,EXP(-1*(B9722-C9722)/(Utilities!$B$11*IterData!H9722)))</f>
        <v>1</v>
      </c>
    </row>
    <row r="9723" spans="8:11" x14ac:dyDescent="0.3">
      <c r="H9723">
        <v>0.5</v>
      </c>
      <c r="I9723" s="11">
        <f t="shared" si="151"/>
        <v>0</v>
      </c>
      <c r="J9723" s="11">
        <f>1/(H9723*Utilities!$B$11)</f>
        <v>8</v>
      </c>
      <c r="K9723" s="11">
        <f>IF(B9723&lt;C9723,1,EXP(-1*(B9723-C9723)/(Utilities!$B$11*IterData!H9723)))</f>
        <v>1</v>
      </c>
    </row>
    <row r="9724" spans="8:11" x14ac:dyDescent="0.3">
      <c r="H9724">
        <v>0.5</v>
      </c>
      <c r="I9724" s="11">
        <f t="shared" si="151"/>
        <v>0</v>
      </c>
      <c r="J9724" s="11">
        <f>1/(H9724*Utilities!$B$11)</f>
        <v>8</v>
      </c>
      <c r="K9724" s="11">
        <f>IF(B9724&lt;C9724,1,EXP(-1*(B9724-C9724)/(Utilities!$B$11*IterData!H9724)))</f>
        <v>1</v>
      </c>
    </row>
    <row r="9725" spans="8:11" x14ac:dyDescent="0.3">
      <c r="H9725">
        <v>0.5</v>
      </c>
      <c r="I9725" s="11">
        <f t="shared" si="151"/>
        <v>0</v>
      </c>
      <c r="J9725" s="11">
        <f>1/(H9725*Utilities!$B$11)</f>
        <v>8</v>
      </c>
      <c r="K9725" s="11">
        <f>IF(B9725&lt;C9725,1,EXP(-1*(B9725-C9725)/(Utilities!$B$11*IterData!H9725)))</f>
        <v>1</v>
      </c>
    </row>
    <row r="9726" spans="8:11" x14ac:dyDescent="0.3">
      <c r="H9726">
        <v>0.5</v>
      </c>
      <c r="I9726" s="11">
        <f t="shared" si="151"/>
        <v>0</v>
      </c>
      <c r="J9726" s="11">
        <f>1/(H9726*Utilities!$B$11)</f>
        <v>8</v>
      </c>
      <c r="K9726" s="11">
        <f>IF(B9726&lt;C9726,1,EXP(-1*(B9726-C9726)/(Utilities!$B$11*IterData!H9726)))</f>
        <v>1</v>
      </c>
    </row>
    <row r="9727" spans="8:11" x14ac:dyDescent="0.3">
      <c r="H9727">
        <v>0.5</v>
      </c>
      <c r="I9727" s="11">
        <f t="shared" si="151"/>
        <v>0</v>
      </c>
      <c r="J9727" s="11">
        <f>1/(H9727*Utilities!$B$11)</f>
        <v>8</v>
      </c>
      <c r="K9727" s="11">
        <f>IF(B9727&lt;C9727,1,EXP(-1*(B9727-C9727)/(Utilities!$B$11*IterData!H9727)))</f>
        <v>1</v>
      </c>
    </row>
    <row r="9728" spans="8:11" x14ac:dyDescent="0.3">
      <c r="H9728">
        <v>0.5</v>
      </c>
      <c r="I9728" s="11">
        <f t="shared" si="151"/>
        <v>0</v>
      </c>
      <c r="J9728" s="11">
        <f>1/(H9728*Utilities!$B$11)</f>
        <v>8</v>
      </c>
      <c r="K9728" s="11">
        <f>IF(B9728&lt;C9728,1,EXP(-1*(B9728-C9728)/(Utilities!$B$11*IterData!H9728)))</f>
        <v>1</v>
      </c>
    </row>
    <row r="9729" spans="8:11" x14ac:dyDescent="0.3">
      <c r="H9729">
        <v>0.5</v>
      </c>
      <c r="I9729" s="11">
        <f t="shared" si="151"/>
        <v>0</v>
      </c>
      <c r="J9729" s="11">
        <f>1/(H9729*Utilities!$B$11)</f>
        <v>8</v>
      </c>
      <c r="K9729" s="11">
        <f>IF(B9729&lt;C9729,1,EXP(-1*(B9729-C9729)/(Utilities!$B$11*IterData!H9729)))</f>
        <v>1</v>
      </c>
    </row>
    <row r="9730" spans="8:11" x14ac:dyDescent="0.3">
      <c r="H9730">
        <v>0.5</v>
      </c>
      <c r="I9730" s="11">
        <f t="shared" si="151"/>
        <v>0</v>
      </c>
      <c r="J9730" s="11">
        <f>1/(H9730*Utilities!$B$11)</f>
        <v>8</v>
      </c>
      <c r="K9730" s="11">
        <f>IF(B9730&lt;C9730,1,EXP(-1*(B9730-C9730)/(Utilities!$B$11*IterData!H9730)))</f>
        <v>1</v>
      </c>
    </row>
    <row r="9731" spans="8:11" x14ac:dyDescent="0.3">
      <c r="H9731">
        <v>0.5</v>
      </c>
      <c r="I9731" s="11">
        <f t="shared" ref="I9731:I9794" si="152">B9731-C9731</f>
        <v>0</v>
      </c>
      <c r="J9731" s="11">
        <f>1/(H9731*Utilities!$B$11)</f>
        <v>8</v>
      </c>
      <c r="K9731" s="11">
        <f>IF(B9731&lt;C9731,1,EXP(-1*(B9731-C9731)/(Utilities!$B$11*IterData!H9731)))</f>
        <v>1</v>
      </c>
    </row>
    <row r="9732" spans="8:11" x14ac:dyDescent="0.3">
      <c r="H9732">
        <v>0.5</v>
      </c>
      <c r="I9732" s="11">
        <f t="shared" si="152"/>
        <v>0</v>
      </c>
      <c r="J9732" s="11">
        <f>1/(H9732*Utilities!$B$11)</f>
        <v>8</v>
      </c>
      <c r="K9732" s="11">
        <f>IF(B9732&lt;C9732,1,EXP(-1*(B9732-C9732)/(Utilities!$B$11*IterData!H9732)))</f>
        <v>1</v>
      </c>
    </row>
    <row r="9733" spans="8:11" x14ac:dyDescent="0.3">
      <c r="H9733">
        <v>0.5</v>
      </c>
      <c r="I9733" s="11">
        <f t="shared" si="152"/>
        <v>0</v>
      </c>
      <c r="J9733" s="11">
        <f>1/(H9733*Utilities!$B$11)</f>
        <v>8</v>
      </c>
      <c r="K9733" s="11">
        <f>IF(B9733&lt;C9733,1,EXP(-1*(B9733-C9733)/(Utilities!$B$11*IterData!H9733)))</f>
        <v>1</v>
      </c>
    </row>
    <row r="9734" spans="8:11" x14ac:dyDescent="0.3">
      <c r="H9734">
        <v>0.5</v>
      </c>
      <c r="I9734" s="11">
        <f t="shared" si="152"/>
        <v>0</v>
      </c>
      <c r="J9734" s="11">
        <f>1/(H9734*Utilities!$B$11)</f>
        <v>8</v>
      </c>
      <c r="K9734" s="11">
        <f>IF(B9734&lt;C9734,1,EXP(-1*(B9734-C9734)/(Utilities!$B$11*IterData!H9734)))</f>
        <v>1</v>
      </c>
    </row>
    <row r="9735" spans="8:11" x14ac:dyDescent="0.3">
      <c r="H9735">
        <v>0.5</v>
      </c>
      <c r="I9735" s="11">
        <f t="shared" si="152"/>
        <v>0</v>
      </c>
      <c r="J9735" s="11">
        <f>1/(H9735*Utilities!$B$11)</f>
        <v>8</v>
      </c>
      <c r="K9735" s="11">
        <f>IF(B9735&lt;C9735,1,EXP(-1*(B9735-C9735)/(Utilities!$B$11*IterData!H9735)))</f>
        <v>1</v>
      </c>
    </row>
    <row r="9736" spans="8:11" x14ac:dyDescent="0.3">
      <c r="H9736">
        <v>0.5</v>
      </c>
      <c r="I9736" s="11">
        <f t="shared" si="152"/>
        <v>0</v>
      </c>
      <c r="J9736" s="11">
        <f>1/(H9736*Utilities!$B$11)</f>
        <v>8</v>
      </c>
      <c r="K9736" s="11">
        <f>IF(B9736&lt;C9736,1,EXP(-1*(B9736-C9736)/(Utilities!$B$11*IterData!H9736)))</f>
        <v>1</v>
      </c>
    </row>
    <row r="9737" spans="8:11" x14ac:dyDescent="0.3">
      <c r="H9737">
        <v>0.5</v>
      </c>
      <c r="I9737" s="11">
        <f t="shared" si="152"/>
        <v>0</v>
      </c>
      <c r="J9737" s="11">
        <f>1/(H9737*Utilities!$B$11)</f>
        <v>8</v>
      </c>
      <c r="K9737" s="11">
        <f>IF(B9737&lt;C9737,1,EXP(-1*(B9737-C9737)/(Utilities!$B$11*IterData!H9737)))</f>
        <v>1</v>
      </c>
    </row>
    <row r="9738" spans="8:11" x14ac:dyDescent="0.3">
      <c r="H9738">
        <v>0.5</v>
      </c>
      <c r="I9738" s="11">
        <f t="shared" si="152"/>
        <v>0</v>
      </c>
      <c r="J9738" s="11">
        <f>1/(H9738*Utilities!$B$11)</f>
        <v>8</v>
      </c>
      <c r="K9738" s="11">
        <f>IF(B9738&lt;C9738,1,EXP(-1*(B9738-C9738)/(Utilities!$B$11*IterData!H9738)))</f>
        <v>1</v>
      </c>
    </row>
    <row r="9739" spans="8:11" x14ac:dyDescent="0.3">
      <c r="H9739">
        <v>0.5</v>
      </c>
      <c r="I9739" s="11">
        <f t="shared" si="152"/>
        <v>0</v>
      </c>
      <c r="J9739" s="11">
        <f>1/(H9739*Utilities!$B$11)</f>
        <v>8</v>
      </c>
      <c r="K9739" s="11">
        <f>IF(B9739&lt;C9739,1,EXP(-1*(B9739-C9739)/(Utilities!$B$11*IterData!H9739)))</f>
        <v>1</v>
      </c>
    </row>
    <row r="9740" spans="8:11" x14ac:dyDescent="0.3">
      <c r="H9740">
        <v>0.5</v>
      </c>
      <c r="I9740" s="11">
        <f t="shared" si="152"/>
        <v>0</v>
      </c>
      <c r="J9740" s="11">
        <f>1/(H9740*Utilities!$B$11)</f>
        <v>8</v>
      </c>
      <c r="K9740" s="11">
        <f>IF(B9740&lt;C9740,1,EXP(-1*(B9740-C9740)/(Utilities!$B$11*IterData!H9740)))</f>
        <v>1</v>
      </c>
    </row>
    <row r="9741" spans="8:11" x14ac:dyDescent="0.3">
      <c r="H9741">
        <v>0.5</v>
      </c>
      <c r="I9741" s="11">
        <f t="shared" si="152"/>
        <v>0</v>
      </c>
      <c r="J9741" s="11">
        <f>1/(H9741*Utilities!$B$11)</f>
        <v>8</v>
      </c>
      <c r="K9741" s="11">
        <f>IF(B9741&lt;C9741,1,EXP(-1*(B9741-C9741)/(Utilities!$B$11*IterData!H9741)))</f>
        <v>1</v>
      </c>
    </row>
    <row r="9742" spans="8:11" x14ac:dyDescent="0.3">
      <c r="H9742">
        <v>0.5</v>
      </c>
      <c r="I9742" s="11">
        <f t="shared" si="152"/>
        <v>0</v>
      </c>
      <c r="J9742" s="11">
        <f>1/(H9742*Utilities!$B$11)</f>
        <v>8</v>
      </c>
      <c r="K9742" s="11">
        <f>IF(B9742&lt;C9742,1,EXP(-1*(B9742-C9742)/(Utilities!$B$11*IterData!H9742)))</f>
        <v>1</v>
      </c>
    </row>
    <row r="9743" spans="8:11" x14ac:dyDescent="0.3">
      <c r="H9743">
        <v>0.5</v>
      </c>
      <c r="I9743" s="11">
        <f t="shared" si="152"/>
        <v>0</v>
      </c>
      <c r="J9743" s="11">
        <f>1/(H9743*Utilities!$B$11)</f>
        <v>8</v>
      </c>
      <c r="K9743" s="11">
        <f>IF(B9743&lt;C9743,1,EXP(-1*(B9743-C9743)/(Utilities!$B$11*IterData!H9743)))</f>
        <v>1</v>
      </c>
    </row>
    <row r="9744" spans="8:11" x14ac:dyDescent="0.3">
      <c r="H9744">
        <v>0.5</v>
      </c>
      <c r="I9744" s="11">
        <f t="shared" si="152"/>
        <v>0</v>
      </c>
      <c r="J9744" s="11">
        <f>1/(H9744*Utilities!$B$11)</f>
        <v>8</v>
      </c>
      <c r="K9744" s="11">
        <f>IF(B9744&lt;C9744,1,EXP(-1*(B9744-C9744)/(Utilities!$B$11*IterData!H9744)))</f>
        <v>1</v>
      </c>
    </row>
    <row r="9745" spans="8:11" x14ac:dyDescent="0.3">
      <c r="H9745">
        <v>0.5</v>
      </c>
      <c r="I9745" s="11">
        <f t="shared" si="152"/>
        <v>0</v>
      </c>
      <c r="J9745" s="11">
        <f>1/(H9745*Utilities!$B$11)</f>
        <v>8</v>
      </c>
      <c r="K9745" s="11">
        <f>IF(B9745&lt;C9745,1,EXP(-1*(B9745-C9745)/(Utilities!$B$11*IterData!H9745)))</f>
        <v>1</v>
      </c>
    </row>
    <row r="9746" spans="8:11" x14ac:dyDescent="0.3">
      <c r="H9746">
        <v>0.5</v>
      </c>
      <c r="I9746" s="11">
        <f t="shared" si="152"/>
        <v>0</v>
      </c>
      <c r="J9746" s="11">
        <f>1/(H9746*Utilities!$B$11)</f>
        <v>8</v>
      </c>
      <c r="K9746" s="11">
        <f>IF(B9746&lt;C9746,1,EXP(-1*(B9746-C9746)/(Utilities!$B$11*IterData!H9746)))</f>
        <v>1</v>
      </c>
    </row>
    <row r="9747" spans="8:11" x14ac:dyDescent="0.3">
      <c r="H9747">
        <v>0.5</v>
      </c>
      <c r="I9747" s="11">
        <f t="shared" si="152"/>
        <v>0</v>
      </c>
      <c r="J9747" s="11">
        <f>1/(H9747*Utilities!$B$11)</f>
        <v>8</v>
      </c>
      <c r="K9747" s="11">
        <f>IF(B9747&lt;C9747,1,EXP(-1*(B9747-C9747)/(Utilities!$B$11*IterData!H9747)))</f>
        <v>1</v>
      </c>
    </row>
    <row r="9748" spans="8:11" x14ac:dyDescent="0.3">
      <c r="H9748">
        <v>0.5</v>
      </c>
      <c r="I9748" s="11">
        <f t="shared" si="152"/>
        <v>0</v>
      </c>
      <c r="J9748" s="11">
        <f>1/(H9748*Utilities!$B$11)</f>
        <v>8</v>
      </c>
      <c r="K9748" s="11">
        <f>IF(B9748&lt;C9748,1,EXP(-1*(B9748-C9748)/(Utilities!$B$11*IterData!H9748)))</f>
        <v>1</v>
      </c>
    </row>
    <row r="9749" spans="8:11" x14ac:dyDescent="0.3">
      <c r="H9749">
        <v>0.5</v>
      </c>
      <c r="I9749" s="11">
        <f t="shared" si="152"/>
        <v>0</v>
      </c>
      <c r="J9749" s="11">
        <f>1/(H9749*Utilities!$B$11)</f>
        <v>8</v>
      </c>
      <c r="K9749" s="11">
        <f>IF(B9749&lt;C9749,1,EXP(-1*(B9749-C9749)/(Utilities!$B$11*IterData!H9749)))</f>
        <v>1</v>
      </c>
    </row>
    <row r="9750" spans="8:11" x14ac:dyDescent="0.3">
      <c r="H9750">
        <v>0.5</v>
      </c>
      <c r="I9750" s="11">
        <f t="shared" si="152"/>
        <v>0</v>
      </c>
      <c r="J9750" s="11">
        <f>1/(H9750*Utilities!$B$11)</f>
        <v>8</v>
      </c>
      <c r="K9750" s="11">
        <f>IF(B9750&lt;C9750,1,EXP(-1*(B9750-C9750)/(Utilities!$B$11*IterData!H9750)))</f>
        <v>1</v>
      </c>
    </row>
    <row r="9751" spans="8:11" x14ac:dyDescent="0.3">
      <c r="H9751">
        <v>0.5</v>
      </c>
      <c r="I9751" s="11">
        <f t="shared" si="152"/>
        <v>0</v>
      </c>
      <c r="J9751" s="11">
        <f>1/(H9751*Utilities!$B$11)</f>
        <v>8</v>
      </c>
      <c r="K9751" s="11">
        <f>IF(B9751&lt;C9751,1,EXP(-1*(B9751-C9751)/(Utilities!$B$11*IterData!H9751)))</f>
        <v>1</v>
      </c>
    </row>
    <row r="9752" spans="8:11" x14ac:dyDescent="0.3">
      <c r="H9752">
        <v>0.5</v>
      </c>
      <c r="I9752" s="11">
        <f t="shared" si="152"/>
        <v>0</v>
      </c>
      <c r="J9752" s="11">
        <f>1/(H9752*Utilities!$B$11)</f>
        <v>8</v>
      </c>
      <c r="K9752" s="11">
        <f>IF(B9752&lt;C9752,1,EXP(-1*(B9752-C9752)/(Utilities!$B$11*IterData!H9752)))</f>
        <v>1</v>
      </c>
    </row>
    <row r="9753" spans="8:11" x14ac:dyDescent="0.3">
      <c r="H9753">
        <v>0.5</v>
      </c>
      <c r="I9753" s="11">
        <f t="shared" si="152"/>
        <v>0</v>
      </c>
      <c r="J9753" s="11">
        <f>1/(H9753*Utilities!$B$11)</f>
        <v>8</v>
      </c>
      <c r="K9753" s="11">
        <f>IF(B9753&lt;C9753,1,EXP(-1*(B9753-C9753)/(Utilities!$B$11*IterData!H9753)))</f>
        <v>1</v>
      </c>
    </row>
    <row r="9754" spans="8:11" x14ac:dyDescent="0.3">
      <c r="H9754">
        <v>0.5</v>
      </c>
      <c r="I9754" s="11">
        <f t="shared" si="152"/>
        <v>0</v>
      </c>
      <c r="J9754" s="11">
        <f>1/(H9754*Utilities!$B$11)</f>
        <v>8</v>
      </c>
      <c r="K9754" s="11">
        <f>IF(B9754&lt;C9754,1,EXP(-1*(B9754-C9754)/(Utilities!$B$11*IterData!H9754)))</f>
        <v>1</v>
      </c>
    </row>
    <row r="9755" spans="8:11" x14ac:dyDescent="0.3">
      <c r="H9755">
        <v>0.5</v>
      </c>
      <c r="I9755" s="11">
        <f t="shared" si="152"/>
        <v>0</v>
      </c>
      <c r="J9755" s="11">
        <f>1/(H9755*Utilities!$B$11)</f>
        <v>8</v>
      </c>
      <c r="K9755" s="11">
        <f>IF(B9755&lt;C9755,1,EXP(-1*(B9755-C9755)/(Utilities!$B$11*IterData!H9755)))</f>
        <v>1</v>
      </c>
    </row>
    <row r="9756" spans="8:11" x14ac:dyDescent="0.3">
      <c r="H9756">
        <v>0.5</v>
      </c>
      <c r="I9756" s="11">
        <f t="shared" si="152"/>
        <v>0</v>
      </c>
      <c r="J9756" s="11">
        <f>1/(H9756*Utilities!$B$11)</f>
        <v>8</v>
      </c>
      <c r="K9756" s="11">
        <f>IF(B9756&lt;C9756,1,EXP(-1*(B9756-C9756)/(Utilities!$B$11*IterData!H9756)))</f>
        <v>1</v>
      </c>
    </row>
    <row r="9757" spans="8:11" x14ac:dyDescent="0.3">
      <c r="H9757">
        <v>0.5</v>
      </c>
      <c r="I9757" s="11">
        <f t="shared" si="152"/>
        <v>0</v>
      </c>
      <c r="J9757" s="11">
        <f>1/(H9757*Utilities!$B$11)</f>
        <v>8</v>
      </c>
      <c r="K9757" s="11">
        <f>IF(B9757&lt;C9757,1,EXP(-1*(B9757-C9757)/(Utilities!$B$11*IterData!H9757)))</f>
        <v>1</v>
      </c>
    </row>
    <row r="9758" spans="8:11" x14ac:dyDescent="0.3">
      <c r="H9758">
        <v>0.5</v>
      </c>
      <c r="I9758" s="11">
        <f t="shared" si="152"/>
        <v>0</v>
      </c>
      <c r="J9758" s="11">
        <f>1/(H9758*Utilities!$B$11)</f>
        <v>8</v>
      </c>
      <c r="K9758" s="11">
        <f>IF(B9758&lt;C9758,1,EXP(-1*(B9758-C9758)/(Utilities!$B$11*IterData!H9758)))</f>
        <v>1</v>
      </c>
    </row>
    <row r="9759" spans="8:11" x14ac:dyDescent="0.3">
      <c r="H9759">
        <v>0.5</v>
      </c>
      <c r="I9759" s="11">
        <f t="shared" si="152"/>
        <v>0</v>
      </c>
      <c r="J9759" s="11">
        <f>1/(H9759*Utilities!$B$11)</f>
        <v>8</v>
      </c>
      <c r="K9759" s="11">
        <f>IF(B9759&lt;C9759,1,EXP(-1*(B9759-C9759)/(Utilities!$B$11*IterData!H9759)))</f>
        <v>1</v>
      </c>
    </row>
    <row r="9760" spans="8:11" x14ac:dyDescent="0.3">
      <c r="H9760">
        <v>0.5</v>
      </c>
      <c r="I9760" s="11">
        <f t="shared" si="152"/>
        <v>0</v>
      </c>
      <c r="J9760" s="11">
        <f>1/(H9760*Utilities!$B$11)</f>
        <v>8</v>
      </c>
      <c r="K9760" s="11">
        <f>IF(B9760&lt;C9760,1,EXP(-1*(B9760-C9760)/(Utilities!$B$11*IterData!H9760)))</f>
        <v>1</v>
      </c>
    </row>
    <row r="9761" spans="8:11" x14ac:dyDescent="0.3">
      <c r="H9761">
        <v>0.5</v>
      </c>
      <c r="I9761" s="11">
        <f t="shared" si="152"/>
        <v>0</v>
      </c>
      <c r="J9761" s="11">
        <f>1/(H9761*Utilities!$B$11)</f>
        <v>8</v>
      </c>
      <c r="K9761" s="11">
        <f>IF(B9761&lt;C9761,1,EXP(-1*(B9761-C9761)/(Utilities!$B$11*IterData!H9761)))</f>
        <v>1</v>
      </c>
    </row>
    <row r="9762" spans="8:11" x14ac:dyDescent="0.3">
      <c r="H9762">
        <v>0.5</v>
      </c>
      <c r="I9762" s="11">
        <f t="shared" si="152"/>
        <v>0</v>
      </c>
      <c r="J9762" s="11">
        <f>1/(H9762*Utilities!$B$11)</f>
        <v>8</v>
      </c>
      <c r="K9762" s="11">
        <f>IF(B9762&lt;C9762,1,EXP(-1*(B9762-C9762)/(Utilities!$B$11*IterData!H9762)))</f>
        <v>1</v>
      </c>
    </row>
    <row r="9763" spans="8:11" x14ac:dyDescent="0.3">
      <c r="H9763">
        <v>0.5</v>
      </c>
      <c r="I9763" s="11">
        <f t="shared" si="152"/>
        <v>0</v>
      </c>
      <c r="J9763" s="11">
        <f>1/(H9763*Utilities!$B$11)</f>
        <v>8</v>
      </c>
      <c r="K9763" s="11">
        <f>IF(B9763&lt;C9763,1,EXP(-1*(B9763-C9763)/(Utilities!$B$11*IterData!H9763)))</f>
        <v>1</v>
      </c>
    </row>
    <row r="9764" spans="8:11" x14ac:dyDescent="0.3">
      <c r="H9764">
        <v>0.5</v>
      </c>
      <c r="I9764" s="11">
        <f t="shared" si="152"/>
        <v>0</v>
      </c>
      <c r="J9764" s="11">
        <f>1/(H9764*Utilities!$B$11)</f>
        <v>8</v>
      </c>
      <c r="K9764" s="11">
        <f>IF(B9764&lt;C9764,1,EXP(-1*(B9764-C9764)/(Utilities!$B$11*IterData!H9764)))</f>
        <v>1</v>
      </c>
    </row>
    <row r="9765" spans="8:11" x14ac:dyDescent="0.3">
      <c r="H9765">
        <v>0.5</v>
      </c>
      <c r="I9765" s="11">
        <f t="shared" si="152"/>
        <v>0</v>
      </c>
      <c r="J9765" s="11">
        <f>1/(H9765*Utilities!$B$11)</f>
        <v>8</v>
      </c>
      <c r="K9765" s="11">
        <f>IF(B9765&lt;C9765,1,EXP(-1*(B9765-C9765)/(Utilities!$B$11*IterData!H9765)))</f>
        <v>1</v>
      </c>
    </row>
    <row r="9766" spans="8:11" x14ac:dyDescent="0.3">
      <c r="H9766">
        <v>0.5</v>
      </c>
      <c r="I9766" s="11">
        <f t="shared" si="152"/>
        <v>0</v>
      </c>
      <c r="J9766" s="11">
        <f>1/(H9766*Utilities!$B$11)</f>
        <v>8</v>
      </c>
      <c r="K9766" s="11">
        <f>IF(B9766&lt;C9766,1,EXP(-1*(B9766-C9766)/(Utilities!$B$11*IterData!H9766)))</f>
        <v>1</v>
      </c>
    </row>
    <row r="9767" spans="8:11" x14ac:dyDescent="0.3">
      <c r="H9767">
        <v>0.5</v>
      </c>
      <c r="I9767" s="11">
        <f t="shared" si="152"/>
        <v>0</v>
      </c>
      <c r="J9767" s="11">
        <f>1/(H9767*Utilities!$B$11)</f>
        <v>8</v>
      </c>
      <c r="K9767" s="11">
        <f>IF(B9767&lt;C9767,1,EXP(-1*(B9767-C9767)/(Utilities!$B$11*IterData!H9767)))</f>
        <v>1</v>
      </c>
    </row>
    <row r="9768" spans="8:11" x14ac:dyDescent="0.3">
      <c r="H9768">
        <v>0.5</v>
      </c>
      <c r="I9768" s="11">
        <f t="shared" si="152"/>
        <v>0</v>
      </c>
      <c r="J9768" s="11">
        <f>1/(H9768*Utilities!$B$11)</f>
        <v>8</v>
      </c>
      <c r="K9768" s="11">
        <f>IF(B9768&lt;C9768,1,EXP(-1*(B9768-C9768)/(Utilities!$B$11*IterData!H9768)))</f>
        <v>1</v>
      </c>
    </row>
    <row r="9769" spans="8:11" x14ac:dyDescent="0.3">
      <c r="H9769">
        <v>0.5</v>
      </c>
      <c r="I9769" s="11">
        <f t="shared" si="152"/>
        <v>0</v>
      </c>
      <c r="J9769" s="11">
        <f>1/(H9769*Utilities!$B$11)</f>
        <v>8</v>
      </c>
      <c r="K9769" s="11">
        <f>IF(B9769&lt;C9769,1,EXP(-1*(B9769-C9769)/(Utilities!$B$11*IterData!H9769)))</f>
        <v>1</v>
      </c>
    </row>
    <row r="9770" spans="8:11" x14ac:dyDescent="0.3">
      <c r="H9770">
        <v>0.5</v>
      </c>
      <c r="I9770" s="11">
        <f t="shared" si="152"/>
        <v>0</v>
      </c>
      <c r="J9770" s="11">
        <f>1/(H9770*Utilities!$B$11)</f>
        <v>8</v>
      </c>
      <c r="K9770" s="11">
        <f>IF(B9770&lt;C9770,1,EXP(-1*(B9770-C9770)/(Utilities!$B$11*IterData!H9770)))</f>
        <v>1</v>
      </c>
    </row>
    <row r="9771" spans="8:11" x14ac:dyDescent="0.3">
      <c r="H9771">
        <v>0.5</v>
      </c>
      <c r="I9771" s="11">
        <f t="shared" si="152"/>
        <v>0</v>
      </c>
      <c r="J9771" s="11">
        <f>1/(H9771*Utilities!$B$11)</f>
        <v>8</v>
      </c>
      <c r="K9771" s="11">
        <f>IF(B9771&lt;C9771,1,EXP(-1*(B9771-C9771)/(Utilities!$B$11*IterData!H9771)))</f>
        <v>1</v>
      </c>
    </row>
    <row r="9772" spans="8:11" x14ac:dyDescent="0.3">
      <c r="H9772">
        <v>0.5</v>
      </c>
      <c r="I9772" s="11">
        <f t="shared" si="152"/>
        <v>0</v>
      </c>
      <c r="J9772" s="11">
        <f>1/(H9772*Utilities!$B$11)</f>
        <v>8</v>
      </c>
      <c r="K9772" s="11">
        <f>IF(B9772&lt;C9772,1,EXP(-1*(B9772-C9772)/(Utilities!$B$11*IterData!H9772)))</f>
        <v>1</v>
      </c>
    </row>
    <row r="9773" spans="8:11" x14ac:dyDescent="0.3">
      <c r="H9773">
        <v>0.5</v>
      </c>
      <c r="I9773" s="11">
        <f t="shared" si="152"/>
        <v>0</v>
      </c>
      <c r="J9773" s="11">
        <f>1/(H9773*Utilities!$B$11)</f>
        <v>8</v>
      </c>
      <c r="K9773" s="11">
        <f>IF(B9773&lt;C9773,1,EXP(-1*(B9773-C9773)/(Utilities!$B$11*IterData!H9773)))</f>
        <v>1</v>
      </c>
    </row>
    <row r="9774" spans="8:11" x14ac:dyDescent="0.3">
      <c r="H9774">
        <v>0.5</v>
      </c>
      <c r="I9774" s="11">
        <f t="shared" si="152"/>
        <v>0</v>
      </c>
      <c r="J9774" s="11">
        <f>1/(H9774*Utilities!$B$11)</f>
        <v>8</v>
      </c>
      <c r="K9774" s="11">
        <f>IF(B9774&lt;C9774,1,EXP(-1*(B9774-C9774)/(Utilities!$B$11*IterData!H9774)))</f>
        <v>1</v>
      </c>
    </row>
    <row r="9775" spans="8:11" x14ac:dyDescent="0.3">
      <c r="H9775">
        <v>0.5</v>
      </c>
      <c r="I9775" s="11">
        <f t="shared" si="152"/>
        <v>0</v>
      </c>
      <c r="J9775" s="11">
        <f>1/(H9775*Utilities!$B$11)</f>
        <v>8</v>
      </c>
      <c r="K9775" s="11">
        <f>IF(B9775&lt;C9775,1,EXP(-1*(B9775-C9775)/(Utilities!$B$11*IterData!H9775)))</f>
        <v>1</v>
      </c>
    </row>
    <row r="9776" spans="8:11" x14ac:dyDescent="0.3">
      <c r="H9776">
        <v>0.5</v>
      </c>
      <c r="I9776" s="11">
        <f t="shared" si="152"/>
        <v>0</v>
      </c>
      <c r="J9776" s="11">
        <f>1/(H9776*Utilities!$B$11)</f>
        <v>8</v>
      </c>
      <c r="K9776" s="11">
        <f>IF(B9776&lt;C9776,1,EXP(-1*(B9776-C9776)/(Utilities!$B$11*IterData!H9776)))</f>
        <v>1</v>
      </c>
    </row>
    <row r="9777" spans="8:11" x14ac:dyDescent="0.3">
      <c r="H9777">
        <v>0.5</v>
      </c>
      <c r="I9777" s="11">
        <f t="shared" si="152"/>
        <v>0</v>
      </c>
      <c r="J9777" s="11">
        <f>1/(H9777*Utilities!$B$11)</f>
        <v>8</v>
      </c>
      <c r="K9777" s="11">
        <f>IF(B9777&lt;C9777,1,EXP(-1*(B9777-C9777)/(Utilities!$B$11*IterData!H9777)))</f>
        <v>1</v>
      </c>
    </row>
    <row r="9778" spans="8:11" x14ac:dyDescent="0.3">
      <c r="H9778">
        <v>0.5</v>
      </c>
      <c r="I9778" s="11">
        <f t="shared" si="152"/>
        <v>0</v>
      </c>
      <c r="J9778" s="11">
        <f>1/(H9778*Utilities!$B$11)</f>
        <v>8</v>
      </c>
      <c r="K9778" s="11">
        <f>IF(B9778&lt;C9778,1,EXP(-1*(B9778-C9778)/(Utilities!$B$11*IterData!H9778)))</f>
        <v>1</v>
      </c>
    </row>
    <row r="9779" spans="8:11" x14ac:dyDescent="0.3">
      <c r="H9779">
        <v>0.5</v>
      </c>
      <c r="I9779" s="11">
        <f t="shared" si="152"/>
        <v>0</v>
      </c>
      <c r="J9779" s="11">
        <f>1/(H9779*Utilities!$B$11)</f>
        <v>8</v>
      </c>
      <c r="K9779" s="11">
        <f>IF(B9779&lt;C9779,1,EXP(-1*(B9779-C9779)/(Utilities!$B$11*IterData!H9779)))</f>
        <v>1</v>
      </c>
    </row>
    <row r="9780" spans="8:11" x14ac:dyDescent="0.3">
      <c r="H9780">
        <v>0.5</v>
      </c>
      <c r="I9780" s="11">
        <f t="shared" si="152"/>
        <v>0</v>
      </c>
      <c r="J9780" s="11">
        <f>1/(H9780*Utilities!$B$11)</f>
        <v>8</v>
      </c>
      <c r="K9780" s="11">
        <f>IF(B9780&lt;C9780,1,EXP(-1*(B9780-C9780)/(Utilities!$B$11*IterData!H9780)))</f>
        <v>1</v>
      </c>
    </row>
    <row r="9781" spans="8:11" x14ac:dyDescent="0.3">
      <c r="H9781">
        <v>0.5</v>
      </c>
      <c r="I9781" s="11">
        <f t="shared" si="152"/>
        <v>0</v>
      </c>
      <c r="J9781" s="11">
        <f>1/(H9781*Utilities!$B$11)</f>
        <v>8</v>
      </c>
      <c r="K9781" s="11">
        <f>IF(B9781&lt;C9781,1,EXP(-1*(B9781-C9781)/(Utilities!$B$11*IterData!H9781)))</f>
        <v>1</v>
      </c>
    </row>
    <row r="9782" spans="8:11" x14ac:dyDescent="0.3">
      <c r="H9782">
        <v>0.5</v>
      </c>
      <c r="I9782" s="11">
        <f t="shared" si="152"/>
        <v>0</v>
      </c>
      <c r="J9782" s="11">
        <f>1/(H9782*Utilities!$B$11)</f>
        <v>8</v>
      </c>
      <c r="K9782" s="11">
        <f>IF(B9782&lt;C9782,1,EXP(-1*(B9782-C9782)/(Utilities!$B$11*IterData!H9782)))</f>
        <v>1</v>
      </c>
    </row>
    <row r="9783" spans="8:11" x14ac:dyDescent="0.3">
      <c r="H9783">
        <v>0.5</v>
      </c>
      <c r="I9783" s="11">
        <f t="shared" si="152"/>
        <v>0</v>
      </c>
      <c r="J9783" s="11">
        <f>1/(H9783*Utilities!$B$11)</f>
        <v>8</v>
      </c>
      <c r="K9783" s="11">
        <f>IF(B9783&lt;C9783,1,EXP(-1*(B9783-C9783)/(Utilities!$B$11*IterData!H9783)))</f>
        <v>1</v>
      </c>
    </row>
    <row r="9784" spans="8:11" x14ac:dyDescent="0.3">
      <c r="H9784">
        <v>0.5</v>
      </c>
      <c r="I9784" s="11">
        <f t="shared" si="152"/>
        <v>0</v>
      </c>
      <c r="J9784" s="11">
        <f>1/(H9784*Utilities!$B$11)</f>
        <v>8</v>
      </c>
      <c r="K9784" s="11">
        <f>IF(B9784&lt;C9784,1,EXP(-1*(B9784-C9784)/(Utilities!$B$11*IterData!H9784)))</f>
        <v>1</v>
      </c>
    </row>
    <row r="9785" spans="8:11" x14ac:dyDescent="0.3">
      <c r="H9785">
        <v>0.5</v>
      </c>
      <c r="I9785" s="11">
        <f t="shared" si="152"/>
        <v>0</v>
      </c>
      <c r="J9785" s="11">
        <f>1/(H9785*Utilities!$B$11)</f>
        <v>8</v>
      </c>
      <c r="K9785" s="11">
        <f>IF(B9785&lt;C9785,1,EXP(-1*(B9785-C9785)/(Utilities!$B$11*IterData!H9785)))</f>
        <v>1</v>
      </c>
    </row>
    <row r="9786" spans="8:11" x14ac:dyDescent="0.3">
      <c r="H9786">
        <v>0.5</v>
      </c>
      <c r="I9786" s="11">
        <f t="shared" si="152"/>
        <v>0</v>
      </c>
      <c r="J9786" s="11">
        <f>1/(H9786*Utilities!$B$11)</f>
        <v>8</v>
      </c>
      <c r="K9786" s="11">
        <f>IF(B9786&lt;C9786,1,EXP(-1*(B9786-C9786)/(Utilities!$B$11*IterData!H9786)))</f>
        <v>1</v>
      </c>
    </row>
    <row r="9787" spans="8:11" x14ac:dyDescent="0.3">
      <c r="H9787">
        <v>0.5</v>
      </c>
      <c r="I9787" s="11">
        <f t="shared" si="152"/>
        <v>0</v>
      </c>
      <c r="J9787" s="11">
        <f>1/(H9787*Utilities!$B$11)</f>
        <v>8</v>
      </c>
      <c r="K9787" s="11">
        <f>IF(B9787&lt;C9787,1,EXP(-1*(B9787-C9787)/(Utilities!$B$11*IterData!H9787)))</f>
        <v>1</v>
      </c>
    </row>
    <row r="9788" spans="8:11" x14ac:dyDescent="0.3">
      <c r="H9788">
        <v>0.5</v>
      </c>
      <c r="I9788" s="11">
        <f t="shared" si="152"/>
        <v>0</v>
      </c>
      <c r="J9788" s="11">
        <f>1/(H9788*Utilities!$B$11)</f>
        <v>8</v>
      </c>
      <c r="K9788" s="11">
        <f>IF(B9788&lt;C9788,1,EXP(-1*(B9788-C9788)/(Utilities!$B$11*IterData!H9788)))</f>
        <v>1</v>
      </c>
    </row>
    <row r="9789" spans="8:11" x14ac:dyDescent="0.3">
      <c r="H9789">
        <v>0.5</v>
      </c>
      <c r="I9789" s="11">
        <f t="shared" si="152"/>
        <v>0</v>
      </c>
      <c r="J9789" s="11">
        <f>1/(H9789*Utilities!$B$11)</f>
        <v>8</v>
      </c>
      <c r="K9789" s="11">
        <f>IF(B9789&lt;C9789,1,EXP(-1*(B9789-C9789)/(Utilities!$B$11*IterData!H9789)))</f>
        <v>1</v>
      </c>
    </row>
    <row r="9790" spans="8:11" x14ac:dyDescent="0.3">
      <c r="H9790">
        <v>0.5</v>
      </c>
      <c r="I9790" s="11">
        <f t="shared" si="152"/>
        <v>0</v>
      </c>
      <c r="J9790" s="11">
        <f>1/(H9790*Utilities!$B$11)</f>
        <v>8</v>
      </c>
      <c r="K9790" s="11">
        <f>IF(B9790&lt;C9790,1,EXP(-1*(B9790-C9790)/(Utilities!$B$11*IterData!H9790)))</f>
        <v>1</v>
      </c>
    </row>
    <row r="9791" spans="8:11" x14ac:dyDescent="0.3">
      <c r="H9791">
        <v>0.5</v>
      </c>
      <c r="I9791" s="11">
        <f t="shared" si="152"/>
        <v>0</v>
      </c>
      <c r="J9791" s="11">
        <f>1/(H9791*Utilities!$B$11)</f>
        <v>8</v>
      </c>
      <c r="K9791" s="11">
        <f>IF(B9791&lt;C9791,1,EXP(-1*(B9791-C9791)/(Utilities!$B$11*IterData!H9791)))</f>
        <v>1</v>
      </c>
    </row>
    <row r="9792" spans="8:11" x14ac:dyDescent="0.3">
      <c r="H9792">
        <v>0.5</v>
      </c>
      <c r="I9792" s="11">
        <f t="shared" si="152"/>
        <v>0</v>
      </c>
      <c r="J9792" s="11">
        <f>1/(H9792*Utilities!$B$11)</f>
        <v>8</v>
      </c>
      <c r="K9792" s="11">
        <f>IF(B9792&lt;C9792,1,EXP(-1*(B9792-C9792)/(Utilities!$B$11*IterData!H9792)))</f>
        <v>1</v>
      </c>
    </row>
    <row r="9793" spans="8:11" x14ac:dyDescent="0.3">
      <c r="H9793">
        <v>0.5</v>
      </c>
      <c r="I9793" s="11">
        <f t="shared" si="152"/>
        <v>0</v>
      </c>
      <c r="J9793" s="11">
        <f>1/(H9793*Utilities!$B$11)</f>
        <v>8</v>
      </c>
      <c r="K9793" s="11">
        <f>IF(B9793&lt;C9793,1,EXP(-1*(B9793-C9793)/(Utilities!$B$11*IterData!H9793)))</f>
        <v>1</v>
      </c>
    </row>
    <row r="9794" spans="8:11" x14ac:dyDescent="0.3">
      <c r="H9794">
        <v>0.5</v>
      </c>
      <c r="I9794" s="11">
        <f t="shared" si="152"/>
        <v>0</v>
      </c>
      <c r="J9794" s="11">
        <f>1/(H9794*Utilities!$B$11)</f>
        <v>8</v>
      </c>
      <c r="K9794" s="11">
        <f>IF(B9794&lt;C9794,1,EXP(-1*(B9794-C9794)/(Utilities!$B$11*IterData!H9794)))</f>
        <v>1</v>
      </c>
    </row>
    <row r="9795" spans="8:11" x14ac:dyDescent="0.3">
      <c r="H9795">
        <v>0.5</v>
      </c>
      <c r="I9795" s="11">
        <f t="shared" ref="I9795:I9858" si="153">B9795-C9795</f>
        <v>0</v>
      </c>
      <c r="J9795" s="11">
        <f>1/(H9795*Utilities!$B$11)</f>
        <v>8</v>
      </c>
      <c r="K9795" s="11">
        <f>IF(B9795&lt;C9795,1,EXP(-1*(B9795-C9795)/(Utilities!$B$11*IterData!H9795)))</f>
        <v>1</v>
      </c>
    </row>
    <row r="9796" spans="8:11" x14ac:dyDescent="0.3">
      <c r="H9796">
        <v>0.5</v>
      </c>
      <c r="I9796" s="11">
        <f t="shared" si="153"/>
        <v>0</v>
      </c>
      <c r="J9796" s="11">
        <f>1/(H9796*Utilities!$B$11)</f>
        <v>8</v>
      </c>
      <c r="K9796" s="11">
        <f>IF(B9796&lt;C9796,1,EXP(-1*(B9796-C9796)/(Utilities!$B$11*IterData!H9796)))</f>
        <v>1</v>
      </c>
    </row>
    <row r="9797" spans="8:11" x14ac:dyDescent="0.3">
      <c r="H9797">
        <v>0.5</v>
      </c>
      <c r="I9797" s="11">
        <f t="shared" si="153"/>
        <v>0</v>
      </c>
      <c r="J9797" s="11">
        <f>1/(H9797*Utilities!$B$11)</f>
        <v>8</v>
      </c>
      <c r="K9797" s="11">
        <f>IF(B9797&lt;C9797,1,EXP(-1*(B9797-C9797)/(Utilities!$B$11*IterData!H9797)))</f>
        <v>1</v>
      </c>
    </row>
    <row r="9798" spans="8:11" x14ac:dyDescent="0.3">
      <c r="H9798">
        <v>0.5</v>
      </c>
      <c r="I9798" s="11">
        <f t="shared" si="153"/>
        <v>0</v>
      </c>
      <c r="J9798" s="11">
        <f>1/(H9798*Utilities!$B$11)</f>
        <v>8</v>
      </c>
      <c r="K9798" s="11">
        <f>IF(B9798&lt;C9798,1,EXP(-1*(B9798-C9798)/(Utilities!$B$11*IterData!H9798)))</f>
        <v>1</v>
      </c>
    </row>
    <row r="9799" spans="8:11" x14ac:dyDescent="0.3">
      <c r="H9799">
        <v>0.5</v>
      </c>
      <c r="I9799" s="11">
        <f t="shared" si="153"/>
        <v>0</v>
      </c>
      <c r="J9799" s="11">
        <f>1/(H9799*Utilities!$B$11)</f>
        <v>8</v>
      </c>
      <c r="K9799" s="11">
        <f>IF(B9799&lt;C9799,1,EXP(-1*(B9799-C9799)/(Utilities!$B$11*IterData!H9799)))</f>
        <v>1</v>
      </c>
    </row>
    <row r="9800" spans="8:11" x14ac:dyDescent="0.3">
      <c r="H9800">
        <v>0.5</v>
      </c>
      <c r="I9800" s="11">
        <f t="shared" si="153"/>
        <v>0</v>
      </c>
      <c r="J9800" s="11">
        <f>1/(H9800*Utilities!$B$11)</f>
        <v>8</v>
      </c>
      <c r="K9800" s="11">
        <f>IF(B9800&lt;C9800,1,EXP(-1*(B9800-C9800)/(Utilities!$B$11*IterData!H9800)))</f>
        <v>1</v>
      </c>
    </row>
    <row r="9801" spans="8:11" x14ac:dyDescent="0.3">
      <c r="H9801">
        <v>0.5</v>
      </c>
      <c r="I9801" s="11">
        <f t="shared" si="153"/>
        <v>0</v>
      </c>
      <c r="J9801" s="11">
        <f>1/(H9801*Utilities!$B$11)</f>
        <v>8</v>
      </c>
      <c r="K9801" s="11">
        <f>IF(B9801&lt;C9801,1,EXP(-1*(B9801-C9801)/(Utilities!$B$11*IterData!H9801)))</f>
        <v>1</v>
      </c>
    </row>
    <row r="9802" spans="8:11" x14ac:dyDescent="0.3">
      <c r="H9802">
        <v>0.5</v>
      </c>
      <c r="I9802" s="11">
        <f t="shared" si="153"/>
        <v>0</v>
      </c>
      <c r="J9802" s="11">
        <f>1/(H9802*Utilities!$B$11)</f>
        <v>8</v>
      </c>
      <c r="K9802" s="11">
        <f>IF(B9802&lt;C9802,1,EXP(-1*(B9802-C9802)/(Utilities!$B$11*IterData!H9802)))</f>
        <v>1</v>
      </c>
    </row>
    <row r="9803" spans="8:11" x14ac:dyDescent="0.3">
      <c r="H9803">
        <v>0.5</v>
      </c>
      <c r="I9803" s="11">
        <f t="shared" si="153"/>
        <v>0</v>
      </c>
      <c r="J9803" s="11">
        <f>1/(H9803*Utilities!$B$11)</f>
        <v>8</v>
      </c>
      <c r="K9803" s="11">
        <f>IF(B9803&lt;C9803,1,EXP(-1*(B9803-C9803)/(Utilities!$B$11*IterData!H9803)))</f>
        <v>1</v>
      </c>
    </row>
    <row r="9804" spans="8:11" x14ac:dyDescent="0.3">
      <c r="H9804">
        <v>0.5</v>
      </c>
      <c r="I9804" s="11">
        <f t="shared" si="153"/>
        <v>0</v>
      </c>
      <c r="J9804" s="11">
        <f>1/(H9804*Utilities!$B$11)</f>
        <v>8</v>
      </c>
      <c r="K9804" s="11">
        <f>IF(B9804&lt;C9804,1,EXP(-1*(B9804-C9804)/(Utilities!$B$11*IterData!H9804)))</f>
        <v>1</v>
      </c>
    </row>
    <row r="9805" spans="8:11" x14ac:dyDescent="0.3">
      <c r="H9805">
        <v>0.5</v>
      </c>
      <c r="I9805" s="11">
        <f t="shared" si="153"/>
        <v>0</v>
      </c>
      <c r="J9805" s="11">
        <f>1/(H9805*Utilities!$B$11)</f>
        <v>8</v>
      </c>
      <c r="K9805" s="11">
        <f>IF(B9805&lt;C9805,1,EXP(-1*(B9805-C9805)/(Utilities!$B$11*IterData!H9805)))</f>
        <v>1</v>
      </c>
    </row>
    <row r="9806" spans="8:11" x14ac:dyDescent="0.3">
      <c r="H9806">
        <v>0.5</v>
      </c>
      <c r="I9806" s="11">
        <f t="shared" si="153"/>
        <v>0</v>
      </c>
      <c r="J9806" s="11">
        <f>1/(H9806*Utilities!$B$11)</f>
        <v>8</v>
      </c>
      <c r="K9806" s="11">
        <f>IF(B9806&lt;C9806,1,EXP(-1*(B9806-C9806)/(Utilities!$B$11*IterData!H9806)))</f>
        <v>1</v>
      </c>
    </row>
    <row r="9807" spans="8:11" x14ac:dyDescent="0.3">
      <c r="H9807">
        <v>0.5</v>
      </c>
      <c r="I9807" s="11">
        <f t="shared" si="153"/>
        <v>0</v>
      </c>
      <c r="J9807" s="11">
        <f>1/(H9807*Utilities!$B$11)</f>
        <v>8</v>
      </c>
      <c r="K9807" s="11">
        <f>IF(B9807&lt;C9807,1,EXP(-1*(B9807-C9807)/(Utilities!$B$11*IterData!H9807)))</f>
        <v>1</v>
      </c>
    </row>
    <row r="9808" spans="8:11" x14ac:dyDescent="0.3">
      <c r="H9808">
        <v>0.5</v>
      </c>
      <c r="I9808" s="11">
        <f t="shared" si="153"/>
        <v>0</v>
      </c>
      <c r="J9808" s="11">
        <f>1/(H9808*Utilities!$B$11)</f>
        <v>8</v>
      </c>
      <c r="K9808" s="11">
        <f>IF(B9808&lt;C9808,1,EXP(-1*(B9808-C9808)/(Utilities!$B$11*IterData!H9808)))</f>
        <v>1</v>
      </c>
    </row>
    <row r="9809" spans="8:11" x14ac:dyDescent="0.3">
      <c r="H9809">
        <v>0.5</v>
      </c>
      <c r="I9809" s="11">
        <f t="shared" si="153"/>
        <v>0</v>
      </c>
      <c r="J9809" s="11">
        <f>1/(H9809*Utilities!$B$11)</f>
        <v>8</v>
      </c>
      <c r="K9809" s="11">
        <f>IF(B9809&lt;C9809,1,EXP(-1*(B9809-C9809)/(Utilities!$B$11*IterData!H9809)))</f>
        <v>1</v>
      </c>
    </row>
    <row r="9810" spans="8:11" x14ac:dyDescent="0.3">
      <c r="H9810">
        <v>0.5</v>
      </c>
      <c r="I9810" s="11">
        <f t="shared" si="153"/>
        <v>0</v>
      </c>
      <c r="J9810" s="11">
        <f>1/(H9810*Utilities!$B$11)</f>
        <v>8</v>
      </c>
      <c r="K9810" s="11">
        <f>IF(B9810&lt;C9810,1,EXP(-1*(B9810-C9810)/(Utilities!$B$11*IterData!H9810)))</f>
        <v>1</v>
      </c>
    </row>
    <row r="9811" spans="8:11" x14ac:dyDescent="0.3">
      <c r="H9811">
        <v>0.5</v>
      </c>
      <c r="I9811" s="11">
        <f t="shared" si="153"/>
        <v>0</v>
      </c>
      <c r="J9811" s="11">
        <f>1/(H9811*Utilities!$B$11)</f>
        <v>8</v>
      </c>
      <c r="K9811" s="11">
        <f>IF(B9811&lt;C9811,1,EXP(-1*(B9811-C9811)/(Utilities!$B$11*IterData!H9811)))</f>
        <v>1</v>
      </c>
    </row>
    <row r="9812" spans="8:11" x14ac:dyDescent="0.3">
      <c r="H9812">
        <v>0.5</v>
      </c>
      <c r="I9812" s="11">
        <f t="shared" si="153"/>
        <v>0</v>
      </c>
      <c r="J9812" s="11">
        <f>1/(H9812*Utilities!$B$11)</f>
        <v>8</v>
      </c>
      <c r="K9812" s="11">
        <f>IF(B9812&lt;C9812,1,EXP(-1*(B9812-C9812)/(Utilities!$B$11*IterData!H9812)))</f>
        <v>1</v>
      </c>
    </row>
    <row r="9813" spans="8:11" x14ac:dyDescent="0.3">
      <c r="H9813">
        <v>0.5</v>
      </c>
      <c r="I9813" s="11">
        <f t="shared" si="153"/>
        <v>0</v>
      </c>
      <c r="J9813" s="11">
        <f>1/(H9813*Utilities!$B$11)</f>
        <v>8</v>
      </c>
      <c r="K9813" s="11">
        <f>IF(B9813&lt;C9813,1,EXP(-1*(B9813-C9813)/(Utilities!$B$11*IterData!H9813)))</f>
        <v>1</v>
      </c>
    </row>
    <row r="9814" spans="8:11" x14ac:dyDescent="0.3">
      <c r="H9814">
        <v>0.5</v>
      </c>
      <c r="I9814" s="11">
        <f t="shared" si="153"/>
        <v>0</v>
      </c>
      <c r="J9814" s="11">
        <f>1/(H9814*Utilities!$B$11)</f>
        <v>8</v>
      </c>
      <c r="K9814" s="11">
        <f>IF(B9814&lt;C9814,1,EXP(-1*(B9814-C9814)/(Utilities!$B$11*IterData!H9814)))</f>
        <v>1</v>
      </c>
    </row>
    <row r="9815" spans="8:11" x14ac:dyDescent="0.3">
      <c r="H9815">
        <v>0.5</v>
      </c>
      <c r="I9815" s="11">
        <f t="shared" si="153"/>
        <v>0</v>
      </c>
      <c r="J9815" s="11">
        <f>1/(H9815*Utilities!$B$11)</f>
        <v>8</v>
      </c>
      <c r="K9815" s="11">
        <f>IF(B9815&lt;C9815,1,EXP(-1*(B9815-C9815)/(Utilities!$B$11*IterData!H9815)))</f>
        <v>1</v>
      </c>
    </row>
    <row r="9816" spans="8:11" x14ac:dyDescent="0.3">
      <c r="H9816">
        <v>0.5</v>
      </c>
      <c r="I9816" s="11">
        <f t="shared" si="153"/>
        <v>0</v>
      </c>
      <c r="J9816" s="11">
        <f>1/(H9816*Utilities!$B$11)</f>
        <v>8</v>
      </c>
      <c r="K9816" s="11">
        <f>IF(B9816&lt;C9816,1,EXP(-1*(B9816-C9816)/(Utilities!$B$11*IterData!H9816)))</f>
        <v>1</v>
      </c>
    </row>
    <row r="9817" spans="8:11" x14ac:dyDescent="0.3">
      <c r="H9817">
        <v>0.5</v>
      </c>
      <c r="I9817" s="11">
        <f t="shared" si="153"/>
        <v>0</v>
      </c>
      <c r="J9817" s="11">
        <f>1/(H9817*Utilities!$B$11)</f>
        <v>8</v>
      </c>
      <c r="K9817" s="11">
        <f>IF(B9817&lt;C9817,1,EXP(-1*(B9817-C9817)/(Utilities!$B$11*IterData!H9817)))</f>
        <v>1</v>
      </c>
    </row>
    <row r="9818" spans="8:11" x14ac:dyDescent="0.3">
      <c r="H9818">
        <v>0.5</v>
      </c>
      <c r="I9818" s="11">
        <f t="shared" si="153"/>
        <v>0</v>
      </c>
      <c r="J9818" s="11">
        <f>1/(H9818*Utilities!$B$11)</f>
        <v>8</v>
      </c>
      <c r="K9818" s="11">
        <f>IF(B9818&lt;C9818,1,EXP(-1*(B9818-C9818)/(Utilities!$B$11*IterData!H9818)))</f>
        <v>1</v>
      </c>
    </row>
    <row r="9819" spans="8:11" x14ac:dyDescent="0.3">
      <c r="H9819">
        <v>0.5</v>
      </c>
      <c r="I9819" s="11">
        <f t="shared" si="153"/>
        <v>0</v>
      </c>
      <c r="J9819" s="11">
        <f>1/(H9819*Utilities!$B$11)</f>
        <v>8</v>
      </c>
      <c r="K9819" s="11">
        <f>IF(B9819&lt;C9819,1,EXP(-1*(B9819-C9819)/(Utilities!$B$11*IterData!H9819)))</f>
        <v>1</v>
      </c>
    </row>
    <row r="9820" spans="8:11" x14ac:dyDescent="0.3">
      <c r="H9820">
        <v>0.5</v>
      </c>
      <c r="I9820" s="11">
        <f t="shared" si="153"/>
        <v>0</v>
      </c>
      <c r="J9820" s="11">
        <f>1/(H9820*Utilities!$B$11)</f>
        <v>8</v>
      </c>
      <c r="K9820" s="11">
        <f>IF(B9820&lt;C9820,1,EXP(-1*(B9820-C9820)/(Utilities!$B$11*IterData!H9820)))</f>
        <v>1</v>
      </c>
    </row>
    <row r="9821" spans="8:11" x14ac:dyDescent="0.3">
      <c r="H9821">
        <v>0.5</v>
      </c>
      <c r="I9821" s="11">
        <f t="shared" si="153"/>
        <v>0</v>
      </c>
      <c r="J9821" s="11">
        <f>1/(H9821*Utilities!$B$11)</f>
        <v>8</v>
      </c>
      <c r="K9821" s="11">
        <f>IF(B9821&lt;C9821,1,EXP(-1*(B9821-C9821)/(Utilities!$B$11*IterData!H9821)))</f>
        <v>1</v>
      </c>
    </row>
    <row r="9822" spans="8:11" x14ac:dyDescent="0.3">
      <c r="H9822">
        <v>0.5</v>
      </c>
      <c r="I9822" s="11">
        <f t="shared" si="153"/>
        <v>0</v>
      </c>
      <c r="J9822" s="11">
        <f>1/(H9822*Utilities!$B$11)</f>
        <v>8</v>
      </c>
      <c r="K9822" s="11">
        <f>IF(B9822&lt;C9822,1,EXP(-1*(B9822-C9822)/(Utilities!$B$11*IterData!H9822)))</f>
        <v>1</v>
      </c>
    </row>
    <row r="9823" spans="8:11" x14ac:dyDescent="0.3">
      <c r="H9823">
        <v>0.5</v>
      </c>
      <c r="I9823" s="11">
        <f t="shared" si="153"/>
        <v>0</v>
      </c>
      <c r="J9823" s="11">
        <f>1/(H9823*Utilities!$B$11)</f>
        <v>8</v>
      </c>
      <c r="K9823" s="11">
        <f>IF(B9823&lt;C9823,1,EXP(-1*(B9823-C9823)/(Utilities!$B$11*IterData!H9823)))</f>
        <v>1</v>
      </c>
    </row>
    <row r="9824" spans="8:11" x14ac:dyDescent="0.3">
      <c r="H9824">
        <v>0.5</v>
      </c>
      <c r="I9824" s="11">
        <f t="shared" si="153"/>
        <v>0</v>
      </c>
      <c r="J9824" s="11">
        <f>1/(H9824*Utilities!$B$11)</f>
        <v>8</v>
      </c>
      <c r="K9824" s="11">
        <f>IF(B9824&lt;C9824,1,EXP(-1*(B9824-C9824)/(Utilities!$B$11*IterData!H9824)))</f>
        <v>1</v>
      </c>
    </row>
    <row r="9825" spans="8:11" x14ac:dyDescent="0.3">
      <c r="H9825">
        <v>0.5</v>
      </c>
      <c r="I9825" s="11">
        <f t="shared" si="153"/>
        <v>0</v>
      </c>
      <c r="J9825" s="11">
        <f>1/(H9825*Utilities!$B$11)</f>
        <v>8</v>
      </c>
      <c r="K9825" s="11">
        <f>IF(B9825&lt;C9825,1,EXP(-1*(B9825-C9825)/(Utilities!$B$11*IterData!H9825)))</f>
        <v>1</v>
      </c>
    </row>
    <row r="9826" spans="8:11" x14ac:dyDescent="0.3">
      <c r="H9826">
        <v>0.5</v>
      </c>
      <c r="I9826" s="11">
        <f t="shared" si="153"/>
        <v>0</v>
      </c>
      <c r="J9826" s="11">
        <f>1/(H9826*Utilities!$B$11)</f>
        <v>8</v>
      </c>
      <c r="K9826" s="11">
        <f>IF(B9826&lt;C9826,1,EXP(-1*(B9826-C9826)/(Utilities!$B$11*IterData!H9826)))</f>
        <v>1</v>
      </c>
    </row>
    <row r="9827" spans="8:11" x14ac:dyDescent="0.3">
      <c r="H9827">
        <v>0.5</v>
      </c>
      <c r="I9827" s="11">
        <f t="shared" si="153"/>
        <v>0</v>
      </c>
      <c r="J9827" s="11">
        <f>1/(H9827*Utilities!$B$11)</f>
        <v>8</v>
      </c>
      <c r="K9827" s="11">
        <f>IF(B9827&lt;C9827,1,EXP(-1*(B9827-C9827)/(Utilities!$B$11*IterData!H9827)))</f>
        <v>1</v>
      </c>
    </row>
    <row r="9828" spans="8:11" x14ac:dyDescent="0.3">
      <c r="H9828">
        <v>0.5</v>
      </c>
      <c r="I9828" s="11">
        <f t="shared" si="153"/>
        <v>0</v>
      </c>
      <c r="J9828" s="11">
        <f>1/(H9828*Utilities!$B$11)</f>
        <v>8</v>
      </c>
      <c r="K9828" s="11">
        <f>IF(B9828&lt;C9828,1,EXP(-1*(B9828-C9828)/(Utilities!$B$11*IterData!H9828)))</f>
        <v>1</v>
      </c>
    </row>
    <row r="9829" spans="8:11" x14ac:dyDescent="0.3">
      <c r="H9829">
        <v>0.5</v>
      </c>
      <c r="I9829" s="11">
        <f t="shared" si="153"/>
        <v>0</v>
      </c>
      <c r="J9829" s="11">
        <f>1/(H9829*Utilities!$B$11)</f>
        <v>8</v>
      </c>
      <c r="K9829" s="11">
        <f>IF(B9829&lt;C9829,1,EXP(-1*(B9829-C9829)/(Utilities!$B$11*IterData!H9829)))</f>
        <v>1</v>
      </c>
    </row>
    <row r="9830" spans="8:11" x14ac:dyDescent="0.3">
      <c r="H9830">
        <v>0.5</v>
      </c>
      <c r="I9830" s="11">
        <f t="shared" si="153"/>
        <v>0</v>
      </c>
      <c r="J9830" s="11">
        <f>1/(H9830*Utilities!$B$11)</f>
        <v>8</v>
      </c>
      <c r="K9830" s="11">
        <f>IF(B9830&lt;C9830,1,EXP(-1*(B9830-C9830)/(Utilities!$B$11*IterData!H9830)))</f>
        <v>1</v>
      </c>
    </row>
    <row r="9831" spans="8:11" x14ac:dyDescent="0.3">
      <c r="H9831">
        <v>0.5</v>
      </c>
      <c r="I9831" s="11">
        <f t="shared" si="153"/>
        <v>0</v>
      </c>
      <c r="J9831" s="11">
        <f>1/(H9831*Utilities!$B$11)</f>
        <v>8</v>
      </c>
      <c r="K9831" s="11">
        <f>IF(B9831&lt;C9831,1,EXP(-1*(B9831-C9831)/(Utilities!$B$11*IterData!H9831)))</f>
        <v>1</v>
      </c>
    </row>
    <row r="9832" spans="8:11" x14ac:dyDescent="0.3">
      <c r="H9832">
        <v>0.5</v>
      </c>
      <c r="I9832" s="11">
        <f t="shared" si="153"/>
        <v>0</v>
      </c>
      <c r="J9832" s="11">
        <f>1/(H9832*Utilities!$B$11)</f>
        <v>8</v>
      </c>
      <c r="K9832" s="11">
        <f>IF(B9832&lt;C9832,1,EXP(-1*(B9832-C9832)/(Utilities!$B$11*IterData!H9832)))</f>
        <v>1</v>
      </c>
    </row>
    <row r="9833" spans="8:11" x14ac:dyDescent="0.3">
      <c r="H9833">
        <v>0.5</v>
      </c>
      <c r="I9833" s="11">
        <f t="shared" si="153"/>
        <v>0</v>
      </c>
      <c r="J9833" s="11">
        <f>1/(H9833*Utilities!$B$11)</f>
        <v>8</v>
      </c>
      <c r="K9833" s="11">
        <f>IF(B9833&lt;C9833,1,EXP(-1*(B9833-C9833)/(Utilities!$B$11*IterData!H9833)))</f>
        <v>1</v>
      </c>
    </row>
    <row r="9834" spans="8:11" x14ac:dyDescent="0.3">
      <c r="H9834">
        <v>0.5</v>
      </c>
      <c r="I9834" s="11">
        <f t="shared" si="153"/>
        <v>0</v>
      </c>
      <c r="J9834" s="11">
        <f>1/(H9834*Utilities!$B$11)</f>
        <v>8</v>
      </c>
      <c r="K9834" s="11">
        <f>IF(B9834&lt;C9834,1,EXP(-1*(B9834-C9834)/(Utilities!$B$11*IterData!H9834)))</f>
        <v>1</v>
      </c>
    </row>
    <row r="9835" spans="8:11" x14ac:dyDescent="0.3">
      <c r="H9835">
        <v>0.5</v>
      </c>
      <c r="I9835" s="11">
        <f t="shared" si="153"/>
        <v>0</v>
      </c>
      <c r="J9835" s="11">
        <f>1/(H9835*Utilities!$B$11)</f>
        <v>8</v>
      </c>
      <c r="K9835" s="11">
        <f>IF(B9835&lt;C9835,1,EXP(-1*(B9835-C9835)/(Utilities!$B$11*IterData!H9835)))</f>
        <v>1</v>
      </c>
    </row>
    <row r="9836" spans="8:11" x14ac:dyDescent="0.3">
      <c r="H9836">
        <v>0.5</v>
      </c>
      <c r="I9836" s="11">
        <f t="shared" si="153"/>
        <v>0</v>
      </c>
      <c r="J9836" s="11">
        <f>1/(H9836*Utilities!$B$11)</f>
        <v>8</v>
      </c>
      <c r="K9836" s="11">
        <f>IF(B9836&lt;C9836,1,EXP(-1*(B9836-C9836)/(Utilities!$B$11*IterData!H9836)))</f>
        <v>1</v>
      </c>
    </row>
    <row r="9837" spans="8:11" x14ac:dyDescent="0.3">
      <c r="H9837">
        <v>0.5</v>
      </c>
      <c r="I9837" s="11">
        <f t="shared" si="153"/>
        <v>0</v>
      </c>
      <c r="J9837" s="11">
        <f>1/(H9837*Utilities!$B$11)</f>
        <v>8</v>
      </c>
      <c r="K9837" s="11">
        <f>IF(B9837&lt;C9837,1,EXP(-1*(B9837-C9837)/(Utilities!$B$11*IterData!H9837)))</f>
        <v>1</v>
      </c>
    </row>
    <row r="9838" spans="8:11" x14ac:dyDescent="0.3">
      <c r="H9838">
        <v>0.5</v>
      </c>
      <c r="I9838" s="11">
        <f t="shared" si="153"/>
        <v>0</v>
      </c>
      <c r="J9838" s="11">
        <f>1/(H9838*Utilities!$B$11)</f>
        <v>8</v>
      </c>
      <c r="K9838" s="11">
        <f>IF(B9838&lt;C9838,1,EXP(-1*(B9838-C9838)/(Utilities!$B$11*IterData!H9838)))</f>
        <v>1</v>
      </c>
    </row>
    <row r="9839" spans="8:11" x14ac:dyDescent="0.3">
      <c r="H9839">
        <v>0.5</v>
      </c>
      <c r="I9839" s="11">
        <f t="shared" si="153"/>
        <v>0</v>
      </c>
      <c r="J9839" s="11">
        <f>1/(H9839*Utilities!$B$11)</f>
        <v>8</v>
      </c>
      <c r="K9839" s="11">
        <f>IF(B9839&lt;C9839,1,EXP(-1*(B9839-C9839)/(Utilities!$B$11*IterData!H9839)))</f>
        <v>1</v>
      </c>
    </row>
    <row r="9840" spans="8:11" x14ac:dyDescent="0.3">
      <c r="H9840">
        <v>0.5</v>
      </c>
      <c r="I9840" s="11">
        <f t="shared" si="153"/>
        <v>0</v>
      </c>
      <c r="J9840" s="11">
        <f>1/(H9840*Utilities!$B$11)</f>
        <v>8</v>
      </c>
      <c r="K9840" s="11">
        <f>IF(B9840&lt;C9840,1,EXP(-1*(B9840-C9840)/(Utilities!$B$11*IterData!H9840)))</f>
        <v>1</v>
      </c>
    </row>
    <row r="9841" spans="8:11" x14ac:dyDescent="0.3">
      <c r="H9841">
        <v>0.5</v>
      </c>
      <c r="I9841" s="11">
        <f t="shared" si="153"/>
        <v>0</v>
      </c>
      <c r="J9841" s="11">
        <f>1/(H9841*Utilities!$B$11)</f>
        <v>8</v>
      </c>
      <c r="K9841" s="11">
        <f>IF(B9841&lt;C9841,1,EXP(-1*(B9841-C9841)/(Utilities!$B$11*IterData!H9841)))</f>
        <v>1</v>
      </c>
    </row>
    <row r="9842" spans="8:11" x14ac:dyDescent="0.3">
      <c r="H9842">
        <v>0.5</v>
      </c>
      <c r="I9842" s="11">
        <f t="shared" si="153"/>
        <v>0</v>
      </c>
      <c r="J9842" s="11">
        <f>1/(H9842*Utilities!$B$11)</f>
        <v>8</v>
      </c>
      <c r="K9842" s="11">
        <f>IF(B9842&lt;C9842,1,EXP(-1*(B9842-C9842)/(Utilities!$B$11*IterData!H9842)))</f>
        <v>1</v>
      </c>
    </row>
    <row r="9843" spans="8:11" x14ac:dyDescent="0.3">
      <c r="H9843">
        <v>0.5</v>
      </c>
      <c r="I9843" s="11">
        <f t="shared" si="153"/>
        <v>0</v>
      </c>
      <c r="J9843" s="11">
        <f>1/(H9843*Utilities!$B$11)</f>
        <v>8</v>
      </c>
      <c r="K9843" s="11">
        <f>IF(B9843&lt;C9843,1,EXP(-1*(B9843-C9843)/(Utilities!$B$11*IterData!H9843)))</f>
        <v>1</v>
      </c>
    </row>
    <row r="9844" spans="8:11" x14ac:dyDescent="0.3">
      <c r="H9844">
        <v>0.5</v>
      </c>
      <c r="I9844" s="11">
        <f t="shared" si="153"/>
        <v>0</v>
      </c>
      <c r="J9844" s="11">
        <f>1/(H9844*Utilities!$B$11)</f>
        <v>8</v>
      </c>
      <c r="K9844" s="11">
        <f>IF(B9844&lt;C9844,1,EXP(-1*(B9844-C9844)/(Utilities!$B$11*IterData!H9844)))</f>
        <v>1</v>
      </c>
    </row>
    <row r="9845" spans="8:11" x14ac:dyDescent="0.3">
      <c r="H9845">
        <v>0.5</v>
      </c>
      <c r="I9845" s="11">
        <f t="shared" si="153"/>
        <v>0</v>
      </c>
      <c r="J9845" s="11">
        <f>1/(H9845*Utilities!$B$11)</f>
        <v>8</v>
      </c>
      <c r="K9845" s="11">
        <f>IF(B9845&lt;C9845,1,EXP(-1*(B9845-C9845)/(Utilities!$B$11*IterData!H9845)))</f>
        <v>1</v>
      </c>
    </row>
    <row r="9846" spans="8:11" x14ac:dyDescent="0.3">
      <c r="H9846">
        <v>0.5</v>
      </c>
      <c r="I9846" s="11">
        <f t="shared" si="153"/>
        <v>0</v>
      </c>
      <c r="J9846" s="11">
        <f>1/(H9846*Utilities!$B$11)</f>
        <v>8</v>
      </c>
      <c r="K9846" s="11">
        <f>IF(B9846&lt;C9846,1,EXP(-1*(B9846-C9846)/(Utilities!$B$11*IterData!H9846)))</f>
        <v>1</v>
      </c>
    </row>
    <row r="9847" spans="8:11" x14ac:dyDescent="0.3">
      <c r="H9847">
        <v>0.5</v>
      </c>
      <c r="I9847" s="11">
        <f t="shared" si="153"/>
        <v>0</v>
      </c>
      <c r="J9847" s="11">
        <f>1/(H9847*Utilities!$B$11)</f>
        <v>8</v>
      </c>
      <c r="K9847" s="11">
        <f>IF(B9847&lt;C9847,1,EXP(-1*(B9847-C9847)/(Utilities!$B$11*IterData!H9847)))</f>
        <v>1</v>
      </c>
    </row>
    <row r="9848" spans="8:11" x14ac:dyDescent="0.3">
      <c r="H9848">
        <v>0.5</v>
      </c>
      <c r="I9848" s="11">
        <f t="shared" si="153"/>
        <v>0</v>
      </c>
      <c r="J9848" s="11">
        <f>1/(H9848*Utilities!$B$11)</f>
        <v>8</v>
      </c>
      <c r="K9848" s="11">
        <f>IF(B9848&lt;C9848,1,EXP(-1*(B9848-C9848)/(Utilities!$B$11*IterData!H9848)))</f>
        <v>1</v>
      </c>
    </row>
    <row r="9849" spans="8:11" x14ac:dyDescent="0.3">
      <c r="H9849">
        <v>0.5</v>
      </c>
      <c r="I9849" s="11">
        <f t="shared" si="153"/>
        <v>0</v>
      </c>
      <c r="J9849" s="11">
        <f>1/(H9849*Utilities!$B$11)</f>
        <v>8</v>
      </c>
      <c r="K9849" s="11">
        <f>IF(B9849&lt;C9849,1,EXP(-1*(B9849-C9849)/(Utilities!$B$11*IterData!H9849)))</f>
        <v>1</v>
      </c>
    </row>
    <row r="9850" spans="8:11" x14ac:dyDescent="0.3">
      <c r="H9850">
        <v>0.5</v>
      </c>
      <c r="I9850" s="11">
        <f t="shared" si="153"/>
        <v>0</v>
      </c>
      <c r="J9850" s="11">
        <f>1/(H9850*Utilities!$B$11)</f>
        <v>8</v>
      </c>
      <c r="K9850" s="11">
        <f>IF(B9850&lt;C9850,1,EXP(-1*(B9850-C9850)/(Utilities!$B$11*IterData!H9850)))</f>
        <v>1</v>
      </c>
    </row>
    <row r="9851" spans="8:11" x14ac:dyDescent="0.3">
      <c r="H9851">
        <v>0.5</v>
      </c>
      <c r="I9851" s="11">
        <f t="shared" si="153"/>
        <v>0</v>
      </c>
      <c r="J9851" s="11">
        <f>1/(H9851*Utilities!$B$11)</f>
        <v>8</v>
      </c>
      <c r="K9851" s="11">
        <f>IF(B9851&lt;C9851,1,EXP(-1*(B9851-C9851)/(Utilities!$B$11*IterData!H9851)))</f>
        <v>1</v>
      </c>
    </row>
    <row r="9852" spans="8:11" x14ac:dyDescent="0.3">
      <c r="H9852">
        <v>0.5</v>
      </c>
      <c r="I9852" s="11">
        <f t="shared" si="153"/>
        <v>0</v>
      </c>
      <c r="J9852" s="11">
        <f>1/(H9852*Utilities!$B$11)</f>
        <v>8</v>
      </c>
      <c r="K9852" s="11">
        <f>IF(B9852&lt;C9852,1,EXP(-1*(B9852-C9852)/(Utilities!$B$11*IterData!H9852)))</f>
        <v>1</v>
      </c>
    </row>
    <row r="9853" spans="8:11" x14ac:dyDescent="0.3">
      <c r="H9853">
        <v>0.5</v>
      </c>
      <c r="I9853" s="11">
        <f t="shared" si="153"/>
        <v>0</v>
      </c>
      <c r="J9853" s="11">
        <f>1/(H9853*Utilities!$B$11)</f>
        <v>8</v>
      </c>
      <c r="K9853" s="11">
        <f>IF(B9853&lt;C9853,1,EXP(-1*(B9853-C9853)/(Utilities!$B$11*IterData!H9853)))</f>
        <v>1</v>
      </c>
    </row>
    <row r="9854" spans="8:11" x14ac:dyDescent="0.3">
      <c r="H9854">
        <v>0.5</v>
      </c>
      <c r="I9854" s="11">
        <f t="shared" si="153"/>
        <v>0</v>
      </c>
      <c r="J9854" s="11">
        <f>1/(H9854*Utilities!$B$11)</f>
        <v>8</v>
      </c>
      <c r="K9854" s="11">
        <f>IF(B9854&lt;C9854,1,EXP(-1*(B9854-C9854)/(Utilities!$B$11*IterData!H9854)))</f>
        <v>1</v>
      </c>
    </row>
    <row r="9855" spans="8:11" x14ac:dyDescent="0.3">
      <c r="H9855">
        <v>0.5</v>
      </c>
      <c r="I9855" s="11">
        <f t="shared" si="153"/>
        <v>0</v>
      </c>
      <c r="J9855" s="11">
        <f>1/(H9855*Utilities!$B$11)</f>
        <v>8</v>
      </c>
      <c r="K9855" s="11">
        <f>IF(B9855&lt;C9855,1,EXP(-1*(B9855-C9855)/(Utilities!$B$11*IterData!H9855)))</f>
        <v>1</v>
      </c>
    </row>
    <row r="9856" spans="8:11" x14ac:dyDescent="0.3">
      <c r="H9856">
        <v>0.5</v>
      </c>
      <c r="I9856" s="11">
        <f t="shared" si="153"/>
        <v>0</v>
      </c>
      <c r="J9856" s="11">
        <f>1/(H9856*Utilities!$B$11)</f>
        <v>8</v>
      </c>
      <c r="K9856" s="11">
        <f>IF(B9856&lt;C9856,1,EXP(-1*(B9856-C9856)/(Utilities!$B$11*IterData!H9856)))</f>
        <v>1</v>
      </c>
    </row>
    <row r="9857" spans="8:11" x14ac:dyDescent="0.3">
      <c r="H9857">
        <v>0.5</v>
      </c>
      <c r="I9857" s="11">
        <f t="shared" si="153"/>
        <v>0</v>
      </c>
      <c r="J9857" s="11">
        <f>1/(H9857*Utilities!$B$11)</f>
        <v>8</v>
      </c>
      <c r="K9857" s="11">
        <f>IF(B9857&lt;C9857,1,EXP(-1*(B9857-C9857)/(Utilities!$B$11*IterData!H9857)))</f>
        <v>1</v>
      </c>
    </row>
    <row r="9858" spans="8:11" x14ac:dyDescent="0.3">
      <c r="H9858">
        <v>0.5</v>
      </c>
      <c r="I9858" s="11">
        <f t="shared" si="153"/>
        <v>0</v>
      </c>
      <c r="J9858" s="11">
        <f>1/(H9858*Utilities!$B$11)</f>
        <v>8</v>
      </c>
      <c r="K9858" s="11">
        <f>IF(B9858&lt;C9858,1,EXP(-1*(B9858-C9858)/(Utilities!$B$11*IterData!H9858)))</f>
        <v>1</v>
      </c>
    </row>
    <row r="9859" spans="8:11" x14ac:dyDescent="0.3">
      <c r="H9859">
        <v>0.5</v>
      </c>
      <c r="I9859" s="11">
        <f t="shared" ref="I9859:I9922" si="154">B9859-C9859</f>
        <v>0</v>
      </c>
      <c r="J9859" s="11">
        <f>1/(H9859*Utilities!$B$11)</f>
        <v>8</v>
      </c>
      <c r="K9859" s="11">
        <f>IF(B9859&lt;C9859,1,EXP(-1*(B9859-C9859)/(Utilities!$B$11*IterData!H9859)))</f>
        <v>1</v>
      </c>
    </row>
    <row r="9860" spans="8:11" x14ac:dyDescent="0.3">
      <c r="H9860">
        <v>0.5</v>
      </c>
      <c r="I9860" s="11">
        <f t="shared" si="154"/>
        <v>0</v>
      </c>
      <c r="J9860" s="11">
        <f>1/(H9860*Utilities!$B$11)</f>
        <v>8</v>
      </c>
      <c r="K9860" s="11">
        <f>IF(B9860&lt;C9860,1,EXP(-1*(B9860-C9860)/(Utilities!$B$11*IterData!H9860)))</f>
        <v>1</v>
      </c>
    </row>
    <row r="9861" spans="8:11" x14ac:dyDescent="0.3">
      <c r="H9861">
        <v>0.5</v>
      </c>
      <c r="I9861" s="11">
        <f t="shared" si="154"/>
        <v>0</v>
      </c>
      <c r="J9861" s="11">
        <f>1/(H9861*Utilities!$B$11)</f>
        <v>8</v>
      </c>
      <c r="K9861" s="11">
        <f>IF(B9861&lt;C9861,1,EXP(-1*(B9861-C9861)/(Utilities!$B$11*IterData!H9861)))</f>
        <v>1</v>
      </c>
    </row>
    <row r="9862" spans="8:11" x14ac:dyDescent="0.3">
      <c r="H9862">
        <v>0.5</v>
      </c>
      <c r="I9862" s="11">
        <f t="shared" si="154"/>
        <v>0</v>
      </c>
      <c r="J9862" s="11">
        <f>1/(H9862*Utilities!$B$11)</f>
        <v>8</v>
      </c>
      <c r="K9862" s="11">
        <f>IF(B9862&lt;C9862,1,EXP(-1*(B9862-C9862)/(Utilities!$B$11*IterData!H9862)))</f>
        <v>1</v>
      </c>
    </row>
    <row r="9863" spans="8:11" x14ac:dyDescent="0.3">
      <c r="H9863">
        <v>0.5</v>
      </c>
      <c r="I9863" s="11">
        <f t="shared" si="154"/>
        <v>0</v>
      </c>
      <c r="J9863" s="11">
        <f>1/(H9863*Utilities!$B$11)</f>
        <v>8</v>
      </c>
      <c r="K9863" s="11">
        <f>IF(B9863&lt;C9863,1,EXP(-1*(B9863-C9863)/(Utilities!$B$11*IterData!H9863)))</f>
        <v>1</v>
      </c>
    </row>
    <row r="9864" spans="8:11" x14ac:dyDescent="0.3">
      <c r="H9864">
        <v>0.5</v>
      </c>
      <c r="I9864" s="11">
        <f t="shared" si="154"/>
        <v>0</v>
      </c>
      <c r="J9864" s="11">
        <f>1/(H9864*Utilities!$B$11)</f>
        <v>8</v>
      </c>
      <c r="K9864" s="11">
        <f>IF(B9864&lt;C9864,1,EXP(-1*(B9864-C9864)/(Utilities!$B$11*IterData!H9864)))</f>
        <v>1</v>
      </c>
    </row>
    <row r="9865" spans="8:11" x14ac:dyDescent="0.3">
      <c r="H9865">
        <v>0.5</v>
      </c>
      <c r="I9865" s="11">
        <f t="shared" si="154"/>
        <v>0</v>
      </c>
      <c r="J9865" s="11">
        <f>1/(H9865*Utilities!$B$11)</f>
        <v>8</v>
      </c>
      <c r="K9865" s="11">
        <f>IF(B9865&lt;C9865,1,EXP(-1*(B9865-C9865)/(Utilities!$B$11*IterData!H9865)))</f>
        <v>1</v>
      </c>
    </row>
    <row r="9866" spans="8:11" x14ac:dyDescent="0.3">
      <c r="H9866">
        <v>0.5</v>
      </c>
      <c r="I9866" s="11">
        <f t="shared" si="154"/>
        <v>0</v>
      </c>
      <c r="J9866" s="11">
        <f>1/(H9866*Utilities!$B$11)</f>
        <v>8</v>
      </c>
      <c r="K9866" s="11">
        <f>IF(B9866&lt;C9866,1,EXP(-1*(B9866-C9866)/(Utilities!$B$11*IterData!H9866)))</f>
        <v>1</v>
      </c>
    </row>
    <row r="9867" spans="8:11" x14ac:dyDescent="0.3">
      <c r="H9867">
        <v>0.5</v>
      </c>
      <c r="I9867" s="11">
        <f t="shared" si="154"/>
        <v>0</v>
      </c>
      <c r="J9867" s="11">
        <f>1/(H9867*Utilities!$B$11)</f>
        <v>8</v>
      </c>
      <c r="K9867" s="11">
        <f>IF(B9867&lt;C9867,1,EXP(-1*(B9867-C9867)/(Utilities!$B$11*IterData!H9867)))</f>
        <v>1</v>
      </c>
    </row>
    <row r="9868" spans="8:11" x14ac:dyDescent="0.3">
      <c r="H9868">
        <v>0.5</v>
      </c>
      <c r="I9868" s="11">
        <f t="shared" si="154"/>
        <v>0</v>
      </c>
      <c r="J9868" s="11">
        <f>1/(H9868*Utilities!$B$11)</f>
        <v>8</v>
      </c>
      <c r="K9868" s="11">
        <f>IF(B9868&lt;C9868,1,EXP(-1*(B9868-C9868)/(Utilities!$B$11*IterData!H9868)))</f>
        <v>1</v>
      </c>
    </row>
    <row r="9869" spans="8:11" x14ac:dyDescent="0.3">
      <c r="H9869">
        <v>0.5</v>
      </c>
      <c r="I9869" s="11">
        <f t="shared" si="154"/>
        <v>0</v>
      </c>
      <c r="J9869" s="11">
        <f>1/(H9869*Utilities!$B$11)</f>
        <v>8</v>
      </c>
      <c r="K9869" s="11">
        <f>IF(B9869&lt;C9869,1,EXP(-1*(B9869-C9869)/(Utilities!$B$11*IterData!H9869)))</f>
        <v>1</v>
      </c>
    </row>
    <row r="9870" spans="8:11" x14ac:dyDescent="0.3">
      <c r="H9870">
        <v>0.5</v>
      </c>
      <c r="I9870" s="11">
        <f t="shared" si="154"/>
        <v>0</v>
      </c>
      <c r="J9870" s="11">
        <f>1/(H9870*Utilities!$B$11)</f>
        <v>8</v>
      </c>
      <c r="K9870" s="11">
        <f>IF(B9870&lt;C9870,1,EXP(-1*(B9870-C9870)/(Utilities!$B$11*IterData!H9870)))</f>
        <v>1</v>
      </c>
    </row>
    <row r="9871" spans="8:11" x14ac:dyDescent="0.3">
      <c r="H9871">
        <v>0.5</v>
      </c>
      <c r="I9871" s="11">
        <f t="shared" si="154"/>
        <v>0</v>
      </c>
      <c r="J9871" s="11">
        <f>1/(H9871*Utilities!$B$11)</f>
        <v>8</v>
      </c>
      <c r="K9871" s="11">
        <f>IF(B9871&lt;C9871,1,EXP(-1*(B9871-C9871)/(Utilities!$B$11*IterData!H9871)))</f>
        <v>1</v>
      </c>
    </row>
    <row r="9872" spans="8:11" x14ac:dyDescent="0.3">
      <c r="H9872">
        <v>0.5</v>
      </c>
      <c r="I9872" s="11">
        <f t="shared" si="154"/>
        <v>0</v>
      </c>
      <c r="J9872" s="11">
        <f>1/(H9872*Utilities!$B$11)</f>
        <v>8</v>
      </c>
      <c r="K9872" s="11">
        <f>IF(B9872&lt;C9872,1,EXP(-1*(B9872-C9872)/(Utilities!$B$11*IterData!H9872)))</f>
        <v>1</v>
      </c>
    </row>
    <row r="9873" spans="8:11" x14ac:dyDescent="0.3">
      <c r="H9873">
        <v>0.5</v>
      </c>
      <c r="I9873" s="11">
        <f t="shared" si="154"/>
        <v>0</v>
      </c>
      <c r="J9873" s="11">
        <f>1/(H9873*Utilities!$B$11)</f>
        <v>8</v>
      </c>
      <c r="K9873" s="11">
        <f>IF(B9873&lt;C9873,1,EXP(-1*(B9873-C9873)/(Utilities!$B$11*IterData!H9873)))</f>
        <v>1</v>
      </c>
    </row>
    <row r="9874" spans="8:11" x14ac:dyDescent="0.3">
      <c r="H9874">
        <v>0.5</v>
      </c>
      <c r="I9874" s="11">
        <f t="shared" si="154"/>
        <v>0</v>
      </c>
      <c r="J9874" s="11">
        <f>1/(H9874*Utilities!$B$11)</f>
        <v>8</v>
      </c>
      <c r="K9874" s="11">
        <f>IF(B9874&lt;C9874,1,EXP(-1*(B9874-C9874)/(Utilities!$B$11*IterData!H9874)))</f>
        <v>1</v>
      </c>
    </row>
    <row r="9875" spans="8:11" x14ac:dyDescent="0.3">
      <c r="H9875">
        <v>0.5</v>
      </c>
      <c r="I9875" s="11">
        <f t="shared" si="154"/>
        <v>0</v>
      </c>
      <c r="J9875" s="11">
        <f>1/(H9875*Utilities!$B$11)</f>
        <v>8</v>
      </c>
      <c r="K9875" s="11">
        <f>IF(B9875&lt;C9875,1,EXP(-1*(B9875-C9875)/(Utilities!$B$11*IterData!H9875)))</f>
        <v>1</v>
      </c>
    </row>
    <row r="9876" spans="8:11" x14ac:dyDescent="0.3">
      <c r="H9876">
        <v>0.5</v>
      </c>
      <c r="I9876" s="11">
        <f t="shared" si="154"/>
        <v>0</v>
      </c>
      <c r="J9876" s="11">
        <f>1/(H9876*Utilities!$B$11)</f>
        <v>8</v>
      </c>
      <c r="K9876" s="11">
        <f>IF(B9876&lt;C9876,1,EXP(-1*(B9876-C9876)/(Utilities!$B$11*IterData!H9876)))</f>
        <v>1</v>
      </c>
    </row>
    <row r="9877" spans="8:11" x14ac:dyDescent="0.3">
      <c r="H9877">
        <v>0.5</v>
      </c>
      <c r="I9877" s="11">
        <f t="shared" si="154"/>
        <v>0</v>
      </c>
      <c r="J9877" s="11">
        <f>1/(H9877*Utilities!$B$11)</f>
        <v>8</v>
      </c>
      <c r="K9877" s="11">
        <f>IF(B9877&lt;C9877,1,EXP(-1*(B9877-C9877)/(Utilities!$B$11*IterData!H9877)))</f>
        <v>1</v>
      </c>
    </row>
    <row r="9878" spans="8:11" x14ac:dyDescent="0.3">
      <c r="H9878">
        <v>0.5</v>
      </c>
      <c r="I9878" s="11">
        <f t="shared" si="154"/>
        <v>0</v>
      </c>
      <c r="J9878" s="11">
        <f>1/(H9878*Utilities!$B$11)</f>
        <v>8</v>
      </c>
      <c r="K9878" s="11">
        <f>IF(B9878&lt;C9878,1,EXP(-1*(B9878-C9878)/(Utilities!$B$11*IterData!H9878)))</f>
        <v>1</v>
      </c>
    </row>
    <row r="9879" spans="8:11" x14ac:dyDescent="0.3">
      <c r="H9879">
        <v>0.5</v>
      </c>
      <c r="I9879" s="11">
        <f t="shared" si="154"/>
        <v>0</v>
      </c>
      <c r="J9879" s="11">
        <f>1/(H9879*Utilities!$B$11)</f>
        <v>8</v>
      </c>
      <c r="K9879" s="11">
        <f>IF(B9879&lt;C9879,1,EXP(-1*(B9879-C9879)/(Utilities!$B$11*IterData!H9879)))</f>
        <v>1</v>
      </c>
    </row>
    <row r="9880" spans="8:11" x14ac:dyDescent="0.3">
      <c r="H9880">
        <v>0.5</v>
      </c>
      <c r="I9880" s="11">
        <f t="shared" si="154"/>
        <v>0</v>
      </c>
      <c r="J9880" s="11">
        <f>1/(H9880*Utilities!$B$11)</f>
        <v>8</v>
      </c>
      <c r="K9880" s="11">
        <f>IF(B9880&lt;C9880,1,EXP(-1*(B9880-C9880)/(Utilities!$B$11*IterData!H9880)))</f>
        <v>1</v>
      </c>
    </row>
    <row r="9881" spans="8:11" x14ac:dyDescent="0.3">
      <c r="H9881">
        <v>0.5</v>
      </c>
      <c r="I9881" s="11">
        <f t="shared" si="154"/>
        <v>0</v>
      </c>
      <c r="J9881" s="11">
        <f>1/(H9881*Utilities!$B$11)</f>
        <v>8</v>
      </c>
      <c r="K9881" s="11">
        <f>IF(B9881&lt;C9881,1,EXP(-1*(B9881-C9881)/(Utilities!$B$11*IterData!H9881)))</f>
        <v>1</v>
      </c>
    </row>
    <row r="9882" spans="8:11" x14ac:dyDescent="0.3">
      <c r="H9882">
        <v>0.5</v>
      </c>
      <c r="I9882" s="11">
        <f t="shared" si="154"/>
        <v>0</v>
      </c>
      <c r="J9882" s="11">
        <f>1/(H9882*Utilities!$B$11)</f>
        <v>8</v>
      </c>
      <c r="K9882" s="11">
        <f>IF(B9882&lt;C9882,1,EXP(-1*(B9882-C9882)/(Utilities!$B$11*IterData!H9882)))</f>
        <v>1</v>
      </c>
    </row>
    <row r="9883" spans="8:11" x14ac:dyDescent="0.3">
      <c r="H9883">
        <v>0.5</v>
      </c>
      <c r="I9883" s="11">
        <f t="shared" si="154"/>
        <v>0</v>
      </c>
      <c r="J9883" s="11">
        <f>1/(H9883*Utilities!$B$11)</f>
        <v>8</v>
      </c>
      <c r="K9883" s="11">
        <f>IF(B9883&lt;C9883,1,EXP(-1*(B9883-C9883)/(Utilities!$B$11*IterData!H9883)))</f>
        <v>1</v>
      </c>
    </row>
    <row r="9884" spans="8:11" x14ac:dyDescent="0.3">
      <c r="H9884">
        <v>0.5</v>
      </c>
      <c r="I9884" s="11">
        <f t="shared" si="154"/>
        <v>0</v>
      </c>
      <c r="J9884" s="11">
        <f>1/(H9884*Utilities!$B$11)</f>
        <v>8</v>
      </c>
      <c r="K9884" s="11">
        <f>IF(B9884&lt;C9884,1,EXP(-1*(B9884-C9884)/(Utilities!$B$11*IterData!H9884)))</f>
        <v>1</v>
      </c>
    </row>
    <row r="9885" spans="8:11" x14ac:dyDescent="0.3">
      <c r="H9885">
        <v>0.5</v>
      </c>
      <c r="I9885" s="11">
        <f t="shared" si="154"/>
        <v>0</v>
      </c>
      <c r="J9885" s="11">
        <f>1/(H9885*Utilities!$B$11)</f>
        <v>8</v>
      </c>
      <c r="K9885" s="11">
        <f>IF(B9885&lt;C9885,1,EXP(-1*(B9885-C9885)/(Utilities!$B$11*IterData!H9885)))</f>
        <v>1</v>
      </c>
    </row>
    <row r="9886" spans="8:11" x14ac:dyDescent="0.3">
      <c r="H9886">
        <v>0.5</v>
      </c>
      <c r="I9886" s="11">
        <f t="shared" si="154"/>
        <v>0</v>
      </c>
      <c r="J9886" s="11">
        <f>1/(H9886*Utilities!$B$11)</f>
        <v>8</v>
      </c>
      <c r="K9886" s="11">
        <f>IF(B9886&lt;C9886,1,EXP(-1*(B9886-C9886)/(Utilities!$B$11*IterData!H9886)))</f>
        <v>1</v>
      </c>
    </row>
    <row r="9887" spans="8:11" x14ac:dyDescent="0.3">
      <c r="H9887">
        <v>0.5</v>
      </c>
      <c r="I9887" s="11">
        <f t="shared" si="154"/>
        <v>0</v>
      </c>
      <c r="J9887" s="11">
        <f>1/(H9887*Utilities!$B$11)</f>
        <v>8</v>
      </c>
      <c r="K9887" s="11">
        <f>IF(B9887&lt;C9887,1,EXP(-1*(B9887-C9887)/(Utilities!$B$11*IterData!H9887)))</f>
        <v>1</v>
      </c>
    </row>
    <row r="9888" spans="8:11" x14ac:dyDescent="0.3">
      <c r="H9888">
        <v>0.5</v>
      </c>
      <c r="I9888" s="11">
        <f t="shared" si="154"/>
        <v>0</v>
      </c>
      <c r="J9888" s="11">
        <f>1/(H9888*Utilities!$B$11)</f>
        <v>8</v>
      </c>
      <c r="K9888" s="11">
        <f>IF(B9888&lt;C9888,1,EXP(-1*(B9888-C9888)/(Utilities!$B$11*IterData!H9888)))</f>
        <v>1</v>
      </c>
    </row>
    <row r="9889" spans="8:11" x14ac:dyDescent="0.3">
      <c r="H9889">
        <v>0.5</v>
      </c>
      <c r="I9889" s="11">
        <f t="shared" si="154"/>
        <v>0</v>
      </c>
      <c r="J9889" s="11">
        <f>1/(H9889*Utilities!$B$11)</f>
        <v>8</v>
      </c>
      <c r="K9889" s="11">
        <f>IF(B9889&lt;C9889,1,EXP(-1*(B9889-C9889)/(Utilities!$B$11*IterData!H9889)))</f>
        <v>1</v>
      </c>
    </row>
    <row r="9890" spans="8:11" x14ac:dyDescent="0.3">
      <c r="H9890">
        <v>0.5</v>
      </c>
      <c r="I9890" s="11">
        <f t="shared" si="154"/>
        <v>0</v>
      </c>
      <c r="J9890" s="11">
        <f>1/(H9890*Utilities!$B$11)</f>
        <v>8</v>
      </c>
      <c r="K9890" s="11">
        <f>IF(B9890&lt;C9890,1,EXP(-1*(B9890-C9890)/(Utilities!$B$11*IterData!H9890)))</f>
        <v>1</v>
      </c>
    </row>
    <row r="9891" spans="8:11" x14ac:dyDescent="0.3">
      <c r="H9891">
        <v>0.5</v>
      </c>
      <c r="I9891" s="11">
        <f t="shared" si="154"/>
        <v>0</v>
      </c>
      <c r="J9891" s="11">
        <f>1/(H9891*Utilities!$B$11)</f>
        <v>8</v>
      </c>
      <c r="K9891" s="11">
        <f>IF(B9891&lt;C9891,1,EXP(-1*(B9891-C9891)/(Utilities!$B$11*IterData!H9891)))</f>
        <v>1</v>
      </c>
    </row>
    <row r="9892" spans="8:11" x14ac:dyDescent="0.3">
      <c r="H9892">
        <v>0.5</v>
      </c>
      <c r="I9892" s="11">
        <f t="shared" si="154"/>
        <v>0</v>
      </c>
      <c r="J9892" s="11">
        <f>1/(H9892*Utilities!$B$11)</f>
        <v>8</v>
      </c>
      <c r="K9892" s="11">
        <f>IF(B9892&lt;C9892,1,EXP(-1*(B9892-C9892)/(Utilities!$B$11*IterData!H9892)))</f>
        <v>1</v>
      </c>
    </row>
    <row r="9893" spans="8:11" x14ac:dyDescent="0.3">
      <c r="H9893">
        <v>0.5</v>
      </c>
      <c r="I9893" s="11">
        <f t="shared" si="154"/>
        <v>0</v>
      </c>
      <c r="J9893" s="11">
        <f>1/(H9893*Utilities!$B$11)</f>
        <v>8</v>
      </c>
      <c r="K9893" s="11">
        <f>IF(B9893&lt;C9893,1,EXP(-1*(B9893-C9893)/(Utilities!$B$11*IterData!H9893)))</f>
        <v>1</v>
      </c>
    </row>
    <row r="9894" spans="8:11" x14ac:dyDescent="0.3">
      <c r="H9894">
        <v>0.5</v>
      </c>
      <c r="I9894" s="11">
        <f t="shared" si="154"/>
        <v>0</v>
      </c>
      <c r="J9894" s="11">
        <f>1/(H9894*Utilities!$B$11)</f>
        <v>8</v>
      </c>
      <c r="K9894" s="11">
        <f>IF(B9894&lt;C9894,1,EXP(-1*(B9894-C9894)/(Utilities!$B$11*IterData!H9894)))</f>
        <v>1</v>
      </c>
    </row>
    <row r="9895" spans="8:11" x14ac:dyDescent="0.3">
      <c r="H9895">
        <v>0.5</v>
      </c>
      <c r="I9895" s="11">
        <f t="shared" si="154"/>
        <v>0</v>
      </c>
      <c r="J9895" s="11">
        <f>1/(H9895*Utilities!$B$11)</f>
        <v>8</v>
      </c>
      <c r="K9895" s="11">
        <f>IF(B9895&lt;C9895,1,EXP(-1*(B9895-C9895)/(Utilities!$B$11*IterData!H9895)))</f>
        <v>1</v>
      </c>
    </row>
    <row r="9896" spans="8:11" x14ac:dyDescent="0.3">
      <c r="H9896">
        <v>0.5</v>
      </c>
      <c r="I9896" s="11">
        <f t="shared" si="154"/>
        <v>0</v>
      </c>
      <c r="J9896" s="11">
        <f>1/(H9896*Utilities!$B$11)</f>
        <v>8</v>
      </c>
      <c r="K9896" s="11">
        <f>IF(B9896&lt;C9896,1,EXP(-1*(B9896-C9896)/(Utilities!$B$11*IterData!H9896)))</f>
        <v>1</v>
      </c>
    </row>
    <row r="9897" spans="8:11" x14ac:dyDescent="0.3">
      <c r="H9897">
        <v>0.5</v>
      </c>
      <c r="I9897" s="11">
        <f t="shared" si="154"/>
        <v>0</v>
      </c>
      <c r="J9897" s="11">
        <f>1/(H9897*Utilities!$B$11)</f>
        <v>8</v>
      </c>
      <c r="K9897" s="11">
        <f>IF(B9897&lt;C9897,1,EXP(-1*(B9897-C9897)/(Utilities!$B$11*IterData!H9897)))</f>
        <v>1</v>
      </c>
    </row>
    <row r="9898" spans="8:11" x14ac:dyDescent="0.3">
      <c r="H9898">
        <v>0.5</v>
      </c>
      <c r="I9898" s="11">
        <f t="shared" si="154"/>
        <v>0</v>
      </c>
      <c r="J9898" s="11">
        <f>1/(H9898*Utilities!$B$11)</f>
        <v>8</v>
      </c>
      <c r="K9898" s="11">
        <f>IF(B9898&lt;C9898,1,EXP(-1*(B9898-C9898)/(Utilities!$B$11*IterData!H9898)))</f>
        <v>1</v>
      </c>
    </row>
    <row r="9899" spans="8:11" x14ac:dyDescent="0.3">
      <c r="H9899">
        <v>0.5</v>
      </c>
      <c r="I9899" s="11">
        <f t="shared" si="154"/>
        <v>0</v>
      </c>
      <c r="J9899" s="11">
        <f>1/(H9899*Utilities!$B$11)</f>
        <v>8</v>
      </c>
      <c r="K9899" s="11">
        <f>IF(B9899&lt;C9899,1,EXP(-1*(B9899-C9899)/(Utilities!$B$11*IterData!H9899)))</f>
        <v>1</v>
      </c>
    </row>
    <row r="9900" spans="8:11" x14ac:dyDescent="0.3">
      <c r="H9900">
        <v>0.5</v>
      </c>
      <c r="I9900" s="11">
        <f t="shared" si="154"/>
        <v>0</v>
      </c>
      <c r="J9900" s="11">
        <f>1/(H9900*Utilities!$B$11)</f>
        <v>8</v>
      </c>
      <c r="K9900" s="11">
        <f>IF(B9900&lt;C9900,1,EXP(-1*(B9900-C9900)/(Utilities!$B$11*IterData!H9900)))</f>
        <v>1</v>
      </c>
    </row>
    <row r="9901" spans="8:11" x14ac:dyDescent="0.3">
      <c r="H9901">
        <v>0.5</v>
      </c>
      <c r="I9901" s="11">
        <f t="shared" si="154"/>
        <v>0</v>
      </c>
      <c r="J9901" s="11">
        <f>1/(H9901*Utilities!$B$11)</f>
        <v>8</v>
      </c>
      <c r="K9901" s="11">
        <f>IF(B9901&lt;C9901,1,EXP(-1*(B9901-C9901)/(Utilities!$B$11*IterData!H9901)))</f>
        <v>1</v>
      </c>
    </row>
    <row r="9902" spans="8:11" x14ac:dyDescent="0.3">
      <c r="H9902">
        <v>0.5</v>
      </c>
      <c r="I9902" s="11">
        <f t="shared" si="154"/>
        <v>0</v>
      </c>
      <c r="J9902" s="11">
        <f>1/(H9902*Utilities!$B$11)</f>
        <v>8</v>
      </c>
      <c r="K9902" s="11">
        <f>IF(B9902&lt;C9902,1,EXP(-1*(B9902-C9902)/(Utilities!$B$11*IterData!H9902)))</f>
        <v>1</v>
      </c>
    </row>
    <row r="9903" spans="8:11" x14ac:dyDescent="0.3">
      <c r="H9903">
        <v>0.5</v>
      </c>
      <c r="I9903" s="11">
        <f t="shared" si="154"/>
        <v>0</v>
      </c>
      <c r="J9903" s="11">
        <f>1/(H9903*Utilities!$B$11)</f>
        <v>8</v>
      </c>
      <c r="K9903" s="11">
        <f>IF(B9903&lt;C9903,1,EXP(-1*(B9903-C9903)/(Utilities!$B$11*IterData!H9903)))</f>
        <v>1</v>
      </c>
    </row>
    <row r="9904" spans="8:11" x14ac:dyDescent="0.3">
      <c r="H9904">
        <v>0.5</v>
      </c>
      <c r="I9904" s="11">
        <f t="shared" si="154"/>
        <v>0</v>
      </c>
      <c r="J9904" s="11">
        <f>1/(H9904*Utilities!$B$11)</f>
        <v>8</v>
      </c>
      <c r="K9904" s="11">
        <f>IF(B9904&lt;C9904,1,EXP(-1*(B9904-C9904)/(Utilities!$B$11*IterData!H9904)))</f>
        <v>1</v>
      </c>
    </row>
    <row r="9905" spans="8:11" x14ac:dyDescent="0.3">
      <c r="H9905">
        <v>0.5</v>
      </c>
      <c r="I9905" s="11">
        <f t="shared" si="154"/>
        <v>0</v>
      </c>
      <c r="J9905" s="11">
        <f>1/(H9905*Utilities!$B$11)</f>
        <v>8</v>
      </c>
      <c r="K9905" s="11">
        <f>IF(B9905&lt;C9905,1,EXP(-1*(B9905-C9905)/(Utilities!$B$11*IterData!H9905)))</f>
        <v>1</v>
      </c>
    </row>
    <row r="9906" spans="8:11" x14ac:dyDescent="0.3">
      <c r="H9906">
        <v>0.5</v>
      </c>
      <c r="I9906" s="11">
        <f t="shared" si="154"/>
        <v>0</v>
      </c>
      <c r="J9906" s="11">
        <f>1/(H9906*Utilities!$B$11)</f>
        <v>8</v>
      </c>
      <c r="K9906" s="11">
        <f>IF(B9906&lt;C9906,1,EXP(-1*(B9906-C9906)/(Utilities!$B$11*IterData!H9906)))</f>
        <v>1</v>
      </c>
    </row>
    <row r="9907" spans="8:11" x14ac:dyDescent="0.3">
      <c r="H9907">
        <v>0.5</v>
      </c>
      <c r="I9907" s="11">
        <f t="shared" si="154"/>
        <v>0</v>
      </c>
      <c r="J9907" s="11">
        <f>1/(H9907*Utilities!$B$11)</f>
        <v>8</v>
      </c>
      <c r="K9907" s="11">
        <f>IF(B9907&lt;C9907,1,EXP(-1*(B9907-C9907)/(Utilities!$B$11*IterData!H9907)))</f>
        <v>1</v>
      </c>
    </row>
    <row r="9908" spans="8:11" x14ac:dyDescent="0.3">
      <c r="H9908">
        <v>0.5</v>
      </c>
      <c r="I9908" s="11">
        <f t="shared" si="154"/>
        <v>0</v>
      </c>
      <c r="J9908" s="11">
        <f>1/(H9908*Utilities!$B$11)</f>
        <v>8</v>
      </c>
      <c r="K9908" s="11">
        <f>IF(B9908&lt;C9908,1,EXP(-1*(B9908-C9908)/(Utilities!$B$11*IterData!H9908)))</f>
        <v>1</v>
      </c>
    </row>
    <row r="9909" spans="8:11" x14ac:dyDescent="0.3">
      <c r="H9909">
        <v>0.5</v>
      </c>
      <c r="I9909" s="11">
        <f t="shared" si="154"/>
        <v>0</v>
      </c>
      <c r="J9909" s="11">
        <f>1/(H9909*Utilities!$B$11)</f>
        <v>8</v>
      </c>
      <c r="K9909" s="11">
        <f>IF(B9909&lt;C9909,1,EXP(-1*(B9909-C9909)/(Utilities!$B$11*IterData!H9909)))</f>
        <v>1</v>
      </c>
    </row>
    <row r="9910" spans="8:11" x14ac:dyDescent="0.3">
      <c r="H9910">
        <v>0.5</v>
      </c>
      <c r="I9910" s="11">
        <f t="shared" si="154"/>
        <v>0</v>
      </c>
      <c r="J9910" s="11">
        <f>1/(H9910*Utilities!$B$11)</f>
        <v>8</v>
      </c>
      <c r="K9910" s="11">
        <f>IF(B9910&lt;C9910,1,EXP(-1*(B9910-C9910)/(Utilities!$B$11*IterData!H9910)))</f>
        <v>1</v>
      </c>
    </row>
    <row r="9911" spans="8:11" x14ac:dyDescent="0.3">
      <c r="H9911">
        <v>0.5</v>
      </c>
      <c r="I9911" s="11">
        <f t="shared" si="154"/>
        <v>0</v>
      </c>
      <c r="J9911" s="11">
        <f>1/(H9911*Utilities!$B$11)</f>
        <v>8</v>
      </c>
      <c r="K9911" s="11">
        <f>IF(B9911&lt;C9911,1,EXP(-1*(B9911-C9911)/(Utilities!$B$11*IterData!H9911)))</f>
        <v>1</v>
      </c>
    </row>
    <row r="9912" spans="8:11" x14ac:dyDescent="0.3">
      <c r="H9912">
        <v>0.5</v>
      </c>
      <c r="I9912" s="11">
        <f t="shared" si="154"/>
        <v>0</v>
      </c>
      <c r="J9912" s="11">
        <f>1/(H9912*Utilities!$B$11)</f>
        <v>8</v>
      </c>
      <c r="K9912" s="11">
        <f>IF(B9912&lt;C9912,1,EXP(-1*(B9912-C9912)/(Utilities!$B$11*IterData!H9912)))</f>
        <v>1</v>
      </c>
    </row>
    <row r="9913" spans="8:11" x14ac:dyDescent="0.3">
      <c r="H9913">
        <v>0.5</v>
      </c>
      <c r="I9913" s="11">
        <f t="shared" si="154"/>
        <v>0</v>
      </c>
      <c r="J9913" s="11">
        <f>1/(H9913*Utilities!$B$11)</f>
        <v>8</v>
      </c>
      <c r="K9913" s="11">
        <f>IF(B9913&lt;C9913,1,EXP(-1*(B9913-C9913)/(Utilities!$B$11*IterData!H9913)))</f>
        <v>1</v>
      </c>
    </row>
    <row r="9914" spans="8:11" x14ac:dyDescent="0.3">
      <c r="H9914">
        <v>0.5</v>
      </c>
      <c r="I9914" s="11">
        <f t="shared" si="154"/>
        <v>0</v>
      </c>
      <c r="J9914" s="11">
        <f>1/(H9914*Utilities!$B$11)</f>
        <v>8</v>
      </c>
      <c r="K9914" s="11">
        <f>IF(B9914&lt;C9914,1,EXP(-1*(B9914-C9914)/(Utilities!$B$11*IterData!H9914)))</f>
        <v>1</v>
      </c>
    </row>
    <row r="9915" spans="8:11" x14ac:dyDescent="0.3">
      <c r="H9915">
        <v>0.5</v>
      </c>
      <c r="I9915" s="11">
        <f t="shared" si="154"/>
        <v>0</v>
      </c>
      <c r="J9915" s="11">
        <f>1/(H9915*Utilities!$B$11)</f>
        <v>8</v>
      </c>
      <c r="K9915" s="11">
        <f>IF(B9915&lt;C9915,1,EXP(-1*(B9915-C9915)/(Utilities!$B$11*IterData!H9915)))</f>
        <v>1</v>
      </c>
    </row>
    <row r="9916" spans="8:11" x14ac:dyDescent="0.3">
      <c r="H9916">
        <v>0.5</v>
      </c>
      <c r="I9916" s="11">
        <f t="shared" si="154"/>
        <v>0</v>
      </c>
      <c r="J9916" s="11">
        <f>1/(H9916*Utilities!$B$11)</f>
        <v>8</v>
      </c>
      <c r="K9916" s="11">
        <f>IF(B9916&lt;C9916,1,EXP(-1*(B9916-C9916)/(Utilities!$B$11*IterData!H9916)))</f>
        <v>1</v>
      </c>
    </row>
    <row r="9917" spans="8:11" x14ac:dyDescent="0.3">
      <c r="H9917">
        <v>0.5</v>
      </c>
      <c r="I9917" s="11">
        <f t="shared" si="154"/>
        <v>0</v>
      </c>
      <c r="J9917" s="11">
        <f>1/(H9917*Utilities!$B$11)</f>
        <v>8</v>
      </c>
      <c r="K9917" s="11">
        <f>IF(B9917&lt;C9917,1,EXP(-1*(B9917-C9917)/(Utilities!$B$11*IterData!H9917)))</f>
        <v>1</v>
      </c>
    </row>
    <row r="9918" spans="8:11" x14ac:dyDescent="0.3">
      <c r="H9918">
        <v>0.5</v>
      </c>
      <c r="I9918" s="11">
        <f t="shared" si="154"/>
        <v>0</v>
      </c>
      <c r="J9918" s="11">
        <f>1/(H9918*Utilities!$B$11)</f>
        <v>8</v>
      </c>
      <c r="K9918" s="11">
        <f>IF(B9918&lt;C9918,1,EXP(-1*(B9918-C9918)/(Utilities!$B$11*IterData!H9918)))</f>
        <v>1</v>
      </c>
    </row>
    <row r="9919" spans="8:11" x14ac:dyDescent="0.3">
      <c r="H9919">
        <v>0.5</v>
      </c>
      <c r="I9919" s="11">
        <f t="shared" si="154"/>
        <v>0</v>
      </c>
      <c r="J9919" s="11">
        <f>1/(H9919*Utilities!$B$11)</f>
        <v>8</v>
      </c>
      <c r="K9919" s="11">
        <f>IF(B9919&lt;C9919,1,EXP(-1*(B9919-C9919)/(Utilities!$B$11*IterData!H9919)))</f>
        <v>1</v>
      </c>
    </row>
    <row r="9920" spans="8:11" x14ac:dyDescent="0.3">
      <c r="H9920">
        <v>0.5</v>
      </c>
      <c r="I9920" s="11">
        <f t="shared" si="154"/>
        <v>0</v>
      </c>
      <c r="J9920" s="11">
        <f>1/(H9920*Utilities!$B$11)</f>
        <v>8</v>
      </c>
      <c r="K9920" s="11">
        <f>IF(B9920&lt;C9920,1,EXP(-1*(B9920-C9920)/(Utilities!$B$11*IterData!H9920)))</f>
        <v>1</v>
      </c>
    </row>
    <row r="9921" spans="8:11" x14ac:dyDescent="0.3">
      <c r="H9921">
        <v>0.5</v>
      </c>
      <c r="I9921" s="11">
        <f t="shared" si="154"/>
        <v>0</v>
      </c>
      <c r="J9921" s="11">
        <f>1/(H9921*Utilities!$B$11)</f>
        <v>8</v>
      </c>
      <c r="K9921" s="11">
        <f>IF(B9921&lt;C9921,1,EXP(-1*(B9921-C9921)/(Utilities!$B$11*IterData!H9921)))</f>
        <v>1</v>
      </c>
    </row>
    <row r="9922" spans="8:11" x14ac:dyDescent="0.3">
      <c r="H9922">
        <v>0.5</v>
      </c>
      <c r="I9922" s="11">
        <f t="shared" si="154"/>
        <v>0</v>
      </c>
      <c r="J9922" s="11">
        <f>1/(H9922*Utilities!$B$11)</f>
        <v>8</v>
      </c>
      <c r="K9922" s="11">
        <f>IF(B9922&lt;C9922,1,EXP(-1*(B9922-C9922)/(Utilities!$B$11*IterData!H9922)))</f>
        <v>1</v>
      </c>
    </row>
    <row r="9923" spans="8:11" x14ac:dyDescent="0.3">
      <c r="H9923">
        <v>0.5</v>
      </c>
      <c r="I9923" s="11">
        <f t="shared" ref="I9923:I9986" si="155">B9923-C9923</f>
        <v>0</v>
      </c>
      <c r="J9923" s="11">
        <f>1/(H9923*Utilities!$B$11)</f>
        <v>8</v>
      </c>
      <c r="K9923" s="11">
        <f>IF(B9923&lt;C9923,1,EXP(-1*(B9923-C9923)/(Utilities!$B$11*IterData!H9923)))</f>
        <v>1</v>
      </c>
    </row>
    <row r="9924" spans="8:11" x14ac:dyDescent="0.3">
      <c r="H9924">
        <v>0.5</v>
      </c>
      <c r="I9924" s="11">
        <f t="shared" si="155"/>
        <v>0</v>
      </c>
      <c r="J9924" s="11">
        <f>1/(H9924*Utilities!$B$11)</f>
        <v>8</v>
      </c>
      <c r="K9924" s="11">
        <f>IF(B9924&lt;C9924,1,EXP(-1*(B9924-C9924)/(Utilities!$B$11*IterData!H9924)))</f>
        <v>1</v>
      </c>
    </row>
    <row r="9925" spans="8:11" x14ac:dyDescent="0.3">
      <c r="H9925">
        <v>0.5</v>
      </c>
      <c r="I9925" s="11">
        <f t="shared" si="155"/>
        <v>0</v>
      </c>
      <c r="J9925" s="11">
        <f>1/(H9925*Utilities!$B$11)</f>
        <v>8</v>
      </c>
      <c r="K9925" s="11">
        <f>IF(B9925&lt;C9925,1,EXP(-1*(B9925-C9925)/(Utilities!$B$11*IterData!H9925)))</f>
        <v>1</v>
      </c>
    </row>
    <row r="9926" spans="8:11" x14ac:dyDescent="0.3">
      <c r="H9926">
        <v>0.5</v>
      </c>
      <c r="I9926" s="11">
        <f t="shared" si="155"/>
        <v>0</v>
      </c>
      <c r="J9926" s="11">
        <f>1/(H9926*Utilities!$B$11)</f>
        <v>8</v>
      </c>
      <c r="K9926" s="11">
        <f>IF(B9926&lt;C9926,1,EXP(-1*(B9926-C9926)/(Utilities!$B$11*IterData!H9926)))</f>
        <v>1</v>
      </c>
    </row>
    <row r="9927" spans="8:11" x14ac:dyDescent="0.3">
      <c r="H9927">
        <v>0.5</v>
      </c>
      <c r="I9927" s="11">
        <f t="shared" si="155"/>
        <v>0</v>
      </c>
      <c r="J9927" s="11">
        <f>1/(H9927*Utilities!$B$11)</f>
        <v>8</v>
      </c>
      <c r="K9927" s="11">
        <f>IF(B9927&lt;C9927,1,EXP(-1*(B9927-C9927)/(Utilities!$B$11*IterData!H9927)))</f>
        <v>1</v>
      </c>
    </row>
    <row r="9928" spans="8:11" x14ac:dyDescent="0.3">
      <c r="H9928">
        <v>0.5</v>
      </c>
      <c r="I9928" s="11">
        <f t="shared" si="155"/>
        <v>0</v>
      </c>
      <c r="J9928" s="11">
        <f>1/(H9928*Utilities!$B$11)</f>
        <v>8</v>
      </c>
      <c r="K9928" s="11">
        <f>IF(B9928&lt;C9928,1,EXP(-1*(B9928-C9928)/(Utilities!$B$11*IterData!H9928)))</f>
        <v>1</v>
      </c>
    </row>
    <row r="9929" spans="8:11" x14ac:dyDescent="0.3">
      <c r="H9929">
        <v>0.5</v>
      </c>
      <c r="I9929" s="11">
        <f t="shared" si="155"/>
        <v>0</v>
      </c>
      <c r="J9929" s="11">
        <f>1/(H9929*Utilities!$B$11)</f>
        <v>8</v>
      </c>
      <c r="K9929" s="11">
        <f>IF(B9929&lt;C9929,1,EXP(-1*(B9929-C9929)/(Utilities!$B$11*IterData!H9929)))</f>
        <v>1</v>
      </c>
    </row>
    <row r="9930" spans="8:11" x14ac:dyDescent="0.3">
      <c r="H9930">
        <v>0.5</v>
      </c>
      <c r="I9930" s="11">
        <f t="shared" si="155"/>
        <v>0</v>
      </c>
      <c r="J9930" s="11">
        <f>1/(H9930*Utilities!$B$11)</f>
        <v>8</v>
      </c>
      <c r="K9930" s="11">
        <f>IF(B9930&lt;C9930,1,EXP(-1*(B9930-C9930)/(Utilities!$B$11*IterData!H9930)))</f>
        <v>1</v>
      </c>
    </row>
    <row r="9931" spans="8:11" x14ac:dyDescent="0.3">
      <c r="H9931">
        <v>0.5</v>
      </c>
      <c r="I9931" s="11">
        <f t="shared" si="155"/>
        <v>0</v>
      </c>
      <c r="J9931" s="11">
        <f>1/(H9931*Utilities!$B$11)</f>
        <v>8</v>
      </c>
      <c r="K9931" s="11">
        <f>IF(B9931&lt;C9931,1,EXP(-1*(B9931-C9931)/(Utilities!$B$11*IterData!H9931)))</f>
        <v>1</v>
      </c>
    </row>
    <row r="9932" spans="8:11" x14ac:dyDescent="0.3">
      <c r="H9932">
        <v>0.5</v>
      </c>
      <c r="I9932" s="11">
        <f t="shared" si="155"/>
        <v>0</v>
      </c>
      <c r="J9932" s="11">
        <f>1/(H9932*Utilities!$B$11)</f>
        <v>8</v>
      </c>
      <c r="K9932" s="11">
        <f>IF(B9932&lt;C9932,1,EXP(-1*(B9932-C9932)/(Utilities!$B$11*IterData!H9932)))</f>
        <v>1</v>
      </c>
    </row>
    <row r="9933" spans="8:11" x14ac:dyDescent="0.3">
      <c r="H9933">
        <v>0.5</v>
      </c>
      <c r="I9933" s="11">
        <f t="shared" si="155"/>
        <v>0</v>
      </c>
      <c r="J9933" s="11">
        <f>1/(H9933*Utilities!$B$11)</f>
        <v>8</v>
      </c>
      <c r="K9933" s="11">
        <f>IF(B9933&lt;C9933,1,EXP(-1*(B9933-C9933)/(Utilities!$B$11*IterData!H9933)))</f>
        <v>1</v>
      </c>
    </row>
    <row r="9934" spans="8:11" x14ac:dyDescent="0.3">
      <c r="H9934">
        <v>0.5</v>
      </c>
      <c r="I9934" s="11">
        <f t="shared" si="155"/>
        <v>0</v>
      </c>
      <c r="J9934" s="11">
        <f>1/(H9934*Utilities!$B$11)</f>
        <v>8</v>
      </c>
      <c r="K9934" s="11">
        <f>IF(B9934&lt;C9934,1,EXP(-1*(B9934-C9934)/(Utilities!$B$11*IterData!H9934)))</f>
        <v>1</v>
      </c>
    </row>
    <row r="9935" spans="8:11" x14ac:dyDescent="0.3">
      <c r="H9935">
        <v>0.5</v>
      </c>
      <c r="I9935" s="11">
        <f t="shared" si="155"/>
        <v>0</v>
      </c>
      <c r="J9935" s="11">
        <f>1/(H9935*Utilities!$B$11)</f>
        <v>8</v>
      </c>
      <c r="K9935" s="11">
        <f>IF(B9935&lt;C9935,1,EXP(-1*(B9935-C9935)/(Utilities!$B$11*IterData!H9935)))</f>
        <v>1</v>
      </c>
    </row>
    <row r="9936" spans="8:11" x14ac:dyDescent="0.3">
      <c r="H9936">
        <v>0.5</v>
      </c>
      <c r="I9936" s="11">
        <f t="shared" si="155"/>
        <v>0</v>
      </c>
      <c r="J9936" s="11">
        <f>1/(H9936*Utilities!$B$11)</f>
        <v>8</v>
      </c>
      <c r="K9936" s="11">
        <f>IF(B9936&lt;C9936,1,EXP(-1*(B9936-C9936)/(Utilities!$B$11*IterData!H9936)))</f>
        <v>1</v>
      </c>
    </row>
    <row r="9937" spans="8:11" x14ac:dyDescent="0.3">
      <c r="H9937">
        <v>0.5</v>
      </c>
      <c r="I9937" s="11">
        <f t="shared" si="155"/>
        <v>0</v>
      </c>
      <c r="J9937" s="11">
        <f>1/(H9937*Utilities!$B$11)</f>
        <v>8</v>
      </c>
      <c r="K9937" s="11">
        <f>IF(B9937&lt;C9937,1,EXP(-1*(B9937-C9937)/(Utilities!$B$11*IterData!H9937)))</f>
        <v>1</v>
      </c>
    </row>
    <row r="9938" spans="8:11" x14ac:dyDescent="0.3">
      <c r="H9938">
        <v>0.5</v>
      </c>
      <c r="I9938" s="11">
        <f t="shared" si="155"/>
        <v>0</v>
      </c>
      <c r="J9938" s="11">
        <f>1/(H9938*Utilities!$B$11)</f>
        <v>8</v>
      </c>
      <c r="K9938" s="11">
        <f>IF(B9938&lt;C9938,1,EXP(-1*(B9938-C9938)/(Utilities!$B$11*IterData!H9938)))</f>
        <v>1</v>
      </c>
    </row>
    <row r="9939" spans="8:11" x14ac:dyDescent="0.3">
      <c r="H9939">
        <v>0.5</v>
      </c>
      <c r="I9939" s="11">
        <f t="shared" si="155"/>
        <v>0</v>
      </c>
      <c r="J9939" s="11">
        <f>1/(H9939*Utilities!$B$11)</f>
        <v>8</v>
      </c>
      <c r="K9939" s="11">
        <f>IF(B9939&lt;C9939,1,EXP(-1*(B9939-C9939)/(Utilities!$B$11*IterData!H9939)))</f>
        <v>1</v>
      </c>
    </row>
    <row r="9940" spans="8:11" x14ac:dyDescent="0.3">
      <c r="H9940">
        <v>0.5</v>
      </c>
      <c r="I9940" s="11">
        <f t="shared" si="155"/>
        <v>0</v>
      </c>
      <c r="J9940" s="11">
        <f>1/(H9940*Utilities!$B$11)</f>
        <v>8</v>
      </c>
      <c r="K9940" s="11">
        <f>IF(B9940&lt;C9940,1,EXP(-1*(B9940-C9940)/(Utilities!$B$11*IterData!H9940)))</f>
        <v>1</v>
      </c>
    </row>
    <row r="9941" spans="8:11" x14ac:dyDescent="0.3">
      <c r="H9941">
        <v>0.5</v>
      </c>
      <c r="I9941" s="11">
        <f t="shared" si="155"/>
        <v>0</v>
      </c>
      <c r="J9941" s="11">
        <f>1/(H9941*Utilities!$B$11)</f>
        <v>8</v>
      </c>
      <c r="K9941" s="11">
        <f>IF(B9941&lt;C9941,1,EXP(-1*(B9941-C9941)/(Utilities!$B$11*IterData!H9941)))</f>
        <v>1</v>
      </c>
    </row>
    <row r="9942" spans="8:11" x14ac:dyDescent="0.3">
      <c r="H9942">
        <v>0.5</v>
      </c>
      <c r="I9942" s="11">
        <f t="shared" si="155"/>
        <v>0</v>
      </c>
      <c r="J9942" s="11">
        <f>1/(H9942*Utilities!$B$11)</f>
        <v>8</v>
      </c>
      <c r="K9942" s="11">
        <f>IF(B9942&lt;C9942,1,EXP(-1*(B9942-C9942)/(Utilities!$B$11*IterData!H9942)))</f>
        <v>1</v>
      </c>
    </row>
    <row r="9943" spans="8:11" x14ac:dyDescent="0.3">
      <c r="H9943">
        <v>0.5</v>
      </c>
      <c r="I9943" s="11">
        <f t="shared" si="155"/>
        <v>0</v>
      </c>
      <c r="J9943" s="11">
        <f>1/(H9943*Utilities!$B$11)</f>
        <v>8</v>
      </c>
      <c r="K9943" s="11">
        <f>IF(B9943&lt;C9943,1,EXP(-1*(B9943-C9943)/(Utilities!$B$11*IterData!H9943)))</f>
        <v>1</v>
      </c>
    </row>
    <row r="9944" spans="8:11" x14ac:dyDescent="0.3">
      <c r="H9944">
        <v>0.5</v>
      </c>
      <c r="I9944" s="11">
        <f t="shared" si="155"/>
        <v>0</v>
      </c>
      <c r="J9944" s="11">
        <f>1/(H9944*Utilities!$B$11)</f>
        <v>8</v>
      </c>
      <c r="K9944" s="11">
        <f>IF(B9944&lt;C9944,1,EXP(-1*(B9944-C9944)/(Utilities!$B$11*IterData!H9944)))</f>
        <v>1</v>
      </c>
    </row>
    <row r="9945" spans="8:11" x14ac:dyDescent="0.3">
      <c r="H9945">
        <v>0.5</v>
      </c>
      <c r="I9945" s="11">
        <f t="shared" si="155"/>
        <v>0</v>
      </c>
      <c r="J9945" s="11">
        <f>1/(H9945*Utilities!$B$11)</f>
        <v>8</v>
      </c>
      <c r="K9945" s="11">
        <f>IF(B9945&lt;C9945,1,EXP(-1*(B9945-C9945)/(Utilities!$B$11*IterData!H9945)))</f>
        <v>1</v>
      </c>
    </row>
    <row r="9946" spans="8:11" x14ac:dyDescent="0.3">
      <c r="H9946">
        <v>0.5</v>
      </c>
      <c r="I9946" s="11">
        <f t="shared" si="155"/>
        <v>0</v>
      </c>
      <c r="J9946" s="11">
        <f>1/(H9946*Utilities!$B$11)</f>
        <v>8</v>
      </c>
      <c r="K9946" s="11">
        <f>IF(B9946&lt;C9946,1,EXP(-1*(B9946-C9946)/(Utilities!$B$11*IterData!H9946)))</f>
        <v>1</v>
      </c>
    </row>
    <row r="9947" spans="8:11" x14ac:dyDescent="0.3">
      <c r="H9947">
        <v>0.5</v>
      </c>
      <c r="I9947" s="11">
        <f t="shared" si="155"/>
        <v>0</v>
      </c>
      <c r="J9947" s="11">
        <f>1/(H9947*Utilities!$B$11)</f>
        <v>8</v>
      </c>
      <c r="K9947" s="11">
        <f>IF(B9947&lt;C9947,1,EXP(-1*(B9947-C9947)/(Utilities!$B$11*IterData!H9947)))</f>
        <v>1</v>
      </c>
    </row>
    <row r="9948" spans="8:11" x14ac:dyDescent="0.3">
      <c r="H9948">
        <v>0.5</v>
      </c>
      <c r="I9948" s="11">
        <f t="shared" si="155"/>
        <v>0</v>
      </c>
      <c r="J9948" s="11">
        <f>1/(H9948*Utilities!$B$11)</f>
        <v>8</v>
      </c>
      <c r="K9948" s="11">
        <f>IF(B9948&lt;C9948,1,EXP(-1*(B9948-C9948)/(Utilities!$B$11*IterData!H9948)))</f>
        <v>1</v>
      </c>
    </row>
    <row r="9949" spans="8:11" x14ac:dyDescent="0.3">
      <c r="H9949">
        <v>0.5</v>
      </c>
      <c r="I9949" s="11">
        <f t="shared" si="155"/>
        <v>0</v>
      </c>
      <c r="J9949" s="11">
        <f>1/(H9949*Utilities!$B$11)</f>
        <v>8</v>
      </c>
      <c r="K9949" s="11">
        <f>IF(B9949&lt;C9949,1,EXP(-1*(B9949-C9949)/(Utilities!$B$11*IterData!H9949)))</f>
        <v>1</v>
      </c>
    </row>
    <row r="9950" spans="8:11" x14ac:dyDescent="0.3">
      <c r="H9950">
        <v>0.5</v>
      </c>
      <c r="I9950" s="11">
        <f t="shared" si="155"/>
        <v>0</v>
      </c>
      <c r="J9950" s="11">
        <f>1/(H9950*Utilities!$B$11)</f>
        <v>8</v>
      </c>
      <c r="K9950" s="11">
        <f>IF(B9950&lt;C9950,1,EXP(-1*(B9950-C9950)/(Utilities!$B$11*IterData!H9950)))</f>
        <v>1</v>
      </c>
    </row>
    <row r="9951" spans="8:11" x14ac:dyDescent="0.3">
      <c r="H9951">
        <v>0.5</v>
      </c>
      <c r="I9951" s="11">
        <f t="shared" si="155"/>
        <v>0</v>
      </c>
      <c r="J9951" s="11">
        <f>1/(H9951*Utilities!$B$11)</f>
        <v>8</v>
      </c>
      <c r="K9951" s="11">
        <f>IF(B9951&lt;C9951,1,EXP(-1*(B9951-C9951)/(Utilities!$B$11*IterData!H9951)))</f>
        <v>1</v>
      </c>
    </row>
    <row r="9952" spans="8:11" x14ac:dyDescent="0.3">
      <c r="H9952">
        <v>0.5</v>
      </c>
      <c r="I9952" s="11">
        <f t="shared" si="155"/>
        <v>0</v>
      </c>
      <c r="J9952" s="11">
        <f>1/(H9952*Utilities!$B$11)</f>
        <v>8</v>
      </c>
      <c r="K9952" s="11">
        <f>IF(B9952&lt;C9952,1,EXP(-1*(B9952-C9952)/(Utilities!$B$11*IterData!H9952)))</f>
        <v>1</v>
      </c>
    </row>
    <row r="9953" spans="8:11" x14ac:dyDescent="0.3">
      <c r="H9953">
        <v>0.5</v>
      </c>
      <c r="I9953" s="11">
        <f t="shared" si="155"/>
        <v>0</v>
      </c>
      <c r="J9953" s="11">
        <f>1/(H9953*Utilities!$B$11)</f>
        <v>8</v>
      </c>
      <c r="K9953" s="11">
        <f>IF(B9953&lt;C9953,1,EXP(-1*(B9953-C9953)/(Utilities!$B$11*IterData!H9953)))</f>
        <v>1</v>
      </c>
    </row>
    <row r="9954" spans="8:11" x14ac:dyDescent="0.3">
      <c r="H9954">
        <v>0.5</v>
      </c>
      <c r="I9954" s="11">
        <f t="shared" si="155"/>
        <v>0</v>
      </c>
      <c r="J9954" s="11">
        <f>1/(H9954*Utilities!$B$11)</f>
        <v>8</v>
      </c>
      <c r="K9954" s="11">
        <f>IF(B9954&lt;C9954,1,EXP(-1*(B9954-C9954)/(Utilities!$B$11*IterData!H9954)))</f>
        <v>1</v>
      </c>
    </row>
    <row r="9955" spans="8:11" x14ac:dyDescent="0.3">
      <c r="H9955">
        <v>0.5</v>
      </c>
      <c r="I9955" s="11">
        <f t="shared" si="155"/>
        <v>0</v>
      </c>
      <c r="J9955" s="11">
        <f>1/(H9955*Utilities!$B$11)</f>
        <v>8</v>
      </c>
      <c r="K9955" s="11">
        <f>IF(B9955&lt;C9955,1,EXP(-1*(B9955-C9955)/(Utilities!$B$11*IterData!H9955)))</f>
        <v>1</v>
      </c>
    </row>
    <row r="9956" spans="8:11" x14ac:dyDescent="0.3">
      <c r="H9956">
        <v>0.5</v>
      </c>
      <c r="I9956" s="11">
        <f t="shared" si="155"/>
        <v>0</v>
      </c>
      <c r="J9956" s="11">
        <f>1/(H9956*Utilities!$B$11)</f>
        <v>8</v>
      </c>
      <c r="K9956" s="11">
        <f>IF(B9956&lt;C9956,1,EXP(-1*(B9956-C9956)/(Utilities!$B$11*IterData!H9956)))</f>
        <v>1</v>
      </c>
    </row>
    <row r="9957" spans="8:11" x14ac:dyDescent="0.3">
      <c r="H9957">
        <v>0.5</v>
      </c>
      <c r="I9957" s="11">
        <f t="shared" si="155"/>
        <v>0</v>
      </c>
      <c r="J9957" s="11">
        <f>1/(H9957*Utilities!$B$11)</f>
        <v>8</v>
      </c>
      <c r="K9957" s="11">
        <f>IF(B9957&lt;C9957,1,EXP(-1*(B9957-C9957)/(Utilities!$B$11*IterData!H9957)))</f>
        <v>1</v>
      </c>
    </row>
    <row r="9958" spans="8:11" x14ac:dyDescent="0.3">
      <c r="H9958">
        <v>0.5</v>
      </c>
      <c r="I9958" s="11">
        <f t="shared" si="155"/>
        <v>0</v>
      </c>
      <c r="J9958" s="11">
        <f>1/(H9958*Utilities!$B$11)</f>
        <v>8</v>
      </c>
      <c r="K9958" s="11">
        <f>IF(B9958&lt;C9958,1,EXP(-1*(B9958-C9958)/(Utilities!$B$11*IterData!H9958)))</f>
        <v>1</v>
      </c>
    </row>
    <row r="9959" spans="8:11" x14ac:dyDescent="0.3">
      <c r="H9959">
        <v>0.5</v>
      </c>
      <c r="I9959" s="11">
        <f t="shared" si="155"/>
        <v>0</v>
      </c>
      <c r="J9959" s="11">
        <f>1/(H9959*Utilities!$B$11)</f>
        <v>8</v>
      </c>
      <c r="K9959" s="11">
        <f>IF(B9959&lt;C9959,1,EXP(-1*(B9959-C9959)/(Utilities!$B$11*IterData!H9959)))</f>
        <v>1</v>
      </c>
    </row>
    <row r="9960" spans="8:11" x14ac:dyDescent="0.3">
      <c r="H9960">
        <v>0.5</v>
      </c>
      <c r="I9960" s="11">
        <f t="shared" si="155"/>
        <v>0</v>
      </c>
      <c r="J9960" s="11">
        <f>1/(H9960*Utilities!$B$11)</f>
        <v>8</v>
      </c>
      <c r="K9960" s="11">
        <f>IF(B9960&lt;C9960,1,EXP(-1*(B9960-C9960)/(Utilities!$B$11*IterData!H9960)))</f>
        <v>1</v>
      </c>
    </row>
    <row r="9961" spans="8:11" x14ac:dyDescent="0.3">
      <c r="H9961">
        <v>0.5</v>
      </c>
      <c r="I9961" s="11">
        <f t="shared" si="155"/>
        <v>0</v>
      </c>
      <c r="J9961" s="11">
        <f>1/(H9961*Utilities!$B$11)</f>
        <v>8</v>
      </c>
      <c r="K9961" s="11">
        <f>IF(B9961&lt;C9961,1,EXP(-1*(B9961-C9961)/(Utilities!$B$11*IterData!H9961)))</f>
        <v>1</v>
      </c>
    </row>
    <row r="9962" spans="8:11" x14ac:dyDescent="0.3">
      <c r="H9962">
        <v>0.5</v>
      </c>
      <c r="I9962" s="11">
        <f t="shared" si="155"/>
        <v>0</v>
      </c>
      <c r="J9962" s="11">
        <f>1/(H9962*Utilities!$B$11)</f>
        <v>8</v>
      </c>
      <c r="K9962" s="11">
        <f>IF(B9962&lt;C9962,1,EXP(-1*(B9962-C9962)/(Utilities!$B$11*IterData!H9962)))</f>
        <v>1</v>
      </c>
    </row>
    <row r="9963" spans="8:11" x14ac:dyDescent="0.3">
      <c r="H9963">
        <v>0.5</v>
      </c>
      <c r="I9963" s="11">
        <f t="shared" si="155"/>
        <v>0</v>
      </c>
      <c r="J9963" s="11">
        <f>1/(H9963*Utilities!$B$11)</f>
        <v>8</v>
      </c>
      <c r="K9963" s="11">
        <f>IF(B9963&lt;C9963,1,EXP(-1*(B9963-C9963)/(Utilities!$B$11*IterData!H9963)))</f>
        <v>1</v>
      </c>
    </row>
    <row r="9964" spans="8:11" x14ac:dyDescent="0.3">
      <c r="H9964">
        <v>0.5</v>
      </c>
      <c r="I9964" s="11">
        <f t="shared" si="155"/>
        <v>0</v>
      </c>
      <c r="J9964" s="11">
        <f>1/(H9964*Utilities!$B$11)</f>
        <v>8</v>
      </c>
      <c r="K9964" s="11">
        <f>IF(B9964&lt;C9964,1,EXP(-1*(B9964-C9964)/(Utilities!$B$11*IterData!H9964)))</f>
        <v>1</v>
      </c>
    </row>
    <row r="9965" spans="8:11" x14ac:dyDescent="0.3">
      <c r="H9965">
        <v>0.5</v>
      </c>
      <c r="I9965" s="11">
        <f t="shared" si="155"/>
        <v>0</v>
      </c>
      <c r="J9965" s="11">
        <f>1/(H9965*Utilities!$B$11)</f>
        <v>8</v>
      </c>
      <c r="K9965" s="11">
        <f>IF(B9965&lt;C9965,1,EXP(-1*(B9965-C9965)/(Utilities!$B$11*IterData!H9965)))</f>
        <v>1</v>
      </c>
    </row>
    <row r="9966" spans="8:11" x14ac:dyDescent="0.3">
      <c r="H9966">
        <v>0.5</v>
      </c>
      <c r="I9966" s="11">
        <f t="shared" si="155"/>
        <v>0</v>
      </c>
      <c r="J9966" s="11">
        <f>1/(H9966*Utilities!$B$11)</f>
        <v>8</v>
      </c>
      <c r="K9966" s="11">
        <f>IF(B9966&lt;C9966,1,EXP(-1*(B9966-C9966)/(Utilities!$B$11*IterData!H9966)))</f>
        <v>1</v>
      </c>
    </row>
    <row r="9967" spans="8:11" x14ac:dyDescent="0.3">
      <c r="H9967">
        <v>0.5</v>
      </c>
      <c r="I9967" s="11">
        <f t="shared" si="155"/>
        <v>0</v>
      </c>
      <c r="J9967" s="11">
        <f>1/(H9967*Utilities!$B$11)</f>
        <v>8</v>
      </c>
      <c r="K9967" s="11">
        <f>IF(B9967&lt;C9967,1,EXP(-1*(B9967-C9967)/(Utilities!$B$11*IterData!H9967)))</f>
        <v>1</v>
      </c>
    </row>
    <row r="9968" spans="8:11" x14ac:dyDescent="0.3">
      <c r="H9968">
        <v>0.5</v>
      </c>
      <c r="I9968" s="11">
        <f t="shared" si="155"/>
        <v>0</v>
      </c>
      <c r="J9968" s="11">
        <f>1/(H9968*Utilities!$B$11)</f>
        <v>8</v>
      </c>
      <c r="K9968" s="11">
        <f>IF(B9968&lt;C9968,1,EXP(-1*(B9968-C9968)/(Utilities!$B$11*IterData!H9968)))</f>
        <v>1</v>
      </c>
    </row>
    <row r="9969" spans="8:11" x14ac:dyDescent="0.3">
      <c r="H9969">
        <v>0.5</v>
      </c>
      <c r="I9969" s="11">
        <f t="shared" si="155"/>
        <v>0</v>
      </c>
      <c r="J9969" s="11">
        <f>1/(H9969*Utilities!$B$11)</f>
        <v>8</v>
      </c>
      <c r="K9969" s="11">
        <f>IF(B9969&lt;C9969,1,EXP(-1*(B9969-C9969)/(Utilities!$B$11*IterData!H9969)))</f>
        <v>1</v>
      </c>
    </row>
    <row r="9970" spans="8:11" x14ac:dyDescent="0.3">
      <c r="H9970">
        <v>0.5</v>
      </c>
      <c r="I9970" s="11">
        <f t="shared" si="155"/>
        <v>0</v>
      </c>
      <c r="J9970" s="11">
        <f>1/(H9970*Utilities!$B$11)</f>
        <v>8</v>
      </c>
      <c r="K9970" s="11">
        <f>IF(B9970&lt;C9970,1,EXP(-1*(B9970-C9970)/(Utilities!$B$11*IterData!H9970)))</f>
        <v>1</v>
      </c>
    </row>
    <row r="9971" spans="8:11" x14ac:dyDescent="0.3">
      <c r="H9971">
        <v>0.5</v>
      </c>
      <c r="I9971" s="11">
        <f t="shared" si="155"/>
        <v>0</v>
      </c>
      <c r="J9971" s="11">
        <f>1/(H9971*Utilities!$B$11)</f>
        <v>8</v>
      </c>
      <c r="K9971" s="11">
        <f>IF(B9971&lt;C9971,1,EXP(-1*(B9971-C9971)/(Utilities!$B$11*IterData!H9971)))</f>
        <v>1</v>
      </c>
    </row>
    <row r="9972" spans="8:11" x14ac:dyDescent="0.3">
      <c r="H9972">
        <v>0.5</v>
      </c>
      <c r="I9972" s="11">
        <f t="shared" si="155"/>
        <v>0</v>
      </c>
      <c r="J9972" s="11">
        <f>1/(H9972*Utilities!$B$11)</f>
        <v>8</v>
      </c>
      <c r="K9972" s="11">
        <f>IF(B9972&lt;C9972,1,EXP(-1*(B9972-C9972)/(Utilities!$B$11*IterData!H9972)))</f>
        <v>1</v>
      </c>
    </row>
    <row r="9973" spans="8:11" x14ac:dyDescent="0.3">
      <c r="H9973">
        <v>0.5</v>
      </c>
      <c r="I9973" s="11">
        <f t="shared" si="155"/>
        <v>0</v>
      </c>
      <c r="J9973" s="11">
        <f>1/(H9973*Utilities!$B$11)</f>
        <v>8</v>
      </c>
      <c r="K9973" s="11">
        <f>IF(B9973&lt;C9973,1,EXP(-1*(B9973-C9973)/(Utilities!$B$11*IterData!H9973)))</f>
        <v>1</v>
      </c>
    </row>
    <row r="9974" spans="8:11" x14ac:dyDescent="0.3">
      <c r="H9974">
        <v>0.5</v>
      </c>
      <c r="I9974" s="11">
        <f t="shared" si="155"/>
        <v>0</v>
      </c>
      <c r="J9974" s="11">
        <f>1/(H9974*Utilities!$B$11)</f>
        <v>8</v>
      </c>
      <c r="K9974" s="11">
        <f>IF(B9974&lt;C9974,1,EXP(-1*(B9974-C9974)/(Utilities!$B$11*IterData!H9974)))</f>
        <v>1</v>
      </c>
    </row>
    <row r="9975" spans="8:11" x14ac:dyDescent="0.3">
      <c r="H9975">
        <v>0.5</v>
      </c>
      <c r="I9975" s="11">
        <f t="shared" si="155"/>
        <v>0</v>
      </c>
      <c r="J9975" s="11">
        <f>1/(H9975*Utilities!$B$11)</f>
        <v>8</v>
      </c>
      <c r="K9975" s="11">
        <f>IF(B9975&lt;C9975,1,EXP(-1*(B9975-C9975)/(Utilities!$B$11*IterData!H9975)))</f>
        <v>1</v>
      </c>
    </row>
    <row r="9976" spans="8:11" x14ac:dyDescent="0.3">
      <c r="H9976">
        <v>0.5</v>
      </c>
      <c r="I9976" s="11">
        <f t="shared" si="155"/>
        <v>0</v>
      </c>
      <c r="J9976" s="11">
        <f>1/(H9976*Utilities!$B$11)</f>
        <v>8</v>
      </c>
      <c r="K9976" s="11">
        <f>IF(B9976&lt;C9976,1,EXP(-1*(B9976-C9976)/(Utilities!$B$11*IterData!H9976)))</f>
        <v>1</v>
      </c>
    </row>
    <row r="9977" spans="8:11" x14ac:dyDescent="0.3">
      <c r="H9977">
        <v>0.5</v>
      </c>
      <c r="I9977" s="11">
        <f t="shared" si="155"/>
        <v>0</v>
      </c>
      <c r="J9977" s="11">
        <f>1/(H9977*Utilities!$B$11)</f>
        <v>8</v>
      </c>
      <c r="K9977" s="11">
        <f>IF(B9977&lt;C9977,1,EXP(-1*(B9977-C9977)/(Utilities!$B$11*IterData!H9977)))</f>
        <v>1</v>
      </c>
    </row>
    <row r="9978" spans="8:11" x14ac:dyDescent="0.3">
      <c r="H9978">
        <v>0.5</v>
      </c>
      <c r="I9978" s="11">
        <f t="shared" si="155"/>
        <v>0</v>
      </c>
      <c r="J9978" s="11">
        <f>1/(H9978*Utilities!$B$11)</f>
        <v>8</v>
      </c>
      <c r="K9978" s="11">
        <f>IF(B9978&lt;C9978,1,EXP(-1*(B9978-C9978)/(Utilities!$B$11*IterData!H9978)))</f>
        <v>1</v>
      </c>
    </row>
    <row r="9979" spans="8:11" x14ac:dyDescent="0.3">
      <c r="H9979">
        <v>0.5</v>
      </c>
      <c r="I9979" s="11">
        <f t="shared" si="155"/>
        <v>0</v>
      </c>
      <c r="J9979" s="11">
        <f>1/(H9979*Utilities!$B$11)</f>
        <v>8</v>
      </c>
      <c r="K9979" s="11">
        <f>IF(B9979&lt;C9979,1,EXP(-1*(B9979-C9979)/(Utilities!$B$11*IterData!H9979)))</f>
        <v>1</v>
      </c>
    </row>
    <row r="9980" spans="8:11" x14ac:dyDescent="0.3">
      <c r="H9980">
        <v>0.5</v>
      </c>
      <c r="I9980" s="11">
        <f t="shared" si="155"/>
        <v>0</v>
      </c>
      <c r="J9980" s="11">
        <f>1/(H9980*Utilities!$B$11)</f>
        <v>8</v>
      </c>
      <c r="K9980" s="11">
        <f>IF(B9980&lt;C9980,1,EXP(-1*(B9980-C9980)/(Utilities!$B$11*IterData!H9980)))</f>
        <v>1</v>
      </c>
    </row>
    <row r="9981" spans="8:11" x14ac:dyDescent="0.3">
      <c r="H9981">
        <v>0.5</v>
      </c>
      <c r="I9981" s="11">
        <f t="shared" si="155"/>
        <v>0</v>
      </c>
      <c r="J9981" s="11">
        <f>1/(H9981*Utilities!$B$11)</f>
        <v>8</v>
      </c>
      <c r="K9981" s="11">
        <f>IF(B9981&lt;C9981,1,EXP(-1*(B9981-C9981)/(Utilities!$B$11*IterData!H9981)))</f>
        <v>1</v>
      </c>
    </row>
    <row r="9982" spans="8:11" x14ac:dyDescent="0.3">
      <c r="H9982">
        <v>0.5</v>
      </c>
      <c r="I9982" s="11">
        <f t="shared" si="155"/>
        <v>0</v>
      </c>
      <c r="J9982" s="11">
        <f>1/(H9982*Utilities!$B$11)</f>
        <v>8</v>
      </c>
      <c r="K9982" s="11">
        <f>IF(B9982&lt;C9982,1,EXP(-1*(B9982-C9982)/(Utilities!$B$11*IterData!H9982)))</f>
        <v>1</v>
      </c>
    </row>
    <row r="9983" spans="8:11" x14ac:dyDescent="0.3">
      <c r="H9983">
        <v>0.5</v>
      </c>
      <c r="I9983" s="11">
        <f t="shared" si="155"/>
        <v>0</v>
      </c>
      <c r="J9983" s="11">
        <f>1/(H9983*Utilities!$B$11)</f>
        <v>8</v>
      </c>
      <c r="K9983" s="11">
        <f>IF(B9983&lt;C9983,1,EXP(-1*(B9983-C9983)/(Utilities!$B$11*IterData!H9983)))</f>
        <v>1</v>
      </c>
    </row>
    <row r="9984" spans="8:11" x14ac:dyDescent="0.3">
      <c r="H9984">
        <v>0.5</v>
      </c>
      <c r="I9984" s="11">
        <f t="shared" si="155"/>
        <v>0</v>
      </c>
      <c r="J9984" s="11">
        <f>1/(H9984*Utilities!$B$11)</f>
        <v>8</v>
      </c>
      <c r="K9984" s="11">
        <f>IF(B9984&lt;C9984,1,EXP(-1*(B9984-C9984)/(Utilities!$B$11*IterData!H9984)))</f>
        <v>1</v>
      </c>
    </row>
    <row r="9985" spans="8:11" x14ac:dyDescent="0.3">
      <c r="H9985">
        <v>0.5</v>
      </c>
      <c r="I9985" s="11">
        <f t="shared" si="155"/>
        <v>0</v>
      </c>
      <c r="J9985" s="11">
        <f>1/(H9985*Utilities!$B$11)</f>
        <v>8</v>
      </c>
      <c r="K9985" s="11">
        <f>IF(B9985&lt;C9985,1,EXP(-1*(B9985-C9985)/(Utilities!$B$11*IterData!H9985)))</f>
        <v>1</v>
      </c>
    </row>
    <row r="9986" spans="8:11" x14ac:dyDescent="0.3">
      <c r="H9986">
        <v>0.5</v>
      </c>
      <c r="I9986" s="11">
        <f t="shared" si="155"/>
        <v>0</v>
      </c>
      <c r="J9986" s="11">
        <f>1/(H9986*Utilities!$B$11)</f>
        <v>8</v>
      </c>
      <c r="K9986" s="11">
        <f>IF(B9986&lt;C9986,1,EXP(-1*(B9986-C9986)/(Utilities!$B$11*IterData!H9986)))</f>
        <v>1</v>
      </c>
    </row>
    <row r="9987" spans="8:11" x14ac:dyDescent="0.3">
      <c r="H9987">
        <v>0.5</v>
      </c>
      <c r="I9987" s="11">
        <f t="shared" ref="I9987:I10002" si="156">B9987-C9987</f>
        <v>0</v>
      </c>
      <c r="J9987" s="11">
        <f>1/(H9987*Utilities!$B$11)</f>
        <v>8</v>
      </c>
      <c r="K9987" s="11">
        <f>IF(B9987&lt;C9987,1,EXP(-1*(B9987-C9987)/(Utilities!$B$11*IterData!H9987)))</f>
        <v>1</v>
      </c>
    </row>
    <row r="9988" spans="8:11" x14ac:dyDescent="0.3">
      <c r="H9988">
        <v>0.5</v>
      </c>
      <c r="I9988" s="11">
        <f t="shared" si="156"/>
        <v>0</v>
      </c>
      <c r="J9988" s="11">
        <f>1/(H9988*Utilities!$B$11)</f>
        <v>8</v>
      </c>
      <c r="K9988" s="11">
        <f>IF(B9988&lt;C9988,1,EXP(-1*(B9988-C9988)/(Utilities!$B$11*IterData!H9988)))</f>
        <v>1</v>
      </c>
    </row>
    <row r="9989" spans="8:11" x14ac:dyDescent="0.3">
      <c r="H9989">
        <v>0.5</v>
      </c>
      <c r="I9989" s="11">
        <f t="shared" si="156"/>
        <v>0</v>
      </c>
      <c r="J9989" s="11">
        <f>1/(H9989*Utilities!$B$11)</f>
        <v>8</v>
      </c>
      <c r="K9989" s="11">
        <f>IF(B9989&lt;C9989,1,EXP(-1*(B9989-C9989)/(Utilities!$B$11*IterData!H9989)))</f>
        <v>1</v>
      </c>
    </row>
    <row r="9990" spans="8:11" x14ac:dyDescent="0.3">
      <c r="H9990">
        <v>0.5</v>
      </c>
      <c r="I9990" s="11">
        <f t="shared" si="156"/>
        <v>0</v>
      </c>
      <c r="J9990" s="11">
        <f>1/(H9990*Utilities!$B$11)</f>
        <v>8</v>
      </c>
      <c r="K9990" s="11">
        <f>IF(B9990&lt;C9990,1,EXP(-1*(B9990-C9990)/(Utilities!$B$11*IterData!H9990)))</f>
        <v>1</v>
      </c>
    </row>
    <row r="9991" spans="8:11" x14ac:dyDescent="0.3">
      <c r="H9991">
        <v>0.5</v>
      </c>
      <c r="I9991" s="11">
        <f t="shared" si="156"/>
        <v>0</v>
      </c>
      <c r="J9991" s="11">
        <f>1/(H9991*Utilities!$B$11)</f>
        <v>8</v>
      </c>
      <c r="K9991" s="11">
        <f>IF(B9991&lt;C9991,1,EXP(-1*(B9991-C9991)/(Utilities!$B$11*IterData!H9991)))</f>
        <v>1</v>
      </c>
    </row>
    <row r="9992" spans="8:11" x14ac:dyDescent="0.3">
      <c r="H9992">
        <v>0.5</v>
      </c>
      <c r="I9992" s="11">
        <f t="shared" si="156"/>
        <v>0</v>
      </c>
      <c r="J9992" s="11">
        <f>1/(H9992*Utilities!$B$11)</f>
        <v>8</v>
      </c>
      <c r="K9992" s="11">
        <f>IF(B9992&lt;C9992,1,EXP(-1*(B9992-C9992)/(Utilities!$B$11*IterData!H9992)))</f>
        <v>1</v>
      </c>
    </row>
    <row r="9993" spans="8:11" x14ac:dyDescent="0.3">
      <c r="H9993">
        <v>0.5</v>
      </c>
      <c r="I9993" s="11">
        <f t="shared" si="156"/>
        <v>0</v>
      </c>
      <c r="J9993" s="11">
        <f>1/(H9993*Utilities!$B$11)</f>
        <v>8</v>
      </c>
      <c r="K9993" s="11">
        <f>IF(B9993&lt;C9993,1,EXP(-1*(B9993-C9993)/(Utilities!$B$11*IterData!H9993)))</f>
        <v>1</v>
      </c>
    </row>
    <row r="9994" spans="8:11" x14ac:dyDescent="0.3">
      <c r="H9994">
        <v>0.5</v>
      </c>
      <c r="I9994" s="11">
        <f t="shared" si="156"/>
        <v>0</v>
      </c>
      <c r="J9994" s="11">
        <f>1/(H9994*Utilities!$B$11)</f>
        <v>8</v>
      </c>
      <c r="K9994" s="11">
        <f>IF(B9994&lt;C9994,1,EXP(-1*(B9994-C9994)/(Utilities!$B$11*IterData!H9994)))</f>
        <v>1</v>
      </c>
    </row>
    <row r="9995" spans="8:11" x14ac:dyDescent="0.3">
      <c r="H9995">
        <v>0.5</v>
      </c>
      <c r="I9995" s="11">
        <f t="shared" si="156"/>
        <v>0</v>
      </c>
      <c r="J9995" s="11">
        <f>1/(H9995*Utilities!$B$11)</f>
        <v>8</v>
      </c>
      <c r="K9995" s="11">
        <f>IF(B9995&lt;C9995,1,EXP(-1*(B9995-C9995)/(Utilities!$B$11*IterData!H9995)))</f>
        <v>1</v>
      </c>
    </row>
    <row r="9996" spans="8:11" x14ac:dyDescent="0.3">
      <c r="H9996">
        <v>0.5</v>
      </c>
      <c r="I9996" s="11">
        <f t="shared" si="156"/>
        <v>0</v>
      </c>
      <c r="J9996" s="11">
        <f>1/(H9996*Utilities!$B$11)</f>
        <v>8</v>
      </c>
      <c r="K9996" s="11">
        <f>IF(B9996&lt;C9996,1,EXP(-1*(B9996-C9996)/(Utilities!$B$11*IterData!H9996)))</f>
        <v>1</v>
      </c>
    </row>
    <row r="9997" spans="8:11" x14ac:dyDescent="0.3">
      <c r="H9997">
        <v>0.5</v>
      </c>
      <c r="I9997" s="11">
        <f t="shared" si="156"/>
        <v>0</v>
      </c>
      <c r="J9997" s="11">
        <f>1/(H9997*Utilities!$B$11)</f>
        <v>8</v>
      </c>
      <c r="K9997" s="11">
        <f>IF(B9997&lt;C9997,1,EXP(-1*(B9997-C9997)/(Utilities!$B$11*IterData!H9997)))</f>
        <v>1</v>
      </c>
    </row>
    <row r="9998" spans="8:11" x14ac:dyDescent="0.3">
      <c r="H9998">
        <v>0.5</v>
      </c>
      <c r="I9998" s="11">
        <f t="shared" si="156"/>
        <v>0</v>
      </c>
      <c r="J9998" s="11">
        <f>1/(H9998*Utilities!$B$11)</f>
        <v>8</v>
      </c>
      <c r="K9998" s="11">
        <f>IF(B9998&lt;C9998,1,EXP(-1*(B9998-C9998)/(Utilities!$B$11*IterData!H9998)))</f>
        <v>1</v>
      </c>
    </row>
    <row r="9999" spans="8:11" x14ac:dyDescent="0.3">
      <c r="H9999">
        <v>0.5</v>
      </c>
      <c r="I9999" s="11">
        <f t="shared" si="156"/>
        <v>0</v>
      </c>
      <c r="J9999" s="11">
        <f>1/(H9999*Utilities!$B$11)</f>
        <v>8</v>
      </c>
      <c r="K9999" s="11">
        <f>IF(B9999&lt;C9999,1,EXP(-1*(B9999-C9999)/(Utilities!$B$11*IterData!H9999)))</f>
        <v>1</v>
      </c>
    </row>
    <row r="10000" spans="8:11" x14ac:dyDescent="0.3">
      <c r="H10000">
        <v>0.5</v>
      </c>
      <c r="I10000" s="11">
        <f t="shared" si="156"/>
        <v>0</v>
      </c>
      <c r="J10000" s="11">
        <f>1/(H10000*Utilities!$B$11)</f>
        <v>8</v>
      </c>
      <c r="K10000" s="11">
        <f>IF(B10000&lt;C10000,1,EXP(-1*(B10000-C10000)/(Utilities!$B$11*IterData!H10000)))</f>
        <v>1</v>
      </c>
    </row>
    <row r="10001" spans="1:11" x14ac:dyDescent="0.3">
      <c r="A10001">
        <v>10000</v>
      </c>
      <c r="B10001">
        <v>1.4239007385071762E-2</v>
      </c>
      <c r="C10001">
        <v>1.3557630233978438E-2</v>
      </c>
      <c r="D10001">
        <v>0.94694887636203773</v>
      </c>
      <c r="E10001" s="10">
        <v>2.0082926792826514E-2</v>
      </c>
      <c r="F10001" s="10">
        <v>0.78365946979235623</v>
      </c>
      <c r="H10001">
        <v>0.5</v>
      </c>
      <c r="I10001" s="11">
        <f t="shared" si="156"/>
        <v>6.8137715109332399E-4</v>
      </c>
      <c r="J10001" s="11">
        <f>1/(H10001*Utilities!$B$11)</f>
        <v>8</v>
      </c>
      <c r="K10001" s="11">
        <f>IF(B10001&lt;C10001,1,EXP(-1*(B10001-C10001)/(Utilities!$B$11*IterData!H10001)))</f>
        <v>0.99456381262742533</v>
      </c>
    </row>
    <row r="10002" spans="1:11" x14ac:dyDescent="0.3">
      <c r="A10002">
        <v>10001</v>
      </c>
      <c r="B10002">
        <v>2.706895824666938E-2</v>
      </c>
      <c r="C10002">
        <v>1.4239007385071762E-2</v>
      </c>
      <c r="D10002">
        <v>0.35825913683106297</v>
      </c>
      <c r="E10002" s="10">
        <v>1.5506502233342071E-2</v>
      </c>
      <c r="F10002" s="10">
        <v>0.84036015171325851</v>
      </c>
      <c r="H10002">
        <v>0.5</v>
      </c>
      <c r="I10002" s="11">
        <f t="shared" si="156"/>
        <v>1.2829950861597618E-2</v>
      </c>
      <c r="J10002" s="11">
        <f>1/(H10002*Utilities!$B$11)</f>
        <v>8</v>
      </c>
      <c r="K10002" s="11">
        <f>IF(B10002&lt;C10002,1,EXP(-1*(B10002-C10002)/(Utilities!$B$11*IterData!H10002)))</f>
        <v>0.90245215241719956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006"/>
  <sheetViews>
    <sheetView topLeftCell="B1" workbookViewId="0">
      <selection activeCell="E5" sqref="E5"/>
    </sheetView>
  </sheetViews>
  <sheetFormatPr defaultColWidth="8.88671875" defaultRowHeight="14.4" x14ac:dyDescent="0.3"/>
  <cols>
    <col min="1" max="1" width="32.44140625" customWidth="1"/>
    <col min="2" max="2" width="20.33203125" customWidth="1"/>
    <col min="3" max="3" width="25.6640625" customWidth="1"/>
    <col min="4" max="4" width="24.33203125" customWidth="1"/>
    <col min="5" max="5" width="25.44140625" customWidth="1"/>
  </cols>
  <sheetData>
    <row r="1" spans="1:5" x14ac:dyDescent="0.3">
      <c r="A1" s="1" t="s">
        <v>20</v>
      </c>
      <c r="B1" t="s">
        <v>22</v>
      </c>
    </row>
    <row r="2" spans="1:5" x14ac:dyDescent="0.3">
      <c r="A2" s="1" t="s">
        <v>27</v>
      </c>
      <c r="B2">
        <v>0.02</v>
      </c>
    </row>
    <row r="3" spans="1:5" x14ac:dyDescent="0.3">
      <c r="D3" s="20" t="s">
        <v>26</v>
      </c>
      <c r="E3" s="20"/>
    </row>
    <row r="4" spans="1:5" x14ac:dyDescent="0.3">
      <c r="A4" s="1" t="s">
        <v>17</v>
      </c>
      <c r="B4" s="1" t="s">
        <v>18</v>
      </c>
      <c r="C4" s="1" t="s">
        <v>19</v>
      </c>
      <c r="D4" s="9" t="s">
        <v>25</v>
      </c>
      <c r="E4" s="9" t="s">
        <v>24</v>
      </c>
    </row>
    <row r="5" spans="1:5" x14ac:dyDescent="0.3">
      <c r="A5">
        <v>0</v>
      </c>
      <c r="B5">
        <f>Utilities!$B$7+((Utilities!$B$9-Utilities!$B$7)*(A5/Utilities!$B$1))</f>
        <v>50</v>
      </c>
      <c r="C5">
        <f>Utilities!$B$9+((Utilities!$B$7-Utilities!$B$9)*EXP(-$B$2*A5))</f>
        <v>50</v>
      </c>
      <c r="D5">
        <f>EXP(-1*SQRT(Utilities!$B$5)/(IF($B$1="Linear",B5,C5)*Utilities!$B$11))</f>
        <v>0.89302823095863271</v>
      </c>
      <c r="E5">
        <f>EXP(-1*SQRT(Utilities!$B$5/20)/(IF($B$1="Linear",B5,C5)*Utilities!$B$11))</f>
        <v>0.97501909722239444</v>
      </c>
    </row>
    <row r="6" spans="1:5" x14ac:dyDescent="0.3">
      <c r="A6">
        <v>1</v>
      </c>
      <c r="B6">
        <f>Utilities!$B$7+((Utilities!$B$9-Utilities!$B$7)*(A6/Utilities!$B$1))</f>
        <v>49.995049999999999</v>
      </c>
      <c r="C6">
        <f>Utilities!$B$9+((Utilities!$B$7-Utilities!$B$9)*EXP(-$B$2*A6))</f>
        <v>49.019834328684382</v>
      </c>
      <c r="D6">
        <f>EXP(-1*SQRT(Utilities!$B$5)/(IF($B$1="Linear",B6,C6)*Utilities!$B$11))</f>
        <v>0.89101029823896982</v>
      </c>
      <c r="E6">
        <f>EXP(-1*SQRT(Utilities!$B$5/20)/(IF($B$1="Linear",B6,C6)*Utilities!$B$11))</f>
        <v>0.97452601321186971</v>
      </c>
    </row>
    <row r="7" spans="1:5" x14ac:dyDescent="0.3">
      <c r="A7">
        <v>2</v>
      </c>
      <c r="B7">
        <f>Utilities!$B$7+((Utilities!$B$9-Utilities!$B$7)*(A7/Utilities!$B$1))</f>
        <v>49.990099999999998</v>
      </c>
      <c r="C7">
        <f>Utilities!$B$9+((Utilities!$B$7-Utilities!$B$9)*EXP(-$B$2*A7))</f>
        <v>48.059077238039997</v>
      </c>
      <c r="D7">
        <f>EXP(-1*SQRT(Utilities!$B$5)/(IF($B$1="Linear",B7,C7)*Utilities!$B$11))</f>
        <v>0.8889571363747516</v>
      </c>
      <c r="E7">
        <f>EXP(-1*SQRT(Utilities!$B$5/20)/(IF($B$1="Linear",B7,C7)*Utilities!$B$11))</f>
        <v>0.97402343026591398</v>
      </c>
    </row>
    <row r="8" spans="1:5" x14ac:dyDescent="0.3">
      <c r="A8">
        <v>3</v>
      </c>
      <c r="B8">
        <f>Utilities!$B$7+((Utilities!$B$9-Utilities!$B$7)*(A8/Utilities!$B$1))</f>
        <v>49.985149999999997</v>
      </c>
      <c r="C8">
        <f>Utilities!$B$9+((Utilities!$B$7-Utilities!$B$9)*EXP(-$B$2*A8))</f>
        <v>47.117344412420309</v>
      </c>
      <c r="D8">
        <f>EXP(-1*SQRT(Utilities!$B$5)/(IF($B$1="Linear",B8,C8)*Utilities!$B$11))</f>
        <v>0.88686824177529766</v>
      </c>
      <c r="E8">
        <f>EXP(-1*SQRT(Utilities!$B$5/20)/(IF($B$1="Linear",B8,C8)*Utilities!$B$11))</f>
        <v>0.97351117474872106</v>
      </c>
    </row>
    <row r="9" spans="1:5" x14ac:dyDescent="0.3">
      <c r="A9">
        <v>4</v>
      </c>
      <c r="B9">
        <f>Utilities!$B$7+((Utilities!$B$9-Utilities!$B$7)*(A9/Utilities!$B$1))</f>
        <v>49.980200000000004</v>
      </c>
      <c r="C9">
        <f>Utilities!$B$9+((Utilities!$B$7-Utilities!$B$9)*EXP(-$B$2*A9))</f>
        <v>46.194259146138471</v>
      </c>
      <c r="D9">
        <f>EXP(-1*SQRT(Utilities!$B$5)/(IF($B$1="Linear",B9,C9)*Utilities!$B$11))</f>
        <v>0.88474310813207391</v>
      </c>
      <c r="E9">
        <f>EXP(-1*SQRT(Utilities!$B$5/20)/(IF($B$1="Linear",B9,C9)*Utilities!$B$11))</f>
        <v>0.97298907022571601</v>
      </c>
    </row>
    <row r="10" spans="1:5" x14ac:dyDescent="0.3">
      <c r="A10">
        <v>5</v>
      </c>
      <c r="B10">
        <f>Utilities!$B$7+((Utilities!$B$9-Utilities!$B$7)*(A10/Utilities!$B$1))</f>
        <v>49.975250000000003</v>
      </c>
      <c r="C10">
        <f>Utilities!$B$9+((Utilities!$B$7-Utilities!$B$9)*EXP(-$B$2*A10))</f>
        <v>45.289452192779997</v>
      </c>
      <c r="D10">
        <f>EXP(-1*SQRT(Utilities!$B$5)/(IF($B$1="Linear",B10,C10)*Utilities!$B$11))</f>
        <v>0.88258122660916283</v>
      </c>
      <c r="E10">
        <f>EXP(-1*SQRT(Utilities!$B$5/20)/(IF($B$1="Linear",B10,C10)*Utilities!$B$11))</f>
        <v>0.97245693743379513</v>
      </c>
    </row>
    <row r="11" spans="1:5" x14ac:dyDescent="0.3">
      <c r="A11">
        <v>6</v>
      </c>
      <c r="B11">
        <f>Utilities!$B$7+((Utilities!$B$9-Utilities!$B$7)*(A11/Utilities!$B$1))</f>
        <v>49.970300000000002</v>
      </c>
      <c r="C11">
        <f>Utilities!$B$9+((Utilities!$B$7-Utilities!$B$9)*EXP(-$B$2*A11))</f>
        <v>44.402561617499295</v>
      </c>
      <c r="D11">
        <f>EXP(-1*SQRT(Utilities!$B$5)/(IF($B$1="Linear",B11,C11)*Utilities!$B$11))</f>
        <v>0.88038208604436352</v>
      </c>
      <c r="E11">
        <f>EXP(-1*SQRT(Utilities!$B$5/20)/(IF($B$1="Linear",B11,C11)*Utilities!$B$11))</f>
        <v>0.97191459425193105</v>
      </c>
    </row>
    <row r="12" spans="1:5" x14ac:dyDescent="0.3">
      <c r="A12">
        <v>7</v>
      </c>
      <c r="B12">
        <f>Utilities!$B$7+((Utilities!$B$9-Utilities!$B$7)*(A12/Utilities!$B$1))</f>
        <v>49.965350000000001</v>
      </c>
      <c r="C12">
        <f>Utilities!$B$9+((Utilities!$B$7-Utilities!$B$9)*EXP(-$B$2*A12))</f>
        <v>43.533232652240891</v>
      </c>
      <c r="D12">
        <f>EXP(-1*SQRT(Utilities!$B$5)/(IF($B$1="Linear",B12,C12)*Utilities!$B$11))</f>
        <v>0.87814517316124108</v>
      </c>
      <c r="E12">
        <f>EXP(-1*SQRT(Utilities!$B$5/20)/(IF($B$1="Linear",B12,C12)*Utilities!$B$11))</f>
        <v>0.97136185567218281</v>
      </c>
    </row>
    <row r="13" spans="1:5" x14ac:dyDescent="0.3">
      <c r="A13">
        <v>8</v>
      </c>
      <c r="B13">
        <f>Utilities!$B$7+((Utilities!$B$9-Utilities!$B$7)*(A13/Utilities!$B$1))</f>
        <v>49.9604</v>
      </c>
      <c r="C13">
        <f>Utilities!$B$9+((Utilities!$B$7-Utilities!$B$9)*EXP(-$B$2*A13))</f>
        <v>42.681117553827463</v>
      </c>
      <c r="D13">
        <f>EXP(-1*SQRT(Utilities!$B$5)/(IF($B$1="Linear",B13,C13)*Utilities!$B$11))</f>
        <v>0.87586997279245227</v>
      </c>
      <c r="E13">
        <f>EXP(-1*SQRT(Utilities!$B$5/20)/(IF($B$1="Linear",B13,C13)*Utilities!$B$11))</f>
        <v>0.97079853377115155</v>
      </c>
    </row>
    <row r="14" spans="1:5" x14ac:dyDescent="0.3">
      <c r="A14">
        <v>9</v>
      </c>
      <c r="B14">
        <f>Utilities!$B$7+((Utilities!$B$9-Utilities!$B$7)*(A14/Utilities!$B$1))</f>
        <v>49.955449999999999</v>
      </c>
      <c r="C14">
        <f>Utilities!$B$9+((Utilities!$B$7-Utilities!$B$9)*EXP(-$B$2*A14))</f>
        <v>41.845875464857961</v>
      </c>
      <c r="D14">
        <f>EXP(-1*SQRT(Utilities!$B$5)/(IF($B$1="Linear",B14,C14)*Utilities!$B$11))</f>
        <v>0.87355596811467595</v>
      </c>
      <c r="E14">
        <f>EXP(-1*SQRT(Utilities!$B$5/20)/(IF($B$1="Linear",B14,C14)*Utilities!$B$11))</f>
        <v>0.97022443768192534</v>
      </c>
    </row>
    <row r="15" spans="1:5" x14ac:dyDescent="0.3">
      <c r="A15">
        <v>10</v>
      </c>
      <c r="B15">
        <f>Utilities!$B$7+((Utilities!$B$9-Utilities!$B$7)*(A15/Utilities!$B$1))</f>
        <v>49.950499999999998</v>
      </c>
      <c r="C15">
        <f>Utilities!$B$9+((Utilities!$B$7-Utilities!$B$9)*EXP(-$B$2*A15))</f>
        <v>41.027172277360101</v>
      </c>
      <c r="D15">
        <f>EXP(-1*SQRT(Utilities!$B$5)/(IF($B$1="Linear",B15,C15)*Utilities!$B$11))</f>
        <v>0.87120264089547605</v>
      </c>
      <c r="E15">
        <f>EXP(-1*SQRT(Utilities!$B$5/20)/(IF($B$1="Linear",B15,C15)*Utilities!$B$11))</f>
        <v>0.96963937356655672</v>
      </c>
    </row>
    <row r="16" spans="1:5" x14ac:dyDescent="0.3">
      <c r="A16">
        <v>11</v>
      </c>
      <c r="B16">
        <f>Utilities!$B$7+((Utilities!$B$9-Utilities!$B$7)*(A16/Utilities!$B$1))</f>
        <v>49.945549999999997</v>
      </c>
      <c r="C16">
        <f>Utilities!$B$9+((Utilities!$B$7-Utilities!$B$9)*EXP(-$B$2*A16))</f>
        <v>40.224680499142686</v>
      </c>
      <c r="D16">
        <f>EXP(-1*SQRT(Utilities!$B$5)/(IF($B$1="Linear",B16,C16)*Utilities!$B$11))</f>
        <v>0.86880947175242951</v>
      </c>
      <c r="E16">
        <f>EXP(-1*SQRT(Utilities!$B$5/20)/(IF($B$1="Linear",B16,C16)*Utilities!$B$11))</f>
        <v>0.96904314458912144</v>
      </c>
    </row>
    <row r="17" spans="1:5" x14ac:dyDescent="0.3">
      <c r="A17">
        <v>12</v>
      </c>
      <c r="B17">
        <f>Utilities!$B$7+((Utilities!$B$9-Utilities!$B$7)*(A17/Utilities!$B$1))</f>
        <v>49.940600000000003</v>
      </c>
      <c r="C17">
        <f>Utilities!$B$9+((Utilities!$B$7-Utilities!$B$9)*EXP(-$B$2*A17))</f>
        <v>39.438079122794399</v>
      </c>
      <c r="D17">
        <f>EXP(-1*SQRT(Utilities!$B$5)/(IF($B$1="Linear",B17,C17)*Utilities!$B$11))</f>
        <v>0.866375940424851</v>
      </c>
      <c r="E17">
        <f>EXP(-1*SQRT(Utilities!$B$5/20)/(IF($B$1="Linear",B17,C17)*Utilities!$B$11))</f>
        <v>0.96843555088940547</v>
      </c>
    </row>
    <row r="18" spans="1:5" x14ac:dyDescent="0.3">
      <c r="A18">
        <v>13</v>
      </c>
      <c r="B18">
        <f>Utilities!$B$7+((Utilities!$B$9-Utilities!$B$7)*(A18/Utilities!$B$1))</f>
        <v>49.935650000000003</v>
      </c>
      <c r="C18">
        <f>Utilities!$B$9+((Utilities!$B$7-Utilities!$B$9)*EXP(-$B$2*A18))</f>
        <v>38.667053497276527</v>
      </c>
      <c r="D18">
        <f>EXP(-1*SQRT(Utilities!$B$5)/(IF($B$1="Linear",B18,C18)*Utilities!$B$11))</f>
        <v>0.86390152605844617</v>
      </c>
      <c r="E18">
        <f>EXP(-1*SQRT(Utilities!$B$5/20)/(IF($B$1="Linear",B18,C18)*Utilities!$B$11))</f>
        <v>0.96781638955727101</v>
      </c>
    </row>
    <row r="19" spans="1:5" x14ac:dyDescent="0.3">
      <c r="A19">
        <v>14</v>
      </c>
      <c r="B19">
        <f>Utilities!$B$7+((Utilities!$B$9-Utilities!$B$7)*(A19/Utilities!$B$1))</f>
        <v>49.930700000000002</v>
      </c>
      <c r="C19">
        <f>Utilities!$B$9+((Utilities!$B$7-Utilities!$B$9)*EXP(-$B$2*A19))</f>
        <v>37.911295202058412</v>
      </c>
      <c r="D19">
        <f>EXP(-1*SQRT(Utilities!$B$5)/(IF($B$1="Linear",B19,C19)*Utilities!$B$11))</f>
        <v>0.86138570750322641</v>
      </c>
      <c r="E19">
        <f>EXP(-1*SQRT(Utilities!$B$5/20)/(IF($B$1="Linear",B19,C19)*Utilities!$B$11))</f>
        <v>0.96718545460775407</v>
      </c>
    </row>
    <row r="20" spans="1:5" x14ac:dyDescent="0.3">
      <c r="A20">
        <v>15</v>
      </c>
      <c r="B20">
        <f>Utilities!$B$7+((Utilities!$B$9-Utilities!$B$7)*(A20/Utilities!$B$1))</f>
        <v>49.925750000000001</v>
      </c>
      <c r="C20">
        <f>Utilities!$B$9+((Utilities!$B$7-Utilities!$B$9)*EXP(-$B$2*A20))</f>
        <v>37.170501923745036</v>
      </c>
      <c r="D20">
        <f>EXP(-1*SQRT(Utilities!$B$5)/(IF($B$1="Linear",B20,C20)*Utilities!$B$11))</f>
        <v>0.8588279636250139</v>
      </c>
      <c r="E20">
        <f>EXP(-1*SQRT(Utilities!$B$5/20)/(IF($B$1="Linear",B20,C20)*Utilities!$B$11))</f>
        <v>0.96654253695694825</v>
      </c>
    </row>
    <row r="21" spans="1:5" x14ac:dyDescent="0.3">
      <c r="A21">
        <v>16</v>
      </c>
      <c r="B21">
        <f>Utilities!$B$7+((Utilities!$B$9-Utilities!$B$7)*(A21/Utilities!$B$1))</f>
        <v>49.9208</v>
      </c>
      <c r="C21">
        <f>Utilities!$B$9+((Utilities!$B$7-Utilities!$B$9)*EXP(-$B$2*A21))</f>
        <v>36.444377335147699</v>
      </c>
      <c r="D21">
        <f>EXP(-1*SQRT(Utilities!$B$5)/(IF($B$1="Linear",B21,C21)*Utilities!$B$11))</f>
        <v>0.85622777363086766</v>
      </c>
      <c r="E21">
        <f>EXP(-1*SQRT(Utilities!$B$5/20)/(IF($B$1="Linear",B21,C21)*Utilities!$B$11))</f>
        <v>0.96588742439873165</v>
      </c>
    </row>
    <row r="22" spans="1:5" x14ac:dyDescent="0.3">
      <c r="A22">
        <v>17</v>
      </c>
      <c r="B22">
        <f>Utilities!$B$7+((Utilities!$B$9-Utilities!$B$7)*(A22/Utilities!$B$1))</f>
        <v>49.915849999999999</v>
      </c>
      <c r="C22">
        <f>Utilities!$B$9+((Utilities!$B$7-Utilities!$B$9)*EXP(-$B$2*A22))</f>
        <v>35.732630976749178</v>
      </c>
      <c r="D22">
        <f>EXP(-1*SQRT(Utilities!$B$5)/(IF($B$1="Linear",B22,C22)*Utilities!$B$11))</f>
        <v>0.85358461740875735</v>
      </c>
      <c r="E22">
        <f>EXP(-1*SQRT(Utilities!$B$5/20)/(IF($B$1="Linear",B22,C22)*Utilities!$B$11))</f>
        <v>0.9652199015823939</v>
      </c>
    </row>
    <row r="23" spans="1:5" x14ac:dyDescent="0.3">
      <c r="A23">
        <v>18</v>
      </c>
      <c r="B23">
        <f>Utilities!$B$7+((Utilities!$B$9-Utilities!$B$7)*(A23/Utilities!$B$1))</f>
        <v>49.910899999999998</v>
      </c>
      <c r="C23">
        <f>Utilities!$B$9+((Utilities!$B$7-Utilities!$B$9)*EXP(-$B$2*A23))</f>
        <v>35.034978140516039</v>
      </c>
      <c r="D23">
        <f>EXP(-1*SQRT(Utilities!$B$5)/(IF($B$1="Linear",B23,C23)*Utilities!$B$11))</f>
        <v>0.8508979758818056</v>
      </c>
      <c r="E23">
        <f>EXP(-1*SQRT(Utilities!$B$5/20)/(IF($B$1="Linear",B23,C23)*Utilities!$B$11))</f>
        <v>0.96453974999122705</v>
      </c>
    </row>
    <row r="24" spans="1:5" x14ac:dyDescent="0.3">
      <c r="A24">
        <v>19</v>
      </c>
      <c r="B24">
        <f>Utilities!$B$7+((Utilities!$B$9-Utilities!$B$7)*(A24/Utilities!$B$1))</f>
        <v>49.905949999999997</v>
      </c>
      <c r="C24">
        <f>Utilities!$B$9+((Utilities!$B$7-Utilities!$B$9)*EXP(-$B$2*A24))</f>
        <v>34.351139756011612</v>
      </c>
      <c r="D24">
        <f>EXP(-1*SQRT(Utilities!$B$5)/(IF($B$1="Linear",B24,C24)*Utilities!$B$11))</f>
        <v>0.84816733137741995</v>
      </c>
      <c r="E24">
        <f>EXP(-1*SQRT(Utilities!$B$5/20)/(IF($B$1="Linear",B24,C24)*Utilities!$B$11))</f>
        <v>0.96384674792214131</v>
      </c>
    </row>
    <row r="25" spans="1:5" x14ac:dyDescent="0.3">
      <c r="A25">
        <v>20</v>
      </c>
      <c r="B25">
        <f>Utilities!$B$7+((Utilities!$B$9-Utilities!$B$7)*(A25/Utilities!$B$1))</f>
        <v>49.901000000000003</v>
      </c>
      <c r="C25">
        <f>Utilities!$B$9+((Utilities!$B$7-Utilities!$B$9)*EXP(-$B$2*A25))</f>
        <v>33.680842278764146</v>
      </c>
      <c r="D25">
        <f>EXP(-1*SQRT(Utilities!$B$5)/(IF($B$1="Linear",B25,C25)*Utilities!$B$11))</f>
        <v>0.84539216801162675</v>
      </c>
      <c r="E25">
        <f>EXP(-1*SQRT(Utilities!$B$5/20)/(IF($B$1="Linear",B25,C25)*Utilities!$B$11))</f>
        <v>0.96314067046637142</v>
      </c>
    </row>
    <row r="26" spans="1:5" x14ac:dyDescent="0.3">
      <c r="A26">
        <v>21</v>
      </c>
      <c r="B26">
        <f>Utilities!$B$7+((Utilities!$B$9-Utilities!$B$7)*(A26/Utilities!$B$1))</f>
        <v>49.896050000000002</v>
      </c>
      <c r="C26">
        <f>Utilities!$B$9+((Utilities!$B$7-Utilities!$B$9)*EXP(-$B$2*A26))</f>
        <v>33.023817580845311</v>
      </c>
      <c r="D26">
        <f>EXP(-1*SQRT(Utilities!$B$5)/(IF($B$1="Linear",B26,C26)*Utilities!$B$11))</f>
        <v>0.8425719720889141</v>
      </c>
      <c r="E26">
        <f>EXP(-1*SQRT(Utilities!$B$5/20)/(IF($B$1="Linear",B26,C26)*Utilities!$B$11))</f>
        <v>0.96242128949134298</v>
      </c>
    </row>
    <row r="27" spans="1:5" x14ac:dyDescent="0.3">
      <c r="A27">
        <v>22</v>
      </c>
      <c r="B27">
        <f>Utilities!$B$7+((Utilities!$B$9-Utilities!$B$7)*(A27/Utilities!$B$1))</f>
        <v>49.891100000000002</v>
      </c>
      <c r="C27">
        <f>Utilities!$B$9+((Utilities!$B$7-Utilities!$B$9)*EXP(-$B$2*A27))</f>
        <v>32.379802843615501</v>
      </c>
      <c r="D27">
        <f>EXP(-1*SQRT(Utilities!$B$5)/(IF($B$1="Linear",B27,C27)*Utilities!$B$11))</f>
        <v>0.83970623251788479</v>
      </c>
      <c r="E27">
        <f>EXP(-1*SQRT(Utilities!$B$5/20)/(IF($B$1="Linear",B27,C27)*Utilities!$B$11))</f>
        <v>0.96168837362376758</v>
      </c>
    </row>
    <row r="28" spans="1:5" x14ac:dyDescent="0.3">
      <c r="A28">
        <v>23</v>
      </c>
      <c r="B28">
        <f>Utilities!$B$7+((Utilities!$B$9-Utilities!$B$7)*(A28/Utilities!$B$1))</f>
        <v>49.886150000000001</v>
      </c>
      <c r="C28">
        <f>Utilities!$B$9+((Utilities!$B$7-Utilities!$B$9)*EXP(-$B$2*A28))</f>
        <v>31.748540452592835</v>
      </c>
      <c r="D28">
        <f>EXP(-1*SQRT(Utilities!$B$5)/(IF($B$1="Linear",B28,C28)*Utilities!$B$11))</f>
        <v>0.83679444124300895</v>
      </c>
      <c r="E28">
        <f>EXP(-1*SQRT(Utilities!$B$5/20)/(IF($B$1="Linear",B28,C28)*Utilities!$B$11))</f>
        <v>0.96094168823403903</v>
      </c>
    </row>
    <row r="29" spans="1:5" x14ac:dyDescent="0.3">
      <c r="A29">
        <v>24</v>
      </c>
      <c r="B29">
        <f>Utilities!$B$7+((Utilities!$B$9-Utilities!$B$7)*(A29/Utilities!$B$1))</f>
        <v>49.8812</v>
      </c>
      <c r="C29">
        <f>Utilities!$B$9+((Utilities!$B$7-Utilities!$B$9)*EXP(-$B$2*A29))</f>
        <v>31.129777894403972</v>
      </c>
      <c r="D29">
        <f>EXP(-1*SQRT(Utilities!$B$5)/(IF($B$1="Linear",B29,C29)*Utilities!$B$11))</f>
        <v>0.83383609369276057</v>
      </c>
      <c r="E29">
        <f>EXP(-1*SQRT(Utilities!$B$5/20)/(IF($B$1="Linear",B29,C29)*Utilities!$B$11))</f>
        <v>0.96018099542200774</v>
      </c>
    </row>
    <row r="30" spans="1:5" x14ac:dyDescent="0.3">
      <c r="A30">
        <v>25</v>
      </c>
      <c r="B30">
        <f>Utilities!$B$7+((Utilities!$B$9-Utilities!$B$7)*(A30/Utilities!$B$1))</f>
        <v>49.876249999999999</v>
      </c>
      <c r="C30">
        <f>Utilities!$B$9+((Utilities!$B$7-Utilities!$B$9)*EXP(-$B$2*A30))</f>
        <v>30.523267655775353</v>
      </c>
      <c r="D30">
        <f>EXP(-1*SQRT(Utilities!$B$5)/(IF($B$1="Linear",B30,C30)*Utilities!$B$11))</f>
        <v>0.83083068924440651</v>
      </c>
      <c r="E30">
        <f>EXP(-1*SQRT(Utilities!$B$5/20)/(IF($B$1="Linear",B30,C30)*Utilities!$B$11))</f>
        <v>0.95940605400420942</v>
      </c>
    </row>
    <row r="31" spans="1:5" x14ac:dyDescent="0.3">
      <c r="A31">
        <v>26</v>
      </c>
      <c r="B31">
        <f>Utilities!$B$7+((Utilities!$B$9-Utilities!$B$7)*(A31/Utilities!$B$1))</f>
        <v>49.871299999999998</v>
      </c>
      <c r="C31">
        <f>Utilities!$B$9+((Utilities!$B$7-Utilities!$B$9)*EXP(-$B$2*A31))</f>
        <v>29.928767124524622</v>
      </c>
      <c r="D31">
        <f>EXP(-1*SQRT(Utilities!$B$5)/(IF($B$1="Linear",B31,C31)*Utilities!$B$11))</f>
        <v>0.82777773170570779</v>
      </c>
      <c r="E31">
        <f>EXP(-1*SQRT(Utilities!$B$5/20)/(IF($B$1="Linear",B31,C31)*Utilities!$B$11))</f>
        <v>0.95861661950262889</v>
      </c>
    </row>
    <row r="32" spans="1:5" x14ac:dyDescent="0.3">
      <c r="A32">
        <v>27</v>
      </c>
      <c r="B32">
        <f>Utilities!$B$7+((Utilities!$B$9-Utilities!$B$7)*(A32/Utilities!$B$1))</f>
        <v>49.866349999999997</v>
      </c>
      <c r="C32">
        <f>Utilities!$B$9+((Utilities!$B$7-Utilities!$B$9)*EXP(-$B$2*A32))</f>
        <v>29.346038492512488</v>
      </c>
      <c r="D32">
        <f>EXP(-1*SQRT(Utilities!$B$5)/(IF($B$1="Linear",B32,C32)*Utilities!$B$11))</f>
        <v>0.82467672981377937</v>
      </c>
      <c r="E32">
        <f>EXP(-1*SQRT(Utilities!$B$5/20)/(IF($B$1="Linear",B32,C32)*Utilities!$B$11))</f>
        <v>0.9578124441350816</v>
      </c>
    </row>
    <row r="33" spans="1:5" x14ac:dyDescent="0.3">
      <c r="A33">
        <v>28</v>
      </c>
      <c r="B33">
        <f>Utilities!$B$7+((Utilities!$B$9-Utilities!$B$7)*(A33/Utilities!$B$1))</f>
        <v>49.861400000000003</v>
      </c>
      <c r="C33">
        <f>Utilities!$B$9+((Utilities!$B$7-Utilities!$B$9)*EXP(-$B$2*A33))</f>
        <v>28.774848660516337</v>
      </c>
      <c r="D33">
        <f>EXP(-1*SQRT(Utilities!$B$5)/(IF($B$1="Linear",B33,C33)*Utilities!$B$11))</f>
        <v>0.82152719775133587</v>
      </c>
      <c r="E33">
        <f>EXP(-1*SQRT(Utilities!$B$5/20)/(IF($B$1="Linear",B33,C33)*Utilities!$B$11))</f>
        <v>0.95699327680729951</v>
      </c>
    </row>
    <row r="34" spans="1:5" x14ac:dyDescent="0.3">
      <c r="A34">
        <v>29</v>
      </c>
      <c r="B34">
        <f>Utilities!$B$7+((Utilities!$B$9-Utilities!$B$7)*(A34/Utilities!$B$1))</f>
        <v>49.856450000000002</v>
      </c>
      <c r="C34">
        <f>Utilities!$B$9+((Utilities!$B$7-Utilities!$B$9)*EXP(-$B$2*A34))</f>
        <v>28.2149691449874</v>
      </c>
      <c r="D34">
        <f>EXP(-1*SQRT(Utilities!$B$5)/(IF($B$1="Linear",B34,C34)*Utilities!$B$11))</f>
        <v>0.81832865568053959</v>
      </c>
      <c r="E34">
        <f>EXP(-1*SQRT(Utilities!$B$5/20)/(IF($B$1="Linear",B34,C34)*Utilities!$B$11))</f>
        <v>0.95615886310680809</v>
      </c>
    </row>
    <row r="35" spans="1:5" x14ac:dyDescent="0.3">
      <c r="A35">
        <v>30</v>
      </c>
      <c r="B35">
        <f>Utilities!$B$7+((Utilities!$B$9-Utilities!$B$7)*(A35/Utilities!$B$1))</f>
        <v>49.851500000000001</v>
      </c>
      <c r="C35">
        <f>Utilities!$B$9+((Utilities!$B$7-Utilities!$B$9)*EXP(-$B$2*A35))</f>
        <v>27.666175986654306</v>
      </c>
      <c r="D35">
        <f>EXP(-1*SQRT(Utilities!$B$5)/(IF($B$1="Linear",B35,C35)*Utilities!$B$11))</f>
        <v>0.81508063029464384</v>
      </c>
      <c r="E35">
        <f>EXP(-1*SQRT(Utilities!$B$5/20)/(IF($B$1="Linear",B35,C35)*Utilities!$B$11))</f>
        <v>0.9553089452986866</v>
      </c>
    </row>
    <row r="36" spans="1:5" x14ac:dyDescent="0.3">
      <c r="A36">
        <v>31</v>
      </c>
      <c r="B36">
        <f>Utilities!$B$7+((Utilities!$B$9-Utilities!$B$7)*(A36/Utilities!$B$1))</f>
        <v>49.846550000000001</v>
      </c>
      <c r="C36">
        <f>Utilities!$B$9+((Utilities!$B$7-Utilities!$B$9)*EXP(-$B$2*A36))</f>
        <v>27.128249660936387</v>
      </c>
      <c r="D36">
        <f>EXP(-1*SQRT(Utilities!$B$5)/(IF($B$1="Linear",B36,C36)*Utilities!$B$11))</f>
        <v>0.81178265538760819</v>
      </c>
      <c r="E36">
        <f>EXP(-1*SQRT(Utilities!$B$5/20)/(IF($B$1="Linear",B36,C36)*Utilities!$B$11))</f>
        <v>0.95444326232330468</v>
      </c>
    </row>
    <row r="37" spans="1:5" x14ac:dyDescent="0.3">
      <c r="A37">
        <v>32</v>
      </c>
      <c r="B37">
        <f>Utilities!$B$7+((Utilities!$B$9-Utilities!$B$7)*(A37/Utilities!$B$1))</f>
        <v>49.8416</v>
      </c>
      <c r="C37">
        <f>Utilities!$B$9+((Utilities!$B$7-Utilities!$B$9)*EXP(-$B$2*A37))</f>
        <v>26.600974990130904</v>
      </c>
      <c r="D37">
        <f>EXP(-1*SQRT(Utilities!$B$5)/(IF($B$1="Linear",B37,C37)*Utilities!$B$11))</f>
        <v>0.8084342724418393</v>
      </c>
      <c r="E37">
        <f>EXP(-1*SQRT(Utilities!$B$5/20)/(IF($B$1="Linear",B37,C37)*Utilities!$B$11))</f>
        <v>0.95356154979613317</v>
      </c>
    </row>
    <row r="38" spans="1:5" x14ac:dyDescent="0.3">
      <c r="A38">
        <v>33</v>
      </c>
      <c r="B38">
        <f>Utilities!$B$7+((Utilities!$B$9-Utilities!$B$7)*(A38/Utilities!$B$1))</f>
        <v>49.836649999999999</v>
      </c>
      <c r="C38">
        <f>Utilities!$B$9+((Utilities!$B$7-Utilities!$B$9)*EXP(-$B$2*A38))</f>
        <v>26.08414105733911</v>
      </c>
      <c r="D38">
        <f>EXP(-1*SQRT(Utilities!$B$5)/(IF($B$1="Linear",B38,C38)*Utilities!$B$11))</f>
        <v>0.80503503123418751</v>
      </c>
      <c r="E38">
        <f>EXP(-1*SQRT(Utilities!$B$5/20)/(IF($B$1="Linear",B38,C38)*Utilities!$B$11))</f>
        <v>0.95266354000972586</v>
      </c>
    </row>
    <row r="39" spans="1:5" x14ac:dyDescent="0.3">
      <c r="A39">
        <v>34</v>
      </c>
      <c r="B39">
        <f>Utilities!$B$7+((Utilities!$B$9-Utilities!$B$7)*(A39/Utilities!$B$1))</f>
        <v>49.831699999999998</v>
      </c>
      <c r="C39">
        <f>Utilities!$B$9+((Utilities!$B$7-Utilities!$B$9)*EXP(-$B$2*A39))</f>
        <v>25.577541122096683</v>
      </c>
      <c r="D39">
        <f>EXP(-1*SQRT(Utilities!$B$5)/(IF($B$1="Linear",B39,C39)*Utilities!$B$11))</f>
        <v>0.80158449046030456</v>
      </c>
      <c r="E39">
        <f>EXP(-1*SQRT(Utilities!$B$5/20)/(IF($B$1="Linear",B39,C39)*Utilities!$B$11))</f>
        <v>0.95174896193797831</v>
      </c>
    </row>
    <row r="40" spans="1:5" x14ac:dyDescent="0.3">
      <c r="A40">
        <v>35</v>
      </c>
      <c r="B40">
        <f>Utilities!$B$7+((Utilities!$B$9-Utilities!$B$7)*(A40/Utilities!$B$1))</f>
        <v>49.826749999999997</v>
      </c>
      <c r="C40">
        <f>Utilities!$B$9+((Utilities!$B$7-Utilities!$B$9)*EXP(-$B$2*A40))</f>
        <v>25.080972537674768</v>
      </c>
      <c r="D40">
        <f>EXP(-1*SQRT(Utilities!$B$5)/(IF($B$1="Linear",B40,C40)*Utilities!$B$11))</f>
        <v>0.79808221837743964</v>
      </c>
      <c r="E40">
        <f>EXP(-1*SQRT(Utilities!$B$5/20)/(IF($B$1="Linear",B40,C40)*Utilities!$B$11))</f>
        <v>0.95081754124276441</v>
      </c>
    </row>
    <row r="41" spans="1:5" x14ac:dyDescent="0.3">
      <c r="A41">
        <v>36</v>
      </c>
      <c r="B41">
        <f>Utilities!$B$7+((Utilities!$B$9-Utilities!$B$7)*(A41/Utilities!$B$1))</f>
        <v>49.821800000000003</v>
      </c>
      <c r="C41">
        <f>Utilities!$B$9+((Utilities!$B$7-Utilities!$B$9)*EXP(-$B$2*A41))</f>
        <v>24.594236670018599</v>
      </c>
      <c r="D41">
        <f>EXP(-1*SQRT(Utilities!$B$5)/(IF($B$1="Linear",B41,C41)*Utilities!$B$11))</f>
        <v>0.79452779346572355</v>
      </c>
      <c r="E41">
        <f>EXP(-1*SQRT(Utilities!$B$5/20)/(IF($B$1="Linear",B41,C41)*Utilities!$B$11))</f>
        <v>0.9498690002830632</v>
      </c>
    </row>
    <row r="42" spans="1:5" x14ac:dyDescent="0.3">
      <c r="A42">
        <v>37</v>
      </c>
      <c r="B42">
        <f>Utilities!$B$7+((Utilities!$B$9-Utilities!$B$7)*(A42/Utilities!$B$1))</f>
        <v>49.816850000000002</v>
      </c>
      <c r="C42">
        <f>Utilities!$B$9+((Utilities!$B$7-Utilities!$B$9)*EXP(-$B$2*A42))</f>
        <v>24.117138818291203</v>
      </c>
      <c r="D42">
        <f>EXP(-1*SQRT(Utilities!$B$5)/(IF($B$1="Linear",B42,C42)*Utilities!$B$11))</f>
        <v>0.79092080510795582</v>
      </c>
      <c r="E42">
        <f>EXP(-1*SQRT(Utilities!$B$5/20)/(IF($B$1="Linear",B42,C42)*Utilities!$B$11))</f>
        <v>0.94890305812668241</v>
      </c>
    </row>
    <row r="43" spans="1:5" x14ac:dyDescent="0.3">
      <c r="A43">
        <v>38</v>
      </c>
      <c r="B43">
        <f>Utilities!$B$7+((Utilities!$B$9-Utilities!$B$7)*(A43/Utilities!$B$1))</f>
        <v>49.811900000000001</v>
      </c>
      <c r="C43">
        <f>Utilities!$B$9+((Utilities!$B$7-Utilities!$B$9)*EXP(-$B$2*A43))</f>
        <v>23.649488136990506</v>
      </c>
      <c r="D43">
        <f>EXP(-1*SQRT(Utilities!$B$5)/(IF($B$1="Linear",B43,C43)*Utilities!$B$11))</f>
        <v>0.7872608542878814</v>
      </c>
      <c r="E43">
        <f>EXP(-1*SQRT(Utilities!$B$5/20)/(IF($B$1="Linear",B43,C43)*Utilities!$B$11))</f>
        <v>0.94791943056469652</v>
      </c>
    </row>
    <row r="44" spans="1:5" x14ac:dyDescent="0.3">
      <c r="A44">
        <v>39</v>
      </c>
      <c r="B44">
        <f>Utilities!$B$7+((Utilities!$B$9-Utilities!$B$7)*(A44/Utilities!$B$1))</f>
        <v>49.806950000000001</v>
      </c>
      <c r="C44">
        <f>Utilities!$B$9+((Utilities!$B$7-Utilities!$B$9)*EXP(-$B$2*A44))</f>
        <v>23.191097559608565</v>
      </c>
      <c r="D44">
        <f>EXP(-1*SQRT(Utilities!$B$5)/(IF($B$1="Linear",B44,C44)*Utilities!$B$11))</f>
        <v>0.78354755430690148</v>
      </c>
      <c r="E44">
        <f>EXP(-1*SQRT(Utilities!$B$5/20)/(IF($B$1="Linear",B44,C44)*Utilities!$B$11))</f>
        <v>0.946917830128713</v>
      </c>
    </row>
    <row r="45" spans="1:5" x14ac:dyDescent="0.3">
      <c r="A45">
        <v>40</v>
      </c>
      <c r="B45">
        <f>Utilities!$B$7+((Utilities!$B$9-Utilities!$B$7)*(A45/Utilities!$B$1))</f>
        <v>49.802</v>
      </c>
      <c r="C45">
        <f>Utilities!$B$9+((Utilities!$B$7-Utilities!$B$9)*EXP(-$B$2*A45))</f>
        <v>22.741783723802467</v>
      </c>
      <c r="D45">
        <f>EXP(-1*SQRT(Utilities!$B$5)/(IF($B$1="Linear",B45,C45)*Utilities!$B$11))</f>
        <v>0.77978053151913018</v>
      </c>
      <c r="E45">
        <f>EXP(-1*SQRT(Utilities!$B$5/20)/(IF($B$1="Linear",B45,C45)*Utilities!$B$11))</f>
        <v>0.9458979661110879</v>
      </c>
    </row>
    <row r="46" spans="1:5" x14ac:dyDescent="0.3">
      <c r="A46">
        <v>41</v>
      </c>
      <c r="B46">
        <f>Utilities!$B$7+((Utilities!$B$9-Utilities!$B$7)*(A46/Utilities!$B$1))</f>
        <v>49.797049999999999</v>
      </c>
      <c r="C46">
        <f>Utilities!$B$9+((Utilities!$B$7-Utilities!$B$9)*EXP(-$B$2*A46))</f>
        <v>22.301366898046961</v>
      </c>
      <c r="D46">
        <f>EXP(-1*SQRT(Utilities!$B$5)/(IF($B$1="Linear",B46,C46)*Utilities!$B$11))</f>
        <v>0.77595942608466517</v>
      </c>
      <c r="E46">
        <f>EXP(-1*SQRT(Utilities!$B$5/20)/(IF($B$1="Linear",B46,C46)*Utilities!$B$11))</f>
        <v>0.94485954458821286</v>
      </c>
    </row>
    <row r="47" spans="1:5" x14ac:dyDescent="0.3">
      <c r="A47">
        <v>42</v>
      </c>
      <c r="B47">
        <f>Utilities!$B$7+((Utilities!$B$9-Utilities!$B$7)*(A47/Utilities!$B$1))</f>
        <v>49.792099999999998</v>
      </c>
      <c r="C47">
        <f>Utilities!$B$9+((Utilities!$B$7-Utilities!$B$9)*EXP(-$B$2*A47))</f>
        <v>21.869670909739447</v>
      </c>
      <c r="D47">
        <f>EXP(-1*SQRT(Utilities!$B$5)/(IF($B$1="Linear",B47,C47)*Utilities!$B$11))</f>
        <v>0.77208389274089828</v>
      </c>
      <c r="E47">
        <f>EXP(-1*SQRT(Utilities!$B$5/20)/(IF($B$1="Linear",B47,C47)*Utilities!$B$11))</f>
        <v>0.94380226844699877</v>
      </c>
    </row>
    <row r="48" spans="1:5" x14ac:dyDescent="0.3">
      <c r="A48">
        <v>43</v>
      </c>
      <c r="B48">
        <f>Utilities!$B$7+((Utilities!$B$9-Utilities!$B$7)*(A48/Utilities!$B$1))</f>
        <v>49.787149999999997</v>
      </c>
      <c r="C48">
        <f>Utilities!$B$9+((Utilities!$B$7-Utilities!$B$9)*EXP(-$B$2*A48))</f>
        <v>21.446523074728567</v>
      </c>
      <c r="D48">
        <f>EXP(-1*SQRT(Utilities!$B$5)/(IF($B$1="Linear",B48,C48)*Utilities!$B$11))</f>
        <v>0.76815360159164758</v>
      </c>
      <c r="E48">
        <f>EXP(-1*SQRT(Utilities!$B$5/20)/(IF($B$1="Linear",B48,C48)*Utilities!$B$11))</f>
        <v>0.94272583741468352</v>
      </c>
    </row>
    <row r="49" spans="1:5" x14ac:dyDescent="0.3">
      <c r="A49">
        <v>44</v>
      </c>
      <c r="B49">
        <f>Utilities!$B$7+((Utilities!$B$9-Utilities!$B$7)*(A49/Utilities!$B$1))</f>
        <v>49.782200000000003</v>
      </c>
      <c r="C49">
        <f>Utilities!$B$9+((Utilities!$B$7-Utilities!$B$9)*EXP(-$B$2*A49))</f>
        <v>21.03175412823828</v>
      </c>
      <c r="D49">
        <f>EXP(-1*SQRT(Utilities!$B$5)/(IF($B$1="Linear",B49,C49)*Utilities!$B$11))</f>
        <v>0.76416823891384256</v>
      </c>
      <c r="E49">
        <f>EXP(-1*SQRT(Utilities!$B$5/20)/(IF($B$1="Linear",B49,C49)*Utilities!$B$11))</f>
        <v>0.94162994809209744</v>
      </c>
    </row>
    <row r="50" spans="1:5" x14ac:dyDescent="0.3">
      <c r="A50">
        <v>45</v>
      </c>
      <c r="B50">
        <f>Utilities!$B$7+((Utilities!$B$9-Utilities!$B$7)*(A50/Utilities!$B$1))</f>
        <v>49.777250000000002</v>
      </c>
      <c r="C50">
        <f>Utilities!$B$9+((Utilities!$B$7-Utilities!$B$9)*EXP(-$B$2*A50))</f>
        <v>20.625198157159655</v>
      </c>
      <c r="D50">
        <f>EXP(-1*SQRT(Utilities!$B$5)/(IF($B$1="Linear",B50,C50)*Utilities!$B$11))</f>
        <v>0.76012750798144557</v>
      </c>
      <c r="E50">
        <f>EXP(-1*SQRT(Utilities!$B$5/20)/(IF($B$1="Linear",B50,C50)*Utilities!$B$11))</f>
        <v>0.94051429399051556</v>
      </c>
    </row>
    <row r="51" spans="1:5" x14ac:dyDescent="0.3">
      <c r="A51">
        <v>46</v>
      </c>
      <c r="B51">
        <f>Utilities!$B$7+((Utilities!$B$9-Utilities!$B$7)*(A51/Utilities!$B$1))</f>
        <v>49.772300000000001</v>
      </c>
      <c r="C51">
        <f>Utilities!$B$9+((Utilities!$B$7-Utilities!$B$9)*EXP(-$B$2*A51))</f>
        <v>20.226692533683451</v>
      </c>
      <c r="D51">
        <f>EXP(-1*SQRT(Utilities!$B$5)/(IF($B$1="Linear",B51,C51)*Utilities!$B$11))</f>
        <v>0.75603112990623778</v>
      </c>
      <c r="E51">
        <f>EXP(-1*SQRT(Utilities!$B$5/20)/(IF($B$1="Linear",B51,C51)*Utilities!$B$11))</f>
        <v>0.93937856557223853</v>
      </c>
    </row>
    <row r="52" spans="1:5" x14ac:dyDescent="0.3">
      <c r="A52">
        <v>47</v>
      </c>
      <c r="B52">
        <f>Utilities!$B$7+((Utilities!$B$9-Utilities!$B$7)*(A52/Utilities!$B$1))</f>
        <v>49.76735</v>
      </c>
      <c r="C52">
        <f>Utilities!$B$9+((Utilities!$B$7-Utilities!$B$9)*EXP(-$B$2*A52))</f>
        <v>19.836077850246795</v>
      </c>
      <c r="D52">
        <f>EXP(-1*SQRT(Utilities!$B$5)/(IF($B$1="Linear",B52,C52)*Utilities!$B$11))</f>
        <v>0.75187884449504361</v>
      </c>
      <c r="E52">
        <f>EXP(-1*SQRT(Utilities!$B$5/20)/(IF($B$1="Linear",B52,C52)*Utilities!$B$11))</f>
        <v>0.93822245029503659</v>
      </c>
    </row>
    <row r="53" spans="1:5" x14ac:dyDescent="0.3">
      <c r="A53">
        <v>48</v>
      </c>
      <c r="B53">
        <f>Utilities!$B$7+((Utilities!$B$9-Utilities!$B$7)*(A53/Utilities!$B$1))</f>
        <v>49.7624</v>
      </c>
      <c r="C53">
        <f>Utilities!$B$9+((Utilities!$B$7-Utilities!$B$9)*EXP(-$B$2*A53))</f>
        <v>19.453197855768046</v>
      </c>
      <c r="D53">
        <f>EXP(-1*SQRT(Utilities!$B$5)/(IF($B$1="Linear",B53,C53)*Utilities!$B$11))</f>
        <v>0.74767041112290722</v>
      </c>
      <c r="E53">
        <f>EXP(-1*SQRT(Utilities!$B$5/20)/(IF($B$1="Linear",B53,C53)*Utilities!$B$11))</f>
        <v>0.93704563266060092</v>
      </c>
    </row>
    <row r="54" spans="1:5" x14ac:dyDescent="0.3">
      <c r="A54">
        <v>49</v>
      </c>
      <c r="B54">
        <f>Utilities!$B$7+((Utilities!$B$9-Utilities!$B$7)*(A54/Utilities!$B$1))</f>
        <v>49.757449999999999</v>
      </c>
      <c r="C54">
        <f>Utilities!$B$9+((Utilities!$B$7-Utilities!$B$9)*EXP(-$B$2*A54))</f>
        <v>19.077899393144278</v>
      </c>
      <c r="D54">
        <f>EXP(-1*SQRT(Utilities!$B$5)/(IF($B$1="Linear",B54,C54)*Utilities!$B$11))</f>
        <v>0.74340560962167623</v>
      </c>
      <c r="E54">
        <f>EXP(-1*SQRT(Utilities!$B$5/20)/(IF($B$1="Linear",B54,C54)*Utilities!$B$11))</f>
        <v>0.93584779426714648</v>
      </c>
    </row>
    <row r="55" spans="1:5" x14ac:dyDescent="0.3">
      <c r="A55">
        <v>50</v>
      </c>
      <c r="B55">
        <f>Utilities!$B$7+((Utilities!$B$9-Utilities!$B$7)*(A55/Utilities!$B$1))</f>
        <v>49.752499999999998</v>
      </c>
      <c r="C55">
        <f>Utilities!$B$9+((Utilities!$B$7-Utilities!$B$9)*EXP(-$B$2*A55))</f>
        <v>18.710032337986394</v>
      </c>
      <c r="D55">
        <f>EXP(-1*SQRT(Utilities!$B$5)/(IF($B$1="Linear",B55,C55)*Utilities!$B$11))</f>
        <v>0.73908424118337923</v>
      </c>
      <c r="E55">
        <f>EXP(-1*SQRT(Utilities!$B$5/20)/(IF($B$1="Linear",B55,C55)*Utilities!$B$11))</f>
        <v>0.9346286138663118</v>
      </c>
    </row>
    <row r="56" spans="1:5" x14ac:dyDescent="0.3">
      <c r="A56">
        <v>51</v>
      </c>
      <c r="B56">
        <f>Utilities!$B$7+((Utilities!$B$9-Utilities!$B$7)*(A56/Utilities!$B$1))</f>
        <v>49.747549999999997</v>
      </c>
      <c r="C56">
        <f>Utilities!$B$9+((Utilities!$B$7-Utilities!$B$9)*EXP(-$B$2*A56))</f>
        <v>18.349449538567377</v>
      </c>
      <c r="D56">
        <f>EXP(-1*SQRT(Utilities!$B$5)/(IF($B$1="Linear",B56,C56)*Utilities!$B$11))</f>
        <v>0.73470612927772394</v>
      </c>
      <c r="E56">
        <f>EXP(-1*SQRT(Utilities!$B$5/20)/(IF($B$1="Linear",B56,C56)*Utilities!$B$11))</f>
        <v>0.93338776742450535</v>
      </c>
    </row>
    <row r="57" spans="1:5" x14ac:dyDescent="0.3">
      <c r="A57">
        <v>52</v>
      </c>
      <c r="B57">
        <f>Utilities!$B$7+((Utilities!$B$9-Utilities!$B$7)*(A57/Utilities!$B$1))</f>
        <v>49.742600000000003</v>
      </c>
      <c r="C57">
        <f>Utilities!$B$9+((Utilities!$B$7-Utilities!$B$9)*EXP(-$B$2*A57))</f>
        <v>17.996006756959616</v>
      </c>
      <c r="D57">
        <f>EXP(-1*SQRT(Utilities!$B$5)/(IF($B$1="Linear",B57,C57)*Utilities!$B$11))</f>
        <v>0.73027112058296484</v>
      </c>
      <c r="E57">
        <f>EXP(-1*SQRT(Utilities!$B$5/20)/(IF($B$1="Linear",B57,C57)*Utilities!$B$11))</f>
        <v>0.93212492818884962</v>
      </c>
    </row>
    <row r="58" spans="1:5" x14ac:dyDescent="0.3">
      <c r="A58">
        <v>53</v>
      </c>
      <c r="B58">
        <f>Utilities!$B$7+((Utilities!$B$9-Utilities!$B$7)*(A58/Utilities!$B$1))</f>
        <v>49.737650000000002</v>
      </c>
      <c r="C58">
        <f>Utilities!$B$9+((Utilities!$B$7-Utilities!$B$9)*EXP(-$B$2*A58))</f>
        <v>17.649562611337842</v>
      </c>
      <c r="D58">
        <f>EXP(-1*SQRT(Utilities!$B$5)/(IF($B$1="Linear",B58,C58)*Utilities!$B$11))</f>
        <v>0.72577908592932538</v>
      </c>
      <c r="E58">
        <f>EXP(-1*SQRT(Utilities!$B$5/20)/(IF($B$1="Linear",B58,C58)*Utilities!$B$11))</f>
        <v>0.93083976675787683</v>
      </c>
    </row>
    <row r="59" spans="1:5" x14ac:dyDescent="0.3">
      <c r="A59">
        <v>54</v>
      </c>
      <c r="B59">
        <f>Utilities!$B$7+((Utilities!$B$9-Utilities!$B$7)*(A59/Utilities!$B$1))</f>
        <v>49.732700000000001</v>
      </c>
      <c r="C59">
        <f>Utilities!$B$9+((Utilities!$B$7-Utilities!$B$9)*EXP(-$B$2*A59))</f>
        <v>17.309978519424487</v>
      </c>
      <c r="D59">
        <f>EXP(-1*SQRT(Utilities!$B$5)/(IF($B$1="Linear",B59,C59)*Utilities!$B$11))</f>
        <v>0.72122992125407903</v>
      </c>
      <c r="E59">
        <f>EXP(-1*SQRT(Utilities!$B$5/20)/(IF($B$1="Linear",B59,C59)*Utilities!$B$11))</f>
        <v>0.92953195115712994</v>
      </c>
    </row>
    <row r="60" spans="1:5" x14ac:dyDescent="0.3">
      <c r="A60">
        <v>55</v>
      </c>
      <c r="B60">
        <f>Utilities!$B$7+((Utilities!$B$9-Utilities!$B$7)*(A60/Utilities!$B$1))</f>
        <v>49.72775</v>
      </c>
      <c r="C60">
        <f>Utilities!$B$9+((Utilities!$B$7-Utilities!$B$9)*EXP(-$B$2*A60))</f>
        <v>16.977118643054936</v>
      </c>
      <c r="D60">
        <f>EXP(-1*SQRT(Utilities!$B$5)/(IF($B$1="Linear",B60,C60)*Utilities!$B$11))</f>
        <v>0.71662354856731802</v>
      </c>
      <c r="E60">
        <f>EXP(-1*SQRT(Utilities!$B$5/20)/(IF($B$1="Linear",B60,C60)*Utilities!$B$11))</f>
        <v>0.92820114691982747</v>
      </c>
    </row>
    <row r="61" spans="1:5" x14ac:dyDescent="0.3">
      <c r="A61">
        <v>56</v>
      </c>
      <c r="B61">
        <f>Utilities!$B$7+((Utilities!$B$9-Utilities!$B$7)*(A61/Utilities!$B$1))</f>
        <v>49.722799999999999</v>
      </c>
      <c r="C61">
        <f>Utilities!$B$9+((Utilities!$B$7-Utilities!$B$9)*EXP(-$B$2*A61))</f>
        <v>16.650849833840454</v>
      </c>
      <c r="D61">
        <f>EXP(-1*SQRT(Utilities!$B$5)/(IF($B$1="Linear",B61,C61)*Utilities!$B$11))</f>
        <v>0.71195991692736094</v>
      </c>
      <c r="E61">
        <f>EXP(-1*SQRT(Utilities!$B$5/20)/(IF($B$1="Linear",B61,C61)*Utilities!$B$11))</f>
        <v>0.92684701717275086</v>
      </c>
    </row>
    <row r="62" spans="1:5" x14ac:dyDescent="0.3">
      <c r="A62">
        <v>57</v>
      </c>
      <c r="B62">
        <f>Utilities!$B$7+((Utilities!$B$9-Utilities!$B$7)*(A62/Utilities!$B$1))</f>
        <v>49.717849999999999</v>
      </c>
      <c r="C62">
        <f>Utilities!$B$9+((Utilities!$B$7-Utilities!$B$9)*EXP(-$B$2*A62))</f>
        <v>16.331041579907041</v>
      </c>
      <c r="D62">
        <f>EXP(-1*SQRT(Utilities!$B$5)/(IF($B$1="Linear",B62,C62)*Utilities!$B$11))</f>
        <v>0.70723900342466306</v>
      </c>
      <c r="E62">
        <f>EXP(-1*SQRT(Utilities!$B$5/20)/(IF($B$1="Linear",B62,C62)*Utilities!$B$11))</f>
        <v>0.92546922272751231</v>
      </c>
    </row>
    <row r="63" spans="1:5" x14ac:dyDescent="0.3">
      <c r="A63">
        <v>58</v>
      </c>
      <c r="B63">
        <f>Utilities!$B$7+((Utilities!$B$9-Utilities!$B$7)*(A63/Utilities!$B$1))</f>
        <v>49.712899999999998</v>
      </c>
      <c r="C63">
        <f>Utilities!$B$9+((Utilities!$B$7-Utilities!$B$9)*EXP(-$B$2*A63))</f>
        <v>16.017565953688965</v>
      </c>
      <c r="D63">
        <f>EXP(-1*SQRT(Utilities!$B$5)/(IF($B$1="Linear",B63,C63)*Utilities!$B$11))</f>
        <v>0.70246081417301309</v>
      </c>
      <c r="E63">
        <f>EXP(-1*SQRT(Utilities!$B$5/20)/(IF($B$1="Linear",B63,C63)*Utilities!$B$11))</f>
        <v>0.92406742217736848</v>
      </c>
    </row>
    <row r="64" spans="1:5" x14ac:dyDescent="0.3">
      <c r="A64">
        <v>59</v>
      </c>
      <c r="B64">
        <f>Utilities!$B$7+((Utilities!$B$9-Utilities!$B$7)*(A64/Utilities!$B$1))</f>
        <v>49.707949999999997</v>
      </c>
      <c r="C64">
        <f>Utilities!$B$9+((Utilities!$B$7-Utilities!$B$9)*EXP(-$B$2*A64))</f>
        <v>15.710297560755997</v>
      </c>
      <c r="D64">
        <f>EXP(-1*SQRT(Utilities!$B$5)/(IF($B$1="Linear",B64,C64)*Utilities!$B$11))</f>
        <v>0.6976253853067087</v>
      </c>
      <c r="E64">
        <f>EXP(-1*SQRT(Utilities!$B$5/20)/(IF($B$1="Linear",B64,C64)*Utilities!$B$11))</f>
        <v>0.92264127199973789</v>
      </c>
    </row>
    <row r="65" spans="1:5" x14ac:dyDescent="0.3">
      <c r="A65">
        <v>60</v>
      </c>
      <c r="B65">
        <f>Utilities!$B$7+((Utilities!$B$9-Utilities!$B$7)*(A65/Utilities!$B$1))</f>
        <v>49.703000000000003</v>
      </c>
      <c r="C65">
        <f>Utilities!$B$9+((Utilities!$B$7-Utilities!$B$9)*EXP(-$B$2*A65))</f>
        <v>15.409113489654006</v>
      </c>
      <c r="D65">
        <f>EXP(-1*SQRT(Utilities!$B$5)/(IF($B$1="Linear",B65,C65)*Utilities!$B$11))</f>
        <v>0.69273278398231852</v>
      </c>
      <c r="E65">
        <f>EXP(-1*SQRT(Utilities!$B$5/20)/(IF($B$1="Linear",B65,C65)*Utilities!$B$11))</f>
        <v>0.92119042666459017</v>
      </c>
    </row>
    <row r="66" spans="1:5" x14ac:dyDescent="0.3">
      <c r="A66">
        <v>61</v>
      </c>
      <c r="B66">
        <f>Utilities!$B$7+((Utilities!$B$9-Utilities!$B$7)*(A66/Utilities!$B$1))</f>
        <v>49.698050000000002</v>
      </c>
      <c r="C66">
        <f>Utilities!$B$9+((Utilities!$B$7-Utilities!$B$9)*EXP(-$B$2*A66))</f>
        <v>15.113893262738703</v>
      </c>
      <c r="D66">
        <f>EXP(-1*SQRT(Utilities!$B$5)/(IF($B$1="Linear",B66,C66)*Utilities!$B$11))</f>
        <v>0.68778310938354081</v>
      </c>
      <c r="E66">
        <f>EXP(-1*SQRT(Utilities!$B$5/20)/(IF($B$1="Linear",B66,C66)*Utilities!$B$11))</f>
        <v>0.919714538748866</v>
      </c>
    </row>
    <row r="67" spans="1:5" x14ac:dyDescent="0.3">
      <c r="A67">
        <v>62</v>
      </c>
      <c r="B67">
        <f>Utilities!$B$7+((Utilities!$B$9-Utilities!$B$7)*(A67/Utilities!$B$1))</f>
        <v>49.693100000000001</v>
      </c>
      <c r="C67">
        <f>Utilities!$B$9+((Utilities!$B$7-Utilities!$B$9)*EXP(-$B$2*A67))</f>
        <v>14.824518787983006</v>
      </c>
      <c r="D67">
        <f>EXP(-1*SQRT(Utilities!$B$5)/(IF($B$1="Linear",B67,C67)*Utilities!$B$11))</f>
        <v>0.68277649372758153</v>
      </c>
      <c r="E67">
        <f>EXP(-1*SQRT(Utilities!$B$5/20)/(IF($B$1="Linear",B67,C67)*Utilities!$B$11))</f>
        <v>0.91821325905709739</v>
      </c>
    </row>
    <row r="68" spans="1:5" x14ac:dyDescent="0.3">
      <c r="A68">
        <v>63</v>
      </c>
      <c r="B68">
        <f>Utilities!$B$7+((Utilities!$B$9-Utilities!$B$7)*(A68/Utilities!$B$1))</f>
        <v>49.68815</v>
      </c>
      <c r="C68">
        <f>Utilities!$B$9+((Utilities!$B$7-Utilities!$B$9)*EXP(-$B$2*A68))</f>
        <v>14.540874311738635</v>
      </c>
      <c r="D68">
        <f>EXP(-1*SQRT(Utilities!$B$5)/(IF($B$1="Linear",B68,C68)*Utilities!$B$11))</f>
        <v>0.67771310327137535</v>
      </c>
      <c r="E68">
        <f>EXP(-1*SQRT(Utilities!$B$5/20)/(IF($B$1="Linear",B68,C68)*Utilities!$B$11))</f>
        <v>0.9166862367483869</v>
      </c>
    </row>
    <row r="69" spans="1:5" x14ac:dyDescent="0.3">
      <c r="A69">
        <v>64</v>
      </c>
      <c r="B69">
        <f>Utilities!$B$7+((Utilities!$B$9-Utilities!$B$7)*(A69/Utilities!$B$1))</f>
        <v>49.683199999999999</v>
      </c>
      <c r="C69">
        <f>Utilities!$B$9+((Utilities!$B$7-Utilities!$B$9)*EXP(-$B$2*A69))</f>
        <v>14.26284637243311</v>
      </c>
      <c r="D69">
        <f>EXP(-1*SQRT(Utilities!$B$5)/(IF($B$1="Linear",B69,C69)*Utilities!$B$11))</f>
        <v>0.67259313931587827</v>
      </c>
      <c r="E69">
        <f>EXP(-1*SQRT(Utilities!$B$5/20)/(IF($B$1="Linear",B69,C69)*Utilities!$B$11))</f>
        <v>0.91513311946991549</v>
      </c>
    </row>
    <row r="70" spans="1:5" x14ac:dyDescent="0.3">
      <c r="A70">
        <v>65</v>
      </c>
      <c r="B70">
        <f>Utilities!$B$7+((Utilities!$B$9-Utilities!$B$7)*(A70/Utilities!$B$1))</f>
        <v>49.678249999999998</v>
      </c>
      <c r="C70">
        <f>Utilities!$B$9+((Utilities!$B$7-Utilities!$B$9)*EXP(-$B$2*A70))</f>
        <v>13.990323755183624</v>
      </c>
      <c r="D70">
        <f>EXP(-1*SQRT(Utilities!$B$5)/(IF($B$1="Linear",B70,C70)*Utilities!$B$11))</f>
        <v>0.66741683920656336</v>
      </c>
      <c r="E70">
        <f>EXP(-1*SQRT(Utilities!$B$5/20)/(IF($B$1="Linear",B70,C70)*Utilities!$B$11))</f>
        <v>0.9135535534971374</v>
      </c>
    </row>
    <row r="71" spans="1:5" x14ac:dyDescent="0.3">
      <c r="A71">
        <v>66</v>
      </c>
      <c r="B71">
        <f>Utilities!$B$7+((Utilities!$B$9-Utilities!$B$7)*(A71/Utilities!$B$1))</f>
        <v>49.673299999999998</v>
      </c>
      <c r="C71">
        <f>Utilities!$B$9+((Utilities!$B$7-Utilities!$B$9)*EXP(-$B$2*A71))</f>
        <v>13.723197447309591</v>
      </c>
      <c r="D71">
        <f>EXP(-1*SQRT(Utilities!$B$5)/(IF($B$1="Linear",B71,C71)*Utilities!$B$11))</f>
        <v>0.66218447732814922</v>
      </c>
      <c r="E71">
        <f>EXP(-1*SQRT(Utilities!$B$5/20)/(IF($B$1="Linear",B71,C71)*Utilities!$B$11))</f>
        <v>0.91194718388082763</v>
      </c>
    </row>
    <row r="72" spans="1:5" x14ac:dyDescent="0.3">
      <c r="A72">
        <v>67</v>
      </c>
      <c r="B72">
        <f>Utilities!$B$7+((Utilities!$B$9-Utilities!$B$7)*(A72/Utilities!$B$1))</f>
        <v>49.668349999999997</v>
      </c>
      <c r="C72">
        <f>Utilities!$B$9+((Utilities!$B$7-Utilities!$B$9)*EXP(-$B$2*A72))</f>
        <v>13.461360594726136</v>
      </c>
      <c r="D72">
        <f>EXP(-1*SQRT(Utilities!$B$5)/(IF($B$1="Linear",B72,C72)*Utilities!$B$11))</f>
        <v>0.65689636609149549</v>
      </c>
      <c r="E72">
        <f>EXP(-1*SQRT(Utilities!$B$5/20)/(IF($B$1="Linear",B72,C72)*Utilities!$B$11))</f>
        <v>0.910313654601143</v>
      </c>
    </row>
    <row r="73" spans="1:5" x14ac:dyDescent="0.3">
      <c r="A73">
        <v>68</v>
      </c>
      <c r="B73">
        <f>Utilities!$B$7+((Utilities!$B$9-Utilities!$B$7)*(A73/Utilities!$B$1))</f>
        <v>49.663400000000003</v>
      </c>
      <c r="C73">
        <f>Utilities!$B$9+((Utilities!$B$7-Utilities!$B$9)*EXP(-$B$2*A73))</f>
        <v>13.204708459201017</v>
      </c>
      <c r="D73">
        <f>EXP(-1*SQRT(Utilities!$B$5)/(IF($B$1="Linear",B73,C73)*Utilities!$B$11))</f>
        <v>0.6515528569104958</v>
      </c>
      <c r="E73">
        <f>EXP(-1*SQRT(Utilities!$B$5/20)/(IF($B$1="Linear",B73,C73)*Utilities!$B$11))</f>
        <v>0.90865260872885412</v>
      </c>
    </row>
    <row r="74" spans="1:5" x14ac:dyDescent="0.3">
      <c r="A74">
        <v>69</v>
      </c>
      <c r="B74">
        <f>Utilities!$B$7+((Utilities!$B$9-Utilities!$B$7)*(A74/Utilities!$B$1))</f>
        <v>49.658450000000002</v>
      </c>
      <c r="C74">
        <f>Utilities!$B$9+((Utilities!$B$7-Utilities!$B$9)*EXP(-$B$2*A74))</f>
        <v>12.953138376457945</v>
      </c>
      <c r="D74">
        <f>EXP(-1*SQRT(Utilities!$B$5)/(IF($B$1="Linear",B74,C74)*Utilities!$B$11))</f>
        <v>0.64615434116669979</v>
      </c>
      <c r="E74">
        <f>EXP(-1*SQRT(Utilities!$B$5/20)/(IF($B$1="Linear",B74,C74)*Utilities!$B$11))</f>
        <v>0.9069636885939083</v>
      </c>
    </row>
    <row r="75" spans="1:5" x14ac:dyDescent="0.3">
      <c r="A75">
        <v>70</v>
      </c>
      <c r="B75">
        <f>Utilities!$B$7+((Utilities!$B$9-Utilities!$B$7)*(A75/Utilities!$B$1))</f>
        <v>49.653500000000001</v>
      </c>
      <c r="C75">
        <f>Utilities!$B$9+((Utilities!$B$7-Utilities!$B$9)*EXP(-$B$2*A75))</f>
        <v>12.706549715109519</v>
      </c>
      <c r="D75">
        <f>EXP(-1*SQRT(Utilities!$B$5)/(IF($B$1="Linear",B75,C75)*Utilities!$B$11))</f>
        <v>0.64070125115929788</v>
      </c>
      <c r="E75">
        <f>EXP(-1*SQRT(Utilities!$B$5/20)/(IF($B$1="Linear",B75,C75)*Utilities!$B$11))</f>
        <v>0.90524653596147708</v>
      </c>
    </row>
    <row r="76" spans="1:5" x14ac:dyDescent="0.3">
      <c r="A76">
        <v>71</v>
      </c>
      <c r="B76">
        <f>Utilities!$B$7+((Utilities!$B$9-Utilities!$B$7)*(A76/Utilities!$B$1))</f>
        <v>49.64855</v>
      </c>
      <c r="C76">
        <f>Utilities!$B$9+((Utilities!$B$7-Utilities!$B$9)*EXP(-$B$2*A76))</f>
        <v>12.464843836403304</v>
      </c>
      <c r="D76">
        <f>EXP(-1*SQRT(Utilities!$B$5)/(IF($B$1="Linear",B76,C76)*Utilities!$B$11))</f>
        <v>0.63519406103799769</v>
      </c>
      <c r="E76">
        <f>EXP(-1*SQRT(Utilities!$B$5/20)/(IF($B$1="Linear",B76,C76)*Utilities!$B$11))</f>
        <v>0.90350079221563928</v>
      </c>
    </row>
    <row r="77" spans="1:5" x14ac:dyDescent="0.3">
      <c r="A77">
        <v>72</v>
      </c>
      <c r="B77">
        <f>Utilities!$B$7+((Utilities!$B$9-Utilities!$B$7)*(A77/Utilities!$B$1))</f>
        <v>49.643599999999999</v>
      </c>
      <c r="C77">
        <f>Utilities!$B$9+((Utilities!$B$7-Utilities!$B$9)*EXP(-$B$2*A77))</f>
        <v>12.227924054765028</v>
      </c>
      <c r="D77">
        <f>EXP(-1*SQRT(Utilities!$B$5)/(IF($B$1="Linear",B77,C77)*Utilities!$B$11))</f>
        <v>0.62963328771622962</v>
      </c>
      <c r="E77">
        <f>EXP(-1*SQRT(Utilities!$B$5/20)/(IF($B$1="Linear",B77,C77)*Utilities!$B$11))</f>
        <v>0.90172609855085017</v>
      </c>
    </row>
    <row r="78" spans="1:5" x14ac:dyDescent="0.3">
      <c r="A78">
        <v>73</v>
      </c>
      <c r="B78">
        <f>Utilities!$B$7+((Utilities!$B$9-Utilities!$B$7)*(A78/Utilities!$B$1))</f>
        <v>49.638649999999998</v>
      </c>
      <c r="C78">
        <f>Utilities!$B$9+((Utilities!$B$7-Utilities!$B$9)*EXP(-$B$2*A78))</f>
        <v>11.995695599123062</v>
      </c>
      <c r="D78">
        <f>EXP(-1*SQRT(Utilities!$B$5)/(IF($B$1="Linear",B78,C78)*Utilities!$B$11))</f>
        <v>0.62401949176201577</v>
      </c>
      <c r="E78">
        <f>EXP(-1*SQRT(Utilities!$B$5/20)/(IF($B$1="Linear",B78,C78)*Utilities!$B$11))</f>
        <v>0.89992209617133923</v>
      </c>
    </row>
    <row r="79" spans="1:5" x14ac:dyDescent="0.3">
      <c r="A79">
        <v>74</v>
      </c>
      <c r="B79">
        <f>Utilities!$B$7+((Utilities!$B$9-Utilities!$B$7)*(A79/Utilities!$B$1))</f>
        <v>49.633699999999997</v>
      </c>
      <c r="C79">
        <f>Utilities!$B$9+((Utilities!$B$7-Utilities!$B$9)*EXP(-$B$2*A79))</f>
        <v>11.768065574998731</v>
      </c>
      <c r="D79">
        <f>EXP(-1*SQRT(Utilities!$B$5)/(IF($B$1="Linear",B79,C79)*Utilities!$B$11))</f>
        <v>0.61835327826374675</v>
      </c>
      <c r="E79">
        <f>EXP(-1*SQRT(Utilities!$B$5/20)/(IF($B$1="Linear",B79,C79)*Utilities!$B$11))</f>
        <v>0.89808842649857723</v>
      </c>
    </row>
    <row r="80" spans="1:5" x14ac:dyDescent="0.3">
      <c r="A80">
        <v>75</v>
      </c>
      <c r="B80">
        <f>Utilities!$B$7+((Utilities!$B$9-Utilities!$B$7)*(A80/Utilities!$B$1))</f>
        <v>49.628749999999997</v>
      </c>
      <c r="C80">
        <f>Utilities!$B$9+((Utilities!$B$7-Utilities!$B$9)*EXP(-$B$2*A80))</f>
        <v>11.544942927347275</v>
      </c>
      <c r="D80">
        <f>EXP(-1*SQRT(Utilities!$B$5)/(IF($B$1="Linear",B80,C80)*Utilities!$B$11))</f>
        <v>0.61263529766801361</v>
      </c>
      <c r="E80">
        <f>EXP(-1*SQRT(Utilities!$B$5/20)/(IF($B$1="Linear",B80,C80)*Utilities!$B$11))</f>
        <v>0.89622473138694725</v>
      </c>
    </row>
    <row r="81" spans="1:5" x14ac:dyDescent="0.3">
      <c r="A81">
        <v>76</v>
      </c>
      <c r="B81">
        <f>Utilities!$B$7+((Utilities!$B$9-Utilities!$B$7)*(A81/Utilities!$B$1))</f>
        <v>49.623800000000003</v>
      </c>
      <c r="C81">
        <f>Utilities!$B$9+((Utilities!$B$7-Utilities!$B$9)*EXP(-$B$2*A81))</f>
        <v>11.32623840413463</v>
      </c>
      <c r="D81">
        <f>EXP(-1*SQRT(Utilities!$B$5)/(IF($B$1="Linear",B81,C81)*Utilities!$B$11))</f>
        <v>0.60686624658655708</v>
      </c>
      <c r="E81">
        <f>EXP(-1*SQRT(Utilities!$B$5/20)/(IF($B$1="Linear",B81,C81)*Utilities!$B$11))</f>
        <v>0.89433065334774953</v>
      </c>
    </row>
    <row r="82" spans="1:5" x14ac:dyDescent="0.3">
      <c r="A82">
        <v>77</v>
      </c>
      <c r="B82">
        <f>Utilities!$B$7+((Utilities!$B$9-Utilities!$B$7)*(A82/Utilities!$B$1))</f>
        <v>49.618850000000002</v>
      </c>
      <c r="C82">
        <f>Utilities!$B$9+((Utilities!$B$7-Utilities!$B$9)*EXP(-$B$2*A82))</f>
        <v>11.111864520635407</v>
      </c>
      <c r="D82">
        <f>EXP(-1*SQRT(Utilities!$B$5)/(IF($B$1="Linear",B82,C82)*Utilities!$B$11))</f>
        <v>0.60104686856930611</v>
      </c>
      <c r="E82">
        <f>EXP(-1*SQRT(Utilities!$B$5/20)/(IF($B$1="Linear",B82,C82)*Utilities!$B$11))</f>
        <v>0.89240583578166066</v>
      </c>
    </row>
    <row r="83" spans="1:5" x14ac:dyDescent="0.3">
      <c r="A83">
        <v>78</v>
      </c>
      <c r="B83">
        <f>Utilities!$B$7+((Utilities!$B$9-Utilities!$B$7)*(A83/Utilities!$B$1))</f>
        <v>49.613900000000001</v>
      </c>
      <c r="C83">
        <f>Utilities!$B$9+((Utilities!$B$7-Utilities!$B$9)*EXP(-$B$2*A83))</f>
        <v>10.901735524437854</v>
      </c>
      <c r="D83">
        <f>EXP(-1*SQRT(Utilities!$B$5)/(IF($B$1="Linear",B83,C83)*Utilities!$B$11))</f>
        <v>0.59517795484039937</v>
      </c>
      <c r="E83">
        <f>EXP(-1*SQRT(Utilities!$B$5/20)/(IF($B$1="Linear",B83,C83)*Utilities!$B$11))</f>
        <v>0.89044992321976679</v>
      </c>
    </row>
    <row r="84" spans="1:5" x14ac:dyDescent="0.3">
      <c r="A84">
        <v>79</v>
      </c>
      <c r="B84">
        <f>Utilities!$B$7+((Utilities!$B$9-Utilities!$B$7)*(A84/Utilities!$B$1))</f>
        <v>49.60895</v>
      </c>
      <c r="C84">
        <f>Utilities!$B$9+((Utilities!$B$7-Utilities!$B$9)*EXP(-$B$2*A84))</f>
        <v>10.69576736114173</v>
      </c>
      <c r="D84">
        <f>EXP(-1*SQRT(Utilities!$B$5)/(IF($B$1="Linear",B84,C84)*Utilities!$B$11))</f>
        <v>0.58926034499400248</v>
      </c>
      <c r="E84">
        <f>EXP(-1*SQRT(Utilities!$B$5/20)/(IF($B$1="Linear",B84,C84)*Utilities!$B$11))</f>
        <v>0.88846256157327552</v>
      </c>
    </row>
    <row r="85" spans="1:5" x14ac:dyDescent="0.3">
      <c r="A85">
        <v>80</v>
      </c>
      <c r="B85">
        <f>Utilities!$B$7+((Utilities!$B$9-Utilities!$B$7)*(A85/Utilities!$B$1))</f>
        <v>49.603999999999999</v>
      </c>
      <c r="C85">
        <f>Utilities!$B$9+((Utilities!$B$7-Utilities!$B$9)*EXP(-$B$2*A85))</f>
        <v>10.493877640735441</v>
      </c>
      <c r="D85">
        <f>EXP(-1*SQRT(Utilities!$B$5)/(IF($B$1="Linear",B85,C85)*Utilities!$B$11))</f>
        <v>0.58329492764666568</v>
      </c>
      <c r="E85">
        <f>EXP(-1*SQRT(Utilities!$B$5/20)/(IF($B$1="Linear",B85,C85)*Utilities!$B$11))</f>
        <v>0.88644339839200958</v>
      </c>
    </row>
    <row r="86" spans="1:5" x14ac:dyDescent="0.3">
      <c r="A86">
        <v>81</v>
      </c>
      <c r="B86">
        <f>Utilities!$B$7+((Utilities!$B$9-Utilities!$B$7)*(A86/Utilities!$B$1))</f>
        <v>49.599049999999998</v>
      </c>
      <c r="C86">
        <f>Utilities!$B$9+((Utilities!$B$7-Utilities!$B$9)*EXP(-$B$2*A86))</f>
        <v>10.295985604638926</v>
      </c>
      <c r="D86">
        <f>EXP(-1*SQRT(Utilities!$B$5)/(IF($B$1="Linear",B86,C86)*Utilities!$B$11))</f>
        <v>0.5772826410428965</v>
      </c>
      <c r="E86">
        <f>EXP(-1*SQRT(Utilities!$B$5/20)/(IF($B$1="Linear",B86,C86)*Utilities!$B$11))</f>
        <v>0.88439208313177087</v>
      </c>
    </row>
    <row r="87" spans="1:5" x14ac:dyDescent="0.3">
      <c r="A87">
        <v>82</v>
      </c>
      <c r="B87">
        <f>Utilities!$B$7+((Utilities!$B$9-Utilities!$B$7)*(A87/Utilities!$B$1))</f>
        <v>49.594099999999997</v>
      </c>
      <c r="C87">
        <f>Utilities!$B$9+((Utilities!$B$7-Utilities!$B$9)*EXP(-$B$2*A87))</f>
        <v>10.102012093399148</v>
      </c>
      <c r="D87">
        <f>EXP(-1*SQRT(Utilities!$B$5)/(IF($B$1="Linear",B87,C87)*Utilities!$B$11))</f>
        <v>0.57122447361056705</v>
      </c>
      <c r="E87">
        <f>EXP(-1*SQRT(Utilities!$B$5/20)/(IF($B$1="Linear",B87,C87)*Utilities!$B$11))</f>
        <v>0.88230826743065882</v>
      </c>
    </row>
    <row r="88" spans="1:5" x14ac:dyDescent="0.3">
      <c r="A88">
        <v>83</v>
      </c>
      <c r="B88">
        <f>Utilities!$B$7+((Utilities!$B$9-Utilities!$B$7)*(A88/Utilities!$B$1))</f>
        <v>49.589149999999997</v>
      </c>
      <c r="C88">
        <f>Utilities!$B$9+((Utilities!$B$7-Utilities!$B$9)*EXP(-$B$2*A88))</f>
        <v>9.9118795150252641</v>
      </c>
      <c r="D88">
        <f>EXP(-1*SQRT(Utilities!$B$5)/(IF($B$1="Linear",B88,C88)*Utilities!$B$11))</f>
        <v>0.5651214644627196</v>
      </c>
      <c r="E88">
        <f>EXP(-1*SQRT(Utilities!$B$5/20)/(IF($B$1="Linear",B88,C88)*Utilities!$B$11))</f>
        <v>0.88019160539441199</v>
      </c>
    </row>
    <row r="89" spans="1:5" x14ac:dyDescent="0.3">
      <c r="A89">
        <v>84</v>
      </c>
      <c r="B89">
        <f>Utilities!$B$7+((Utilities!$B$9-Utilities!$B$7)*(A89/Utilities!$B$1))</f>
        <v>49.584200000000003</v>
      </c>
      <c r="C89">
        <f>Utilities!$B$9+((Utilities!$B$7-Utilities!$B$9)*EXP(-$B$2*A89))</f>
        <v>9.7255118139507939</v>
      </c>
      <c r="D89">
        <f>EXP(-1*SQRT(Utilities!$B$5)/(IF($B$1="Linear",B89,C89)*Utilities!$B$11))</f>
        <v>0.55897470384229275</v>
      </c>
      <c r="E89">
        <f>EXP(-1*SQRT(Utilities!$B$5/20)/(IF($B$1="Linear",B89,C89)*Utilities!$B$11))</f>
        <v>0.87804175389083394</v>
      </c>
    </row>
    <row r="90" spans="1:5" x14ac:dyDescent="0.3">
      <c r="A90">
        <v>85</v>
      </c>
      <c r="B90">
        <f>Utilities!$B$7+((Utilities!$B$9-Utilities!$B$7)*(A90/Utilities!$B$1))</f>
        <v>49.579250000000002</v>
      </c>
      <c r="C90">
        <f>Utilities!$B$9+((Utilities!$B$7-Utilities!$B$9)*EXP(-$B$2*A90))</f>
        <v>9.5428344406103651</v>
      </c>
      <c r="D90">
        <f>EXP(-1*SQRT(Utilities!$B$5)/(IF($B$1="Linear",B90,C90)*Utilities!$B$11))</f>
        <v>0.55278533350625536</v>
      </c>
      <c r="E90">
        <f>EXP(-1*SQRT(Utilities!$B$5/20)/(IF($B$1="Linear",B90,C90)*Utilities!$B$11))</f>
        <v>0.87585837285334978</v>
      </c>
    </row>
    <row r="91" spans="1:5" x14ac:dyDescent="0.3">
      <c r="A91">
        <v>86</v>
      </c>
      <c r="B91">
        <f>Utilities!$B$7+((Utilities!$B$9-Utilities!$B$7)*(A91/Utilities!$B$1))</f>
        <v>49.574300000000001</v>
      </c>
      <c r="C91">
        <f>Utilities!$B$9+((Utilities!$B$7-Utilities!$B$9)*EXP(-$B$2*A91))</f>
        <v>9.363774321618914</v>
      </c>
      <c r="D91">
        <f>EXP(-1*SQRT(Utilities!$B$5)/(IF($B$1="Linear",B91,C91)*Utilities!$B$11))</f>
        <v>0.54655454704560913</v>
      </c>
      <c r="E91">
        <f>EXP(-1*SQRT(Utilities!$B$5/20)/(IF($B$1="Linear",B91,C91)*Utilities!$B$11))</f>
        <v>0.87364112559373019</v>
      </c>
    </row>
    <row r="92" spans="1:5" x14ac:dyDescent="0.3">
      <c r="A92">
        <v>87</v>
      </c>
      <c r="B92">
        <f>Utilities!$B$7+((Utilities!$B$9-Utilities!$B$7)*(A92/Utilities!$B$1))</f>
        <v>49.56935</v>
      </c>
      <c r="C92">
        <f>Utilities!$B$9+((Utilities!$B$7-Utilities!$B$9)*EXP(-$B$2*A92))</f>
        <v>9.1882598305413445</v>
      </c>
      <c r="D92">
        <f>EXP(-1*SQRT(Utilities!$B$5)/(IF($B$1="Linear",B92,C92)*Utilities!$B$11))</f>
        <v>0.54028359013770577</v>
      </c>
      <c r="E92">
        <f>EXP(-1*SQRT(Utilities!$B$5/20)/(IF($B$1="Linear",B92,C92)*Utilities!$B$11))</f>
        <v>0.871389679124001</v>
      </c>
    </row>
    <row r="93" spans="1:5" x14ac:dyDescent="0.3">
      <c r="A93">
        <v>88</v>
      </c>
      <c r="B93">
        <f>Utilities!$B$7+((Utilities!$B$9-Utilities!$B$7)*(A93/Utilities!$B$1))</f>
        <v>49.564399999999999</v>
      </c>
      <c r="C93">
        <f>Utilities!$B$9+((Utilities!$B$7-Utilities!$B$9)*EXP(-$B$2*A93))</f>
        <v>9.0162207592410013</v>
      </c>
      <c r="D93">
        <f>EXP(-1*SQRT(Utilities!$B$5)/(IF($B$1="Linear",B93,C93)*Utilities!$B$11))</f>
        <v>0.53397376072732228</v>
      </c>
      <c r="E93">
        <f>EXP(-1*SQRT(Utilities!$B$5/20)/(IF($B$1="Linear",B93,C93)*Utilities!$B$11))</f>
        <v>0.86910370448754692</v>
      </c>
    </row>
    <row r="94" spans="1:5" x14ac:dyDescent="0.3">
      <c r="A94">
        <v>89</v>
      </c>
      <c r="B94">
        <f>Utilities!$B$7+((Utilities!$B$9-Utilities!$B$7)*(A94/Utilities!$B$1))</f>
        <v>49.559449999999998</v>
      </c>
      <c r="C94">
        <f>Utilities!$B$9+((Utilities!$B$7-Utilities!$B$9)*EXP(-$B$2*A94))</f>
        <v>8.8475882897954765</v>
      </c>
      <c r="D94">
        <f>EXP(-1*SQRT(Utilities!$B$5)/(IF($B$1="Linear",B94,C94)*Utilities!$B$11))</f>
        <v>0.52762640913294456</v>
      </c>
      <c r="E94">
        <f>EXP(-1*SQRT(Utilities!$B$5/20)/(IF($B$1="Linear",B94,C94)*Utilities!$B$11))</f>
        <v>0.86678287709939927</v>
      </c>
    </row>
    <row r="95" spans="1:5" x14ac:dyDescent="0.3">
      <c r="A95">
        <v>90</v>
      </c>
      <c r="B95">
        <f>Utilities!$B$7+((Utilities!$B$9-Utilities!$B$7)*(A95/Utilities!$B$1))</f>
        <v>49.554499999999997</v>
      </c>
      <c r="C95">
        <f>Utilities!$B$9+((Utilities!$B$7-Utilities!$B$9)*EXP(-$B$2*A95))</f>
        <v>8.6822949669685325</v>
      </c>
      <c r="D95">
        <f>EXP(-1*SQRT(Utilities!$B$5)/(IF($B$1="Linear",B95,C95)*Utilities!$B$11))</f>
        <v>0.52124293807472954</v>
      </c>
      <c r="E95">
        <f>EXP(-1*SQRT(Utilities!$B$5/20)/(IF($B$1="Linear",B95,C95)*Utilities!$B$11))</f>
        <v>0.86442687709568256</v>
      </c>
    </row>
    <row r="96" spans="1:5" x14ac:dyDescent="0.3">
      <c r="A96">
        <v>91</v>
      </c>
      <c r="B96">
        <f>Utilities!$B$7+((Utilities!$B$9-Utilities!$B$7)*(A96/Utilities!$B$1))</f>
        <v>49.549549999999996</v>
      </c>
      <c r="C96">
        <f>Utilities!$B$9+((Utilities!$B$7-Utilities!$B$9)*EXP(-$B$2*A96))</f>
        <v>8.5202746712270976</v>
      </c>
      <c r="D96">
        <f>EXP(-1*SQRT(Utilities!$B$5)/(IF($B$1="Linear",B96,C96)*Utilities!$B$11))</f>
        <v>0.51482480262065333</v>
      </c>
      <c r="E96">
        <f>EXP(-1*SQRT(Utilities!$B$5/20)/(IF($B$1="Linear",B96,C96)*Utilities!$B$11))</f>
        <v>0.86203538969217519</v>
      </c>
    </row>
    <row r="97" spans="1:5" x14ac:dyDescent="0.3">
      <c r="A97">
        <v>92</v>
      </c>
      <c r="B97">
        <f>Utilities!$B$7+((Utilities!$B$9-Utilities!$B$7)*(A97/Utilities!$B$1))</f>
        <v>49.544600000000003</v>
      </c>
      <c r="C97">
        <f>Utilities!$B$9+((Utilities!$B$7-Utilities!$B$9)*EXP(-$B$2*A97))</f>
        <v>8.3614625922925736</v>
      </c>
      <c r="D97">
        <f>EXP(-1*SQRT(Utilities!$B$5)/(IF($B$1="Linear",B97,C97)*Utilities!$B$11))</f>
        <v>0.50837351004739773</v>
      </c>
      <c r="E97">
        <f>EXP(-1*SQRT(Utilities!$B$5/20)/(IF($B$1="Linear",B97,C97)*Utilities!$B$11))</f>
        <v>0.85960810555192557</v>
      </c>
    </row>
    <row r="98" spans="1:5" x14ac:dyDescent="0.3">
      <c r="A98">
        <v>93</v>
      </c>
      <c r="B98">
        <f>Utilities!$B$7+((Utilities!$B$9-Utilities!$B$7)*(A98/Utilities!$B$1))</f>
        <v>49.539650000000002</v>
      </c>
      <c r="C98">
        <f>Utilities!$B$9+((Utilities!$B$7-Utilities!$B$9)*EXP(-$B$2*A98))</f>
        <v>8.2057952032158674</v>
      </c>
      <c r="D98">
        <f>EXP(-1*SQRT(Utilities!$B$5)/(IF($B$1="Linear",B98,C98)*Utilities!$B$11))</f>
        <v>0.50189061961259418</v>
      </c>
      <c r="E98">
        <f>EXP(-1*SQRT(Utilities!$B$5/20)/(IF($B$1="Linear",B98,C98)*Utilities!$B$11))</f>
        <v>0.85714472116184004</v>
      </c>
    </row>
    <row r="99" spans="1:5" x14ac:dyDescent="0.3">
      <c r="A99">
        <v>94</v>
      </c>
      <c r="B99">
        <f>Utilities!$B$7+((Utilities!$B$9-Utilities!$B$7)*(A99/Utilities!$B$1))</f>
        <v>49.534700000000001</v>
      </c>
      <c r="C99">
        <f>Utilities!$B$9+((Utilities!$B$7-Utilities!$B$9)*EXP(-$B$2*A99))</f>
        <v>8.0532102349657517</v>
      </c>
      <c r="D99">
        <f>EXP(-1*SQRT(Utilities!$B$5)/(IF($B$1="Linear",B99,C99)*Utilities!$B$11))</f>
        <v>0.49537774223512016</v>
      </c>
      <c r="E99">
        <f>EXP(-1*SQRT(Utilities!$B$5/20)/(IF($B$1="Linear",B99,C99)*Utilities!$B$11))</f>
        <v>0.85464493921814422</v>
      </c>
    </row>
    <row r="100" spans="1:5" x14ac:dyDescent="0.3">
      <c r="A100">
        <v>95</v>
      </c>
      <c r="B100">
        <f>Utilities!$B$7+((Utilities!$B$9-Utilities!$B$7)*(A100/Utilities!$B$1))</f>
        <v>49.52975</v>
      </c>
      <c r="C100">
        <f>Utilities!$B$9+((Utilities!$B$7-Utilities!$B$9)*EXP(-$B$2*A100))</f>
        <v>7.9036466515204342</v>
      </c>
      <c r="D100">
        <f>EXP(-1*SQRT(Utilities!$B$5)/(IF($B$1="Linear",B100,C100)*Utilities!$B$11))</f>
        <v>0.48883654008024119</v>
      </c>
      <c r="E100">
        <f>EXP(-1*SQRT(Utilities!$B$5/20)/(IF($B$1="Linear",B100,C100)*Utilities!$B$11))</f>
        <v>0.85210846902059356</v>
      </c>
    </row>
    <row r="101" spans="1:5" x14ac:dyDescent="0.3">
      <c r="A101">
        <v>96</v>
      </c>
      <c r="B101">
        <f>Utilities!$B$7+((Utilities!$B$9-Utilities!$B$7)*(A101/Utilities!$B$1))</f>
        <v>49.524799999999999</v>
      </c>
      <c r="C101">
        <f>Utilities!$B$9+((Utilities!$B$7-Utilities!$B$9)*EXP(-$B$2*A101))</f>
        <v>7.7570446254523331</v>
      </c>
      <c r="D101">
        <f>EXP(-1*SQRT(Utilities!$B$5)/(IF($B$1="Linear",B101,C101)*Utilities!$B$11))</f>
        <v>0.48226872604650406</v>
      </c>
      <c r="E101">
        <f>EXP(-1*SQRT(Utilities!$B$5/20)/(IF($B$1="Linear",B101,C101)*Utilities!$B$11))</f>
        <v>0.84953502687528992</v>
      </c>
    </row>
    <row r="102" spans="1:5" x14ac:dyDescent="0.3">
      <c r="A102">
        <v>97</v>
      </c>
      <c r="B102">
        <f>Utilities!$B$7+((Utilities!$B$9-Utilities!$B$7)*(A102/Utilities!$B$1))</f>
        <v>49.519849999999998</v>
      </c>
      <c r="C102">
        <f>Utilities!$B$9+((Utilities!$B$7-Utilities!$B$9)*EXP(-$B$2*A102))</f>
        <v>7.6133455139962951</v>
      </c>
      <c r="D102">
        <f>EXP(-1*SQRT(Utilities!$B$5)/(IF($B$1="Linear",B102,C102)*Utilities!$B$11))</f>
        <v>0.47567606315141342</v>
      </c>
      <c r="E102">
        <f>EXP(-1*SQRT(Utilities!$B$5/20)/(IF($B$1="Linear",B102,C102)*Utilities!$B$11))</f>
        <v>0.84692433650593602</v>
      </c>
    </row>
    <row r="103" spans="1:5" x14ac:dyDescent="0.3">
      <c r="A103">
        <v>98</v>
      </c>
      <c r="B103">
        <f>Utilities!$B$7+((Utilities!$B$9-Utilities!$B$7)*(A103/Utilities!$B$1))</f>
        <v>49.514899999999997</v>
      </c>
      <c r="C103">
        <f>Utilities!$B$9+((Utilities!$B$7-Utilities!$B$9)*EXP(-$B$2*A103))</f>
        <v>7.472491835591728</v>
      </c>
      <c r="D103">
        <f>EXP(-1*SQRT(Utilities!$B$5)/(IF($B$1="Linear",B103,C103)*Utilities!$B$11))</f>
        <v>0.46906036381308019</v>
      </c>
      <c r="E103">
        <f>EXP(-1*SQRT(Utilities!$B$5/20)/(IF($B$1="Linear",B103,C103)*Utilities!$B$11))</f>
        <v>0.84427612947333641</v>
      </c>
    </row>
    <row r="104" spans="1:5" x14ac:dyDescent="0.3">
      <c r="A104">
        <v>99</v>
      </c>
      <c r="B104">
        <f>Utilities!$B$7+((Utilities!$B$9-Utilities!$B$7)*(A104/Utilities!$B$1))</f>
        <v>49.509950000000003</v>
      </c>
      <c r="C104">
        <f>Utilities!$B$9+((Utilities!$B$7-Utilities!$B$9)*EXP(-$B$2*A104))</f>
        <v>7.3344272468891951</v>
      </c>
      <c r="D104">
        <f>EXP(-1*SQRT(Utilities!$B$5)/(IF($B$1="Linear",B104,C104)*Utilities!$B$11))</f>
        <v>0.46242348902518754</v>
      </c>
      <c r="E104">
        <f>EXP(-1*SQRT(Utilities!$B$5/20)/(IF($B$1="Linear",B104,C104)*Utilities!$B$11))</f>
        <v>0.84159014560292789</v>
      </c>
    </row>
    <row r="105" spans="1:5" x14ac:dyDescent="0.3">
      <c r="A105">
        <v>100</v>
      </c>
      <c r="B105">
        <f>Utilities!$B$7+((Utilities!$B$9-Utilities!$B$7)*(A105/Utilities!$B$1))</f>
        <v>49.505000000000003</v>
      </c>
      <c r="C105">
        <f>Utilities!$B$9+((Utilities!$B$7-Utilities!$B$9)*EXP(-$B$2*A105))</f>
        <v>7.1990965202123292</v>
      </c>
      <c r="D105">
        <f>EXP(-1*SQRT(Utilities!$B$5)/(IF($B$1="Linear",B105,C105)*Utilities!$B$11))</f>
        <v>0.45576734742281672</v>
      </c>
      <c r="E105">
        <f>EXP(-1*SQRT(Utilities!$B$5/20)/(IF($B$1="Linear",B105,C105)*Utilities!$B$11))</f>
        <v>0.83886613342009619</v>
      </c>
    </row>
    <row r="106" spans="1:5" x14ac:dyDescent="0.3">
      <c r="A106">
        <v>101</v>
      </c>
      <c r="B106">
        <f>Utilities!$B$7+((Utilities!$B$9-Utilities!$B$7)*(A106/Utilities!$B$1))</f>
        <v>49.500050000000002</v>
      </c>
      <c r="C106">
        <f>Utilities!$B$9+((Utilities!$B$7-Utilities!$B$9)*EXP(-$B$2*A106))</f>
        <v>7.0664455214660249</v>
      </c>
      <c r="D106">
        <f>EXP(-1*SQRT(Utilities!$B$5)/(IF($B$1="Linear",B106,C106)*Utilities!$B$11))</f>
        <v>0.44909389423687301</v>
      </c>
      <c r="E106">
        <f>EXP(-1*SQRT(Utilities!$B$5/20)/(IF($B$1="Linear",B106,C106)*Utilities!$B$11))</f>
        <v>0.83610385059300996</v>
      </c>
    </row>
    <row r="107" spans="1:5" x14ac:dyDescent="0.3">
      <c r="A107">
        <v>102</v>
      </c>
      <c r="B107">
        <f>Utilities!$B$7+((Utilities!$B$9-Utilities!$B$7)*(A107/Utilities!$B$1))</f>
        <v>49.495100000000001</v>
      </c>
      <c r="C107">
        <f>Utilities!$B$9+((Utilities!$B$7-Utilities!$B$9)*EXP(-$B$2*A107))</f>
        <v>6.9364211884820826</v>
      </c>
      <c r="D107">
        <f>EXP(-1*SQRT(Utilities!$B$5)/(IF($B$1="Linear",B107,C107)*Utilities!$B$11))</f>
        <v>0.44240513013508376</v>
      </c>
      <c r="E107">
        <f>EXP(-1*SQRT(Utilities!$B$5/20)/(IF($B$1="Linear",B107,C107)*Utilities!$B$11))</f>
        <v>0.83330306438267243</v>
      </c>
    </row>
    <row r="108" spans="1:5" x14ac:dyDescent="0.3">
      <c r="A108">
        <v>103</v>
      </c>
      <c r="B108">
        <f>Utilities!$B$7+((Utilities!$B$9-Utilities!$B$7)*(A108/Utilities!$B$1))</f>
        <v>49.49015</v>
      </c>
      <c r="C108">
        <f>Utilities!$B$9+((Utilities!$B$7-Utilities!$B$9)*EXP(-$B$2*A108))</f>
        <v>6.8089715097936265</v>
      </c>
      <c r="D108">
        <f>EXP(-1*SQRT(Utilities!$B$5)/(IF($B$1="Linear",B108,C108)*Utilities!$B$11))</f>
        <v>0.43570309994778389</v>
      </c>
      <c r="E108">
        <f>EXP(-1*SQRT(Utilities!$B$5/20)/(IF($B$1="Linear",B108,C108)*Utilities!$B$11))</f>
        <v>0.83046355209986611</v>
      </c>
    </row>
    <row r="109" spans="1:5" x14ac:dyDescent="0.3">
      <c r="A109">
        <v>104</v>
      </c>
      <c r="B109">
        <f>Utilities!$B$7+((Utilities!$B$9-Utilities!$B$7)*(A109/Utilities!$B$1))</f>
        <v>49.485199999999999</v>
      </c>
      <c r="C109">
        <f>Utilities!$B$9+((Utilities!$B$7-Utilities!$B$9)*EXP(-$B$2*A109))</f>
        <v>6.6840455038298296</v>
      </c>
      <c r="D109">
        <f>EXP(-1*SQRT(Utilities!$B$5)/(IF($B$1="Linear",B109,C109)*Utilities!$B$11))</f>
        <v>0.42898989127697118</v>
      </c>
      <c r="E109">
        <f>EXP(-1*SQRT(Utilities!$B$5/20)/(IF($B$1="Linear",B109,C109)*Utilities!$B$11))</f>
        <v>0.82758510156863208</v>
      </c>
    </row>
    <row r="110" spans="1:5" x14ac:dyDescent="0.3">
      <c r="A110">
        <v>105</v>
      </c>
      <c r="B110">
        <f>Utilities!$B$7+((Utilities!$B$9-Utilities!$B$7)*(A110/Utilities!$B$1))</f>
        <v>49.480249999999998</v>
      </c>
      <c r="C110">
        <f>Utilities!$B$9+((Utilities!$B$7-Utilities!$B$9)*EXP(-$B$2*A110))</f>
        <v>6.5615931985226039</v>
      </c>
      <c r="D110">
        <f>EXP(-1*SQRT(Utilities!$B$5)/(IF($B$1="Linear",B110,C110)*Utilities!$B$11))</f>
        <v>0.42226763298740144</v>
      </c>
      <c r="E110">
        <f>EXP(-1*SQRT(Utilities!$B$5/20)/(IF($B$1="Linear",B110,C110)*Utilities!$B$11))</f>
        <v>0.82466751159589802</v>
      </c>
    </row>
    <row r="111" spans="1:5" x14ac:dyDescent="0.3">
      <c r="A111">
        <v>106</v>
      </c>
      <c r="B111">
        <f>Utilities!$B$7+((Utilities!$B$9-Utilities!$B$7)*(A111/Utilities!$B$1))</f>
        <v>49.475299999999997</v>
      </c>
      <c r="C111">
        <f>Utilities!$B$9+((Utilities!$B$7-Utilities!$B$9)*EXP(-$B$2*A111))</f>
        <v>6.4415656113171078</v>
      </c>
      <c r="D111">
        <f>EXP(-1*SQRT(Utilities!$B$5)/(IF($B$1="Linear",B111,C111)*Utilities!$B$11))</f>
        <v>0.41553849357879863</v>
      </c>
      <c r="E111">
        <f>EXP(-1*SQRT(Utilities!$B$5/20)/(IF($B$1="Linear",B111,C111)*Utilities!$B$11))</f>
        <v>0.82171059244683653</v>
      </c>
    </row>
    <row r="112" spans="1:5" x14ac:dyDescent="0.3">
      <c r="A112">
        <v>107</v>
      </c>
      <c r="B112">
        <f>Utilities!$B$7+((Utilities!$B$9-Utilities!$B$7)*(A112/Utilities!$B$1))</f>
        <v>49.470350000000003</v>
      </c>
      <c r="C112">
        <f>Utilities!$B$9+((Utilities!$B$7-Utilities!$B$9)*EXP(-$B$2*A112))</f>
        <v>6.3239147295780693</v>
      </c>
      <c r="D112">
        <f>EXP(-1*SQRT(Utilities!$B$5)/(IF($B$1="Linear",B112,C112)*Utilities!$B$11))</f>
        <v>0.40880467943858384</v>
      </c>
      <c r="E112">
        <f>EXP(-1*SQRT(Utilities!$B$5/20)/(IF($B$1="Linear",B112,C112)*Utilities!$B$11))</f>
        <v>0.81871416632550253</v>
      </c>
    </row>
    <row r="113" spans="1:5" x14ac:dyDescent="0.3">
      <c r="A113">
        <v>108</v>
      </c>
      <c r="B113">
        <f>Utilities!$B$7+((Utilities!$B$9-Utilities!$B$7)*(A113/Utilities!$B$1))</f>
        <v>49.465400000000002</v>
      </c>
      <c r="C113">
        <f>Utilities!$B$9+((Utilities!$B$7-Utilities!$B$9)*EXP(-$B$2*A113))</f>
        <v>6.2085934913840948</v>
      </c>
      <c r="D113">
        <f>EXP(-1*SQRT(Utilities!$B$5)/(IF($B$1="Linear",B113,C113)*Utilities!$B$11))</f>
        <v>0.40206843297487249</v>
      </c>
      <c r="E113">
        <f>EXP(-1*SQRT(Utilities!$B$5/20)/(IF($B$1="Linear",B113,C113)*Utilities!$B$11))</f>
        <v>0.81567806786026698</v>
      </c>
    </row>
    <row r="114" spans="1:5" x14ac:dyDescent="0.3">
      <c r="A114">
        <v>109</v>
      </c>
      <c r="B114">
        <f>Utilities!$B$7+((Utilities!$B$9-Utilities!$B$7)*(A114/Utilities!$B$1))</f>
        <v>49.460450000000002</v>
      </c>
      <c r="C114">
        <f>Utilities!$B$9+((Utilities!$B$7-Utilities!$B$9)*EXP(-$B$2*A114))</f>
        <v>6.0955557667022671</v>
      </c>
      <c r="D114">
        <f>EXP(-1*SQRT(Utilities!$B$5)/(IF($B$1="Linear",B114,C114)*Utilities!$B$11))</f>
        <v>0.39533203062985328</v>
      </c>
      <c r="E114">
        <f>EXP(-1*SQRT(Utilities!$B$5/20)/(IF($B$1="Linear",B114,C114)*Utilities!$B$11))</f>
        <v>0.81260214459352975</v>
      </c>
    </row>
    <row r="115" spans="1:5" x14ac:dyDescent="0.3">
      <c r="A115">
        <v>110</v>
      </c>
      <c r="B115">
        <f>Utilities!$B$7+((Utilities!$B$9-Utilities!$B$7)*(A115/Utilities!$B$1))</f>
        <v>49.455500000000001</v>
      </c>
      <c r="C115">
        <f>Utilities!$B$9+((Utilities!$B$7-Utilities!$B$9)*EXP(-$B$2*A115))</f>
        <v>5.9847563389355267</v>
      </c>
      <c r="D115">
        <f>EXP(-1*SQRT(Utilities!$B$5)/(IF($B$1="Linear",B115,C115)*Utilities!$B$11))</f>
        <v>0.38859778077405061</v>
      </c>
      <c r="E115">
        <f>EXP(-1*SQRT(Utilities!$B$5/20)/(IF($B$1="Linear",B115,C115)*Utilities!$B$11))</f>
        <v>0.80948625747516134</v>
      </c>
    </row>
    <row r="116" spans="1:5" x14ac:dyDescent="0.3">
      <c r="A116">
        <v>111</v>
      </c>
      <c r="B116">
        <f>Utilities!$B$7+((Utilities!$B$9-Utilities!$B$7)*(A116/Utilities!$B$1))</f>
        <v>49.45055</v>
      </c>
      <c r="C116">
        <f>Utilities!$B$9+((Utilities!$B$7-Utilities!$B$9)*EXP(-$B$2*A116))</f>
        <v>5.8761508868354193</v>
      </c>
      <c r="D116">
        <f>EXP(-1*SQRT(Utilities!$B$5)/(IF($B$1="Linear",B116,C116)*Utilities!$B$11))</f>
        <v>0.38186802148236781</v>
      </c>
      <c r="E116">
        <f>EXP(-1*SQRT(Utilities!$B$5/20)/(IF($B$1="Linear",B116,C116)*Utilities!$B$11))</f>
        <v>0.80633028135908713</v>
      </c>
    </row>
    <row r="117" spans="1:5" x14ac:dyDescent="0.3">
      <c r="A117">
        <v>112</v>
      </c>
      <c r="B117">
        <f>Utilities!$B$7+((Utilities!$B$9-Utilities!$B$7)*(A117/Utilities!$B$1))</f>
        <v>49.445599999999999</v>
      </c>
      <c r="C117">
        <f>Utilities!$B$9+((Utilities!$B$7-Utilities!$B$9)*EXP(-$B$2*A117))</f>
        <v>5.7696959667730141</v>
      </c>
      <c r="D117">
        <f>EXP(-1*SQRT(Utilities!$B$5)/(IF($B$1="Linear",B117,C117)*Utilities!$B$11))</f>
        <v>0.37514511819323332</v>
      </c>
      <c r="E117">
        <f>EXP(-1*SQRT(Utilities!$B$5/20)/(IF($B$1="Linear",B117,C117)*Utilities!$B$11))</f>
        <v>0.80313410550239428</v>
      </c>
    </row>
    <row r="118" spans="1:5" x14ac:dyDescent="0.3">
      <c r="A118">
        <v>113</v>
      </c>
      <c r="B118">
        <f>Utilities!$B$7+((Utilities!$B$9-Utilities!$B$7)*(A118/Utilities!$B$1))</f>
        <v>49.440649999999998</v>
      </c>
      <c r="C118">
        <f>Utilities!$B$9+((Utilities!$B$7-Utilities!$B$9)*EXP(-$B$2*A118))</f>
        <v>5.6653489953608673</v>
      </c>
      <c r="D118">
        <f>EXP(-1*SQRT(Utilities!$B$5)/(IF($B$1="Linear",B118,C118)*Utilities!$B$11))</f>
        <v>0.36843146125260101</v>
      </c>
      <c r="E118">
        <f>EXP(-1*SQRT(Utilities!$B$5/20)/(IF($B$1="Linear",B118,C118)*Utilities!$B$11))</f>
        <v>0.79989763406630598</v>
      </c>
    </row>
    <row r="119" spans="1:5" x14ac:dyDescent="0.3">
      <c r="A119">
        <v>114</v>
      </c>
      <c r="B119">
        <f>Utilities!$B$7+((Utilities!$B$9-Utilities!$B$7)*(A119/Utilities!$B$1))</f>
        <v>49.435699999999997</v>
      </c>
      <c r="C119">
        <f>Utilities!$B$9+((Utilities!$B$7-Utilities!$B$9)*EXP(-$B$2*A119))</f>
        <v>5.563068232419103</v>
      </c>
      <c r="D119">
        <f>EXP(-1*SQRT(Utilities!$B$5)/(IF($B$1="Linear",B119,C119)*Utilities!$B$11))</f>
        <v>0.36172946334500811</v>
      </c>
      <c r="E119">
        <f>EXP(-1*SQRT(Utilities!$B$5/20)/(IF($B$1="Linear",B119,C119)*Utilities!$B$11))</f>
        <v>0.79662078661832958</v>
      </c>
    </row>
    <row r="120" spans="1:5" x14ac:dyDescent="0.3">
      <c r="A120">
        <v>115</v>
      </c>
      <c r="B120">
        <f>Utilities!$B$7+((Utilities!$B$9-Utilities!$B$7)*(A120/Utilities!$B$1))</f>
        <v>49.430750000000003</v>
      </c>
      <c r="C120">
        <f>Utilities!$B$9+((Utilities!$B$7-Utilities!$B$9)*EXP(-$B$2*A120))</f>
        <v>5.4628127642787838</v>
      </c>
      <c r="D120">
        <f>EXP(-1*SQRT(Utilities!$B$5)/(IF($B$1="Linear",B120,C120)*Utilities!$B$11))</f>
        <v>0.35504155681435312</v>
      </c>
      <c r="E120">
        <f>EXP(-1*SQRT(Utilities!$B$5/20)/(IF($B$1="Linear",B120,C120)*Utilities!$B$11))</f>
        <v>0.79330349863485505</v>
      </c>
    </row>
    <row r="121" spans="1:5" x14ac:dyDescent="0.3">
      <c r="A121">
        <v>116</v>
      </c>
      <c r="B121">
        <f>Utilities!$B$7+((Utilities!$B$9-Utilities!$B$7)*(A121/Utilities!$B$1))</f>
        <v>49.425800000000002</v>
      </c>
      <c r="C121">
        <f>Utilities!$B$9+((Utilities!$B$7-Utilities!$B$9)*EXP(-$B$2*A121))</f>
        <v>5.3645424874158962</v>
      </c>
      <c r="D121">
        <f>EXP(-1*SQRT(Utilities!$B$5)/(IF($B$1="Linear",B121,C121)*Utilities!$B$11))</f>
        <v>0.34837019087753185</v>
      </c>
      <c r="E121">
        <f>EXP(-1*SQRT(Utilities!$B$5/20)/(IF($B$1="Linear",B121,C121)*Utilities!$B$11))</f>
        <v>0.78994572200343616</v>
      </c>
    </row>
    <row r="122" spans="1:5" x14ac:dyDescent="0.3">
      <c r="A122">
        <v>117</v>
      </c>
      <c r="B122">
        <f>Utilities!$B$7+((Utilities!$B$9-Utilities!$B$7)*(A122/Utilities!$B$1))</f>
        <v>49.420850000000002</v>
      </c>
      <c r="C122">
        <f>Utilities!$B$9+((Utilities!$B$7-Utilities!$B$9)*EXP(-$B$2*A122))</f>
        <v>5.2682180924094055</v>
      </c>
      <c r="D122">
        <f>EXP(-1*SQRT(Utilities!$B$5)/(IF($B$1="Linear",B122,C122)*Utilities!$B$11))</f>
        <v>0.34171782873454931</v>
      </c>
      <c r="E122">
        <f>EXP(-1*SQRT(Utilities!$B$5/20)/(IF($B$1="Linear",B122,C122)*Utilities!$B$11))</f>
        <v>0.78654742552395962</v>
      </c>
    </row>
    <row r="123" spans="1:5" x14ac:dyDescent="0.3">
      <c r="A123">
        <v>118</v>
      </c>
      <c r="B123">
        <f>Utilities!$B$7+((Utilities!$B$9-Utilities!$B$7)*(A123/Utilities!$B$1))</f>
        <v>49.415900000000001</v>
      </c>
      <c r="C123">
        <f>Utilities!$B$9+((Utilities!$B$7-Utilities!$B$9)*EXP(-$B$2*A123))</f>
        <v>5.1738010482169665</v>
      </c>
      <c r="D123">
        <f>EXP(-1*SQRT(Utilities!$B$5)/(IF($B$1="Linear",B123,C123)*Utilities!$B$11))</f>
        <v>0.33508694457921978</v>
      </c>
      <c r="E123">
        <f>EXP(-1*SQRT(Utilities!$B$5/20)/(IF($B$1="Linear",B123,C123)*Utilities!$B$11))</f>
        <v>0.78310859540786559</v>
      </c>
    </row>
    <row r="124" spans="1:5" x14ac:dyDescent="0.3">
      <c r="A124">
        <v>119</v>
      </c>
      <c r="B124">
        <f>Utilities!$B$7+((Utilities!$B$9-Utilities!$B$7)*(A124/Utilities!$B$1))</f>
        <v>49.41095</v>
      </c>
      <c r="C124">
        <f>Utilities!$B$9+((Utilities!$B$7-Utilities!$B$9)*EXP(-$B$2*A124))</f>
        <v>5.081253586761993</v>
      </c>
      <c r="D124">
        <f>EXP(-1*SQRT(Utilities!$B$5)/(IF($B$1="Linear",B124,C124)*Utilities!$B$11))</f>
        <v>0.32848002051505926</v>
      </c>
      <c r="E124">
        <f>EXP(-1*SQRT(Utilities!$B$5/20)/(IF($B$1="Linear",B124,C124)*Utilities!$B$11))</f>
        <v>0.77962923577455001</v>
      </c>
    </row>
    <row r="125" spans="1:5" x14ac:dyDescent="0.3">
      <c r="A125">
        <v>120</v>
      </c>
      <c r="B125">
        <f>Utilities!$B$7+((Utilities!$B$9-Utilities!$B$7)*(A125/Utilities!$B$1))</f>
        <v>49.405999999999999</v>
      </c>
      <c r="C125">
        <f>Utilities!$B$9+((Utilities!$B$7-Utilities!$B$9)*EXP(-$B$2*A125))</f>
        <v>4.9905386878259197</v>
      </c>
      <c r="D125">
        <f>EXP(-1*SQRT(Utilities!$B$5)/(IF($B$1="Linear",B125,C125)*Utilities!$B$11))</f>
        <v>0.32189954338147631</v>
      </c>
      <c r="E125">
        <f>EXP(-1*SQRT(Utilities!$B$5/20)/(IF($B$1="Linear",B125,C125)*Utilities!$B$11))</f>
        <v>0.77610936914404571</v>
      </c>
    </row>
    <row r="126" spans="1:5" x14ac:dyDescent="0.3">
      <c r="A126">
        <v>121</v>
      </c>
      <c r="B126">
        <f>Utilities!$B$7+((Utilities!$B$9-Utilities!$B$7)*(A126/Utilities!$B$1))</f>
        <v>49.401049999999998</v>
      </c>
      <c r="C126">
        <f>Utilities!$B$9+((Utilities!$B$7-Utilities!$B$9)*EXP(-$B$2*A126))</f>
        <v>4.9016200642396237</v>
      </c>
      <c r="D126">
        <f>EXP(-1*SQRT(Utilities!$B$5)/(IF($B$1="Linear",B126,C126)*Utilities!$B$11))</f>
        <v>0.31534800149586967</v>
      </c>
      <c r="E126">
        <f>EXP(-1*SQRT(Utilities!$B$5/20)/(IF($B$1="Linear",B126,C126)*Utilities!$B$11))</f>
        <v>0.77254903692504118</v>
      </c>
    </row>
    <row r="127" spans="1:5" x14ac:dyDescent="0.3">
      <c r="A127">
        <v>122</v>
      </c>
      <c r="B127">
        <f>Utilities!$B$7+((Utilities!$B$9-Utilities!$B$7)*(A127/Utilities!$B$1))</f>
        <v>49.396099999999997</v>
      </c>
      <c r="C127">
        <f>Utilities!$B$9+((Utilities!$B$7-Utilities!$B$9)*EXP(-$B$2*A127))</f>
        <v>4.814462147368074</v>
      </c>
      <c r="D127">
        <f>EXP(-1*SQRT(Utilities!$B$5)/(IF($B$1="Linear",B127,C127)*Utilities!$B$11))</f>
        <v>0.30882788131773609</v>
      </c>
      <c r="E127">
        <f>EXP(-1*SQRT(Utilities!$B$5/20)/(IF($B$1="Linear",B127,C127)*Utilities!$B$11))</f>
        <v>0.76894829989726632</v>
      </c>
    </row>
    <row r="128" spans="1:5" x14ac:dyDescent="0.3">
      <c r="A128">
        <v>123</v>
      </c>
      <c r="B128">
        <f>Utilities!$B$7+((Utilities!$B$9-Utilities!$B$7)*(A128/Utilities!$B$1))</f>
        <v>49.391150000000003</v>
      </c>
      <c r="C128">
        <f>Utilities!$B$9+((Utilities!$B$7-Utilities!$B$9)*EXP(-$B$2*A128))</f>
        <v>4.7290300728824013</v>
      </c>
      <c r="D128">
        <f>EXP(-1*SQRT(Utilities!$B$5)/(IF($B$1="Linear",B128,C128)*Utilities!$B$11))</f>
        <v>0.30234166404138896</v>
      </c>
      <c r="E128">
        <f>EXP(-1*SQRT(Utilities!$B$5/20)/(IF($B$1="Linear",B128,C128)*Utilities!$B$11))</f>
        <v>0.76530723868724093</v>
      </c>
    </row>
    <row r="129" spans="1:5" x14ac:dyDescent="0.3">
      <c r="A129">
        <v>124</v>
      </c>
      <c r="B129">
        <f>Utilities!$B$7+((Utilities!$B$9-Utilities!$B$7)*(A129/Utilities!$B$1))</f>
        <v>49.386200000000002</v>
      </c>
      <c r="C129">
        <f>Utilities!$B$9+((Utilities!$B$7-Utilities!$B$9)*EXP(-$B$2*A129))</f>
        <v>4.6452896668137003</v>
      </c>
      <c r="D129">
        <f>EXP(-1*SQRT(Utilities!$B$5)/(IF($B$1="Linear",B129,C129)*Utilities!$B$11))</f>
        <v>0.29589182212437748</v>
      </c>
      <c r="E129">
        <f>EXP(-1*SQRT(Utilities!$B$5/20)/(IF($B$1="Linear",B129,C129)*Utilities!$B$11))</f>
        <v>0.7616259542363466</v>
      </c>
    </row>
    <row r="130" spans="1:5" x14ac:dyDescent="0.3">
      <c r="A130">
        <v>125</v>
      </c>
      <c r="B130">
        <f>Utilities!$B$7+((Utilities!$B$9-Utilities!$B$7)*(A130/Utilities!$B$1))</f>
        <v>49.381250000000001</v>
      </c>
      <c r="C130">
        <f>Utilities!$B$9+((Utilities!$B$7-Utilities!$B$9)*EXP(-$B$2*A130))</f>
        <v>4.5632074318829909</v>
      </c>
      <c r="D130">
        <f>EXP(-1*SQRT(Utilities!$B$5)/(IF($B$1="Linear",B130,C130)*Utilities!$B$11))</f>
        <v>0.28948081575917017</v>
      </c>
      <c r="E130">
        <f>EXP(-1*SQRT(Utilities!$B$5/20)/(IF($B$1="Linear",B130,C130)*Utilities!$B$11))</f>
        <v>0.75790456826015884</v>
      </c>
    </row>
    <row r="131" spans="1:5" x14ac:dyDescent="0.3">
      <c r="A131">
        <v>126</v>
      </c>
      <c r="B131">
        <f>Utilities!$B$7+((Utilities!$B$9-Utilities!$B$7)*(A131/Utilities!$B$1))</f>
        <v>49.376300000000001</v>
      </c>
      <c r="C131">
        <f>Utilities!$B$9+((Utilities!$B$7-Utilities!$B$9)*EXP(-$B$2*A131))</f>
        <v>4.4827505341018554</v>
      </c>
      <c r="D131">
        <f>EXP(-1*SQRT(Utilities!$B$5)/(IF($B$1="Linear",B131,C131)*Utilities!$B$11))</f>
        <v>0.28311108929613438</v>
      </c>
      <c r="E131">
        <f>EXP(-1*SQRT(Utilities!$B$5/20)/(IF($B$1="Linear",B131,C131)*Utilities!$B$11))</f>
        <v>0.75414322369794062</v>
      </c>
    </row>
    <row r="132" spans="1:5" x14ac:dyDescent="0.3">
      <c r="A132">
        <v>127</v>
      </c>
      <c r="B132">
        <f>Utilities!$B$7+((Utilities!$B$9-Utilities!$B$7)*(A132/Utilities!$B$1))</f>
        <v>49.37135</v>
      </c>
      <c r="C132">
        <f>Utilities!$B$9+((Utilities!$B$7-Utilities!$B$9)*EXP(-$B$2*A132))</f>
        <v>4.4038867896384097</v>
      </c>
      <c r="D132">
        <f>EXP(-1*SQRT(Utilities!$B$5)/(IF($B$1="Linear",B132,C132)*Utilities!$B$11))</f>
        <v>0.27678506762629057</v>
      </c>
      <c r="E132">
        <f>EXP(-1*SQRT(Utilities!$B$5/20)/(IF($B$1="Linear",B132,C132)*Utilities!$B$11))</f>
        <v>0.75034208515117595</v>
      </c>
    </row>
    <row r="133" spans="1:5" x14ac:dyDescent="0.3">
      <c r="A133">
        <v>128</v>
      </c>
      <c r="B133">
        <f>Utilities!$B$7+((Utilities!$B$9-Utilities!$B$7)*(A133/Utilities!$B$1))</f>
        <v>49.366399999999999</v>
      </c>
      <c r="C133">
        <f>Utilities!$B$9+((Utilities!$B$7-Utilities!$B$9)*EXP(-$B$2*A133))</f>
        <v>4.3265846519433371</v>
      </c>
      <c r="D133">
        <f>EXP(-1*SQRT(Utilities!$B$5)/(IF($B$1="Linear",B133,C133)*Utilities!$B$11))</f>
        <v>0.27050515253274826</v>
      </c>
      <c r="E133">
        <f>EXP(-1*SQRT(Utilities!$B$5/20)/(IF($B$1="Linear",B133,C133)*Utilities!$B$11))</f>
        <v>0.74650133930999507</v>
      </c>
    </row>
    <row r="134" spans="1:5" x14ac:dyDescent="0.3">
      <c r="A134">
        <v>129</v>
      </c>
      <c r="B134">
        <f>Utilities!$B$7+((Utilities!$B$9-Utilities!$B$7)*(A134/Utilities!$B$1))</f>
        <v>49.361449999999998</v>
      </c>
      <c r="C134">
        <f>Utilities!$B$9+((Utilities!$B$7-Utilities!$B$9)*EXP(-$B$2*A134))</f>
        <v>4.2508131991308513</v>
      </c>
      <c r="D134">
        <f>EXP(-1*SQRT(Utilities!$B$5)/(IF($B$1="Linear",B134,C134)*Utilities!$B$11))</f>
        <v>0.26427371902013969</v>
      </c>
      <c r="E134">
        <f>EXP(-1*SQRT(Utilities!$B$5/20)/(IF($B$1="Linear",B134,C134)*Utilities!$B$11))</f>
        <v>0.74262119536631721</v>
      </c>
    </row>
    <row r="135" spans="1:5" x14ac:dyDescent="0.3">
      <c r="A135">
        <v>130</v>
      </c>
      <c r="B135">
        <f>Utilities!$B$7+((Utilities!$B$9-Utilities!$B$7)*(A135/Utilities!$B$1))</f>
        <v>49.356499999999997</v>
      </c>
      <c r="C135">
        <f>Utilities!$B$9+((Utilities!$B$7-Utilities!$B$9)*EXP(-$B$2*A135))</f>
        <v>4.1765421216095273</v>
      </c>
      <c r="D135">
        <f>EXP(-1*SQRT(Utilities!$B$5)/(IF($B$1="Linear",B135,C135)*Utilities!$B$11))</f>
        <v>0.2580931116317437</v>
      </c>
      <c r="E135">
        <f>EXP(-1*SQRT(Utilities!$B$5/20)/(IF($B$1="Linear",B135,C135)*Utilities!$B$11))</f>
        <v>0.73870188541251947</v>
      </c>
    </row>
    <row r="136" spans="1:5" x14ac:dyDescent="0.3">
      <c r="A136">
        <v>131</v>
      </c>
      <c r="B136">
        <f>Utilities!$B$7+((Utilities!$B$9-Utilities!$B$7)*(A136/Utilities!$B$1))</f>
        <v>49.351550000000003</v>
      </c>
      <c r="C136">
        <f>Utilities!$B$9+((Utilities!$B$7-Utilities!$B$9)*EXP(-$B$2*A136))</f>
        <v>4.1037417099580615</v>
      </c>
      <c r="D136">
        <f>EXP(-1*SQRT(Utilities!$B$5)/(IF($B$1="Linear",B136,C136)*Utilities!$B$11))</f>
        <v>0.25196564076434758</v>
      </c>
      <c r="E136">
        <f>EXP(-1*SQRT(Utilities!$B$5/20)/(IF($B$1="Linear",B136,C136)*Utilities!$B$11))</f>
        <v>0.73474366482441766</v>
      </c>
    </row>
    <row r="137" spans="1:5" x14ac:dyDescent="0.3">
      <c r="A137">
        <v>132</v>
      </c>
      <c r="B137">
        <f>Utilities!$B$7+((Utilities!$B$9-Utilities!$B$7)*(A137/Utilities!$B$1))</f>
        <v>49.346600000000002</v>
      </c>
      <c r="C137">
        <f>Utilities!$B$9+((Utilities!$B$7-Utilities!$B$9)*EXP(-$B$2*A137))</f>
        <v>4.0323828430411091</v>
      </c>
      <c r="D137">
        <f>EXP(-1*SQRT(Utilities!$B$5)/(IF($B$1="Linear",B137,C137)*Utilities!$B$11))</f>
        <v>0.24589357899121006</v>
      </c>
      <c r="E137">
        <f>EXP(-1*SQRT(Utilities!$B$5/20)/(IF($B$1="Linear",B137,C137)*Utilities!$B$11))</f>
        <v>0.73074681262733032</v>
      </c>
    </row>
    <row r="138" spans="1:5" x14ac:dyDescent="0.3">
      <c r="A138">
        <v>133</v>
      </c>
      <c r="B138">
        <f>Utilities!$B$7+((Utilities!$B$9-Utilities!$B$7)*(A138/Utilities!$B$1))</f>
        <v>49.341650000000001</v>
      </c>
      <c r="C138">
        <f>Utilities!$B$9+((Utilities!$B$7-Utilities!$B$9)*EXP(-$B$2*A138))</f>
        <v>3.9624369763604403</v>
      </c>
      <c r="D138">
        <f>EXP(-1*SQRT(Utilities!$B$5)/(IF($B$1="Linear",B138,C138)*Utilities!$B$11))</f>
        <v>0.23987915740377308</v>
      </c>
      <c r="E138">
        <f>EXP(-1*SQRT(Utilities!$B$5/20)/(IF($B$1="Linear",B138,C138)*Utilities!$B$11))</f>
        <v>0.72671163184398258</v>
      </c>
    </row>
    <row r="139" spans="1:5" x14ac:dyDescent="0.3">
      <c r="A139">
        <v>134</v>
      </c>
      <c r="B139">
        <f>Utilities!$B$7+((Utilities!$B$9-Utilities!$B$7)*(A139/Utilities!$B$1))</f>
        <v>49.3367</v>
      </c>
      <c r="C139">
        <f>Utilities!$B$9+((Utilities!$B$7-Utilities!$B$9)*EXP(-$B$2*A139))</f>
        <v>3.8938761306367566</v>
      </c>
      <c r="D139">
        <f>EXP(-1*SQRT(Utilities!$B$5)/(IF($B$1="Linear",B139,C139)*Utilities!$B$11))</f>
        <v>0.23392456198301426</v>
      </c>
      <c r="E139">
        <f>EXP(-1*SQRT(Utilities!$B$5/20)/(IF($B$1="Linear",B139,C139)*Utilities!$B$11))</f>
        <v>0.7226384498229963</v>
      </c>
    </row>
    <row r="140" spans="1:5" x14ac:dyDescent="0.3">
      <c r="A140">
        <v>135</v>
      </c>
      <c r="B140">
        <f>Utilities!$B$7+((Utilities!$B$9-Utilities!$B$7)*(A140/Utilities!$B$1))</f>
        <v>49.33175</v>
      </c>
      <c r="C140">
        <f>Utilities!$B$9+((Utilities!$B$7-Utilities!$B$9)*EXP(-$B$2*A140))</f>
        <v>3.8266728806176129</v>
      </c>
      <c r="D140">
        <f>EXP(-1*SQRT(Utilities!$B$5)/(IF($B$1="Linear",B140,C140)*Utilities!$B$11))</f>
        <v>0.22803193001153405</v>
      </c>
      <c r="E140">
        <f>EXP(-1*SQRT(Utilities!$B$5/20)/(IF($B$1="Linear",B140,C140)*Utilities!$B$11))</f>
        <v>0.7185276185467051</v>
      </c>
    </row>
    <row r="141" spans="1:5" x14ac:dyDescent="0.3">
      <c r="A141">
        <v>136</v>
      </c>
      <c r="B141">
        <f>Utilities!$B$7+((Utilities!$B$9-Utilities!$B$7)*(A141/Utilities!$B$1))</f>
        <v>49.326799999999999</v>
      </c>
      <c r="C141">
        <f>Utilities!$B$9+((Utilities!$B$7-Utilities!$B$9)*EXP(-$B$2*A141))</f>
        <v>3.7608003441069457</v>
      </c>
      <c r="D141">
        <f>EXP(-1*SQRT(Utilities!$B$5)/(IF($B$1="Linear",B141,C141)*Utilities!$B$11))</f>
        <v>0.22220334653762855</v>
      </c>
      <c r="E141">
        <f>EXP(-1*SQRT(Utilities!$B$5/20)/(IF($B$1="Linear",B141,C141)*Utilities!$B$11))</f>
        <v>0.71437951491702778</v>
      </c>
    </row>
    <row r="142" spans="1:5" x14ac:dyDescent="0.3">
      <c r="A142">
        <v>137</v>
      </c>
      <c r="B142">
        <f>Utilities!$B$7+((Utilities!$B$9-Utilities!$B$7)*(A142/Utilities!$B$1))</f>
        <v>49.321849999999998</v>
      </c>
      <c r="C142">
        <f>Utilities!$B$9+((Utilities!$B$7-Utilities!$B$9)*EXP(-$B$2*A142))</f>
        <v>3.6962321712118391</v>
      </c>
      <c r="D142">
        <f>EXP(-1*SQRT(Utilities!$B$5)/(IF($B$1="Linear",B142,C142)*Utilities!$B$11))</f>
        <v>0.21644084090270971</v>
      </c>
      <c r="E142">
        <f>EXP(-1*SQRT(Utilities!$B$5/20)/(IF($B$1="Linear",B142,C142)*Utilities!$B$11))</f>
        <v>0.71019454101813417</v>
      </c>
    </row>
    <row r="143" spans="1:5" x14ac:dyDescent="0.3">
      <c r="A143">
        <v>138</v>
      </c>
      <c r="B143">
        <f>Utilities!$B$7+((Utilities!$B$9-Utilities!$B$7)*(A143/Utilities!$B$1))</f>
        <v>49.316899999999997</v>
      </c>
      <c r="C143">
        <f>Utilities!$B$9+((Utilities!$B$7-Utilities!$B$9)*EXP(-$B$2*A143))</f>
        <v>3.6329425338022148</v>
      </c>
      <c r="D143">
        <f>EXP(-1*SQRT(Utilities!$B$5)/(IF($B$1="Linear",B143,C143)*Utilities!$B$11))</f>
        <v>0.21074638334349505</v>
      </c>
      <c r="E143">
        <f>EXP(-1*SQRT(Utilities!$B$5/20)/(IF($B$1="Linear",B143,C143)*Utilities!$B$11))</f>
        <v>0.70597312435463977</v>
      </c>
    </row>
    <row r="144" spans="1:5" x14ac:dyDescent="0.3">
      <c r="A144">
        <v>139</v>
      </c>
      <c r="B144">
        <f>Utilities!$B$7+((Utilities!$B$9-Utilities!$B$7)*(A144/Utilities!$B$1))</f>
        <v>49.311950000000003</v>
      </c>
      <c r="C144">
        <f>Utilities!$B$9+((Utilities!$B$7-Utilities!$B$9)*EXP(-$B$2*A144))</f>
        <v>3.5709061151792354</v>
      </c>
      <c r="D144">
        <f>EXP(-1*SQRT(Utilities!$B$5)/(IF($B$1="Linear",B144,C144)*Utilities!$B$11))</f>
        <v>0.205121881680396</v>
      </c>
      <c r="E144">
        <f>EXP(-1*SQRT(Utilities!$B$5/20)/(IF($B$1="Linear",B144,C144)*Utilities!$B$11))</f>
        <v>0.70171571806407151</v>
      </c>
    </row>
    <row r="145" spans="1:5" x14ac:dyDescent="0.3">
      <c r="A145">
        <v>140</v>
      </c>
      <c r="B145">
        <f>Utilities!$B$7+((Utilities!$B$9-Utilities!$B$7)*(A145/Utilities!$B$1))</f>
        <v>49.307000000000002</v>
      </c>
      <c r="C145">
        <f>Utilities!$B$9+((Utilities!$B$7-Utilities!$B$9)*EXP(-$B$2*A145))</f>
        <v>3.5100980999482885</v>
      </c>
      <c r="D145">
        <f>EXP(-1*SQRT(Utilities!$B$5)/(IF($B$1="Linear",B145,C145)*Utilities!$B$11))</f>
        <v>0.19956917810348884</v>
      </c>
      <c r="E145">
        <f>EXP(-1*SQRT(Utilities!$B$5/20)/(IF($B$1="Linear",B145,C145)*Utilities!$B$11))</f>
        <v>0.69742280110236121</v>
      </c>
    </row>
    <row r="146" spans="1:5" x14ac:dyDescent="0.3">
      <c r="A146">
        <v>141</v>
      </c>
      <c r="B146">
        <f>Utilities!$B$7+((Utilities!$B$9-Utilities!$B$7)*(A146/Utilities!$B$1))</f>
        <v>49.302050000000001</v>
      </c>
      <c r="C146">
        <f>Utilities!$B$9+((Utilities!$B$7-Utilities!$B$9)*EXP(-$B$2*A146))</f>
        <v>3.4504941640924987</v>
      </c>
      <c r="D146">
        <f>EXP(-1*SQRT(Utilities!$B$5)/(IF($B$1="Linear",B146,C146)*Utilities!$B$11))</f>
        <v>0.19409004606734809</v>
      </c>
      <c r="E146">
        <f>EXP(-1*SQRT(Utilities!$B$5/20)/(IF($B$1="Linear",B146,C146)*Utilities!$B$11))</f>
        <v>0.6930948784011336</v>
      </c>
    </row>
    <row r="147" spans="1:5" x14ac:dyDescent="0.3">
      <c r="A147">
        <v>142</v>
      </c>
      <c r="B147">
        <f>Utilities!$B$7+((Utilities!$B$9-Utilities!$B$7)*(A147/Utilities!$B$1))</f>
        <v>49.2971</v>
      </c>
      <c r="C147">
        <f>Utilities!$B$9+((Utilities!$B$7-Utilities!$B$9)*EXP(-$B$2*A147))</f>
        <v>3.3920704652427909</v>
      </c>
      <c r="D147">
        <f>EXP(-1*SQRT(Utilities!$B$5)/(IF($B$1="Linear",B147,C147)*Utilities!$B$11))</f>
        <v>0.18868618730586365</v>
      </c>
      <c r="E147">
        <f>EXP(-1*SQRT(Utilities!$B$5/20)/(IF($B$1="Linear",B147,C147)*Utilities!$B$11))</f>
        <v>0.68873248099557927</v>
      </c>
    </row>
    <row r="148" spans="1:5" x14ac:dyDescent="0.3">
      <c r="A148">
        <v>143</v>
      </c>
      <c r="B148">
        <f>Utilities!$B$7+((Utilities!$B$9-Utilities!$B$7)*(A148/Utilities!$B$1))</f>
        <v>49.292149999999999</v>
      </c>
      <c r="C148">
        <f>Utilities!$B$9+((Utilities!$B$7-Utilities!$B$9)*EXP(-$B$2*A148))</f>
        <v>3.3348036331406341</v>
      </c>
      <c r="D148">
        <f>EXP(-1*SQRT(Utilities!$B$5)/(IF($B$1="Linear",B148,C148)*Utilities!$B$11))</f>
        <v>0.18335922897794565</v>
      </c>
      <c r="E148">
        <f>EXP(-1*SQRT(Utilities!$B$5/20)/(IF($B$1="Linear",B148,C148)*Utilities!$B$11))</f>
        <v>0.68433616612172798</v>
      </c>
    </row>
    <row r="149" spans="1:5" x14ac:dyDescent="0.3">
      <c r="A149">
        <v>144</v>
      </c>
      <c r="B149">
        <f>Utilities!$B$7+((Utilities!$B$9-Utilities!$B$7)*(A149/Utilities!$B$1))</f>
        <v>49.287199999999999</v>
      </c>
      <c r="C149">
        <f>Utilities!$B$9+((Utilities!$B$7-Utilities!$B$9)*EXP(-$B$2*A149))</f>
        <v>3.2786707602896192</v>
      </c>
      <c r="D149">
        <f>EXP(-1*SQRT(Utilities!$B$5)/(IF($B$1="Linear",B149,C149)*Utilities!$B$11))</f>
        <v>0.17811072095473904</v>
      </c>
      <c r="E149">
        <f>EXP(-1*SQRT(Utilities!$B$5/20)/(IF($B$1="Linear",B149,C149)*Utilities!$B$11))</f>
        <v>0.67990651728196128</v>
      </c>
    </row>
    <row r="150" spans="1:5" x14ac:dyDescent="0.3">
      <c r="A150">
        <v>145</v>
      </c>
      <c r="B150">
        <f>Utilities!$B$7+((Utilities!$B$9-Utilities!$B$7)*(A150/Utilities!$B$1))</f>
        <v>49.282249999999998</v>
      </c>
      <c r="C150">
        <f>Utilities!$B$9+((Utilities!$B$7-Utilities!$B$9)*EXP(-$B$2*A150))</f>
        <v>3.2236493927921579</v>
      </c>
      <c r="D150">
        <f>EXP(-1*SQRT(Utilities!$B$5)/(IF($B$1="Linear",B150,C150)*Utilities!$B$11))</f>
        <v>0.17294213325863816</v>
      </c>
      <c r="E150">
        <f>EXP(-1*SQRT(Utilities!$B$5/20)/(IF($B$1="Linear",B150,C150)*Utilities!$B$11))</f>
        <v>0.67544414427764399</v>
      </c>
    </row>
    <row r="151" spans="1:5" x14ac:dyDescent="0.3">
      <c r="A151">
        <v>146</v>
      </c>
      <c r="B151">
        <f>Utilities!$B$7+((Utilities!$B$9-Utilities!$B$7)*(A151/Utilities!$B$1))</f>
        <v>49.277299999999997</v>
      </c>
      <c r="C151">
        <f>Utilities!$B$9+((Utilities!$B$7-Utilities!$B$9)*EXP(-$B$2*A151))</f>
        <v>3.1697175213676227</v>
      </c>
      <c r="D151">
        <f>EXP(-1*SQRT(Utilities!$B$5)/(IF($B$1="Linear",B151,C151)*Utilities!$B$11))</f>
        <v>0.16785485366399094</v>
      </c>
      <c r="E151">
        <f>EXP(-1*SQRT(Utilities!$B$5/20)/(IF($B$1="Linear",B151,C151)*Utilities!$B$11))</f>
        <v>0.67094968320778736</v>
      </c>
    </row>
    <row r="152" spans="1:5" x14ac:dyDescent="0.3">
      <c r="A152">
        <v>147</v>
      </c>
      <c r="B152">
        <f>Utilities!$B$7+((Utilities!$B$9-Utilities!$B$7)*(A152/Utilities!$B$1))</f>
        <v>49.272350000000003</v>
      </c>
      <c r="C152">
        <f>Utilities!$B$9+((Utilities!$B$7-Utilities!$B$9)*EXP(-$B$2*A152))</f>
        <v>3.1168535725483433</v>
      </c>
      <c r="D152">
        <f>EXP(-1*SQRT(Utilities!$B$5)/(IF($B$1="Linear",B152,C152)*Utilities!$B$11))</f>
        <v>0.16285018546892877</v>
      </c>
      <c r="E152">
        <f>EXP(-1*SQRT(Utilities!$B$5/20)/(IF($B$1="Linear",B152,C152)*Utilities!$B$11))</f>
        <v>0.66642379643270566</v>
      </c>
    </row>
    <row r="153" spans="1:5" x14ac:dyDescent="0.3">
      <c r="A153">
        <v>148</v>
      </c>
      <c r="B153">
        <f>Utilities!$B$7+((Utilities!$B$9-Utilities!$B$7)*(A153/Utilities!$B$1))</f>
        <v>49.267400000000002</v>
      </c>
      <c r="C153">
        <f>Utilities!$B$9+((Utilities!$B$7-Utilities!$B$9)*EXP(-$B$2*A153))</f>
        <v>3.0650364000499288</v>
      </c>
      <c r="D153">
        <f>EXP(-1*SQRT(Utilities!$B$5)/(IF($B$1="Linear",B153,C153)*Utilities!$B$11))</f>
        <v>0.15792934544724305</v>
      </c>
      <c r="E153">
        <f>EXP(-1*SQRT(Utilities!$B$5/20)/(IF($B$1="Linear",B153,C153)*Utilities!$B$11))</f>
        <v>0.66186717250167038</v>
      </c>
    </row>
    <row r="154" spans="1:5" x14ac:dyDescent="0.3">
      <c r="A154">
        <v>149</v>
      </c>
      <c r="B154">
        <f>Utilities!$B$7+((Utilities!$B$9-Utilities!$B$7)*(A154/Utilities!$B$1))</f>
        <v>49.262450000000001</v>
      </c>
      <c r="C154">
        <f>Utilities!$B$9+((Utilities!$B$7-Utilities!$B$9)*EXP(-$B$2*A154))</f>
        <v>3.0142452763124759</v>
      </c>
      <c r="D154">
        <f>EXP(-1*SQRT(Utilities!$B$5)/(IF($B$1="Linear",B154,C154)*Utilities!$B$11))</f>
        <v>0.15309346198866178</v>
      </c>
      <c r="E154">
        <f>EXP(-1*SQRT(Utilities!$B$5/20)/(IF($B$1="Linear",B154,C154)*Utilities!$B$11))</f>
        <v>0.65728052604362663</v>
      </c>
    </row>
    <row r="155" spans="1:5" x14ac:dyDescent="0.3">
      <c r="A155">
        <v>150</v>
      </c>
      <c r="B155">
        <f>Utilities!$B$7+((Utilities!$B$9-Utilities!$B$7)*(A155/Utilities!$B$1))</f>
        <v>49.2575</v>
      </c>
      <c r="C155">
        <f>Utilities!$B$9+((Utilities!$B$7-Utilities!$B$9)*EXP(-$B$2*A155))</f>
        <v>2.9644598842092651</v>
      </c>
      <c r="D155">
        <f>EXP(-1*SQRT(Utilities!$B$5)/(IF($B$1="Linear",B155,C155)*Utilities!$B$11))</f>
        <v>0.14834357343525115</v>
      </c>
      <c r="E155">
        <f>EXP(-1*SQRT(Utilities!$B$5/20)/(IF($B$1="Linear",B155,C155)*Utilities!$B$11))</f>
        <v>0.65266459762009232</v>
      </c>
    </row>
    <row r="156" spans="1:5" x14ac:dyDescent="0.3">
      <c r="A156">
        <v>151</v>
      </c>
      <c r="B156">
        <f>Utilities!$B$7+((Utilities!$B$9-Utilities!$B$7)*(A156/Utilities!$B$1))</f>
        <v>49.252549999999999</v>
      </c>
      <c r="C156">
        <f>Utilities!$B$9+((Utilities!$B$7-Utilities!$B$9)*EXP(-$B$2*A156))</f>
        <v>2.9156603089196418</v>
      </c>
      <c r="D156">
        <f>EXP(-1*SQRT(Utilities!$B$5)/(IF($B$1="Linear",B156,C156)*Utilities!$B$11))</f>
        <v>0.14368062662099404</v>
      </c>
      <c r="E156">
        <f>EXP(-1*SQRT(Utilities!$B$5/20)/(IF($B$1="Linear",B156,C156)*Utilities!$B$11))</f>
        <v>0.64802015353942366</v>
      </c>
    </row>
    <row r="157" spans="1:5" x14ac:dyDescent="0.3">
      <c r="A157">
        <v>152</v>
      </c>
      <c r="B157">
        <f>Utilities!$B$7+((Utilities!$B$9-Utilities!$B$7)*(A157/Utilities!$B$1))</f>
        <v>49.247599999999998</v>
      </c>
      <c r="C157">
        <f>Utilities!$B$9+((Utilities!$B$7-Utilities!$B$9)*EXP(-$B$2*A157))</f>
        <v>2.867827029962819</v>
      </c>
      <c r="D157">
        <f>EXP(-1*SQRT(Utilities!$B$5)/(IF($B$1="Linear",B157,C157)*Utilities!$B$11))</f>
        <v>0.13910547562086781</v>
      </c>
      <c r="E157">
        <f>EXP(-1*SQRT(Utilities!$B$5/20)/(IF($B$1="Linear",B157,C157)*Utilities!$B$11))</f>
        <v>0.64334798563170414</v>
      </c>
    </row>
    <row r="158" spans="1:5" x14ac:dyDescent="0.3">
      <c r="A158">
        <v>153</v>
      </c>
      <c r="B158">
        <f>Utilities!$B$7+((Utilities!$B$9-Utilities!$B$7)*(A158/Utilities!$B$1))</f>
        <v>49.242649999999998</v>
      </c>
      <c r="C158">
        <f>Utilities!$B$9+((Utilities!$B$7-Utilities!$B$9)*EXP(-$B$2*A158))</f>
        <v>2.8209409133894301</v>
      </c>
      <c r="D158">
        <f>EXP(-1*SQRT(Utilities!$B$5)/(IF($B$1="Linear",B158,C158)*Utilities!$B$11))</f>
        <v>0.13461888071497322</v>
      </c>
      <c r="E158">
        <f>EXP(-1*SQRT(Utilities!$B$5/20)/(IF($B$1="Linear",B158,C158)*Utilities!$B$11))</f>
        <v>0.63864891098358456</v>
      </c>
    </row>
    <row r="159" spans="1:5" x14ac:dyDescent="0.3">
      <c r="A159">
        <v>154</v>
      </c>
      <c r="B159">
        <f>Utilities!$B$7+((Utilities!$B$9-Utilities!$B$7)*(A159/Utilities!$B$1))</f>
        <v>49.237699999999997</v>
      </c>
      <c r="C159">
        <f>Utilities!$B$9+((Utilities!$B$7-Utilities!$B$9)*EXP(-$B$2*A159))</f>
        <v>2.7749832041276883</v>
      </c>
      <c r="D159">
        <f>EXP(-1*SQRT(Utilities!$B$5)/(IF($B$1="Linear",B159,C159)*Utilities!$B$11))</f>
        <v>0.13022150757244957</v>
      </c>
      <c r="E159">
        <f>EXP(-1*SQRT(Utilities!$B$5/20)/(IF($B$1="Linear",B159,C159)*Utilities!$B$11))</f>
        <v>0.63392377163248359</v>
      </c>
    </row>
    <row r="160" spans="1:5" x14ac:dyDescent="0.3">
      <c r="A160">
        <v>155</v>
      </c>
      <c r="B160">
        <f>Utilities!$B$7+((Utilities!$B$9-Utilities!$B$7)*(A160/Utilities!$B$1))</f>
        <v>49.232750000000003</v>
      </c>
      <c r="C160">
        <f>Utilities!$B$9+((Utilities!$B$7-Utilities!$B$9)*EXP(-$B$2*A160))</f>
        <v>2.7299355184811112</v>
      </c>
      <c r="D160">
        <f>EXP(-1*SQRT(Utilities!$B$5)/(IF($B$1="Linear",B160,C160)*Utilities!$B$11))</f>
        <v>0.12591392665905871</v>
      </c>
      <c r="E160">
        <f>EXP(-1*SQRT(Utilities!$B$5/20)/(IF($B$1="Linear",B160,C160)*Utilities!$B$11))</f>
        <v>0.62917343421964267</v>
      </c>
    </row>
    <row r="161" spans="1:5" x14ac:dyDescent="0.3">
      <c r="A161">
        <v>156</v>
      </c>
      <c r="B161">
        <f>Utilities!$B$7+((Utilities!$B$9-Utilities!$B$7)*(A161/Utilities!$B$1))</f>
        <v>49.227800000000002</v>
      </c>
      <c r="C161">
        <f>Utilities!$B$9+((Utilities!$B$7-Utilities!$B$9)*EXP(-$B$2*A161))</f>
        <v>2.6857798367747967</v>
      </c>
      <c r="D161">
        <f>EXP(-1*SQRT(Utilities!$B$5)/(IF($B$1="Linear",B161,C161)*Utilities!$B$11))</f>
        <v>0.12169661287143303</v>
      </c>
      <c r="E161">
        <f>EXP(-1*SQRT(Utilities!$B$5/20)/(IF($B$1="Linear",B161,C161)*Utilities!$B$11))</f>
        <v>0.62439878960161688</v>
      </c>
    </row>
    <row r="162" spans="1:5" x14ac:dyDescent="0.3">
      <c r="A162">
        <v>157</v>
      </c>
      <c r="B162">
        <f>Utilities!$B$7+((Utilities!$B$9-Utilities!$B$7)*(A162/Utilities!$B$1))</f>
        <v>49.222850000000001</v>
      </c>
      <c r="C162">
        <f>Utilities!$B$9+((Utilities!$B$7-Utilities!$B$9)*EXP(-$B$2*A162))</f>
        <v>2.6424984961473119</v>
      </c>
      <c r="D162">
        <f>EXP(-1*SQRT(Utilities!$B$5)/(IF($B$1="Linear",B162,C162)*Utilities!$B$11))</f>
        <v>0.11756994540006618</v>
      </c>
      <c r="E162">
        <f>EXP(-1*SQRT(Utilities!$B$5/20)/(IF($B$1="Linear",B162,C162)*Utilities!$B$11))</f>
        <v>0.61960075241987922</v>
      </c>
    </row>
    <row r="163" spans="1:5" x14ac:dyDescent="0.3">
      <c r="A163">
        <v>158</v>
      </c>
      <c r="B163">
        <f>Utilities!$B$7+((Utilities!$B$9-Utilities!$B$7)*(A163/Utilities!$B$1))</f>
        <v>49.2179</v>
      </c>
      <c r="C163">
        <f>Utilities!$B$9+((Utilities!$B$7-Utilities!$B$9)*EXP(-$B$2*A163))</f>
        <v>2.6000741834853134</v>
      </c>
      <c r="D163">
        <f>EXP(-1*SQRT(Utilities!$B$5)/(IF($B$1="Linear",B163,C163)*Utilities!$B$11))</f>
        <v>0.11353420782218525</v>
      </c>
      <c r="E163">
        <f>EXP(-1*SQRT(Utilities!$B$5/20)/(IF($B$1="Linear",B163,C163)*Utilities!$B$11))</f>
        <v>0.61478026062831248</v>
      </c>
    </row>
    <row r="164" spans="1:5" x14ac:dyDescent="0.3">
      <c r="A164">
        <v>159</v>
      </c>
      <c r="B164">
        <f>Utilities!$B$7+((Utilities!$B$9-Utilities!$B$7)*(A164/Utilities!$B$1))</f>
        <v>49.212949999999999</v>
      </c>
      <c r="C164">
        <f>Utilities!$B$9+((Utilities!$B$7-Utilities!$B$9)*EXP(-$B$2*A164))</f>
        <v>2.5584899284980716</v>
      </c>
      <c r="D164">
        <f>EXP(-1*SQRT(Utilities!$B$5)/(IF($B$1="Linear",B164,C164)*Utilities!$B$11))</f>
        <v>0.10958958842468546</v>
      </c>
      <c r="E164">
        <f>EXP(-1*SQRT(Utilities!$B$5/20)/(IF($B$1="Linear",B164,C164)*Utilities!$B$11))</f>
        <v>0.60993827497846587</v>
      </c>
    </row>
    <row r="165" spans="1:5" x14ac:dyDescent="0.3">
      <c r="A165">
        <v>160</v>
      </c>
      <c r="B165">
        <f>Utilities!$B$7+((Utilities!$B$9-Utilities!$B$7)*(A165/Utilities!$B$1))</f>
        <v>49.207999999999998</v>
      </c>
      <c r="C165">
        <f>Utilities!$B$9+((Utilities!$B$7-Utilities!$B$9)*EXP(-$B$2*A165))</f>
        <v>2.5177290969291275</v>
      </c>
      <c r="D165">
        <f>EXP(-1*SQRT(Utilities!$B$5)/(IF($B$1="Linear",B165,C165)*Utilities!$B$11))</f>
        <v>0.1057361807563385</v>
      </c>
      <c r="E165">
        <f>EXP(-1*SQRT(Utilities!$B$5/20)/(IF($B$1="Linear",B165,C165)*Utilities!$B$11))</f>
        <v>0.60507577846256044</v>
      </c>
    </row>
    <row r="166" spans="1:5" x14ac:dyDescent="0.3">
      <c r="A166">
        <v>161</v>
      </c>
      <c r="B166">
        <f>Utilities!$B$7+((Utilities!$B$9-Utilities!$B$7)*(A166/Utilities!$B$1))</f>
        <v>49.203049999999998</v>
      </c>
      <c r="C166">
        <f>Utilities!$B$9+((Utilities!$B$7-Utilities!$B$9)*EXP(-$B$2*A166))</f>
        <v>2.477775383902368</v>
      </c>
      <c r="D166">
        <f>EXP(-1*SQRT(Utilities!$B$5)/(IF($B$1="Linear",B166,C166)*Utilities!$B$11))</f>
        <v>0.10197398440750825</v>
      </c>
      <c r="E166">
        <f>EXP(-1*SQRT(Utilities!$B$5/20)/(IF($B$1="Linear",B166,C166)*Utilities!$B$11))</f>
        <v>0.60019377571433596</v>
      </c>
    </row>
    <row r="167" spans="1:5" x14ac:dyDescent="0.3">
      <c r="A167">
        <v>162</v>
      </c>
      <c r="B167">
        <f>Utilities!$B$7+((Utilities!$B$9-Utilities!$B$7)*(A167/Utilities!$B$1))</f>
        <v>49.198099999999997</v>
      </c>
      <c r="C167">
        <f>Utilities!$B$9+((Utilities!$B$7-Utilities!$B$9)*EXP(-$B$2*A167))</f>
        <v>2.4386128073998599</v>
      </c>
      <c r="D167">
        <f>EXP(-1*SQRT(Utilities!$B$5)/(IF($B$1="Linear",B167,C167)*Utilities!$B$11))</f>
        <v>9.8302906014632319E-2</v>
      </c>
      <c r="E167">
        <f>EXP(-1*SQRT(Utilities!$B$5/20)/(IF($B$1="Linear",B167,C167)*Utilities!$B$11))</f>
        <v>0.59529329236794781</v>
      </c>
    </row>
    <row r="168" spans="1:5" x14ac:dyDescent="0.3">
      <c r="A168">
        <v>163</v>
      </c>
      <c r="B168">
        <f>Utilities!$B$7+((Utilities!$B$9-Utilities!$B$7)*(A168/Utilities!$B$1))</f>
        <v>49.193150000000003</v>
      </c>
      <c r="C168">
        <f>Utilities!$B$9+((Utilities!$B$7-Utilities!$B$9)*EXP(-$B$2*A168))</f>
        <v>2.4002257018688269</v>
      </c>
      <c r="D168">
        <f>EXP(-1*SQRT(Utilities!$B$5)/(IF($B$1="Linear",B168,C168)*Utilities!$B$11))</f>
        <v>9.472276048575648E-2</v>
      </c>
      <c r="E168">
        <f>EXP(-1*SQRT(Utilities!$B$5/20)/(IF($B$1="Linear",B168,C168)*Utilities!$B$11))</f>
        <v>0.59037537437523546</v>
      </c>
    </row>
    <row r="169" spans="1:5" x14ac:dyDescent="0.3">
      <c r="A169">
        <v>164</v>
      </c>
      <c r="B169">
        <f>Utilities!$B$7+((Utilities!$B$9-Utilities!$B$7)*(A169/Utilities!$B$1))</f>
        <v>49.188200000000002</v>
      </c>
      <c r="C169">
        <f>Utilities!$B$9+((Utilities!$B$7-Utilities!$B$9)*EXP(-$B$2*A169))</f>
        <v>2.3625987119552221</v>
      </c>
      <c r="D169">
        <f>EXP(-1*SQRT(Utilities!$B$5)/(IF($B$1="Linear",B169,C169)*Utilities!$B$11))</f>
        <v>9.1233272442453189E-2</v>
      </c>
      <c r="E169">
        <f>EXP(-1*SQRT(Utilities!$B$5/20)/(IF($B$1="Linear",B169,C169)*Utilities!$B$11))</f>
        <v>0.58544108728180588</v>
      </c>
    </row>
    <row r="170" spans="1:5" x14ac:dyDescent="0.3">
      <c r="A170">
        <v>165</v>
      </c>
      <c r="B170">
        <f>Utilities!$B$7+((Utilities!$B$9-Utilities!$B$7)*(A170/Utilities!$B$1))</f>
        <v>49.183250000000001</v>
      </c>
      <c r="C170">
        <f>Utilities!$B$9+((Utilities!$B$7-Utilities!$B$9)*EXP(-$B$2*A170))</f>
        <v>2.3257167863613795</v>
      </c>
      <c r="D170">
        <f>EXP(-1*SQRT(Utilities!$B$5)/(IF($B$1="Linear",B170,C170)*Utilities!$B$11))</f>
        <v>8.7834077872515473E-2</v>
      </c>
      <c r="E170">
        <f>EXP(-1*SQRT(Utilities!$B$5/20)/(IF($B$1="Linear",B170,C170)*Utilities!$B$11))</f>
        <v>0.580491515462495</v>
      </c>
    </row>
    <row r="171" spans="1:5" x14ac:dyDescent="0.3">
      <c r="A171">
        <v>166</v>
      </c>
      <c r="B171">
        <f>Utilities!$B$7+((Utilities!$B$9-Utilities!$B$7)*(A171/Utilities!$B$1))</f>
        <v>49.1783</v>
      </c>
      <c r="C171">
        <f>Utilities!$B$9+((Utilities!$B$7-Utilities!$B$9)*EXP(-$B$2*A171))</f>
        <v>2.2895651718252976</v>
      </c>
      <c r="D171">
        <f>EXP(-1*SQRT(Utilities!$B$5)/(IF($B$1="Linear",B171,C171)*Utilities!$B$11))</f>
        <v>8.4524725986905955E-2</v>
      </c>
      <c r="E171">
        <f>EXP(-1*SQRT(Utilities!$B$5/20)/(IF($B$1="Linear",B171,C171)*Utilities!$B$11))</f>
        <v>0.57552776131689332</v>
      </c>
    </row>
    <row r="172" spans="1:5" x14ac:dyDescent="0.3">
      <c r="A172">
        <v>167</v>
      </c>
      <c r="B172">
        <f>Utilities!$B$7+((Utilities!$B$9-Utilities!$B$7)*(A172/Utilities!$B$1))</f>
        <v>49.173349999999999</v>
      </c>
      <c r="C172">
        <f>Utilities!$B$9+((Utilities!$B$7-Utilities!$B$9)*EXP(-$B$2*A172))</f>
        <v>2.2541294072191329</v>
      </c>
      <c r="D172">
        <f>EXP(-1*SQRT(Utilities!$B$5)/(IF($B$1="Linear",B172,C172)*Utilities!$B$11))</f>
        <v>8.1304681273558679E-2</v>
      </c>
      <c r="E172">
        <f>EXP(-1*SQRT(Utilities!$B$5/20)/(IF($B$1="Linear",B172,C172)*Utilities!$B$11))</f>
        <v>0.57055094442574594</v>
      </c>
    </row>
    <row r="173" spans="1:5" x14ac:dyDescent="0.3">
      <c r="A173">
        <v>168</v>
      </c>
      <c r="B173">
        <f>Utilities!$B$7+((Utilities!$B$9-Utilities!$B$7)*(A173/Utilities!$B$1))</f>
        <v>49.168399999999998</v>
      </c>
      <c r="C173">
        <f>Utilities!$B$9+((Utilities!$B$7-Utilities!$B$9)*EXP(-$B$2*A173))</f>
        <v>2.2193953177645591</v>
      </c>
      <c r="D173">
        <f>EXP(-1*SQRT(Utilities!$B$5)/(IF($B$1="Linear",B173,C173)*Utilities!$B$11))</f>
        <v>7.8173325739789454E-2</v>
      </c>
      <c r="E173">
        <f>EXP(-1*SQRT(Utilities!$B$5/20)/(IF($B$1="Linear",B173,C173)*Utilities!$B$11))</f>
        <v>0.56556220066916318</v>
      </c>
    </row>
    <row r="174" spans="1:5" x14ac:dyDescent="0.3">
      <c r="A174">
        <v>169</v>
      </c>
      <c r="B174">
        <f>Utilities!$B$7+((Utilities!$B$9-Utilities!$B$7)*(A174/Utilities!$B$1))</f>
        <v>49.163449999999997</v>
      </c>
      <c r="C174">
        <f>Utilities!$B$9+((Utilities!$B$7-Utilities!$B$9)*EXP(-$B$2*A174))</f>
        <v>2.1853490093626675</v>
      </c>
      <c r="D174">
        <f>EXP(-1*SQRT(Utilities!$B$5)/(IF($B$1="Linear",B174,C174)*Utilities!$B$11))</f>
        <v>7.5129961334269274E-2</v>
      </c>
      <c r="E174">
        <f>EXP(-1*SQRT(Utilities!$B$5/20)/(IF($B$1="Linear",B174,C174)*Utilities!$B$11))</f>
        <v>0.56056268130770215</v>
      </c>
    </row>
    <row r="175" spans="1:5" x14ac:dyDescent="0.3">
      <c r="A175">
        <v>170</v>
      </c>
      <c r="B175">
        <f>Utilities!$B$7+((Utilities!$B$9-Utilities!$B$7)*(A175/Utilities!$B$1))</f>
        <v>49.158499999999997</v>
      </c>
      <c r="C175">
        <f>Utilities!$B$9+((Utilities!$B$7-Utilities!$B$9)*EXP(-$B$2*A175))</f>
        <v>2.1519768630361407</v>
      </c>
      <c r="D175">
        <f>EXP(-1*SQRT(Utilities!$B$5)/(IF($B$1="Linear",B175,C175)*Utilities!$B$11))</f>
        <v>7.2173812538765592E-2</v>
      </c>
      <c r="E175">
        <f>EXP(-1*SQRT(Utilities!$B$5/20)/(IF($B$1="Linear",B175,C175)*Utilities!$B$11))</f>
        <v>0.55555355202750401</v>
      </c>
    </row>
    <row r="176" spans="1:5" x14ac:dyDescent="0.3">
      <c r="A176">
        <v>171</v>
      </c>
      <c r="B176">
        <f>Utilities!$B$7+((Utilities!$B$9-Utilities!$B$7)*(A176/Utilities!$B$1))</f>
        <v>49.153550000000003</v>
      </c>
      <c r="C176">
        <f>Utilities!$B$9+((Utilities!$B$7-Utilities!$B$9)*EXP(-$B$2*A176))</f>
        <v>2.1192655294814813</v>
      </c>
      <c r="D176">
        <f>EXP(-1*SQRT(Utilities!$B$5)/(IF($B$1="Linear",B176,C176)*Utilities!$B$11))</f>
        <v>6.930402911916049E-2</v>
      </c>
      <c r="E176">
        <f>EXP(-1*SQRT(Utilities!$B$5/20)/(IF($B$1="Linear",B176,C176)*Utilities!$B$11))</f>
        <v>0.55053599195079872</v>
      </c>
    </row>
    <row r="177" spans="1:5" x14ac:dyDescent="0.3">
      <c r="A177">
        <v>172</v>
      </c>
      <c r="B177">
        <f>Utilities!$B$7+((Utilities!$B$9-Utilities!$B$7)*(A177/Utilities!$B$1))</f>
        <v>49.148600000000002</v>
      </c>
      <c r="C177">
        <f>Utilities!$B$9+((Utilities!$B$7-Utilities!$B$9)*EXP(-$B$2*A177))</f>
        <v>2.0872019237291077</v>
      </c>
      <c r="D177">
        <f>EXP(-1*SQRT(Utilities!$B$5)/(IF($B$1="Linear",B177,C177)*Utilities!$B$11))</f>
        <v>6.6519689024616538E-2</v>
      </c>
      <c r="E177">
        <f>EXP(-1*SQRT(Utilities!$B$5/20)/(IF($B$1="Linear",B177,C177)*Utilities!$B$11))</f>
        <v>0.54551119261320857</v>
      </c>
    </row>
    <row r="178" spans="1:5" x14ac:dyDescent="0.3">
      <c r="A178">
        <v>173</v>
      </c>
      <c r="B178">
        <f>Utilities!$B$7+((Utilities!$B$9-Utilities!$B$7)*(A178/Utilities!$B$1))</f>
        <v>49.143650000000001</v>
      </c>
      <c r="C178">
        <f>Utilities!$B$9+((Utilities!$B$7-Utilities!$B$9)*EXP(-$B$2*A178))</f>
        <v>2.0557732199092014</v>
      </c>
      <c r="D178">
        <f>EXP(-1*SQRT(Utilities!$B$5)/(IF($B$1="Linear",B178,C178)*Utilities!$B$11))</f>
        <v>6.3819801423190742E-2</v>
      </c>
      <c r="E178">
        <f>EXP(-1*SQRT(Utilities!$B$5/20)/(IF($B$1="Linear",B178,C178)*Utilities!$B$11))</f>
        <v>0.54048035690940732</v>
      </c>
    </row>
    <row r="179" spans="1:5" x14ac:dyDescent="0.3">
      <c r="A179">
        <v>174</v>
      </c>
      <c r="B179">
        <f>Utilities!$B$7+((Utilities!$B$9-Utilities!$B$7)*(A179/Utilities!$B$1))</f>
        <v>49.1387</v>
      </c>
      <c r="C179">
        <f>Utilities!$B$9+((Utilities!$B$7-Utilities!$B$9)*EXP(-$B$2*A179))</f>
        <v>2.0249668461211785</v>
      </c>
      <c r="D179">
        <f>EXP(-1*SQRT(Utilities!$B$5)/(IF($B$1="Linear",B179,C179)*Utilities!$B$11))</f>
        <v>6.1203309861685873E-2</v>
      </c>
      <c r="E179">
        <f>EXP(-1*SQRT(Utilities!$B$5/20)/(IF($B$1="Linear",B179,C179)*Utilities!$B$11))</f>
        <v>0.53544469800880312</v>
      </c>
    </row>
    <row r="180" spans="1:5" x14ac:dyDescent="0.3">
      <c r="A180">
        <v>175</v>
      </c>
      <c r="B180">
        <f>Utilities!$B$7+((Utilities!$B$9-Utilities!$B$7)*(A180/Utilities!$B$1))</f>
        <v>49.133749999999999</v>
      </c>
      <c r="C180">
        <f>Utilities!$B$9+((Utilities!$B$7-Utilities!$B$9)*EXP(-$B$2*A180))</f>
        <v>1.9947704794047658</v>
      </c>
      <c r="D180">
        <f>EXP(-1*SQRT(Utilities!$B$5)/(IF($B$1="Linear",B180,C180)*Utilities!$B$11))</f>
        <v>5.8669095537099196E-2</v>
      </c>
      <c r="E180">
        <f>EXP(-1*SQRT(Utilities!$B$5/20)/(IF($B$1="Linear",B180,C180)*Utilities!$B$11))</f>
        <v>0.53040543824303765</v>
      </c>
    </row>
    <row r="181" spans="1:5" x14ac:dyDescent="0.3">
      <c r="A181">
        <v>176</v>
      </c>
      <c r="B181">
        <f>Utilities!$B$7+((Utilities!$B$9-Utilities!$B$7)*(A181/Utilities!$B$1))</f>
        <v>49.128799999999998</v>
      </c>
      <c r="C181">
        <f>Utilities!$B$9+((Utilities!$B$7-Utilities!$B$9)*EXP(-$B$2*A181))</f>
        <v>1.9651720408106539</v>
      </c>
      <c r="D181">
        <f>EXP(-1*SQRT(Utilities!$B$5)/(IF($B$1="Linear",B181,C181)*Utilities!$B$11))</f>
        <v>5.6215980666662939E-2</v>
      </c>
      <c r="E181">
        <f>EXP(-1*SQRT(Utilities!$B$5/20)/(IF($B$1="Linear",B181,C181)*Utilities!$B$11))</f>
        <v>0.52536380796719939</v>
      </c>
    </row>
    <row r="182" spans="1:5" x14ac:dyDescent="0.3">
      <c r="A182">
        <v>177</v>
      </c>
      <c r="B182">
        <f>Utilities!$B$7+((Utilities!$B$9-Utilities!$B$7)*(A182/Utilities!$B$1))</f>
        <v>49.123849999999997</v>
      </c>
      <c r="C182">
        <f>Utilities!$B$9+((Utilities!$B$7-Utilities!$B$9)*EXP(-$B$2*A182))</f>
        <v>1.9361596905687541</v>
      </c>
      <c r="D182">
        <f>EXP(-1*SQRT(Utilities!$B$5)/(IF($B$1="Linear",B182,C182)*Utilities!$B$11))</f>
        <v>5.3842731943185847E-2</v>
      </c>
      <c r="E182">
        <f>EXP(-1*SQRT(Utilities!$B$5/20)/(IF($B$1="Linear",B182,C182)*Utilities!$B$11))</f>
        <v>0.52032104439675875</v>
      </c>
    </row>
    <row r="183" spans="1:5" x14ac:dyDescent="0.3">
      <c r="A183">
        <v>178</v>
      </c>
      <c r="B183">
        <f>Utilities!$B$7+((Utilities!$B$9-Utilities!$B$7)*(A183/Utilities!$B$1))</f>
        <v>49.118899999999996</v>
      </c>
      <c r="C183">
        <f>Utilities!$B$9+((Utilities!$B$7-Utilities!$B$9)*EXP(-$B$2*A183))</f>
        <v>1.9077218233521329</v>
      </c>
      <c r="D183">
        <f>EXP(-1*SQRT(Utilities!$B$5)/(IF($B$1="Linear",B183,C183)*Utilities!$B$11))</f>
        <v>5.1548064062197758E-2</v>
      </c>
      <c r="E183">
        <f>EXP(-1*SQRT(Utilities!$B$5/20)/(IF($B$1="Linear",B183,C183)*Utilities!$B$11))</f>
        <v>0.51527839042233425</v>
      </c>
    </row>
    <row r="184" spans="1:5" x14ac:dyDescent="0.3">
      <c r="A184">
        <v>179</v>
      </c>
      <c r="B184">
        <f>Utilities!$B$7+((Utilities!$B$9-Utilities!$B$7)*(A184/Utilities!$B$1))</f>
        <v>49.113950000000003</v>
      </c>
      <c r="C184">
        <f>Utilities!$B$9+((Utilities!$B$7-Utilities!$B$9)*EXP(-$B$2*A184))</f>
        <v>1.8798470636347273</v>
      </c>
      <c r="D184">
        <f>EXP(-1*SQRT(Utilities!$B$5)/(IF($B$1="Linear",B184,C184)*Utilities!$B$11))</f>
        <v>4.9330643307266886E-2</v>
      </c>
      <c r="E184">
        <f>EXP(-1*SQRT(Utilities!$B$5/20)/(IF($B$1="Linear",B184,C184)*Utilities!$B$11))</f>
        <v>0.51023709340450019</v>
      </c>
    </row>
    <row r="185" spans="1:5" x14ac:dyDescent="0.3">
      <c r="A185">
        <v>180</v>
      </c>
      <c r="B185">
        <f>Utilities!$B$7+((Utilities!$B$9-Utilities!$B$7)*(A185/Utilities!$B$1))</f>
        <v>49.109000000000002</v>
      </c>
      <c r="C185">
        <f>Utilities!$B$9+((Utilities!$B$7-Utilities!$B$9)*EXP(-$B$2*A185))</f>
        <v>1.8525242611409816</v>
      </c>
      <c r="D185">
        <f>EXP(-1*SQRT(Utilities!$B$5)/(IF($B$1="Linear",B185,C185)*Utilities!$B$11))</f>
        <v>4.7189091179808684E-2</v>
      </c>
      <c r="E185">
        <f>EXP(-1*SQRT(Utilities!$B$5/20)/(IF($B$1="Linear",B185,C185)*Utilities!$B$11))</f>
        <v>0.50519840395093063</v>
      </c>
    </row>
    <row r="186" spans="1:5" x14ac:dyDescent="0.3">
      <c r="A186">
        <v>181</v>
      </c>
      <c r="B186">
        <f>Utilities!$B$7+((Utilities!$B$9-Utilities!$B$7)*(A186/Utilities!$B$1))</f>
        <v>49.104050000000001</v>
      </c>
      <c r="C186">
        <f>Utilities!$B$9+((Utilities!$B$7-Utilities!$B$9)*EXP(-$B$2*A186))</f>
        <v>1.8257424863855896</v>
      </c>
      <c r="D186">
        <f>EXP(-1*SQRT(Utilities!$B$5)/(IF($B$1="Linear",B186,C186)*Utilities!$B$11))</f>
        <v>4.5121988059731104E-2</v>
      </c>
      <c r="E186">
        <f>EXP(-1*SQRT(Utilities!$B$5/20)/(IF($B$1="Linear",B186,C186)*Utilities!$B$11))</f>
        <v>0.50016357467826722</v>
      </c>
    </row>
    <row r="187" spans="1:5" x14ac:dyDescent="0.3">
      <c r="A187">
        <v>182</v>
      </c>
      <c r="B187">
        <f>Utilities!$B$7+((Utilities!$B$9-Utilities!$B$7)*(A187/Utilities!$B$1))</f>
        <v>49.0991</v>
      </c>
      <c r="C187">
        <f>Utilities!$B$9+((Utilities!$B$7-Utilities!$B$9)*EXP(-$B$2*A187))</f>
        <v>1.799491026301554</v>
      </c>
      <c r="D187">
        <f>EXP(-1*SQRT(Utilities!$B$5)/(IF($B$1="Linear",B187,C187)*Utilities!$B$11))</f>
        <v>4.3127876883363586E-2</v>
      </c>
      <c r="E187">
        <f>EXP(-1*SQRT(Utilities!$B$5/20)/(IF($B$1="Linear",B187,C187)*Utilities!$B$11))</f>
        <v>0.49513385896116907</v>
      </c>
    </row>
    <row r="188" spans="1:5" x14ac:dyDescent="0.3">
      <c r="A188">
        <v>183</v>
      </c>
      <c r="B188">
        <f>Utilities!$B$7+((Utilities!$B$9-Utilities!$B$7)*(A188/Utilities!$B$1))</f>
        <v>49.094149999999999</v>
      </c>
      <c r="C188">
        <f>Utilities!$B$9+((Utilities!$B$7-Utilities!$B$9)*EXP(-$B$2*A188))</f>
        <v>1.773759379954817</v>
      </c>
      <c r="D188">
        <f>EXP(-1*SQRT(Utilities!$B$5)/(IF($B$1="Linear",B188,C188)*Utilities!$B$11))</f>
        <v>4.1205266825296641E-2</v>
      </c>
      <c r="E188">
        <f>EXP(-1*SQRT(Utilities!$B$5/20)/(IF($B$1="Linear",B188,C188)*Utilities!$B$11))</f>
        <v>0.49011050967107844</v>
      </c>
    </row>
    <row r="189" spans="1:5" x14ac:dyDescent="0.3">
      <c r="A189">
        <v>184</v>
      </c>
      <c r="B189">
        <f>Utilities!$B$7+((Utilities!$B$9-Utilities!$B$7)*(A189/Utilities!$B$1))</f>
        <v>49.089199999999998</v>
      </c>
      <c r="C189">
        <f>Utilities!$B$9+((Utilities!$B$7-Utilities!$B$9)*EXP(-$B$2*A189))</f>
        <v>1.748537254343747</v>
      </c>
      <c r="D189">
        <f>EXP(-1*SQRT(Utilities!$B$5)/(IF($B$1="Linear",B189,C189)*Utilities!$B$11))</f>
        <v>3.9352636971010421E-2</v>
      </c>
      <c r="E189">
        <f>EXP(-1*SQRT(Utilities!$B$5/20)/(IF($B$1="Linear",B189,C189)*Utilities!$B$11))</f>
        <v>0.48509477790729522</v>
      </c>
    </row>
    <row r="190" spans="1:5" x14ac:dyDescent="0.3">
      <c r="A190">
        <v>185</v>
      </c>
      <c r="B190">
        <f>Utilities!$B$7+((Utilities!$B$9-Utilities!$B$7)*(A190/Utilities!$B$1))</f>
        <v>49.084249999999997</v>
      </c>
      <c r="C190">
        <f>Utilities!$B$9+((Utilities!$B$7-Utilities!$B$9)*EXP(-$B$2*A190))</f>
        <v>1.7238145602817998</v>
      </c>
      <c r="D190">
        <f>EXP(-1*SQRT(Utilities!$B$5)/(IF($B$1="Linear",B190,C190)*Utilities!$B$11))</f>
        <v>3.7568439967492734E-2</v>
      </c>
      <c r="E190">
        <f>EXP(-1*SQRT(Utilities!$B$5/20)/(IF($B$1="Linear",B190,C190)*Utilities!$B$11))</f>
        <v>0.48008791172300769</v>
      </c>
    </row>
    <row r="191" spans="1:5" x14ac:dyDescent="0.3">
      <c r="A191">
        <v>186</v>
      </c>
      <c r="B191">
        <f>Utilities!$B$7+((Utilities!$B$9-Utilities!$B$7)*(A191/Utilities!$B$1))</f>
        <v>49.079300000000003</v>
      </c>
      <c r="C191">
        <f>Utilities!$B$9+((Utilities!$B$7-Utilities!$B$9)*EXP(-$B$2*A191))</f>
        <v>1.69958140836171</v>
      </c>
      <c r="D191">
        <f>EXP(-1*SQRT(Utilities!$B$5)/(IF($B$1="Linear",B191,C191)*Utilities!$B$11))</f>
        <v>3.5851105639436713E-2</v>
      </c>
      <c r="E191">
        <f>EXP(-1*SQRT(Utilities!$B$5/20)/(IF($B$1="Linear",B191,C191)*Utilities!$B$11))</f>
        <v>0.47509115484897263</v>
      </c>
    </row>
    <row r="192" spans="1:5" x14ac:dyDescent="0.3">
      <c r="A192">
        <v>187</v>
      </c>
      <c r="B192">
        <f>Utilities!$B$7+((Utilities!$B$9-Utilities!$B$7)*(A192/Utilities!$B$1))</f>
        <v>49.074350000000003</v>
      </c>
      <c r="C192">
        <f>Utilities!$B$9+((Utilities!$B$7-Utilities!$B$9)*EXP(-$B$2*A192))</f>
        <v>1.6758281049995973</v>
      </c>
      <c r="D192">
        <f>EXP(-1*SQRT(Utilities!$B$5)/(IF($B$1="Linear",B192,C192)*Utilities!$B$11))</f>
        <v>3.4199044559060539E-2</v>
      </c>
      <c r="E192">
        <f>EXP(-1*SQRT(Utilities!$B$5/20)/(IF($B$1="Linear",B192,C192)*Utilities!$B$11))</f>
        <v>0.47010574541757388</v>
      </c>
    </row>
    <row r="193" spans="1:5" x14ac:dyDescent="0.3">
      <c r="A193">
        <v>188</v>
      </c>
      <c r="B193">
        <f>Utilities!$B$7+((Utilities!$B$9-Utilities!$B$7)*(A193/Utilities!$B$1))</f>
        <v>49.069400000000002</v>
      </c>
      <c r="C193">
        <f>Utilities!$B$9+((Utilities!$B$7-Utilities!$B$9)*EXP(-$B$2*A193))</f>
        <v>1.6525451485574014</v>
      </c>
      <c r="D193">
        <f>EXP(-1*SQRT(Utilities!$B$5)/(IF($B$1="Linear",B193,C193)*Utilities!$B$11))</f>
        <v>3.261065155810277E-2</v>
      </c>
      <c r="E193">
        <f>EXP(-1*SQRT(Utilities!$B$5/20)/(IF($B$1="Linear",B193,C193)*Utilities!$B$11))</f>
        <v>0.465132914690011</v>
      </c>
    </row>
    <row r="194" spans="1:5" x14ac:dyDescent="0.3">
      <c r="A194">
        <v>189</v>
      </c>
      <c r="B194">
        <f>Utilities!$B$7+((Utilities!$B$9-Utilities!$B$7)*(A194/Utilities!$B$1))</f>
        <v>49.064450000000001</v>
      </c>
      <c r="C194">
        <f>Utilities!$B$9+((Utilities!$B$7-Utilities!$B$9)*EXP(-$B$2*A194))</f>
        <v>1.6297232255421021</v>
      </c>
      <c r="D194">
        <f>EXP(-1*SQRT(Utilities!$B$5)/(IF($B$1="Linear",B194,C194)*Utilities!$B$11))</f>
        <v>3.1084309171112597E-2</v>
      </c>
      <c r="E194">
        <f>EXP(-1*SQRT(Utilities!$B$5/20)/(IF($B$1="Linear",B194,C194)*Utilities!$B$11))</f>
        <v>0.4601738857893935</v>
      </c>
    </row>
    <row r="195" spans="1:5" x14ac:dyDescent="0.3">
      <c r="A195">
        <v>190</v>
      </c>
      <c r="B195">
        <f>Utilities!$B$7+((Utilities!$B$9-Utilities!$B$7)*(A195/Utilities!$B$1))</f>
        <v>49.0595</v>
      </c>
      <c r="C195">
        <f>Utilities!$B$9+((Utilities!$B$7-Utilities!$B$9)*EXP(-$B$2*A195))</f>
        <v>1.6073532068801968</v>
      </c>
      <c r="D195">
        <f>EXP(-1*SQRT(Utilities!$B$5)/(IF($B$1="Linear",B195,C195)*Utilities!$B$11))</f>
        <v>2.961839099976786E-2</v>
      </c>
      <c r="E195">
        <f>EXP(-1*SQRT(Utilities!$B$5/20)/(IF($B$1="Linear",B195,C195)*Utilities!$B$11))</f>
        <v>0.45522987244251423</v>
      </c>
    </row>
    <row r="196" spans="1:5" x14ac:dyDescent="0.3">
      <c r="A196">
        <v>191</v>
      </c>
      <c r="B196">
        <f>Utilities!$B$7+((Utilities!$B$9-Utilities!$B$7)*(A196/Utilities!$B$1))</f>
        <v>49.054549999999999</v>
      </c>
      <c r="C196">
        <f>Utilities!$B$9+((Utilities!$B$7-Utilities!$B$9)*EXP(-$B$2*A196))</f>
        <v>1.5854261442659496</v>
      </c>
      <c r="D196">
        <f>EXP(-1*SQRT(Utilities!$B$5)/(IF($B$1="Linear",B196,C196)*Utilities!$B$11))</f>
        <v>2.8211264988611876E-2</v>
      </c>
      <c r="E196">
        <f>EXP(-1*SQRT(Utilities!$B$5/20)/(IF($B$1="Linear",B196,C196)*Utilities!$B$11))</f>
        <v>0.45030207773307868</v>
      </c>
    </row>
    <row r="197" spans="1:5" x14ac:dyDescent="0.3">
      <c r="A197">
        <v>192</v>
      </c>
      <c r="B197">
        <f>Utilities!$B$7+((Utilities!$B$9-Utilities!$B$7)*(A197/Utilities!$B$1))</f>
        <v>49.049599999999998</v>
      </c>
      <c r="C197">
        <f>Utilities!$B$9+((Utilities!$B$7-Utilities!$B$9)*EXP(-$B$2*A197))</f>
        <v>1.5639332665819512</v>
      </c>
      <c r="D197">
        <f>EXP(-1*SQRT(Utilities!$B$5)/(IF($B$1="Linear",B197,C197)*Utilities!$B$11))</f>
        <v>2.6861296603295157E-2</v>
      </c>
      <c r="E197">
        <f>EXP(-1*SQRT(Utilities!$B$5/20)/(IF($B$1="Linear",B197,C197)*Utilities!$B$11))</f>
        <v>0.44539169286914843</v>
      </c>
    </row>
    <row r="198" spans="1:5" x14ac:dyDescent="0.3">
      <c r="A198">
        <v>193</v>
      </c>
      <c r="B198">
        <f>Utilities!$B$7+((Utilities!$B$9-Utilities!$B$7)*(A198/Utilities!$B$1))</f>
        <v>49.044649999999997</v>
      </c>
      <c r="C198">
        <f>Utilities!$B$9+((Utilities!$B$7-Utilities!$B$9)*EXP(-$B$2*A198))</f>
        <v>1.542865976390551</v>
      </c>
      <c r="D198">
        <f>EXP(-1*SQRT(Utilities!$B$5)/(IF($B$1="Linear",B198,C198)*Utilities!$B$11))</f>
        <v>2.5566851903135512E-2</v>
      </c>
      <c r="E198">
        <f>EXP(-1*SQRT(Utilities!$B$5/20)/(IF($B$1="Linear",B198,C198)*Utilities!$B$11))</f>
        <v>0.44049989596753442</v>
      </c>
    </row>
    <row r="199" spans="1:5" x14ac:dyDescent="0.3">
      <c r="A199">
        <v>194</v>
      </c>
      <c r="B199">
        <f>Utilities!$B$7+((Utilities!$B$9-Utilities!$B$7)*(A199/Utilities!$B$1))</f>
        <v>49.039700000000003</v>
      </c>
      <c r="C199">
        <f>Utilities!$B$9+((Utilities!$B$7-Utilities!$B$9)*EXP(-$B$2*A199))</f>
        <v>1.5222158464947719</v>
      </c>
      <c r="D199">
        <f>EXP(-1*SQRT(Utilities!$B$5)/(IF($B$1="Linear",B199,C199)*Utilities!$B$11))</f>
        <v>2.4326300500563742E-2</v>
      </c>
      <c r="E199">
        <f>EXP(-1*SQRT(Utilities!$B$5/20)/(IF($B$1="Linear",B199,C199)*Utilities!$B$11))</f>
        <v>0.43562785085784345</v>
      </c>
    </row>
    <row r="200" spans="1:5" x14ac:dyDescent="0.3">
      <c r="A200">
        <v>195</v>
      </c>
      <c r="B200">
        <f>Utilities!$B$7+((Utilities!$B$9-Utilities!$B$7)*(A200/Utilities!$B$1))</f>
        <v>49.034750000000003</v>
      </c>
      <c r="C200">
        <f>Utilities!$B$9+((Utilities!$B$7-Utilities!$B$9)*EXP(-$B$2*A200))</f>
        <v>1.5019746165673173</v>
      </c>
      <c r="D200">
        <f>EXP(-1*SQRT(Utilities!$B$5)/(IF($B$1="Linear",B200,C200)*Utilities!$B$11))</f>
        <v>2.3138018400794123E-2</v>
      </c>
      <c r="E200">
        <f>EXP(-1*SQRT(Utilities!$B$5/20)/(IF($B$1="Linear",B200,C200)*Utilities!$B$11))</f>
        <v>0.43077670590883077</v>
      </c>
    </row>
    <row r="201" spans="1:5" x14ac:dyDescent="0.3">
      <c r="A201">
        <v>196</v>
      </c>
      <c r="B201">
        <f>Utilities!$B$7+((Utilities!$B$9-Utilities!$B$7)*(A201/Utilities!$B$1))</f>
        <v>49.029800000000002</v>
      </c>
      <c r="C201">
        <f>Utilities!$B$9+((Utilities!$B$7-Utilities!$B$9)*EXP(-$B$2*A201))</f>
        <v>1.4821341898463292</v>
      </c>
      <c r="D201">
        <f>EXP(-1*SQRT(Utilities!$B$5)/(IF($B$1="Linear",B201,C201)*Utilities!$B$11))</f>
        <v>2.2000390715846828E-2</v>
      </c>
      <c r="E201">
        <f>EXP(-1*SQRT(Utilities!$B$5/20)/(IF($B$1="Linear",B201,C201)*Utilities!$B$11))</f>
        <v>0.42594759287966211</v>
      </c>
    </row>
    <row r="202" spans="1:5" x14ac:dyDescent="0.3">
      <c r="A202">
        <v>197</v>
      </c>
      <c r="B202">
        <f>Utilities!$B$7+((Utilities!$B$9-Utilities!$B$7)*(A202/Utilities!$B$1))</f>
        <v>49.024850000000001</v>
      </c>
      <c r="C202">
        <f>Utilities!$B$9+((Utilities!$B$7-Utilities!$B$9)*EXP(-$B$2*A202))</f>
        <v>1.4626866298965768</v>
      </c>
      <c r="D202">
        <f>EXP(-1*SQRT(Utilities!$B$5)/(IF($B$1="Linear",B202,C202)*Utilities!$B$11))</f>
        <v>2.0911814247843601E-2</v>
      </c>
      <c r="E202">
        <f>EXP(-1*SQRT(Utilities!$B$5/20)/(IF($B$1="Linear",B202,C202)*Utilities!$B$11))</f>
        <v>0.42114162579862136</v>
      </c>
    </row>
    <row r="203" spans="1:5" x14ac:dyDescent="0.3">
      <c r="A203">
        <v>198</v>
      </c>
      <c r="B203">
        <f>Utilities!$B$7+((Utilities!$B$9-Utilities!$B$7)*(A203/Utilities!$B$1))</f>
        <v>49.0199</v>
      </c>
      <c r="C203">
        <f>Utilities!$B$9+((Utilities!$B$7-Utilities!$B$9)*EXP(-$B$2*A203))</f>
        <v>1.4436241574347761</v>
      </c>
      <c r="D203">
        <f>EXP(-1*SQRT(Utilities!$B$5)/(IF($B$1="Linear",B203,C203)*Utilities!$B$11))</f>
        <v>1.9870699937294425E-2</v>
      </c>
      <c r="E203">
        <f>EXP(-1*SQRT(Utilities!$B$5/20)/(IF($B$1="Linear",B203,C203)*Utilities!$B$11))</f>
        <v>0.41635989987172378</v>
      </c>
    </row>
    <row r="204" spans="1:5" x14ac:dyDescent="0.3">
      <c r="A204">
        <v>199</v>
      </c>
      <c r="B204">
        <f>Utilities!$B$7+((Utilities!$B$9-Utilities!$B$7)*(A204/Utilities!$B$1))</f>
        <v>49.014949999999999</v>
      </c>
      <c r="C204">
        <f>Utilities!$B$9+((Utilities!$B$7-Utilities!$B$9)*EXP(-$B$2*A204))</f>
        <v>1.4249391472177724</v>
      </c>
      <c r="D204">
        <f>EXP(-1*SQRT(Utilities!$B$5)/(IF($B$1="Linear",B204,C204)*Utilities!$B$11))</f>
        <v>1.8875475172885934E-2</v>
      </c>
      <c r="E204">
        <f>EXP(-1*SQRT(Utilities!$B$5/20)/(IF($B$1="Linear",B204,C204)*Utilities!$B$11))</f>
        <v>0.41160349042361399</v>
      </c>
    </row>
    <row r="205" spans="1:5" x14ac:dyDescent="0.3">
      <c r="A205">
        <v>200</v>
      </c>
      <c r="B205">
        <f>Utilities!$B$7+((Utilities!$B$9-Utilities!$B$7)*(A205/Utilities!$B$1))</f>
        <v>49.01</v>
      </c>
      <c r="C205">
        <f>Utilities!$B$9+((Utilities!$B$7-Utilities!$B$9)*EXP(-$B$2*A205))</f>
        <v>1.4066241249923417</v>
      </c>
      <c r="D205">
        <f>EXP(-1*SQRT(Utilities!$B$5)/(IF($B$1="Linear",B205,C205)*Utilities!$B$11))</f>
        <v>1.7924585960065624E-2</v>
      </c>
      <c r="E205">
        <f>EXP(-1*SQRT(Utilities!$B$5/20)/(IF($B$1="Linear",B205,C205)*Utilities!$B$11))</f>
        <v>0.40687345187303159</v>
      </c>
    </row>
    <row r="206" spans="1:5" x14ac:dyDescent="0.3">
      <c r="A206">
        <v>201</v>
      </c>
      <c r="B206">
        <f>Utilities!$B$7+((Utilities!$B$9-Utilities!$B$7)*(A206/Utilities!$B$1))</f>
        <v>49.005049999999997</v>
      </c>
      <c r="C206">
        <f>Utilities!$B$9+((Utilities!$B$7-Utilities!$B$9)*EXP(-$B$2*A206))</f>
        <v>1.388671764505391</v>
      </c>
      <c r="D206">
        <f>EXP(-1*SQRT(Utilities!$B$5)/(IF($B$1="Linear",B206,C206)*Utilities!$B$11))</f>
        <v>1.7016498946484812E-2</v>
      </c>
      <c r="E206">
        <f>EXP(-1*SQRT(Utilities!$B$5/20)/(IF($B$1="Linear",B206,C206)*Utilities!$B$11))</f>
        <v>0.40217081674502614</v>
      </c>
    </row>
    <row r="207" spans="1:5" x14ac:dyDescent="0.3">
      <c r="A207">
        <v>202</v>
      </c>
      <c r="B207">
        <f>Utilities!$B$7+((Utilities!$B$9-Utilities!$B$7)*(A207/Utilities!$B$1))</f>
        <v>49.000100000000003</v>
      </c>
      <c r="C207">
        <f>Utilities!$B$9+((Utilities!$B$7-Utilities!$B$9)*EXP(-$B$2*A207))</f>
        <v>1.3710748845733578</v>
      </c>
      <c r="D207">
        <f>EXP(-1*SQRT(Utilities!$B$5)/(IF($B$1="Linear",B207,C207)*Utilities!$B$11))</f>
        <v>1.6149703303112554E-2</v>
      </c>
      <c r="E207">
        <f>EXP(-1*SQRT(Utilities!$B$5/20)/(IF($B$1="Linear",B207,C207)*Utilities!$B$11))</f>
        <v>0.39749659472199395</v>
      </c>
    </row>
    <row r="208" spans="1:5" x14ac:dyDescent="0.3">
      <c r="A208">
        <v>203</v>
      </c>
      <c r="B208">
        <f>Utilities!$B$7+((Utilities!$B$9-Utilities!$B$7)*(A208/Utilities!$B$1))</f>
        <v>48.995150000000002</v>
      </c>
      <c r="C208">
        <f>Utilities!$B$9+((Utilities!$B$7-Utilities!$B$9)*EXP(-$B$2*A208))</f>
        <v>1.3538264462096401</v>
      </c>
      <c r="D208">
        <f>EXP(-1*SQRT(Utilities!$B$5)/(IF($B$1="Linear",B208,C208)*Utilities!$B$11))</f>
        <v>1.5322712460558677E-2</v>
      </c>
      <c r="E208">
        <f>EXP(-1*SQRT(Utilities!$B$5/20)/(IF($B$1="Linear",B208,C208)*Utilities!$B$11))</f>
        <v>0.39285177173548919</v>
      </c>
    </row>
    <row r="209" spans="1:5" x14ac:dyDescent="0.3">
      <c r="A209">
        <v>204</v>
      </c>
      <c r="B209">
        <f>Utilities!$B$7+((Utilities!$B$9-Utilities!$B$7)*(A209/Utilities!$B$1))</f>
        <v>48.990200000000002</v>
      </c>
      <c r="C209">
        <f>Utilities!$B$9+((Utilities!$B$7-Utilities!$B$9)*EXP(-$B$2*A209))</f>
        <v>1.3369195498089113</v>
      </c>
      <c r="D209">
        <f>EXP(-1*SQRT(Utilities!$B$5)/(IF($B$1="Linear",B209,C209)*Utilities!$B$11))</f>
        <v>1.4534065700841148E-2</v>
      </c>
      <c r="E209">
        <f>EXP(-1*SQRT(Utilities!$B$5/20)/(IF($B$1="Linear",B209,C209)*Utilities!$B$11))</f>
        <v>0.38823730910063992</v>
      </c>
    </row>
    <row r="210" spans="1:5" x14ac:dyDescent="0.3">
      <c r="A210">
        <v>205</v>
      </c>
      <c r="B210">
        <f>Utilities!$B$7+((Utilities!$B$9-Utilities!$B$7)*(A210/Utilities!$B$1))</f>
        <v>48.985250000000001</v>
      </c>
      <c r="C210">
        <f>Utilities!$B$9+((Utilities!$B$7-Utilities!$B$9)*EXP(-$B$2*A210))</f>
        <v>1.320347432387182</v>
      </c>
      <c r="D210">
        <f>EXP(-1*SQRT(Utilities!$B$5)/(IF($B$1="Linear",B210,C210)*Utilities!$B$11))</f>
        <v>1.378232960549796E-2</v>
      </c>
      <c r="E210">
        <f>EXP(-1*SQRT(Utilities!$B$5/20)/(IF($B$1="Linear",B210,C210)*Utilities!$B$11))</f>
        <v>0.38365414269486159</v>
      </c>
    </row>
    <row r="211" spans="1:5" x14ac:dyDescent="0.3">
      <c r="A211">
        <v>206</v>
      </c>
      <c r="B211">
        <f>Utilities!$B$7+((Utilities!$B$9-Utilities!$B$7)*(A211/Utilities!$B$1))</f>
        <v>48.9803</v>
      </c>
      <c r="C211">
        <f>Utilities!$B$9+((Utilities!$B$7-Utilities!$B$9)*EXP(-$B$2*A211))</f>
        <v>1.3041034648765186</v>
      </c>
      <c r="D211">
        <f>EXP(-1*SQRT(Utilities!$B$5)/(IF($B$1="Linear",B211,C211)*Utilities!$B$11))</f>
        <v>1.30660993615747E-2</v>
      </c>
      <c r="E211">
        <f>EXP(-1*SQRT(Utilities!$B$5/20)/(IF($B$1="Linear",B211,C211)*Utilities!$B$11))</f>
        <v>0.37910318218243116</v>
      </c>
    </row>
    <row r="212" spans="1:5" x14ac:dyDescent="0.3">
      <c r="A212">
        <v>207</v>
      </c>
      <c r="B212">
        <f>Utilities!$B$7+((Utilities!$B$9-Utilities!$B$7)*(A212/Utilities!$B$1))</f>
        <v>48.975349999999999</v>
      </c>
      <c r="C212">
        <f>Utilities!$B$9+((Utilities!$B$7-Utilities!$B$9)*EXP(-$B$2*A212))</f>
        <v>1.2881811494733291</v>
      </c>
      <c r="D212">
        <f>EXP(-1*SQRT(Utilities!$B$5)/(IF($B$1="Linear",B212,C212)*Utilities!$B$11))</f>
        <v>1.2383999927610341E-2</v>
      </c>
      <c r="E212">
        <f>EXP(-1*SQRT(Utilities!$B$5/20)/(IF($B$1="Linear",B212,C212)*Utilities!$B$11))</f>
        <v>0.37458531028633385</v>
      </c>
    </row>
    <row r="213" spans="1:5" x14ac:dyDescent="0.3">
      <c r="A213">
        <v>208</v>
      </c>
      <c r="B213">
        <f>Utilities!$B$7+((Utilities!$B$9-Utilities!$B$7)*(A213/Utilities!$B$1))</f>
        <v>48.970399999999998</v>
      </c>
      <c r="C213">
        <f>Utilities!$B$9+((Utilities!$B$7-Utilities!$B$9)*EXP(-$B$2*A213))</f>
        <v>1.27257411703915</v>
      </c>
      <c r="D213">
        <f>EXP(-1*SQRT(Utilities!$B$5)/(IF($B$1="Linear",B213,C213)*Utilities!$B$11))</f>
        <v>1.1734687062294937E-2</v>
      </c>
      <c r="E213">
        <f>EXP(-1*SQRT(Utilities!$B$5/20)/(IF($B$1="Linear",B213,C213)*Utilities!$B$11))</f>
        <v>0.3701013821086499</v>
      </c>
    </row>
    <row r="214" spans="1:5" x14ac:dyDescent="0.3">
      <c r="A214">
        <v>209</v>
      </c>
      <c r="B214">
        <f>Utilities!$B$7+((Utilities!$B$9-Utilities!$B$7)*(A214/Utilities!$B$1))</f>
        <v>48.965449999999997</v>
      </c>
      <c r="C214">
        <f>Utilities!$B$9+((Utilities!$B$7-Utilities!$B$9)*EXP(-$B$2*A214))</f>
        <v>1.2572761245529132</v>
      </c>
      <c r="D214">
        <f>EXP(-1*SQRT(Utilities!$B$5)/(IF($B$1="Linear",B214,C214)*Utilities!$B$11))</f>
        <v>1.111684821898304E-2</v>
      </c>
      <c r="E214">
        <f>EXP(-1*SQRT(Utilities!$B$5/20)/(IF($B$1="Linear",B214,C214)*Utilities!$B$11))</f>
        <v>0.36565222450060064</v>
      </c>
    </row>
    <row r="215" spans="1:5" x14ac:dyDescent="0.3">
      <c r="A215">
        <v>210</v>
      </c>
      <c r="B215">
        <f>Utilities!$B$7+((Utilities!$B$9-Utilities!$B$7)*(A215/Utilities!$B$1))</f>
        <v>48.960500000000003</v>
      </c>
      <c r="C215">
        <f>Utilities!$B$9+((Utilities!$B$7-Utilities!$B$9)*EXP(-$B$2*A215))</f>
        <v>1.2422810526136463</v>
      </c>
      <c r="D215">
        <f>EXP(-1*SQRT(Utilities!$B$5)/(IF($B$1="Linear",B215,C215)*Utilities!$B$11))</f>
        <v>1.0529203309709294E-2</v>
      </c>
      <c r="E215">
        <f>EXP(-1*SQRT(Utilities!$B$5/20)/(IF($B$1="Linear",B215,C215)*Utilities!$B$11))</f>
        <v>0.361238635483208</v>
      </c>
    </row>
    <row r="216" spans="1:5" x14ac:dyDescent="0.3">
      <c r="A216">
        <v>211</v>
      </c>
      <c r="B216">
        <f>Utilities!$B$7+((Utilities!$B$9-Utilities!$B$7)*(A216/Utilities!$B$1))</f>
        <v>48.955550000000002</v>
      </c>
      <c r="C216">
        <f>Utilities!$B$9+((Utilities!$B$7-Utilities!$B$9)*EXP(-$B$2*A216))</f>
        <v>1.2275829029926384</v>
      </c>
      <c r="D216">
        <f>EXP(-1*SQRT(Utilities!$B$5)/(IF($B$1="Linear",B216,C216)*Utilities!$B$11))</f>
        <v>9.9705053427746899E-3</v>
      </c>
      <c r="E216">
        <f>EXP(-1*SQRT(Utilities!$B$5/20)/(IF($B$1="Linear",B216,C216)*Utilities!$B$11))</f>
        <v>0.3568613837193772</v>
      </c>
    </row>
    <row r="217" spans="1:5" x14ac:dyDescent="0.3">
      <c r="A217">
        <v>212</v>
      </c>
      <c r="B217">
        <f>Utilities!$B$7+((Utilities!$B$9-Utilities!$B$7)*(A217/Utilities!$B$1))</f>
        <v>48.950600000000001</v>
      </c>
      <c r="C217">
        <f>Utilities!$B$9+((Utilities!$B$7-Utilities!$B$9)*EXP(-$B$2*A217))</f>
        <v>1.2131757962340615</v>
      </c>
      <c r="D217">
        <f>EXP(-1*SQRT(Utilities!$B$5)/(IF($B$1="Linear",B217,C217)*Utilities!$B$11))</f>
        <v>9.4395409383435051E-3</v>
      </c>
      <c r="E217">
        <f>EXP(-1*SQRT(Utilities!$B$5/20)/(IF($B$1="Linear",B217,C217)*Utilities!$B$11))</f>
        <v>0.3525212080380396</v>
      </c>
    </row>
    <row r="218" spans="1:5" x14ac:dyDescent="0.3">
      <c r="A218">
        <v>213</v>
      </c>
      <c r="B218">
        <f>Utilities!$B$7+((Utilities!$B$9-Utilities!$B$7)*(A218/Utilities!$B$1))</f>
        <v>48.945650000000001</v>
      </c>
      <c r="C218">
        <f>Utilities!$B$9+((Utilities!$B$7-Utilities!$B$9)*EXP(-$B$2*A218))</f>
        <v>1.1990539693031161</v>
      </c>
      <c r="D218">
        <f>EXP(-1*SQRT(Utilities!$B$5)/(IF($B$1="Linear",B218,C218)*Utilities!$B$11))</f>
        <v>8.9351307268208582E-3</v>
      </c>
      <c r="E218">
        <f>EXP(-1*SQRT(Utilities!$B$5/20)/(IF($B$1="Linear",B218,C218)*Utilities!$B$11))</f>
        <v>0.348218817010846</v>
      </c>
    </row>
    <row r="219" spans="1:5" x14ac:dyDescent="0.3">
      <c r="A219">
        <v>214</v>
      </c>
      <c r="B219">
        <f>Utilities!$B$7+((Utilities!$B$9-Utilities!$B$7)*(A219/Utilities!$B$1))</f>
        <v>48.9407</v>
      </c>
      <c r="C219">
        <f>Utilities!$B$9+((Utilities!$B$7-Utilities!$B$9)*EXP(-$B$2*A219))</f>
        <v>1.1852117732807352</v>
      </c>
      <c r="D219">
        <f>EXP(-1*SQRT(Utilities!$B$5)/(IF($B$1="Linear",B219,C219)*Utilities!$B$11))</f>
        <v>8.4561296350608509E-3</v>
      </c>
      <c r="E219">
        <f>EXP(-1*SQRT(Utilities!$B$5/20)/(IF($B$1="Linear",B219,C219)*Utilities!$B$11))</f>
        <v>0.34395488858172624</v>
      </c>
    </row>
    <row r="220" spans="1:5" x14ac:dyDescent="0.3">
      <c r="A220">
        <v>215</v>
      </c>
      <c r="B220">
        <f>Utilities!$B$7+((Utilities!$B$9-Utilities!$B$7)*(A220/Utilities!$B$1))</f>
        <v>48.935749999999999</v>
      </c>
      <c r="C220">
        <f>Utilities!$B$9+((Utilities!$B$7-Utilities!$B$9)*EXP(-$B$2*A220))</f>
        <v>1.1716436711039462</v>
      </c>
      <c r="D220">
        <f>EXP(-1*SQRT(Utilities!$B$5)/(IF($B$1="Linear",B220,C220)*Utilities!$B$11))</f>
        <v>8.001427065693947E-3</v>
      </c>
      <c r="E220">
        <f>EXP(-1*SQRT(Utilities!$B$5/20)/(IF($B$1="Linear",B220,C220)*Utilities!$B$11))</f>
        <v>0.33973006974948466</v>
      </c>
    </row>
    <row r="221" spans="1:5" x14ac:dyDescent="0.3">
      <c r="A221">
        <v>216</v>
      </c>
      <c r="B221">
        <f>Utilities!$B$7+((Utilities!$B$9-Utilities!$B$7)*(A221/Utilities!$B$1))</f>
        <v>48.930799999999998</v>
      </c>
      <c r="C221">
        <f>Utilities!$B$9+((Utilities!$B$7-Utilities!$B$9)*EXP(-$B$2*A221))</f>
        <v>1.1583442353509663</v>
      </c>
      <c r="D221">
        <f>EXP(-1*SQRT(Utilities!$B$5)/(IF($B$1="Linear",B221,C221)*Utilities!$B$11))</f>
        <v>7.5699469750530437E-3</v>
      </c>
      <c r="E221">
        <f>EXP(-1*SQRT(Utilities!$B$5/20)/(IF($B$1="Linear",B221,C221)*Utilities!$B$11))</f>
        <v>0.33554497630343083</v>
      </c>
    </row>
    <row r="222" spans="1:5" x14ac:dyDescent="0.3">
      <c r="A222">
        <v>217</v>
      </c>
      <c r="B222">
        <f>Utilities!$B$7+((Utilities!$B$9-Utilities!$B$7)*(A222/Utilities!$B$1))</f>
        <v>48.925849999999997</v>
      </c>
      <c r="C222">
        <f>Utilities!$B$9+((Utilities!$B$7-Utilities!$B$9)*EXP(-$B$2*A222))</f>
        <v>1.145308146070168</v>
      </c>
      <c r="D222">
        <f>EXP(-1*SQRT(Utilities!$B$5)/(IF($B$1="Linear",B222,C222)*Utilities!$B$11))</f>
        <v>7.1606478553285008E-3</v>
      </c>
      <c r="E222">
        <f>EXP(-1*SQRT(Utilities!$B$5/20)/(IF($B$1="Linear",B222,C222)*Utilities!$B$11))</f>
        <v>0.33140019261189885</v>
      </c>
    </row>
    <row r="223" spans="1:5" x14ac:dyDescent="0.3">
      <c r="A223">
        <v>218</v>
      </c>
      <c r="B223">
        <f>Utilities!$B$7+((Utilities!$B$9-Utilities!$B$7)*(A223/Utilities!$B$1))</f>
        <v>48.920900000000003</v>
      </c>
      <c r="C223">
        <f>Utilities!$B$9+((Utilities!$B$7-Utilities!$B$9)*EXP(-$B$2*A223))</f>
        <v>1.1325301886520203</v>
      </c>
      <c r="D223">
        <f>EXP(-1*SQRT(Utilities!$B$5)/(IF($B$1="Linear",B223,C223)*Utilities!$B$11))</f>
        <v>6.7725226266888809E-3</v>
      </c>
      <c r="E223">
        <f>EXP(-1*SQRT(Utilities!$B$5/20)/(IF($B$1="Linear",B223,C223)*Utilities!$B$11))</f>
        <v>0.32729627146334311</v>
      </c>
    </row>
    <row r="224" spans="1:5" x14ac:dyDescent="0.3">
      <c r="A224">
        <v>219</v>
      </c>
      <c r="B224">
        <f>Utilities!$B$7+((Utilities!$B$9-Utilities!$B$7)*(A224/Utilities!$B$1))</f>
        <v>48.915950000000002</v>
      </c>
      <c r="C224">
        <f>Utilities!$B$9+((Utilities!$B$7-Utilities!$B$9)*EXP(-$B$2*A224))</f>
        <v>1.1200052517431822</v>
      </c>
      <c r="D224">
        <f>EXP(-1*SQRT(Utilities!$B$5)/(IF($B$1="Linear",B224,C224)*Utilities!$B$11))</f>
        <v>6.4045984451734954E-3</v>
      </c>
      <c r="E224">
        <f>EXP(-1*SQRT(Utilities!$B$5/20)/(IF($B$1="Linear",B224,C224)*Utilities!$B$11))</f>
        <v>0.32323373395956329</v>
      </c>
    </row>
    <row r="225" spans="1:5" x14ac:dyDescent="0.3">
      <c r="A225">
        <v>220</v>
      </c>
      <c r="B225">
        <f>Utilities!$B$7+((Utilities!$B$9-Utilities!$B$7)*(A225/Utilities!$B$1))</f>
        <v>48.911000000000001</v>
      </c>
      <c r="C225">
        <f>Utilities!$B$9+((Utilities!$B$7-Utilities!$B$9)*EXP(-$B$2*A225))</f>
        <v>1.1077283252018875</v>
      </c>
      <c r="D225">
        <f>EXP(-1*SQRT(Utilities!$B$5)/(IF($B$1="Linear",B225,C225)*Utilities!$B$11))</f>
        <v>6.0559364321918835E-3</v>
      </c>
      <c r="E225">
        <f>EXP(-1*SQRT(Utilities!$B$5/20)/(IF($B$1="Linear",B225,C225)*Utilities!$B$11))</f>
        <v>0.3192130694604467</v>
      </c>
    </row>
    <row r="226" spans="1:5" x14ac:dyDescent="0.3">
      <c r="A226">
        <v>221</v>
      </c>
      <c r="B226">
        <f>Utilities!$B$7+((Utilities!$B$9-Utilities!$B$7)*(A226/Utilities!$B$1))</f>
        <v>48.90605</v>
      </c>
      <c r="C226">
        <f>Utilities!$B$9+((Utilities!$B$7-Utilities!$B$9)*EXP(-$B$2*A226))</f>
        <v>1.0956944980938268</v>
      </c>
      <c r="D226">
        <f>EXP(-1*SQRT(Utilities!$B$5)/(IF($B$1="Linear",B226,C226)*Utilities!$B$11))</f>
        <v>5.7256313314611867E-3</v>
      </c>
      <c r="E226">
        <f>EXP(-1*SQRT(Utilities!$B$5/20)/(IF($B$1="Linear",B226,C226)*Utilities!$B$11))</f>
        <v>0.31523473557949394</v>
      </c>
    </row>
    <row r="227" spans="1:5" x14ac:dyDescent="0.3">
      <c r="A227">
        <v>222</v>
      </c>
      <c r="B227">
        <f>Utilities!$B$7+((Utilities!$B$9-Utilities!$B$7)*(A227/Utilities!$B$1))</f>
        <v>48.9011</v>
      </c>
      <c r="C227">
        <f>Utilities!$B$9+((Utilities!$B$7-Utilities!$B$9)*EXP(-$B$2*A227))</f>
        <v>1.0838989567277024</v>
      </c>
      <c r="D227">
        <f>EXP(-1*SQRT(Utilities!$B$5)/(IF($B$1="Linear",B227,C227)*Utilities!$B$11))</f>
        <v>5.4128110991726553E-3</v>
      </c>
      <c r="E227">
        <f>EXP(-1*SQRT(Utilities!$B$5/20)/(IF($B$1="Linear",B227,C227)*Utilities!$B$11))</f>
        <v>0.31129915822923937</v>
      </c>
    </row>
    <row r="228" spans="1:5" x14ac:dyDescent="0.3">
      <c r="A228">
        <v>223</v>
      </c>
      <c r="B228">
        <f>Utilities!$B$7+((Utilities!$B$9-Utilities!$B$7)*(A228/Utilities!$B$1))</f>
        <v>48.896149999999999</v>
      </c>
      <c r="C228">
        <f>Utilities!$B$9+((Utilities!$B$7-Utilities!$B$9)*EXP(-$B$2*A228))</f>
        <v>1.0723369827296927</v>
      </c>
      <c r="D228">
        <f>EXP(-1*SQRT(Utilities!$B$5)/(IF($B$1="Linear",B228,C228)*Utilities!$B$11))</f>
        <v>5.1166364331105343E-3</v>
      </c>
      <c r="E228">
        <f>EXP(-1*SQRT(Utilities!$B$5/20)/(IF($B$1="Linear",B228,C228)*Utilities!$B$11))</f>
        <v>0.30740673171556399</v>
      </c>
    </row>
    <row r="229" spans="1:5" x14ac:dyDescent="0.3">
      <c r="A229">
        <v>224</v>
      </c>
      <c r="B229">
        <f>Utilities!$B$7+((Utilities!$B$9-Utilities!$B$7)*(A229/Utilities!$B$1))</f>
        <v>48.891199999999998</v>
      </c>
      <c r="C229">
        <f>Utilities!$B$9+((Utilities!$B$7-Utilities!$B$9)*EXP(-$B$2*A229))</f>
        <v>1.0610039511560356</v>
      </c>
      <c r="D229">
        <f>EXP(-1*SQRT(Utilities!$B$5)/(IF($B$1="Linear",B229,C229)*Utilities!$B$11))</f>
        <v>4.836300246347772E-3</v>
      </c>
      <c r="E229">
        <f>EXP(-1*SQRT(Utilities!$B$5/20)/(IF($B$1="Linear",B229,C229)*Utilities!$B$11))</f>
        <v>0.30355781887975952</v>
      </c>
    </row>
    <row r="230" spans="1:5" x14ac:dyDescent="0.3">
      <c r="A230">
        <v>225</v>
      </c>
      <c r="B230">
        <f>Utilities!$B$7+((Utilities!$B$9-Utilities!$B$7)*(A230/Utilities!$B$1))</f>
        <v>48.886249999999997</v>
      </c>
      <c r="C230">
        <f>Utilities!$B$9+((Utilities!$B$7-Utilities!$B$9)*EXP(-$B$2*A230))</f>
        <v>1.0498953286429942</v>
      </c>
      <c r="D230">
        <f>EXP(-1*SQRT(Utilities!$B$5)/(IF($B$1="Linear",B230,C230)*Utilities!$B$11))</f>
        <v>4.5710270910210753E-3</v>
      </c>
      <c r="E230">
        <f>EXP(-1*SQRT(Utilities!$B$5/20)/(IF($B$1="Linear",B230,C230)*Utilities!$B$11))</f>
        <v>0.29975275128709916</v>
      </c>
    </row>
    <row r="231" spans="1:5" x14ac:dyDescent="0.3">
      <c r="A231">
        <v>226</v>
      </c>
      <c r="B231">
        <f>Utilities!$B$7+((Utilities!$B$9-Utilities!$B$7)*(A231/Utilities!$B$1))</f>
        <v>48.881300000000003</v>
      </c>
      <c r="C231">
        <f>Utilities!$B$9+((Utilities!$B$7-Utilities!$B$9)*EXP(-$B$2*A231))</f>
        <v>1.039006671593445</v>
      </c>
      <c r="D231">
        <f>EXP(-1*SQRT(Utilities!$B$5)/(IF($B$1="Linear",B231,C231)*Utilities!$B$11))</f>
        <v>4.3200725375407284E-3</v>
      </c>
      <c r="E231">
        <f>EXP(-1*SQRT(Utilities!$B$5/20)/(IF($B$1="Linear",B231,C231)*Utilities!$B$11))</f>
        <v>0.29599182946054503</v>
      </c>
    </row>
    <row r="232" spans="1:5" x14ac:dyDescent="0.3">
      <c r="A232">
        <v>227</v>
      </c>
      <c r="B232">
        <f>Utilities!$B$7+((Utilities!$B$9-Utilities!$B$7)*(A232/Utilities!$B$1))</f>
        <v>48.876350000000002</v>
      </c>
      <c r="C232">
        <f>Utilities!$B$9+((Utilities!$B$7-Utilities!$B$9)*EXP(-$B$2*A232))</f>
        <v>1.0283336243993848</v>
      </c>
      <c r="D232">
        <f>EXP(-1*SQRT(Utilities!$B$5)/(IF($B$1="Linear",B232,C232)*Utilities!$B$11))</f>
        <v>4.0827225144254922E-3</v>
      </c>
      <c r="E232">
        <f>EXP(-1*SQRT(Utilities!$B$5/20)/(IF($B$1="Linear",B232,C232)*Utilities!$B$11))</f>
        <v>0.29227532315813681</v>
      </c>
    </row>
    <row r="233" spans="1:5" x14ac:dyDescent="0.3">
      <c r="A233">
        <v>228</v>
      </c>
      <c r="B233">
        <f>Utilities!$B$7+((Utilities!$B$9-Utilities!$B$7)*(A233/Utilities!$B$1))</f>
        <v>48.871400000000001</v>
      </c>
      <c r="C233">
        <f>Utilities!$B$9+((Utilities!$B$7-Utilities!$B$9)*EXP(-$B$2*A233))</f>
        <v>1.0178719176996265</v>
      </c>
      <c r="D233">
        <f>EXP(-1*SQRT(Utilities!$B$5)/(IF($B$1="Linear",B233,C233)*Utilities!$B$11))</f>
        <v>3.858292613767752E-3</v>
      </c>
      <c r="E233">
        <f>EXP(-1*SQRT(Utilities!$B$5/20)/(IF($B$1="Linear",B233,C233)*Utilities!$B$11))</f>
        <v>0.28860347169249606</v>
      </c>
    </row>
    <row r="234" spans="1:5" x14ac:dyDescent="0.3">
      <c r="A234">
        <v>229</v>
      </c>
      <c r="B234">
        <f>Utilities!$B$7+((Utilities!$B$9-Utilities!$B$7)*(A234/Utilities!$B$1))</f>
        <v>48.86645</v>
      </c>
      <c r="C234">
        <f>Utilities!$B$9+((Utilities!$B$7-Utilities!$B$9)*EXP(-$B$2*A234))</f>
        <v>1.0076173666719992</v>
      </c>
      <c r="D234">
        <f>EXP(-1*SQRT(Utilities!$B$5)/(IF($B$1="Linear",B234,C234)*Utilities!$B$11))</f>
        <v>3.6461273671359669E-3</v>
      </c>
      <c r="E234">
        <f>EXP(-1*SQRT(Utilities!$B$5/20)/(IF($B$1="Linear",B234,C234)*Utilities!$B$11))</f>
        <v>0.2849764842908038</v>
      </c>
    </row>
    <row r="235" spans="1:5" x14ac:dyDescent="0.3">
      <c r="A235">
        <v>230</v>
      </c>
      <c r="B235">
        <f>Utilities!$B$7+((Utilities!$B$9-Utilities!$B$7)*(A235/Utilities!$B$1))</f>
        <v>48.861499999999999</v>
      </c>
      <c r="C235">
        <f>Utilities!$B$9+((Utilities!$B$7-Utilities!$B$9)*EXP(-$B$2*A235))</f>
        <v>0.99756586935936198</v>
      </c>
      <c r="D235">
        <f>EXP(-1*SQRT(Utilities!$B$5)/(IF($B$1="Linear",B235,C235)*Utilities!$B$11))</f>
        <v>3.4455994965091985E-3</v>
      </c>
      <c r="E235">
        <f>EXP(-1*SQRT(Utilities!$B$5/20)/(IF($B$1="Linear",B235,C235)*Utilities!$B$11))</f>
        <v>0.2813945404935263</v>
      </c>
    </row>
    <row r="236" spans="1:5" x14ac:dyDescent="0.3">
      <c r="A236">
        <v>231</v>
      </c>
      <c r="B236">
        <f>Utilities!$B$7+((Utilities!$B$9-Utilities!$B$7)*(A236/Utilities!$B$1))</f>
        <v>48.856549999999999</v>
      </c>
      <c r="C236">
        <f>Utilities!$B$9+((Utilities!$B$7-Utilities!$B$9)*EXP(-$B$2*A236))</f>
        <v>0.98771340502876925</v>
      </c>
      <c r="D236">
        <f>EXP(-1*SQRT(Utilities!$B$5)/(IF($B$1="Linear",B236,C236)*Utilities!$B$11))</f>
        <v>3.2561091446171551E-3</v>
      </c>
      <c r="E236">
        <f>EXP(-1*SQRT(Utilities!$B$5/20)/(IF($B$1="Linear",B236,C236)*Utilities!$B$11))</f>
        <v>0.27785779059009641</v>
      </c>
    </row>
    <row r="237" spans="1:5" x14ac:dyDescent="0.3">
      <c r="A237">
        <v>232</v>
      </c>
      <c r="B237">
        <f>Utilities!$B$7+((Utilities!$B$9-Utilities!$B$7)*(A237/Utilities!$B$1))</f>
        <v>48.851599999999998</v>
      </c>
      <c r="C237">
        <f>Utilities!$B$9+((Utilities!$B$7-Utilities!$B$9)*EXP(-$B$2*A237))</f>
        <v>0.97805603256312001</v>
      </c>
      <c r="D237">
        <f>EXP(-1*SQRT(Utilities!$B$5)/(IF($B$1="Linear",B237,C237)*Utilities!$B$11))</f>
        <v>3.0770830888289416E-3</v>
      </c>
      <c r="E237">
        <f>EXP(-1*SQRT(Utilities!$B$5/20)/(IF($B$1="Linear",B237,C237)*Utilities!$B$11))</f>
        <v>0.27436635608969256</v>
      </c>
    </row>
    <row r="238" spans="1:5" x14ac:dyDescent="0.3">
      <c r="A238">
        <v>233</v>
      </c>
      <c r="B238">
        <f>Utilities!$B$7+((Utilities!$B$9-Utilities!$B$7)*(A238/Utilities!$B$1))</f>
        <v>48.846649999999997</v>
      </c>
      <c r="C238">
        <f>Utilities!$B$9+((Utilities!$B$7-Utilities!$B$9)*EXP(-$B$2*A238))</f>
        <v>0.96858988888466102</v>
      </c>
      <c r="D238">
        <f>EXP(-1*SQRT(Utilities!$B$5)/(IF($B$1="Linear",B238,C238)*Utilities!$B$11))</f>
        <v>2.9079739424989447E-3</v>
      </c>
      <c r="E238">
        <f>EXP(-1*SQRT(Utilities!$B$5/20)/(IF($B$1="Linear",B238,C238)*Utilities!$B$11))</f>
        <v>0.27092033022521128</v>
      </c>
    </row>
    <row r="239" spans="1:5" x14ac:dyDescent="0.3">
      <c r="A239">
        <v>234</v>
      </c>
      <c r="B239">
        <f>Utilities!$B$7+((Utilities!$B$9-Utilities!$B$7)*(A239/Utilities!$B$1))</f>
        <v>48.841700000000003</v>
      </c>
      <c r="C239">
        <f>Utilities!$B$9+((Utilities!$B$7-Utilities!$B$9)*EXP(-$B$2*A239))</f>
        <v>0.95931118740970489</v>
      </c>
      <c r="D239">
        <f>EXP(-1*SQRT(Utilities!$B$5)/(IF($B$1="Linear",B239,C239)*Utilities!$B$11))</f>
        <v>2.748259347438743E-3</v>
      </c>
      <c r="E239">
        <f>EXP(-1*SQRT(Utilities!$B$5/20)/(IF($B$1="Linear",B239,C239)*Utilities!$B$11))</f>
        <v>0.26751977848847808</v>
      </c>
    </row>
    <row r="240" spans="1:5" x14ac:dyDescent="0.3">
      <c r="A240">
        <v>235</v>
      </c>
      <c r="B240">
        <f>Utilities!$B$7+((Utilities!$B$9-Utilities!$B$7)*(A240/Utilities!$B$1))</f>
        <v>48.836750000000002</v>
      </c>
      <c r="C240">
        <f>Utilities!$B$9+((Utilities!$B$7-Utilities!$B$9)*EXP(-$B$2*A240))</f>
        <v>0.95021621653394295</v>
      </c>
      <c r="D240">
        <f>EXP(-1*SQRT(Utilities!$B$5)/(IF($B$1="Linear",B240,C240)*Utilities!$B$11))</f>
        <v>2.5974411609433834E-3</v>
      </c>
      <c r="E240">
        <f>EXP(-1*SQRT(Utilities!$B$5/20)/(IF($B$1="Linear",B240,C240)*Utilities!$B$11))</f>
        <v>0.26416473919470873</v>
      </c>
    </row>
    <row r="241" spans="1:5" x14ac:dyDescent="0.3">
      <c r="A241">
        <v>236</v>
      </c>
      <c r="B241">
        <f>Utilities!$B$7+((Utilities!$B$9-Utilities!$B$7)*(A241/Utilities!$B$1))</f>
        <v>48.831800000000001</v>
      </c>
      <c r="C241">
        <f>Utilities!$B$9+((Utilities!$B$7-Utilities!$B$9)*EXP(-$B$2*A241))</f>
        <v>0.94130133814775796</v>
      </c>
      <c r="D241">
        <f>EXP(-1*SQRT(Utilities!$B$5)/(IF($B$1="Linear",B241,C241)*Utilities!$B$11))</f>
        <v>2.4550446405599167E-3</v>
      </c>
      <c r="E241">
        <f>EXP(-1*SQRT(Utilities!$B$5/20)/(IF($B$1="Linear",B241,C241)*Utilities!$B$11))</f>
        <v>0.2608552240742088</v>
      </c>
    </row>
    <row r="242" spans="1:5" x14ac:dyDescent="0.3">
      <c r="A242">
        <v>237</v>
      </c>
      <c r="B242">
        <f>Utilities!$B$7+((Utilities!$B$9-Utilities!$B$7)*(A242/Utilities!$B$1))</f>
        <v>48.82685</v>
      </c>
      <c r="C242">
        <f>Utilities!$B$9+((Utilities!$B$7-Utilities!$B$9)*EXP(-$B$2*A242))</f>
        <v>0.93256298618092792</v>
      </c>
      <c r="D242">
        <f>EXP(-1*SQRT(Utilities!$B$5)/(IF($B$1="Linear",B242,C242)*Utilities!$B$11))</f>
        <v>2.3206176295466566E-3</v>
      </c>
      <c r="E242">
        <f>EXP(-1*SQRT(Utilities!$B$5/20)/(IF($B$1="Linear",B242,C242)*Utilities!$B$11))</f>
        <v>0.25759121888927272</v>
      </c>
    </row>
    <row r="243" spans="1:5" x14ac:dyDescent="0.3">
      <c r="A243">
        <v>238</v>
      </c>
      <c r="B243">
        <f>Utilities!$B$7+((Utilities!$B$9-Utilities!$B$7)*(A243/Utilities!$B$1))</f>
        <v>48.821899999999999</v>
      </c>
      <c r="C243">
        <f>Utilities!$B$9+((Utilities!$B$7-Utilities!$B$9)*EXP(-$B$2*A243))</f>
        <v>0.923997665176154</v>
      </c>
      <c r="D243">
        <f>EXP(-1*SQRT(Utilities!$B$5)/(IF($B$1="Linear",B243,C243)*Utilities!$B$11))</f>
        <v>2.1937297457362941E-3</v>
      </c>
      <c r="E243">
        <f>EXP(-1*SQRT(Utilities!$B$5/20)/(IF($B$1="Linear",B243,C243)*Utilities!$B$11))</f>
        <v>0.25437268407424196</v>
      </c>
    </row>
    <row r="244" spans="1:5" x14ac:dyDescent="0.3">
      <c r="A244">
        <v>239</v>
      </c>
      <c r="B244">
        <f>Utilities!$B$7+((Utilities!$B$9-Utilities!$B$7)*(A244/Utilities!$B$1))</f>
        <v>48.816949999999999</v>
      </c>
      <c r="C244">
        <f>Utilities!$B$9+((Utilities!$B$7-Utilities!$B$9)*EXP(-$B$2*A244))</f>
        <v>0.9156019488908278</v>
      </c>
      <c r="D244">
        <f>EXP(-1*SQRT(Utilities!$B$5)/(IF($B$1="Linear",B244,C244)*Utilities!$B$11))</f>
        <v>2.073971576284213E-3</v>
      </c>
      <c r="E244">
        <f>EXP(-1*SQRT(Utilities!$B$5/20)/(IF($B$1="Linear",B244,C244)*Utilities!$B$11))</f>
        <v>0.2511995553966696</v>
      </c>
    </row>
    <row r="245" spans="1:5" x14ac:dyDescent="0.3">
      <c r="A245">
        <v>240</v>
      </c>
      <c r="B245">
        <f>Utilities!$B$7+((Utilities!$B$9-Utilities!$B$7)*(A245/Utilities!$B$1))</f>
        <v>48.811999999999998</v>
      </c>
      <c r="C245">
        <f>Utilities!$B$9+((Utilities!$B$7-Utilities!$B$9)*EXP(-$B$2*A245))</f>
        <v>0.90737247892649142</v>
      </c>
      <c r="D245">
        <f>EXP(-1*SQRT(Utilities!$B$5)/(IF($B$1="Linear",B245,C245)*Utilities!$B$11))</f>
        <v>1.9609538805580237E-3</v>
      </c>
      <c r="E245">
        <f>EXP(-1*SQRT(Utilities!$B$5/20)/(IF($B$1="Linear",B245,C245)*Utilities!$B$11))</f>
        <v>0.24807174463755266</v>
      </c>
    </row>
    <row r="246" spans="1:5" x14ac:dyDescent="0.3">
      <c r="A246">
        <v>241</v>
      </c>
      <c r="B246">
        <f>Utilities!$B$7+((Utilities!$B$9-Utilities!$B$7)*(A246/Utilities!$B$1))</f>
        <v>48.807049999999997</v>
      </c>
      <c r="C246">
        <f>Utilities!$B$9+((Utilities!$B$7-Utilities!$B$9)*EXP(-$B$2*A246))</f>
        <v>0.8993059633854309</v>
      </c>
      <c r="D246">
        <f>EXP(-1*SQRT(Utilities!$B$5)/(IF($B$1="Linear",B246,C246)*Utilities!$B$11))</f>
        <v>1.8543068032049381E-3</v>
      </c>
      <c r="E246">
        <f>EXP(-1*SQRT(Utilities!$B$5/20)/(IF($B$1="Linear",B246,C246)*Utilities!$B$11))</f>
        <v>0.24498914028859556</v>
      </c>
    </row>
    <row r="247" spans="1:5" x14ac:dyDescent="0.3">
      <c r="A247">
        <v>242</v>
      </c>
      <c r="B247">
        <f>Utilities!$B$7+((Utilities!$B$9-Utilities!$B$7)*(A247/Utilities!$B$1))</f>
        <v>48.802100000000003</v>
      </c>
      <c r="C247">
        <f>Utilities!$B$9+((Utilities!$B$7-Utilities!$B$9)*EXP(-$B$2*A247))</f>
        <v>0.89139917555387538</v>
      </c>
      <c r="D247">
        <f>EXP(-1*SQRT(Utilities!$B$5)/(IF($B$1="Linear",B247,C247)*Utilities!$B$11))</f>
        <v>1.7536790992224291E-3</v>
      </c>
      <c r="E247">
        <f>EXP(-1*SQRT(Utilities!$B$5/20)/(IF($B$1="Linear",B247,C247)*Utilities!$B$11))</f>
        <v>0.24195160826449622</v>
      </c>
    </row>
    <row r="248" spans="1:5" x14ac:dyDescent="0.3">
      <c r="A248">
        <v>243</v>
      </c>
      <c r="B248">
        <f>Utilities!$B$7+((Utilities!$B$9-Utilities!$B$7)*(A248/Utilities!$B$1))</f>
        <v>48.797150000000002</v>
      </c>
      <c r="C248">
        <f>Utilities!$B$9+((Utilities!$B$7-Utilities!$B$9)*EXP(-$B$2*A248))</f>
        <v>0.8836489526112663</v>
      </c>
      <c r="D248">
        <f>EXP(-1*SQRT(Utilities!$B$5)/(IF($B$1="Linear",B248,C248)*Utilities!$B$11))</f>
        <v>1.6587373726540261E-3</v>
      </c>
      <c r="E248">
        <f>EXP(-1*SQRT(Utilities!$B$5/20)/(IF($B$1="Linear",B248,C248)*Utilities!$B$11))</f>
        <v>0.23895899262826459</v>
      </c>
    </row>
    <row r="249" spans="1:5" x14ac:dyDescent="0.3">
      <c r="A249">
        <v>244</v>
      </c>
      <c r="B249">
        <f>Utilities!$B$7+((Utilities!$B$9-Utilities!$B$7)*(A249/Utilities!$B$1))</f>
        <v>48.792200000000001</v>
      </c>
      <c r="C249">
        <f>Utilities!$B$9+((Utilities!$B$7-Utilities!$B$9)*EXP(-$B$2*A249))</f>
        <v>0.87605219436508963</v>
      </c>
      <c r="D249">
        <f>EXP(-1*SQRT(Utilities!$B$5)/(IF($B$1="Linear",B249,C249)*Utilities!$B$11))</f>
        <v>1.5691653303380388E-3</v>
      </c>
      <c r="E249">
        <f>EXP(-1*SQRT(Utilities!$B$5/20)/(IF($B$1="Linear",B249,C249)*Utilities!$B$11))</f>
        <v>0.23601111632762078</v>
      </c>
    </row>
    <row r="250" spans="1:5" x14ac:dyDescent="0.3">
      <c r="A250">
        <v>245</v>
      </c>
      <c r="B250">
        <f>Utilities!$B$7+((Utilities!$B$9-Utilities!$B$7)*(A250/Utilities!$B$1))</f>
        <v>48.78725</v>
      </c>
      <c r="C250">
        <f>Utilities!$B$9+((Utilities!$B$7-Utilities!$B$9)*EXP(-$B$2*A250))</f>
        <v>0.86860586201075474</v>
      </c>
      <c r="D250">
        <f>EXP(-1*SQRT(Utilities!$B$5)/(IF($B$1="Linear",B250,C250)*Utilities!$B$11))</f>
        <v>1.4846630519516741E-3</v>
      </c>
      <c r="E250">
        <f>EXP(-1*SQRT(Utilities!$B$5/20)/(IF($B$1="Linear",B250,C250)*Utilities!$B$11))</f>
        <v>0.23310778194055226</v>
      </c>
    </row>
    <row r="251" spans="1:5" x14ac:dyDescent="0.3">
      <c r="A251">
        <v>246</v>
      </c>
      <c r="B251">
        <f>Utilities!$B$7+((Utilities!$B$9-Utilities!$B$7)*(A251/Utilities!$B$1))</f>
        <v>48.782299999999999</v>
      </c>
      <c r="C251">
        <f>Utilities!$B$9+((Utilities!$B$7-Utilities!$B$9)*EXP(-$B$2*A251))</f>
        <v>0.86130697691603486</v>
      </c>
      <c r="D251">
        <f>EXP(-1*SQRT(Utilities!$B$5)/(IF($B$1="Linear",B251,C251)*Utilities!$B$11))</f>
        <v>1.4049462774179029E-3</v>
      </c>
      <c r="E251">
        <f>EXP(-1*SQRT(Utilities!$B$5/20)/(IF($B$1="Linear",B251,C251)*Utilities!$B$11))</f>
        <v>0.23024877242815939</v>
      </c>
    </row>
    <row r="252" spans="1:5" x14ac:dyDescent="0.3">
      <c r="A252">
        <v>247</v>
      </c>
      <c r="B252">
        <f>Utilities!$B$7+((Utilities!$B$9-Utilities!$B$7)*(A252/Utilities!$B$1))</f>
        <v>48.777349999999998</v>
      </c>
      <c r="C252">
        <f>Utilities!$B$9+((Utilities!$B$7-Utilities!$B$9)*EXP(-$B$2*A252))</f>
        <v>0.85415261942957166</v>
      </c>
      <c r="D252">
        <f>EXP(-1*SQRT(Utilities!$B$5)/(IF($B$1="Linear",B252,C252)*Utilities!$B$11))</f>
        <v>1.3297457125768344E-3</v>
      </c>
      <c r="E252">
        <f>EXP(-1*SQRT(Utilities!$B$5/20)/(IF($B$1="Linear",B252,C252)*Utilities!$B$11))</f>
        <v>0.22743385189295928</v>
      </c>
    </row>
    <row r="253" spans="1:5" x14ac:dyDescent="0.3">
      <c r="A253">
        <v>248</v>
      </c>
      <c r="B253">
        <f>Utilities!$B$7+((Utilities!$B$9-Utilities!$B$7)*(A253/Utilities!$B$1))</f>
        <v>48.772399999999998</v>
      </c>
      <c r="C253">
        <f>Utilities!$B$9+((Utilities!$B$7-Utilities!$B$9)*EXP(-$B$2*A253))</f>
        <v>0.84713992771297852</v>
      </c>
      <c r="D253">
        <f>EXP(-1*SQRT(Utilities!$B$5)/(IF($B$1="Linear",B253,C253)*Utilities!$B$11))</f>
        <v>1.2588063538682738E-3</v>
      </c>
      <c r="E253">
        <f>EXP(-1*SQRT(Utilities!$B$5/20)/(IF($B$1="Linear",B253,C253)*Utilities!$B$11))</f>
        <v>0.22466276634087853</v>
      </c>
    </row>
    <row r="254" spans="1:5" x14ac:dyDescent="0.3">
      <c r="A254">
        <v>249</v>
      </c>
      <c r="B254">
        <f>Utilities!$B$7+((Utilities!$B$9-Utilities!$B$7)*(A254/Utilities!$B$1))</f>
        <v>48.767449999999997</v>
      </c>
      <c r="C254">
        <f>Utilities!$B$9+((Utilities!$B$7-Utilities!$B$9)*EXP(-$B$2*A254))</f>
        <v>0.84026609659606422</v>
      </c>
      <c r="D254">
        <f>EXP(-1*SQRT(Utilities!$B$5)/(IF($B$1="Linear",B254,C254)*Utilities!$B$11))</f>
        <v>1.191886832626732E-3</v>
      </c>
      <c r="E254">
        <f>EXP(-1*SQRT(Utilities!$B$5/20)/(IF($B$1="Linear",B254,C254)*Utilities!$B$11))</f>
        <v>0.22193524444521556</v>
      </c>
    </row>
    <row r="255" spans="1:5" x14ac:dyDescent="0.3">
      <c r="A255">
        <v>250</v>
      </c>
      <c r="B255">
        <f>Utilities!$B$7+((Utilities!$B$9-Utilities!$B$7)*(A255/Utilities!$B$1))</f>
        <v>48.762500000000003</v>
      </c>
      <c r="C255">
        <f>Utilities!$B$9+((Utilities!$B$7-Utilities!$B$9)*EXP(-$B$2*A255))</f>
        <v>0.83352837645473055</v>
      </c>
      <c r="D255">
        <f>EXP(-1*SQRT(Utilities!$B$5)/(IF($B$1="Linear",B255,C255)*Utilities!$B$11))</f>
        <v>1.1287587794554057E-3</v>
      </c>
      <c r="E255">
        <f>EXP(-1*SQRT(Utilities!$B$5/20)/(IF($B$1="Linear",B255,C255)*Utilities!$B$11))</f>
        <v>0.21925099831092049</v>
      </c>
    </row>
    <row r="256" spans="1:5" x14ac:dyDescent="0.3">
      <c r="A256">
        <v>251</v>
      </c>
      <c r="B256">
        <f>Utilities!$B$7+((Utilities!$B$9-Utilities!$B$7)*(A256/Utilities!$B$1))</f>
        <v>48.757550000000002</v>
      </c>
      <c r="C256">
        <f>Utilities!$B$9+((Utilities!$B$7-Utilities!$B$9)*EXP(-$B$2*A256))</f>
        <v>0.82692407211108288</v>
      </c>
      <c r="D256">
        <f>EXP(-1*SQRT(Utilities!$B$5)/(IF($B$1="Linear",B256,C256)*Utilities!$B$11))</f>
        <v>1.0692062090203491E-3</v>
      </c>
      <c r="E256">
        <f>EXP(-1*SQRT(Utilities!$B$5/20)/(IF($B$1="Linear",B256,C256)*Utilities!$B$11))</f>
        <v>0.21660972423759844</v>
      </c>
    </row>
    <row r="257" spans="1:5" x14ac:dyDescent="0.3">
      <c r="A257">
        <v>252</v>
      </c>
      <c r="B257">
        <f>Utilities!$B$7+((Utilities!$B$9-Utilities!$B$7)*(A257/Utilities!$B$1))</f>
        <v>48.752600000000001</v>
      </c>
      <c r="C257">
        <f>Utilities!$B$9+((Utilities!$B$7-Utilities!$B$9)*EXP(-$B$2*A257))</f>
        <v>0.82045054175532561</v>
      </c>
      <c r="D257">
        <f>EXP(-1*SQRT(Utilities!$B$5)/(IF($B$1="Linear",B257,C257)*Utilities!$B$11))</f>
        <v>1.013024925491152E-3</v>
      </c>
      <c r="E257">
        <f>EXP(-1*SQRT(Utilities!$B$5/20)/(IF($B$1="Linear",B257,C257)*Utilities!$B$11))</f>
        <v>0.21401110347971605</v>
      </c>
    </row>
    <row r="258" spans="1:5" x14ac:dyDescent="0.3">
      <c r="A258">
        <v>253</v>
      </c>
      <c r="B258">
        <f>Utilities!$B$7+((Utilities!$B$9-Utilities!$B$7)*(A258/Utilities!$B$1))</f>
        <v>48.74765</v>
      </c>
      <c r="C258">
        <f>Utilities!$B$9+((Utilities!$B$7-Utilities!$B$9)*EXP(-$B$2*A258))</f>
        <v>0.81410519588900088</v>
      </c>
      <c r="D258">
        <f>EXP(-1*SQRT(Utilities!$B$5)/(IF($B$1="Linear",B258,C258)*Utilities!$B$11))</f>
        <v>9.6002194874865389E-4</v>
      </c>
      <c r="E258">
        <f>EXP(-1*SQRT(Utilities!$B$5/20)/(IF($B$1="Linear",B258,C258)*Utilities!$B$11))</f>
        <v>0.2114548030025534</v>
      </c>
    </row>
    <row r="259" spans="1:5" x14ac:dyDescent="0.3">
      <c r="A259">
        <v>254</v>
      </c>
      <c r="B259">
        <f>Utilities!$B$7+((Utilities!$B$9-Utilities!$B$7)*(A259/Utilities!$B$1))</f>
        <v>48.742699999999999</v>
      </c>
      <c r="C259">
        <f>Utilities!$B$9+((Utilities!$B$7-Utilities!$B$9)*EXP(-$B$2*A259))</f>
        <v>0.80788549628915729</v>
      </c>
      <c r="D259">
        <f>EXP(-1*SQRT(Utilities!$B$5)/(IF($B$1="Linear",B259,C259)*Utilities!$B$11))</f>
        <v>9.1001496138421194E-4</v>
      </c>
      <c r="E259">
        <f>EXP(-1*SQRT(Utilities!$B$5/20)/(IF($B$1="Linear",B259,C259)*Utilities!$B$11))</f>
        <v>0.20894047623252326</v>
      </c>
    </row>
    <row r="260" spans="1:5" x14ac:dyDescent="0.3">
      <c r="A260">
        <v>255</v>
      </c>
      <c r="B260">
        <f>Utilities!$B$7+((Utilities!$B$9-Utilities!$B$7)*(A260/Utilities!$B$1))</f>
        <v>48.737749999999998</v>
      </c>
      <c r="C260">
        <f>Utilities!$B$9+((Utilities!$B$7-Utilities!$B$9)*EXP(-$B$2*A260))</f>
        <v>0.80178895499302383</v>
      </c>
      <c r="D260">
        <f>EXP(-1*SQRT(Utilities!$B$5)/(IF($B$1="Linear",B260,C260)*Utilities!$B$11))</f>
        <v>8.6283177642765762E-4</v>
      </c>
      <c r="E260">
        <f>EXP(-1*SQRT(Utilities!$B$5/20)/(IF($B$1="Linear",B260,C260)*Utilities!$B$11))</f>
        <v>0.2064677638005431</v>
      </c>
    </row>
    <row r="261" spans="1:5" x14ac:dyDescent="0.3">
      <c r="A261">
        <v>256</v>
      </c>
      <c r="B261">
        <f>Utilities!$B$7+((Utilities!$B$9-Utilities!$B$7)*(A261/Utilities!$B$1))</f>
        <v>48.732799999999997</v>
      </c>
      <c r="C261">
        <f>Utilities!$B$9+((Utilities!$B$7-Utilities!$B$9)*EXP(-$B$2*A261))</f>
        <v>0.79581313330279424</v>
      </c>
      <c r="D261">
        <f>EXP(-1*SQRT(Utilities!$B$5)/(IF($B$1="Linear",B261,C261)*Utilities!$B$11))</f>
        <v>8.1830982566275033E-4</v>
      </c>
      <c r="E261">
        <f>EXP(-1*SQRT(Utilities!$B$5/20)/(IF($B$1="Linear",B261,C261)*Utilities!$B$11))</f>
        <v>0.20403629427723088</v>
      </c>
    </row>
    <row r="262" spans="1:5" x14ac:dyDescent="0.3">
      <c r="A262">
        <v>257</v>
      </c>
      <c r="B262">
        <f>Utilities!$B$7+((Utilities!$B$9-Utilities!$B$7)*(A262/Utilities!$B$1))</f>
        <v>48.727849999999997</v>
      </c>
      <c r="C262">
        <f>Utilities!$B$9+((Utilities!$B$7-Utilities!$B$9)*EXP(-$B$2*A262))</f>
        <v>0.78995564081011338</v>
      </c>
      <c r="D262">
        <f>EXP(-1*SQRT(Utilities!$B$5)/(IF($B$1="Linear",B262,C262)*Utilities!$B$11))</f>
        <v>7.7629566831851585E-4</v>
      </c>
      <c r="E262">
        <f>EXP(-1*SQRT(Utilities!$B$5/20)/(IF($B$1="Linear",B262,C262)*Utilities!$B$11))</f>
        <v>0.20164568489876086</v>
      </c>
    </row>
    <row r="263" spans="1:5" x14ac:dyDescent="0.3">
      <c r="A263">
        <v>258</v>
      </c>
      <c r="B263">
        <f>Utilities!$B$7+((Utilities!$B$9-Utilities!$B$7)*(A263/Utilities!$B$1))</f>
        <v>48.722900000000003</v>
      </c>
      <c r="C263">
        <f>Utilities!$B$9+((Utilities!$B$7-Utilities!$B$9)*EXP(-$B$2*A263))</f>
        <v>0.78421413443988297</v>
      </c>
      <c r="D263">
        <f>EXP(-1*SQRT(Utilities!$B$5)/(IF($B$1="Linear",B263,C263)*Utilities!$B$11))</f>
        <v>7.3664451986263271E-4</v>
      </c>
      <c r="E263">
        <f>EXP(-1*SQRT(Utilities!$B$5/20)/(IF($B$1="Linear",B263,C263)*Utilities!$B$11))</f>
        <v>0.19929554228229912</v>
      </c>
    </row>
    <row r="264" spans="1:5" x14ac:dyDescent="0.3">
      <c r="A264">
        <v>259</v>
      </c>
      <c r="B264">
        <f>Utilities!$B$7+((Utilities!$B$9-Utilities!$B$7)*(A264/Utilities!$B$1))</f>
        <v>48.717950000000002</v>
      </c>
      <c r="C264">
        <f>Utilities!$B$9+((Utilities!$B$7-Utilities!$B$9)*EXP(-$B$2*A264))</f>
        <v>0.77858631751300122</v>
      </c>
      <c r="D264">
        <f>EXP(-1*SQRT(Utilities!$B$5)/(IF($B$1="Linear",B264,C264)*Utilities!$B$11))</f>
        <v>6.99219800568075E-4</v>
      </c>
      <c r="E264">
        <f>EXP(-1*SQRT(Utilities!$B$5/20)/(IF($B$1="Linear",B264,C264)*Utilities!$B$11))</f>
        <v>0.19698546313001</v>
      </c>
    </row>
    <row r="265" spans="1:5" x14ac:dyDescent="0.3">
      <c r="A265">
        <v>260</v>
      </c>
      <c r="B265">
        <f>Utilities!$B$7+((Utilities!$B$9-Utilities!$B$7)*(A265/Utilities!$B$1))</f>
        <v>48.713000000000001</v>
      </c>
      <c r="C265">
        <f>Utilities!$B$9+((Utilities!$B$7-Utilities!$B$9)*EXP(-$B$2*A265))</f>
        <v>0.77306993882765818</v>
      </c>
      <c r="D265">
        <f>EXP(-1*SQRT(Utilities!$B$5)/(IF($B$1="Linear",B265,C265)*Utilities!$B$11))</f>
        <v>6.6389270347634382E-4</v>
      </c>
      <c r="E265">
        <f>EXP(-1*SQRT(Utilities!$B$5/20)/(IF($B$1="Linear",B265,C265)*Utilities!$B$11))</f>
        <v>0.19471503492070183</v>
      </c>
    </row>
    <row r="266" spans="1:5" x14ac:dyDescent="0.3">
      <c r="A266">
        <v>261</v>
      </c>
      <c r="B266">
        <f>Utilities!$B$7+((Utilities!$B$9-Utilities!$B$7)*(A266/Utilities!$B$1))</f>
        <v>48.70805</v>
      </c>
      <c r="C266">
        <f>Utilities!$B$9+((Utilities!$B$7-Utilities!$B$9)*EXP(-$B$2*A266))</f>
        <v>0.76766279175882746</v>
      </c>
      <c r="D266">
        <f>EXP(-1*SQRT(Utilities!$B$5)/(IF($B$1="Linear",B266,C266)*Utilities!$B$11))</f>
        <v>6.3054178133944917E-4</v>
      </c>
      <c r="E266">
        <f>EXP(-1*SQRT(Utilities!$B$5/20)/(IF($B$1="Linear",B266,C266)*Utilities!$B$11))</f>
        <v>0.19248383658825693</v>
      </c>
    </row>
    <row r="267" spans="1:5" x14ac:dyDescent="0.3">
      <c r="A267">
        <v>262</v>
      </c>
      <c r="B267">
        <f>Utilities!$B$7+((Utilities!$B$9-Utilities!$B$7)*(A267/Utilities!$B$1))</f>
        <v>48.703099999999999</v>
      </c>
      <c r="C267">
        <f>Utilities!$B$9+((Utilities!$B$7-Utilities!$B$9)*EXP(-$B$2*A267))</f>
        <v>0.76236271337558492</v>
      </c>
      <c r="D267">
        <f>EXP(-1*SQRT(Utilities!$B$5)/(IF($B$1="Linear",B267,C267)*Utilities!$B$11))</f>
        <v>5.9905255208759546E-4</v>
      </c>
      <c r="E267">
        <f>EXP(-1*SQRT(Utilities!$B$5/20)/(IF($B$1="Linear",B267,C267)*Utilities!$B$11))</f>
        <v>0.19029143918606278</v>
      </c>
    </row>
    <row r="268" spans="1:5" x14ac:dyDescent="0.3">
      <c r="A268">
        <v>263</v>
      </c>
      <c r="B268">
        <f>Utilities!$B$7+((Utilities!$B$9-Utilities!$B$7)*(A268/Utilities!$B$1))</f>
        <v>48.698149999999998</v>
      </c>
      <c r="C268">
        <f>Utilities!$B$9+((Utilities!$B$7-Utilities!$B$9)*EXP(-$B$2*A268))</f>
        <v>0.75716758357590896</v>
      </c>
      <c r="D268">
        <f>EXP(-1*SQRT(Utilities!$B$5)/(IF($B$1="Linear",B268,C268)*Utilities!$B$11))</f>
        <v>5.6931712234027155E-4</v>
      </c>
      <c r="E268">
        <f>EXP(-1*SQRT(Utilities!$B$5/20)/(IF($B$1="Linear",B268,C268)*Utilities!$B$11))</f>
        <v>0.18813740653673761</v>
      </c>
    </row>
    <row r="269" spans="1:5" x14ac:dyDescent="0.3">
      <c r="A269">
        <v>264</v>
      </c>
      <c r="B269">
        <f>Utilities!$B$7+((Utilities!$B$9-Utilities!$B$7)*(A269/Utilities!$B$1))</f>
        <v>48.693199999999997</v>
      </c>
      <c r="C269">
        <f>Utilities!$B$9+((Utilities!$B$7-Utilities!$B$9)*EXP(-$B$2*A269))</f>
        <v>0.7520753242386099</v>
      </c>
      <c r="D269">
        <f>EXP(-1*SQRT(Utilities!$B$5)/(IF($B$1="Linear",B269,C269)*Utilities!$B$11))</f>
        <v>5.4123382845430712E-4</v>
      </c>
      <c r="E269">
        <f>EXP(-1*SQRT(Utilities!$B$5/20)/(IF($B$1="Linear",B269,C269)*Utilities!$B$11))</f>
        <v>0.18602129586651198</v>
      </c>
    </row>
    <row r="270" spans="1:5" x14ac:dyDescent="0.3">
      <c r="A270">
        <v>265</v>
      </c>
      <c r="B270">
        <f>Utilities!$B$7+((Utilities!$B$9-Utilities!$B$7)*(A270/Utilities!$B$1))</f>
        <v>48.688249999999996</v>
      </c>
      <c r="C270">
        <f>Utilities!$B$9+((Utilities!$B$7-Utilities!$B$9)*EXP(-$B$2*A270))</f>
        <v>0.7470838983920558</v>
      </c>
      <c r="D270">
        <f>EXP(-1*SQRT(Utilities!$B$5)/(IF($B$1="Linear",B270,C270)*Utilities!$B$11))</f>
        <v>5.1470689458336808E-4</v>
      </c>
      <c r="E270">
        <f>EXP(-1*SQRT(Utilities!$B$5/20)/(IF($B$1="Linear",B270,C270)*Utilities!$B$11))</f>
        <v>0.18394265842370375</v>
      </c>
    </row>
    <row r="271" spans="1:5" x14ac:dyDescent="0.3">
      <c r="A271">
        <v>266</v>
      </c>
      <c r="B271">
        <f>Utilities!$B$7+((Utilities!$B$9-Utilities!$B$7)*(A271/Utilities!$B$1))</f>
        <v>48.683300000000003</v>
      </c>
      <c r="C271">
        <f>Utilities!$B$9+((Utilities!$B$7-Utilities!$B$9)*EXP(-$B$2*A271))</f>
        <v>0.74219130939935407</v>
      </c>
      <c r="D271">
        <f>EXP(-1*SQRT(Utilities!$B$5)/(IF($B$1="Linear",B271,C271)*Utilities!$B$11))</f>
        <v>4.8964610720860391E-4</v>
      </c>
      <c r="E271">
        <f>EXP(-1*SQRT(Utilities!$B$5/20)/(IF($B$1="Linear",B271,C271)*Utilities!$B$11))</f>
        <v>0.18190104008078586</v>
      </c>
    </row>
    <row r="272" spans="1:5" x14ac:dyDescent="0.3">
      <c r="A272">
        <v>267</v>
      </c>
      <c r="B272">
        <f>Utilities!$B$7+((Utilities!$B$9-Utilities!$B$7)*(A272/Utilities!$B$1))</f>
        <v>48.678350000000002</v>
      </c>
      <c r="C272">
        <f>Utilities!$B$9+((Utilities!$B$7-Utilities!$B$9)*EXP(-$B$2*A272))</f>
        <v>0.73739560015967287</v>
      </c>
      <c r="D272">
        <f>EXP(-1*SQRT(Utilities!$B$5)/(IF($B$1="Linear",B272,C272)*Utilities!$B$11))</f>
        <v>4.6596650558966389E-4</v>
      </c>
      <c r="E272">
        <f>EXP(-1*SQRT(Utilities!$B$5/20)/(IF($B$1="Linear",B272,C272)*Utilities!$B$11))</f>
        <v>0.17989598191962067</v>
      </c>
    </row>
    <row r="273" spans="1:5" x14ac:dyDescent="0.3">
      <c r="A273">
        <v>268</v>
      </c>
      <c r="B273">
        <f>Utilities!$B$7+((Utilities!$B$9-Utilities!$B$7)*(A273/Utilities!$B$1))</f>
        <v>48.673400000000001</v>
      </c>
      <c r="C273">
        <f>Utilities!$B$9+((Utilities!$B$7-Utilities!$B$9)*EXP(-$B$2*A273))</f>
        <v>0.73269485232537213</v>
      </c>
      <c r="D273">
        <f>EXP(-1*SQRT(Utilities!$B$5)/(IF($B$1="Linear",B273,C273)*Utilities!$B$11))</f>
        <v>4.4358808757831929E-4</v>
      </c>
      <c r="E273">
        <f>EXP(-1*SQRT(Utilities!$B$5/20)/(IF($B$1="Linear",B273,C273)*Utilities!$B$11))</f>
        <v>0.17792702079949138</v>
      </c>
    </row>
    <row r="274" spans="1:5" x14ac:dyDescent="0.3">
      <c r="A274">
        <v>269</v>
      </c>
      <c r="B274">
        <f>Utilities!$B$7+((Utilities!$B$9-Utilities!$B$7)*(A274/Utilities!$B$1))</f>
        <v>48.66845</v>
      </c>
      <c r="C274">
        <f>Utilities!$B$9+((Utilities!$B$7-Utilities!$B$9)*EXP(-$B$2*A274))</f>
        <v>0.72808718553464125</v>
      </c>
      <c r="D274">
        <f>EXP(-1*SQRT(Utilities!$B$5)/(IF($B$1="Linear",B274,C274)*Utilities!$B$11))</f>
        <v>4.2243553023350947E-4</v>
      </c>
      <c r="E274">
        <f>EXP(-1*SQRT(Utilities!$B$5/20)/(IF($B$1="Linear",B274,C274)*Utilities!$B$11))</f>
        <v>0.1759936899076312</v>
      </c>
    </row>
    <row r="275" spans="1:5" x14ac:dyDescent="0.3">
      <c r="A275">
        <v>270</v>
      </c>
      <c r="B275">
        <f>Utilities!$B$7+((Utilities!$B$9-Utilities!$B$7)*(A275/Utilities!$B$1))</f>
        <v>48.663499999999999</v>
      </c>
      <c r="C275">
        <f>Utilities!$B$9+((Utilities!$B$7-Utilities!$B$9)*EXP(-$B$2*A275))</f>
        <v>0.72357075665932702</v>
      </c>
      <c r="D275">
        <f>EXP(-1*SQRT(Utilities!$B$5)/(IF($B$1="Linear",B275,C275)*Utilities!$B$11))</f>
        <v>4.0243792467601768E-4</v>
      </c>
      <c r="E275">
        <f>EXP(-1*SQRT(Utilities!$B$5/20)/(IF($B$1="Linear",B275,C275)*Utilities!$B$11))</f>
        <v>0.17409551929200404</v>
      </c>
    </row>
    <row r="276" spans="1:5" x14ac:dyDescent="0.3">
      <c r="A276">
        <v>271</v>
      </c>
      <c r="B276">
        <f>Utilities!$B$7+((Utilities!$B$9-Utilities!$B$7)*(A276/Utilities!$B$1))</f>
        <v>48.658549999999998</v>
      </c>
      <c r="C276">
        <f>Utilities!$B$9+((Utilities!$B$7-Utilities!$B$9)*EXP(-$B$2*A276))</f>
        <v>0.71914375906765982</v>
      </c>
      <c r="D276">
        <f>EXP(-1*SQRT(Utilities!$B$5)/(IF($B$1="Linear",B276,C276)*Utilities!$B$11))</f>
        <v>3.8352852462325527E-4</v>
      </c>
      <c r="E276">
        <f>EXP(-1*SQRT(Utilities!$B$5/20)/(IF($B$1="Linear",B276,C276)*Utilities!$B$11))</f>
        <v>0.17223203637615367</v>
      </c>
    </row>
    <row r="277" spans="1:5" x14ac:dyDescent="0.3">
      <c r="A277">
        <v>272</v>
      </c>
      <c r="B277">
        <f>Utilities!$B$7+((Utilities!$B$9-Utilities!$B$7)*(A277/Utilities!$B$1))</f>
        <v>48.653599999999997</v>
      </c>
      <c r="C277">
        <f>Utilities!$B$9+((Utilities!$B$7-Utilities!$B$9)*EXP(-$B$2*A277))</f>
        <v>0.71480442190157523</v>
      </c>
      <c r="D277">
        <f>EXP(-1*SQRT(Utilities!$B$5)/(IF($B$1="Linear",B277,C277)*Utilities!$B$11))</f>
        <v>3.6564450804909106E-4</v>
      </c>
      <c r="E277">
        <f>EXP(-1*SQRT(Utilities!$B$5/20)/(IF($B$1="Linear",B277,C277)*Utilities!$B$11))</f>
        <v>0.17040276645598851</v>
      </c>
    </row>
    <row r="278" spans="1:5" x14ac:dyDescent="0.3">
      <c r="A278">
        <v>273</v>
      </c>
      <c r="B278">
        <f>Utilities!$B$7+((Utilities!$B$9-Utilities!$B$7)*(A278/Utilities!$B$1))</f>
        <v>48.648650000000004</v>
      </c>
      <c r="C278">
        <f>Utilities!$B$9+((Utilities!$B$7-Utilities!$B$9)*EXP(-$B$2*A278))</f>
        <v>0.7105510093683487</v>
      </c>
      <c r="D278">
        <f>EXP(-1*SQRT(Utilities!$B$5)/(IF($B$1="Linear",B278,C278)*Utilities!$B$11))</f>
        <v>3.4872675142038554E-4</v>
      </c>
      <c r="E278">
        <f>EXP(-1*SQRT(Utilities!$B$5/20)/(IF($B$1="Linear",B278,C278)*Utilities!$B$11))</f>
        <v>0.16860723317842574</v>
      </c>
    </row>
    <row r="279" spans="1:5" x14ac:dyDescent="0.3">
      <c r="A279">
        <v>274</v>
      </c>
      <c r="B279">
        <f>Utilities!$B$7+((Utilities!$B$9-Utilities!$B$7)*(A279/Utilities!$B$1))</f>
        <v>48.643700000000003</v>
      </c>
      <c r="C279">
        <f>Utilities!$B$9+((Utilities!$B$7-Utilities!$B$9)*EXP(-$B$2*A279))</f>
        <v>0.70638182004625349</v>
      </c>
      <c r="D279">
        <f>EXP(-1*SQRT(Utilities!$B$5)/(IF($B$1="Linear",B279,C279)*Utilities!$B$11))</f>
        <v>3.3271961597030106E-4</v>
      </c>
      <c r="E279">
        <f>EXP(-1*SQRT(Utilities!$B$5/20)/(IF($B$1="Linear",B279,C279)*Utilities!$B$11))</f>
        <v>0.16684495900186364</v>
      </c>
    </row>
    <row r="280" spans="1:5" x14ac:dyDescent="0.3">
      <c r="A280">
        <v>275</v>
      </c>
      <c r="B280">
        <f>Utilities!$B$7+((Utilities!$B$9-Utilities!$B$7)*(A280/Utilities!$B$1))</f>
        <v>48.638750000000002</v>
      </c>
      <c r="C280">
        <f>Utilities!$B$9+((Utilities!$B$7-Utilities!$B$9)*EXP(-$B$2*A280))</f>
        <v>0.70229518620397124</v>
      </c>
      <c r="D280">
        <f>EXP(-1*SQRT(Utilities!$B$5)/(IF($B$1="Linear",B280,C280)*Utilities!$B$11))</f>
        <v>3.1757074547855214E-4</v>
      </c>
      <c r="E280">
        <f>EXP(-1*SQRT(Utilities!$B$5/20)/(IF($B$1="Linear",B280,C280)*Utilities!$B$11))</f>
        <v>0.16511546563850255</v>
      </c>
    </row>
    <row r="281" spans="1:5" x14ac:dyDescent="0.3">
      <c r="A281">
        <v>276</v>
      </c>
      <c r="B281">
        <f>Utilities!$B$7+((Utilities!$B$9-Utilities!$B$7)*(A281/Utilities!$B$1))</f>
        <v>48.633800000000001</v>
      </c>
      <c r="C281">
        <f>Utilities!$B$9+((Utilities!$B$7-Utilities!$B$9)*EXP(-$B$2*A281))</f>
        <v>0.69828947313347567</v>
      </c>
      <c r="D281">
        <f>EXP(-1*SQRT(Utilities!$B$5)/(IF($B$1="Linear",B281,C281)*Utilities!$B$11))</f>
        <v>3.0323087504010362E-4</v>
      </c>
      <c r="E281">
        <f>EXP(-1*SQRT(Utilities!$B$5/20)/(IF($B$1="Linear",B281,C281)*Utilities!$B$11))</f>
        <v>0.16341827447857443</v>
      </c>
    </row>
    <row r="282" spans="1:5" x14ac:dyDescent="0.3">
      <c r="A282">
        <v>277</v>
      </c>
      <c r="B282">
        <f>Utilities!$B$7+((Utilities!$B$9-Utilities!$B$7)*(A282/Utilities!$B$1))</f>
        <v>48.62885</v>
      </c>
      <c r="C282">
        <f>Utilities!$B$9+((Utilities!$B$7-Utilities!$B$9)*EXP(-$B$2*A282))</f>
        <v>0.69436307849612844</v>
      </c>
      <c r="D282">
        <f>EXP(-1*SQRT(Utilities!$B$5)/(IF($B$1="Linear",B282,C282)*Utilities!$B$11))</f>
        <v>2.8965365031637721E-4</v>
      </c>
      <c r="E282">
        <f>EXP(-1*SQRT(Utilities!$B$5/20)/(IF($B$1="Linear",B282,C282)*Utilities!$B$11))</f>
        <v>0.16175290699658565</v>
      </c>
    </row>
    <row r="283" spans="1:5" x14ac:dyDescent="0.3">
      <c r="A283">
        <v>278</v>
      </c>
      <c r="B283">
        <f>Utilities!$B$7+((Utilities!$B$9-Utilities!$B$7)*(A283/Utilities!$B$1))</f>
        <v>48.623899999999999</v>
      </c>
      <c r="C283">
        <f>Utilities!$B$9+((Utilities!$B$7-Utilities!$B$9)*EXP(-$B$2*A283))</f>
        <v>0.69051443168172166</v>
      </c>
      <c r="D283">
        <f>EXP(-1*SQRT(Utilities!$B$5)/(IF($B$1="Linear",B283,C283)*Utilities!$B$11))</f>
        <v>2.767954567764676E-4</v>
      </c>
      <c r="E283">
        <f>EXP(-1*SQRT(Utilities!$B$5/20)/(IF($B$1="Linear",B283,C283)*Utilities!$B$11))</f>
        <v>0.16011888513971431</v>
      </c>
    </row>
    <row r="284" spans="1:5" x14ac:dyDescent="0.3">
      <c r="A284">
        <v>279</v>
      </c>
      <c r="B284">
        <f>Utilities!$B$7+((Utilities!$B$9-Utilities!$B$7)*(A284/Utilities!$B$1))</f>
        <v>48.618949999999998</v>
      </c>
      <c r="C284">
        <f>Utilities!$B$9+((Utilities!$B$7-Utilities!$B$9)*EXP(-$B$2*A284))</f>
        <v>0.68674199318021412</v>
      </c>
      <c r="D284">
        <f>EXP(-1*SQRT(Utilities!$B$5)/(IF($B$1="Linear",B284,C284)*Utilities!$B$11))</f>
        <v>2.6461525845009336E-4</v>
      </c>
      <c r="E284">
        <f>EXP(-1*SQRT(Utilities!$B$5/20)/(IF($B$1="Linear",B284,C284)*Utilities!$B$11))</f>
        <v>0.15851573169854066</v>
      </c>
    </row>
    <row r="285" spans="1:5" x14ac:dyDescent="0.3">
      <c r="A285">
        <v>280</v>
      </c>
      <c r="B285">
        <f>Utilities!$B$7+((Utilities!$B$9-Utilities!$B$7)*(A285/Utilities!$B$1))</f>
        <v>48.613999999999997</v>
      </c>
      <c r="C285">
        <f>Utilities!$B$9+((Utilities!$B$7-Utilities!$B$9)*EXP(-$B$2*A285))</f>
        <v>0.68304425396590496</v>
      </c>
      <c r="D285">
        <f>EXP(-1*SQRT(Utilities!$B$5)/(IF($B$1="Linear",B285,C285)*Utilities!$B$11))</f>
        <v>2.5307444572878878E-4</v>
      </c>
      <c r="E285">
        <f>EXP(-1*SQRT(Utilities!$B$5/20)/(IF($B$1="Linear",B285,C285)*Utilities!$B$11))</f>
        <v>0.15694297066032012</v>
      </c>
    </row>
    <row r="286" spans="1:5" x14ac:dyDescent="0.3">
      <c r="A286">
        <v>281</v>
      </c>
      <c r="B286">
        <f>Utilities!$B$7+((Utilities!$B$9-Utilities!$B$7)*(A286/Utilities!$B$1))</f>
        <v>48.609050000000003</v>
      </c>
      <c r="C286">
        <f>Utilities!$B$9+((Utilities!$B$7-Utilities!$B$9)*EXP(-$B$2*A286))</f>
        <v>0.67941973489380492</v>
      </c>
      <c r="D286">
        <f>EXP(-1*SQRT(Utilities!$B$5)/(IF($B$1="Linear",B286,C286)*Utilities!$B$11))</f>
        <v>2.421366917671488E-4</v>
      </c>
      <c r="E286">
        <f>EXP(-1*SQRT(Utilities!$B$5/20)/(IF($B$1="Linear",B286,C286)*Utilities!$B$11))</f>
        <v>0.15540012754504196</v>
      </c>
    </row>
    <row r="287" spans="1:5" x14ac:dyDescent="0.3">
      <c r="A287">
        <v>282</v>
      </c>
      <c r="B287">
        <f>Utilities!$B$7+((Utilities!$B$9-Utilities!$B$7)*(A287/Utilities!$B$1))</f>
        <v>48.604100000000003</v>
      </c>
      <c r="C287">
        <f>Utilities!$B$9+((Utilities!$B$7-Utilities!$B$9)*EXP(-$B$2*A287))</f>
        <v>0.67586698610795737</v>
      </c>
      <c r="D287">
        <f>EXP(-1*SQRT(Utilities!$B$5)/(IF($B$1="Linear",B287,C287)*Utilities!$B$11))</f>
        <v>2.3176781705145556E-4</v>
      </c>
      <c r="E287">
        <f>EXP(-1*SQRT(Utilities!$B$5/20)/(IF($B$1="Linear",B287,C287)*Utilities!$B$11))</f>
        <v>0.15388672972454143</v>
      </c>
    </row>
    <row r="288" spans="1:5" x14ac:dyDescent="0.3">
      <c r="A288">
        <v>283</v>
      </c>
      <c r="B288">
        <f>Utilities!$B$7+((Utilities!$B$9-Utilities!$B$7)*(A288/Utilities!$B$1))</f>
        <v>48.599150000000002</v>
      </c>
      <c r="C288">
        <f>Utilities!$B$9+((Utilities!$B$7-Utilities!$B$9)*EXP(-$B$2*A288))</f>
        <v>0.67238458646147736</v>
      </c>
      <c r="D288">
        <f>EXP(-1*SQRT(Utilities!$B$5)/(IF($B$1="Linear",B288,C288)*Utilities!$B$11))</f>
        <v>2.2193566171883167E-4</v>
      </c>
      <c r="E288">
        <f>EXP(-1*SQRT(Utilities!$B$5/20)/(IF($B$1="Linear",B288,C288)*Utilities!$B$11))</f>
        <v>0.15240230672496174</v>
      </c>
    </row>
    <row r="289" spans="1:5" x14ac:dyDescent="0.3">
      <c r="A289">
        <v>284</v>
      </c>
      <c r="B289">
        <f>Utilities!$B$7+((Utilities!$B$9-Utilities!$B$7)*(A289/Utilities!$B$1))</f>
        <v>48.594200000000001</v>
      </c>
      <c r="C289">
        <f>Utilities!$B$9+((Utilities!$B$7-Utilities!$B$9)*EXP(-$B$2*A289))</f>
        <v>0.6689711429480738</v>
      </c>
      <c r="D289">
        <f>EXP(-1*SQRT(Utilities!$B$5)/(IF($B$1="Linear",B289,C289)*Utilities!$B$11))</f>
        <v>2.1260996522589823E-4</v>
      </c>
      <c r="E289">
        <f>EXP(-1*SQRT(Utilities!$B$5/20)/(IF($B$1="Linear",B289,C289)*Utilities!$B$11))</f>
        <v>0.1509463905128817</v>
      </c>
    </row>
    <row r="290" spans="1:5" x14ac:dyDescent="0.3">
      <c r="A290">
        <v>285</v>
      </c>
      <c r="B290">
        <f>Utilities!$B$7+((Utilities!$B$9-Utilities!$B$7)*(A290/Utilities!$B$1))</f>
        <v>48.58925</v>
      </c>
      <c r="C290">
        <f>Utilities!$B$9+((Utilities!$B$7-Utilities!$B$9)*EXP(-$B$2*A290))</f>
        <v>0.66562529014482796</v>
      </c>
      <c r="D290">
        <f>EXP(-1*SQRT(Utilities!$B$5)/(IF($B$1="Linear",B290,C290)*Utilities!$B$11))</f>
        <v>2.0376225298178845E-4</v>
      </c>
      <c r="E290">
        <f>EXP(-1*SQRT(Utilities!$B$5/20)/(IF($B$1="Linear",B290,C290)*Utilities!$B$11))</f>
        <v>0.14951851576544825</v>
      </c>
    </row>
    <row r="291" spans="1:5" x14ac:dyDescent="0.3">
      <c r="A291">
        <v>286</v>
      </c>
      <c r="B291">
        <f>Utilities!$B$7+((Utilities!$B$9-Utilities!$B$7)*(A291/Utilities!$B$1))</f>
        <v>48.584299999999999</v>
      </c>
      <c r="C291">
        <f>Utilities!$B$9+((Utilities!$B$7-Utilities!$B$9)*EXP(-$B$2*A291))</f>
        <v>0.66234568966600693</v>
      </c>
      <c r="D291">
        <f>EXP(-1*SQRT(Utilities!$B$5)/(IF($B$1="Linear",B291,C291)*Utilities!$B$11))</f>
        <v>1.9536572957614019E-4</v>
      </c>
      <c r="E291">
        <f>EXP(-1*SQRT(Utilities!$B$5/20)/(IF($B$1="Linear",B291,C291)*Utilities!$B$11))</f>
        <v>0.14811822012487053</v>
      </c>
    </row>
    <row r="292" spans="1:5" x14ac:dyDescent="0.3">
      <c r="A292">
        <v>287</v>
      </c>
      <c r="B292">
        <f>Utilities!$B$7+((Utilities!$B$9-Utilities!$B$7)*(A292/Utilities!$B$1))</f>
        <v>48.579349999999998</v>
      </c>
      <c r="C292">
        <f>Utilities!$B$9+((Utilities!$B$7-Utilities!$B$9)*EXP(-$B$2*A292))</f>
        <v>0.6591310296276901</v>
      </c>
      <c r="D292">
        <f>EXP(-1*SQRT(Utilities!$B$5)/(IF($B$1="Linear",B292,C292)*Utilities!$B$11))</f>
        <v>1.8739517824830794E-4</v>
      </c>
      <c r="E292">
        <f>EXP(-1*SQRT(Utilities!$B$5/20)/(IF($B$1="Linear",B292,C292)*Utilities!$B$11))</f>
        <v>0.14674504443764635</v>
      </c>
    </row>
    <row r="293" spans="1:5" x14ac:dyDescent="0.3">
      <c r="A293">
        <v>288</v>
      </c>
      <c r="B293">
        <f>Utilities!$B$7+((Utilities!$B$9-Utilities!$B$7)*(A293/Utilities!$B$1))</f>
        <v>48.574399999999997</v>
      </c>
      <c r="C293">
        <f>Utilities!$B$9+((Utilities!$B$7-Utilities!$B$9)*EXP(-$B$2*A293))</f>
        <v>0.65598002412299983</v>
      </c>
      <c r="D293">
        <f>EXP(-1*SQRT(Utilities!$B$5)/(IF($B$1="Linear",B293,C293)*Utilities!$B$11))</f>
        <v>1.7982686625944816E-4</v>
      </c>
      <c r="E293">
        <f>EXP(-1*SQRT(Utilities!$B$5/20)/(IF($B$1="Linear",B293,C293)*Utilities!$B$11))</f>
        <v>0.14539853297890976</v>
      </c>
    </row>
    <row r="294" spans="1:5" x14ac:dyDescent="0.3">
      <c r="A294">
        <v>289</v>
      </c>
      <c r="B294">
        <f>Utilities!$B$7+((Utilities!$B$9-Utilities!$B$7)*(A294/Utilities!$B$1))</f>
        <v>48.569450000000003</v>
      </c>
      <c r="C294">
        <f>Utilities!$B$9+((Utilities!$B$7-Utilities!$B$9)*EXP(-$B$2*A294))</f>
        <v>0.65289141270772011</v>
      </c>
      <c r="D294">
        <f>EXP(-1*SQRT(Utilities!$B$5)/(IF($B$1="Linear",B294,C294)*Utilities!$B$11))</f>
        <v>1.7263845584424126E-4</v>
      </c>
      <c r="E294">
        <f>EXP(-1*SQRT(Utilities!$B$5/20)/(IF($B$1="Linear",B294,C294)*Utilities!$B$11))</f>
        <v>0.14407823366229508</v>
      </c>
    </row>
    <row r="295" spans="1:5" x14ac:dyDescent="0.3">
      <c r="A295">
        <v>290</v>
      </c>
      <c r="B295">
        <f>Utilities!$B$7+((Utilities!$B$9-Utilities!$B$7)*(A295/Utilities!$B$1))</f>
        <v>48.564500000000002</v>
      </c>
      <c r="C295">
        <f>Utilities!$B$9+((Utilities!$B$7-Utilities!$B$9)*EXP(-$B$2*A295))</f>
        <v>0.64986395989610291</v>
      </c>
      <c r="D295">
        <f>EXP(-1*SQRT(Utilities!$B$5)/(IF($B$1="Linear",B295,C295)*Utilities!$B$11))</f>
        <v>1.6580892043384959E-4</v>
      </c>
      <c r="E295">
        <f>EXP(-1*SQRT(Utilities!$B$5/20)/(IF($B$1="Linear",B295,C295)*Utilities!$B$11))</f>
        <v>0.14278369823572776</v>
      </c>
    </row>
    <row r="296" spans="1:5" x14ac:dyDescent="0.3">
      <c r="A296">
        <v>291</v>
      </c>
      <c r="B296">
        <f>Utilities!$B$7+((Utilities!$B$9-Utilities!$B$7)*(A296/Utilities!$B$1))</f>
        <v>48.559550000000002</v>
      </c>
      <c r="C296">
        <f>Utilities!$B$9+((Utilities!$B$7-Utilities!$B$9)*EXP(-$B$2*A296))</f>
        <v>0.64689645466665668</v>
      </c>
      <c r="D296">
        <f>EXP(-1*SQRT(Utilities!$B$5)/(IF($B$1="Linear",B296,C296)*Utilities!$B$11))</f>
        <v>1.5931846585615623E-4</v>
      </c>
      <c r="E296">
        <f>EXP(-1*SQRT(Utilities!$B$5/20)/(IF($B$1="Linear",B296,C296)*Utilities!$B$11))</f>
        <v>0.14151448246355686</v>
      </c>
    </row>
    <row r="297" spans="1:5" x14ac:dyDescent="0.3">
      <c r="A297">
        <v>292</v>
      </c>
      <c r="B297">
        <f>Utilities!$B$7+((Utilities!$B$9-Utilities!$B$7)*(A297/Utilities!$B$1))</f>
        <v>48.554600000000001</v>
      </c>
      <c r="C297">
        <f>Utilities!$B$9+((Utilities!$B$7-Utilities!$B$9)*EXP(-$B$2*A297))</f>
        <v>0.64398770997772292</v>
      </c>
      <c r="D297">
        <f>EXP(-1*SQRT(Utilities!$B$5)/(IF($B$1="Linear",B297,C297)*Utilities!$B$11))</f>
        <v>1.5314845623340729E-4</v>
      </c>
      <c r="E297">
        <f>EXP(-1*SQRT(Utilities!$B$5/20)/(IF($B$1="Linear",B297,C297)*Utilities!$B$11))</f>
        <v>0.14027014629545262</v>
      </c>
    </row>
    <row r="298" spans="1:5" x14ac:dyDescent="0.3">
      <c r="A298">
        <v>293</v>
      </c>
      <c r="B298">
        <f>Utilities!$B$7+((Utilities!$B$9-Utilities!$B$7)*(A298/Utilities!$B$1))</f>
        <v>48.54965</v>
      </c>
      <c r="C298">
        <f>Utilities!$B$9+((Utilities!$B$7-Utilities!$B$9)*EXP(-$B$2*A298))</f>
        <v>0.64113656229264182</v>
      </c>
      <c r="D298">
        <f>EXP(-1*SQRT(Utilities!$B$5)/(IF($B$1="Linear",B298,C298)*Utilities!$B$11))</f>
        <v>1.4728134431104024E-4</v>
      </c>
      <c r="E298">
        <f>EXP(-1*SQRT(Utilities!$B$5/20)/(IF($B$1="Linear",B298,C298)*Utilities!$B$11))</f>
        <v>0.13905025402249457</v>
      </c>
    </row>
    <row r="299" spans="1:5" x14ac:dyDescent="0.3">
      <c r="A299">
        <v>294</v>
      </c>
      <c r="B299">
        <f>Utilities!$B$7+((Utilities!$B$9-Utilities!$B$7)*(A299/Utilities!$B$1))</f>
        <v>48.544699999999999</v>
      </c>
      <c r="C299">
        <f>Utilities!$B$9+((Utilities!$B$7-Utilities!$B$9)*EXP(-$B$2*A299))</f>
        <v>0.63834187111432372</v>
      </c>
      <c r="D299">
        <f>EXP(-1*SQRT(Utilities!$B$5)/(IF($B$1="Linear",B299,C299)*Utilities!$B$11))</f>
        <v>1.4170060596472664E-4</v>
      </c>
      <c r="E299">
        <f>EXP(-1*SQRT(Utilities!$B$5/20)/(IF($B$1="Linear",B299,C299)*Utilities!$B$11))</f>
        <v>0.13785437442088333</v>
      </c>
    </row>
    <row r="300" spans="1:5" x14ac:dyDescent="0.3">
      <c r="A300">
        <v>295</v>
      </c>
      <c r="B300">
        <f>Utilities!$B$7+((Utilities!$B$9-Utilities!$B$7)*(A300/Utilities!$B$1))</f>
        <v>48.539749999999998</v>
      </c>
      <c r="C300">
        <f>Utilities!$B$9+((Utilities!$B$7-Utilities!$B$9)*EXP(-$B$2*A300))</f>
        <v>0.63560251852903427</v>
      </c>
      <c r="D300">
        <f>EXP(-1*SQRT(Utilities!$B$5)/(IF($B$1="Linear",B300,C300)*Utilities!$B$11))</f>
        <v>1.3639067864542641E-4</v>
      </c>
      <c r="E300">
        <f>EXP(-1*SQRT(Utilities!$B$5/20)/(IF($B$1="Linear",B300,C300)*Utilities!$B$11))</f>
        <v>0.13668208088370512</v>
      </c>
    </row>
    <row r="301" spans="1:5" x14ac:dyDescent="0.3">
      <c r="A301">
        <v>296</v>
      </c>
      <c r="B301">
        <f>Utilities!$B$7+((Utilities!$B$9-Utilities!$B$7)*(A301/Utilities!$B$1))</f>
        <v>48.534799999999997</v>
      </c>
      <c r="C301">
        <f>Utilities!$B$9+((Utilities!$B$7-Utilities!$B$9)*EXP(-$B$2*A301))</f>
        <v>0.6329174087592141</v>
      </c>
      <c r="D301">
        <f>EXP(-1*SQRT(Utilities!$B$5)/(IF($B$1="Linear",B301,C301)*Utilities!$B$11))</f>
        <v>1.3133690353460113E-4</v>
      </c>
      <c r="E301">
        <f>EXP(-1*SQRT(Utilities!$B$5/20)/(IF($B$1="Linear",B301,C301)*Utilities!$B$11))</f>
        <v>0.13553295154118369</v>
      </c>
    </row>
    <row r="302" spans="1:5" x14ac:dyDescent="0.3">
      <c r="A302">
        <v>297</v>
      </c>
      <c r="B302">
        <f>Utilities!$B$7+((Utilities!$B$9-Utilities!$B$7)*(A302/Utilities!$B$1))</f>
        <v>48.529850000000003</v>
      </c>
      <c r="C302">
        <f>Utilities!$B$9+((Utilities!$B$7-Utilities!$B$9)*EXP(-$B$2*A302))</f>
        <v>0.63028546772515326</v>
      </c>
      <c r="D302">
        <f>EXP(-1*SQRT(Utilities!$B$5)/(IF($B$1="Linear",B302,C302)*Utilities!$B$11))</f>
        <v>1.2652547119360345E-4</v>
      </c>
      <c r="E302">
        <f>EXP(-1*SQRT(Utilities!$B$5/20)/(IF($B$1="Linear",B302,C302)*Utilities!$B$11))</f>
        <v>0.13440656936984993</v>
      </c>
    </row>
    <row r="303" spans="1:5" x14ac:dyDescent="0.3">
      <c r="A303">
        <v>298</v>
      </c>
      <c r="B303">
        <f>Utilities!$B$7+((Utilities!$B$9-Utilities!$B$7)*(A303/Utilities!$B$1))</f>
        <v>48.524900000000002</v>
      </c>
      <c r="C303">
        <f>Utilities!$B$9+((Utilities!$B$7-Utilities!$B$9)*EXP(-$B$2*A303))</f>
        <v>0.62770564261534534</v>
      </c>
      <c r="D303">
        <f>EXP(-1*SQRT(Utilities!$B$5)/(IF($B$1="Linear",B303,C303)*Utilities!$B$11))</f>
        <v>1.2194337050266122E-4</v>
      </c>
      <c r="E303">
        <f>EXP(-1*SQRT(Utilities!$B$5/20)/(IF($B$1="Linear",B303,C303)*Utilities!$B$11))</f>
        <v>0.1333025222910596</v>
      </c>
    </row>
    <row r="304" spans="1:5" x14ac:dyDescent="0.3">
      <c r="A304">
        <v>299</v>
      </c>
      <c r="B304">
        <f>Utilities!$B$7+((Utilities!$B$9-Utilities!$B$7)*(A304/Utilities!$B$1))</f>
        <v>48.519950000000001</v>
      </c>
      <c r="C304">
        <f>Utilities!$B$9+((Utilities!$B$7-Utilities!$B$9)*EXP(-$B$2*A304))</f>
        <v>0.6251769014653481</v>
      </c>
      <c r="D304">
        <f>EXP(-1*SQRT(Utilities!$B$5)/(IF($B$1="Linear",B304,C304)*Utilities!$B$11))</f>
        <v>1.175783406958296E-4</v>
      </c>
      <c r="E304">
        <f>EXP(-1*SQRT(Utilities!$B$5/20)/(IF($B$1="Linear",B304,C304)*Utilities!$B$11))</f>
        <v>0.132220403259284</v>
      </c>
    </row>
    <row r="305" spans="1:5" x14ac:dyDescent="0.3">
      <c r="A305">
        <v>300</v>
      </c>
      <c r="B305">
        <f>Utilities!$B$7+((Utilities!$B$9-Utilities!$B$7)*(A305/Utilities!$B$1))</f>
        <v>48.515000000000001</v>
      </c>
      <c r="C305">
        <f>Utilities!$B$9+((Utilities!$B$7-Utilities!$B$9)*EXP(-$B$2*A305))</f>
        <v>0.6226982327449847</v>
      </c>
      <c r="D305">
        <f>EXP(-1*SQRT(Utilities!$B$5)/(IF($B$1="Linear",B305,C305)*Utilities!$B$11))</f>
        <v>1.1341882630876409E-4</v>
      </c>
      <c r="E305">
        <f>EXP(-1*SQRT(Utilities!$B$5/20)/(IF($B$1="Linear",B305,C305)*Utilities!$B$11))</f>
        <v>0.13115981034059851</v>
      </c>
    </row>
    <row r="306" spans="1:5" x14ac:dyDescent="0.3">
      <c r="A306">
        <v>301</v>
      </c>
      <c r="B306">
        <f>Utilities!$B$7+((Utilities!$B$9-Utilities!$B$7)*(A306/Utilities!$B$1))</f>
        <v>48.51005</v>
      </c>
      <c r="C306">
        <f>Utilities!$B$9+((Utilities!$B$7-Utilities!$B$9)*EXP(-$B$2*A306))</f>
        <v>0.62026864495371747</v>
      </c>
      <c r="D306">
        <f>EXP(-1*SQRT(Utilities!$B$5)/(IF($B$1="Linear",B306,C306)*Utilities!$B$11))</f>
        <v>1.0945393486619345E-4</v>
      </c>
      <c r="E306">
        <f>EXP(-1*SQRT(Utilities!$B$5/20)/(IF($B$1="Linear",B306,C306)*Utilities!$B$11))</f>
        <v>0.13012034678178291</v>
      </c>
    </row>
    <row r="307" spans="1:5" x14ac:dyDescent="0.3">
      <c r="A307">
        <v>302</v>
      </c>
      <c r="B307">
        <f>Utilities!$B$7+((Utilities!$B$9-Utilities!$B$7)*(A307/Utilities!$B$1))</f>
        <v>48.505099999999999</v>
      </c>
      <c r="C307">
        <f>Utilities!$B$9+((Utilities!$B$7-Utilities!$B$9)*EXP(-$B$2*A307))</f>
        <v>0.61788716622403506</v>
      </c>
      <c r="D307">
        <f>EXP(-1*SQRT(Utilities!$B$5)/(IF($B$1="Linear",B307,C307)*Utilities!$B$11))</f>
        <v>1.0567339714555566E-4</v>
      </c>
      <c r="E307">
        <f>EXP(-1*SQRT(Utilities!$B$5/20)/(IF($B$1="Linear",B307,C307)*Utilities!$B$11))</f>
        <v>0.12910162107044834</v>
      </c>
    </row>
    <row r="308" spans="1:5" x14ac:dyDescent="0.3">
      <c r="A308">
        <v>303</v>
      </c>
      <c r="B308">
        <f>Utilities!$B$7+((Utilities!$B$9-Utilities!$B$7)*(A308/Utilities!$B$1))</f>
        <v>48.500149999999998</v>
      </c>
      <c r="C308">
        <f>Utilities!$B$9+((Utilities!$B$7-Utilities!$B$9)*EXP(-$B$2*A308))</f>
        <v>0.61555284393269205</v>
      </c>
      <c r="D308">
        <f>EXP(-1*SQRT(Utilities!$B$5)/(IF($B$1="Linear",B308,C308)*Utilities!$B$11))</f>
        <v>1.0206752986239041E-4</v>
      </c>
      <c r="E308">
        <f>EXP(-1*SQRT(Utilities!$B$5/20)/(IF($B$1="Linear",B308,C308)*Utilities!$B$11))</f>
        <v>0.12810324698659342</v>
      </c>
    </row>
    <row r="309" spans="1:5" x14ac:dyDescent="0.3">
      <c r="A309">
        <v>304</v>
      </c>
      <c r="B309">
        <f>Utilities!$B$7+((Utilities!$B$9-Utilities!$B$7)*(A309/Utilities!$B$1))</f>
        <v>48.495199999999997</v>
      </c>
      <c r="C309">
        <f>Utilities!$B$9+((Utilities!$B$7-Utilities!$B$9)*EXP(-$B$2*A309))</f>
        <v>0.61326474431964739</v>
      </c>
      <c r="D309">
        <f>EXP(-1*SQRT(Utilities!$B$5)/(IF($B$1="Linear",B309,C309)*Utilities!$B$11))</f>
        <v>9.8627200631794113E-5</v>
      </c>
      <c r="E309">
        <f>EXP(-1*SQRT(Utilities!$B$5/20)/(IF($B$1="Linear",B309,C309)*Utilities!$B$11))</f>
        <v>0.12712484364598844</v>
      </c>
    </row>
    <row r="310" spans="1:5" x14ac:dyDescent="0.3">
      <c r="A310">
        <v>305</v>
      </c>
      <c r="B310">
        <f>Utilities!$B$7+((Utilities!$B$9-Utilities!$B$7)*(A310/Utilities!$B$1))</f>
        <v>48.490250000000003</v>
      </c>
      <c r="C310">
        <f>Utilities!$B$9+((Utilities!$B$7-Utilities!$B$9)*EXP(-$B$2*A310))</f>
        <v>0.61102195211454713</v>
      </c>
      <c r="D310">
        <f>EXP(-1*SQRT(Utilities!$B$5)/(IF($B$1="Linear",B310,C310)*Utilities!$B$11))</f>
        <v>9.5343795068528441E-5</v>
      </c>
      <c r="E310">
        <f>EXP(-1*SQRT(Utilities!$B$5/20)/(IF($B$1="Linear",B310,C310)*Utilities!$B$11))</f>
        <v>0.12616603553577718</v>
      </c>
    </row>
    <row r="311" spans="1:5" x14ac:dyDescent="0.3">
      <c r="A311">
        <v>306</v>
      </c>
      <c r="B311">
        <f>Utilities!$B$7+((Utilities!$B$9-Utilities!$B$7)*(A311/Utilities!$B$1))</f>
        <v>48.485300000000002</v>
      </c>
      <c r="C311">
        <f>Utilities!$B$9+((Utilities!$B$7-Utilities!$B$9)*EXP(-$B$2*A311))</f>
        <v>0.60882357017060529</v>
      </c>
      <c r="D311">
        <f>EXP(-1*SQRT(Utilities!$B$5)/(IF($B$1="Linear",B311,C311)*Utilities!$B$11))</f>
        <v>9.2209185896251596E-5</v>
      </c>
      <c r="E311">
        <f>EXP(-1*SQRT(Utilities!$B$5/20)/(IF($B$1="Linear",B311,C311)*Utilities!$B$11))</f>
        <v>0.125226452542679</v>
      </c>
    </row>
    <row r="312" spans="1:5" x14ac:dyDescent="0.3">
      <c r="A312">
        <v>307</v>
      </c>
      <c r="B312">
        <f>Utilities!$B$7+((Utilities!$B$9-Utilities!$B$7)*(A312/Utilities!$B$1))</f>
        <v>48.480350000000001</v>
      </c>
      <c r="C312">
        <f>Utilities!$B$9+((Utilities!$B$7-Utilities!$B$9)*EXP(-$B$2*A312))</f>
        <v>0.60666871910573184</v>
      </c>
      <c r="D312">
        <f>EXP(-1*SQRT(Utilities!$B$5)/(IF($B$1="Linear",B312,C312)*Utilities!$B$11))</f>
        <v>8.9215703943823987E-5</v>
      </c>
      <c r="E312">
        <f>EXP(-1*SQRT(Utilities!$B$5/20)/(IF($B$1="Linear",B312,C312)*Utilities!$B$11))</f>
        <v>0.12430572997416231</v>
      </c>
    </row>
    <row r="313" spans="1:5" x14ac:dyDescent="0.3">
      <c r="A313">
        <v>308</v>
      </c>
      <c r="B313">
        <f>Utilities!$B$7+((Utilities!$B$9-Utilities!$B$7)*(A313/Utilities!$B$1))</f>
        <v>48.4754</v>
      </c>
      <c r="C313">
        <f>Utilities!$B$9+((Utilities!$B$7-Utilities!$B$9)*EXP(-$B$2*A313))</f>
        <v>0.60455653695076939</v>
      </c>
      <c r="D313">
        <f>EXP(-1*SQRT(Utilities!$B$5)/(IF($B$1="Linear",B313,C313)*Utilities!$B$11))</f>
        <v>8.6356110913744319E-5</v>
      </c>
      <c r="E313">
        <f>EXP(-1*SQRT(Utilities!$B$5/20)/(IF($B$1="Linear",B313,C313)*Utilities!$B$11))</f>
        <v>0.12340350857295587</v>
      </c>
    </row>
    <row r="314" spans="1:5" x14ac:dyDescent="0.3">
      <c r="A314">
        <v>309</v>
      </c>
      <c r="B314">
        <f>Utilities!$B$7+((Utilities!$B$9-Utilities!$B$7)*(A314/Utilities!$B$1))</f>
        <v>48.47045</v>
      </c>
      <c r="C314">
        <f>Utilities!$B$9+((Utilities!$B$7-Utilities!$B$9)*EXP(-$B$2*A314))</f>
        <v>0.60248617880469291</v>
      </c>
      <c r="D314">
        <f>EXP(-1*SQRT(Utilities!$B$5)/(IF($B$1="Linear",B314,C314)*Utilities!$B$11))</f>
        <v>8.3623573814501661E-5</v>
      </c>
      <c r="E314">
        <f>EXP(-1*SQRT(Utilities!$B$5/20)/(IF($B$1="Linear",B314,C314)*Utilities!$B$11))</f>
        <v>0.12251943452524959</v>
      </c>
    </row>
    <row r="315" spans="1:5" x14ac:dyDescent="0.3">
      <c r="A315">
        <v>310</v>
      </c>
      <c r="B315">
        <f>Utilities!$B$7+((Utilities!$B$9-Utilities!$B$7)*(A315/Utilities!$B$1))</f>
        <v>48.465499999999999</v>
      </c>
      <c r="C315">
        <f>Utilities!$B$9+((Utilities!$B$7-Utilities!$B$9)*EXP(-$B$2*A315))</f>
        <v>0.60045681649663885</v>
      </c>
      <c r="D315">
        <f>EXP(-1*SQRT(Utilities!$B$5)/(IF($B$1="Linear",B315,C315)*Utilities!$B$11))</f>
        <v>8.1011640955007278E-5</v>
      </c>
      <c r="E315">
        <f>EXP(-1*SQRT(Utilities!$B$5/20)/(IF($B$1="Linear",B315,C315)*Utilities!$B$11))</f>
        <v>0.12165315946293186</v>
      </c>
    </row>
    <row r="316" spans="1:5" x14ac:dyDescent="0.3">
      <c r="A316">
        <v>311</v>
      </c>
      <c r="B316">
        <f>Utilities!$B$7+((Utilities!$B$9-Utilities!$B$7)*(A316/Utilities!$B$1))</f>
        <v>48.460549999999998</v>
      </c>
      <c r="C316">
        <f>Utilities!$B$9+((Utilities!$B$7-Utilities!$B$9)*EXP(-$B$2*A316))</f>
        <v>0.59846763825462557</v>
      </c>
      <c r="D316">
        <f>EXP(-1*SQRT(Utilities!$B$5)/(IF($B$1="Linear",B316,C316)*Utilities!$B$11))</f>
        <v>7.8514219405307359E-5</v>
      </c>
      <c r="E316">
        <f>EXP(-1*SQRT(Utilities!$B$5/20)/(IF($B$1="Linear",B316,C316)*Utilities!$B$11))</f>
        <v>0.12080434046019697</v>
      </c>
    </row>
    <row r="317" spans="1:5" x14ac:dyDescent="0.3">
      <c r="A317">
        <v>312</v>
      </c>
      <c r="B317">
        <f>Utilities!$B$7+((Utilities!$B$9-Utilities!$B$7)*(A317/Utilities!$B$1))</f>
        <v>48.455599999999997</v>
      </c>
      <c r="C317">
        <f>Utilities!$B$9+((Utilities!$B$7-Utilities!$B$9)*EXP(-$B$2*A317))</f>
        <v>0.59651784838083344</v>
      </c>
      <c r="D317">
        <f>EXP(-1*SQRT(Utilities!$B$5)/(IF($B$1="Linear",B317,C317)*Utilities!$B$11))</f>
        <v>7.6125553833487203E-5</v>
      </c>
      <c r="E317">
        <f>EXP(-1*SQRT(Utilities!$B$5/20)/(IF($B$1="Linear",B317,C317)*Utilities!$B$11))</f>
        <v>0.11997264002484731</v>
      </c>
    </row>
    <row r="318" spans="1:5" x14ac:dyDescent="0.3">
      <c r="A318">
        <v>313</v>
      </c>
      <c r="B318">
        <f>Utilities!$B$7+((Utilities!$B$9-Utilities!$B$7)*(A318/Utilities!$B$1))</f>
        <v>48.450650000000003</v>
      </c>
      <c r="C318">
        <f>Utilities!$B$9+((Utilities!$B$7-Utilities!$B$9)*EXP(-$B$2*A318))</f>
        <v>0.59460666693331554</v>
      </c>
      <c r="D318">
        <f>EXP(-1*SQRT(Utilities!$B$5)/(IF($B$1="Linear",B318,C318)*Utilities!$B$11))</f>
        <v>7.3840206634072819E-5</v>
      </c>
      <c r="E318">
        <f>EXP(-1*SQRT(Utilities!$B$5/20)/(IF($B$1="Linear",B318,C318)*Utilities!$B$11))</f>
        <v>0.11915772608460566</v>
      </c>
    </row>
    <row r="319" spans="1:5" x14ac:dyDescent="0.3">
      <c r="A319">
        <v>314</v>
      </c>
      <c r="B319">
        <f>Utilities!$B$7+((Utilities!$B$9-Utilities!$B$7)*(A319/Utilities!$B$1))</f>
        <v>48.445700000000002</v>
      </c>
      <c r="C319">
        <f>Utilities!$B$9+((Utilities!$B$7-Utilities!$B$9)*EXP(-$B$2*A319))</f>
        <v>0.59273332941400991</v>
      </c>
      <c r="D319">
        <f>EXP(-1*SQRT(Utilities!$B$5)/(IF($B$1="Linear",B319,C319)*Utilities!$B$11))</f>
        <v>7.1653039268334041E-5</v>
      </c>
      <c r="E319">
        <f>EXP(-1*SQRT(Utilities!$B$5/20)/(IF($B$1="Linear",B319,C319)*Utilities!$B$11))</f>
        <v>0.11835927196874046</v>
      </c>
    </row>
    <row r="320" spans="1:5" x14ac:dyDescent="0.3">
      <c r="A320">
        <v>315</v>
      </c>
      <c r="B320">
        <f>Utilities!$B$7+((Utilities!$B$9-Utilities!$B$7)*(A320/Utilities!$B$1))</f>
        <v>48.440750000000001</v>
      </c>
      <c r="C320">
        <f>Utilities!$B$9+((Utilities!$B$7-Utilities!$B$9)*EXP(-$B$2*A320))</f>
        <v>0.59089708646293093</v>
      </c>
      <c r="D320">
        <f>EXP(-1*SQRT(Utilities!$B$5)/(IF($B$1="Linear",B320,C320)*Utilities!$B$11))</f>
        <v>6.9559194741705959E-5</v>
      </c>
      <c r="E320">
        <f>EXP(-1*SQRT(Utilities!$B$5/20)/(IF($B$1="Linear",B320,C320)*Utilities!$B$11))</f>
        <v>0.11757695638529936</v>
      </c>
    </row>
    <row r="321" spans="1:5" x14ac:dyDescent="0.3">
      <c r="A321">
        <v>316</v>
      </c>
      <c r="B321">
        <f>Utilities!$B$7+((Utilities!$B$9-Utilities!$B$7)*(A321/Utilities!$B$1))</f>
        <v>48.4358</v>
      </c>
      <c r="C321">
        <f>Utilities!$B$9+((Utilities!$B$7-Utilities!$B$9)*EXP(-$B$2*A321))</f>
        <v>0.58909720355841422</v>
      </c>
      <c r="D321">
        <f>EXP(-1*SQRT(Utilities!$B$5)/(IF($B$1="Linear",B321,C321)*Utilities!$B$11))</f>
        <v>6.7554081148081172E-5</v>
      </c>
      <c r="E321">
        <f>EXP(-1*SQRT(Utilities!$B$5/20)/(IF($B$1="Linear",B321,C321)*Utilities!$B$11))</f>
        <v>0.11681046339423262</v>
      </c>
    </row>
    <row r="322" spans="1:5" x14ac:dyDescent="0.3">
      <c r="A322">
        <v>317</v>
      </c>
      <c r="B322">
        <f>Utilities!$B$7+((Utilities!$B$9-Utilities!$B$7)*(A322/Utilities!$B$1))</f>
        <v>48.43085</v>
      </c>
      <c r="C322">
        <f>Utilities!$B$9+((Utilities!$B$7-Utilities!$B$9)*EXP(-$B$2*A322))</f>
        <v>0.58733296072329955</v>
      </c>
      <c r="D322">
        <f>EXP(-1*SQRT(Utilities!$B$5)/(IF($B$1="Linear",B322,C322)*Utilities!$B$11))</f>
        <v>6.5633356215010044E-5</v>
      </c>
      <c r="E322">
        <f>EXP(-1*SQRT(Utilities!$B$5/20)/(IF($B$1="Linear",B322,C322)*Utilities!$B$11))</f>
        <v>0.11605948237668214</v>
      </c>
    </row>
    <row r="323" spans="1:5" x14ac:dyDescent="0.3">
      <c r="A323">
        <v>318</v>
      </c>
      <c r="B323">
        <f>Utilities!$B$7+((Utilities!$B$9-Utilities!$B$7)*(A323/Utilities!$B$1))</f>
        <v>48.425899999999999</v>
      </c>
      <c r="C323">
        <f>Utilities!$B$9+((Utilities!$B$7-Utilities!$B$9)*EXP(-$B$2*A323))</f>
        <v>0.58560365223692923</v>
      </c>
      <c r="D323">
        <f>EXP(-1*SQRT(Utilities!$B$5)/(IF($B$1="Linear",B323,C323)*Utilities!$B$11))</f>
        <v>6.3792912787872022E-5</v>
      </c>
      <c r="E323">
        <f>EXP(-1*SQRT(Utilities!$B$5/20)/(IF($B$1="Linear",B323,C323)*Utilities!$B$11))</f>
        <v>0.11532370800069559</v>
      </c>
    </row>
    <row r="324" spans="1:5" x14ac:dyDescent="0.3">
      <c r="A324">
        <v>319</v>
      </c>
      <c r="B324">
        <f>Utilities!$B$7+((Utilities!$B$9-Utilities!$B$7)*(A324/Utilities!$B$1))</f>
        <v>48.420949999999998</v>
      </c>
      <c r="C324">
        <f>Utilities!$B$9+((Utilities!$B$7-Utilities!$B$9)*EXP(-$B$2*A324))</f>
        <v>0.58390858635285092</v>
      </c>
      <c r="D324">
        <f>EXP(-1*SQRT(Utilities!$B$5)/(IF($B$1="Linear",B324,C324)*Utilities!$B$11))</f>
        <v>6.2028865194888874E-5</v>
      </c>
      <c r="E324">
        <f>EXP(-1*SQRT(Utilities!$B$5/20)/(IF($B$1="Linear",B324,C324)*Utilities!$B$11))</f>
        <v>0.11460284018362139</v>
      </c>
    </row>
    <row r="325" spans="1:5" x14ac:dyDescent="0.3">
      <c r="A325">
        <v>320</v>
      </c>
      <c r="B325">
        <f>Utilities!$B$7+((Utilities!$B$9-Utilities!$B$7)*(A325/Utilities!$B$1))</f>
        <v>48.415999999999997</v>
      </c>
      <c r="C325">
        <f>Utilities!$B$9+((Utilities!$B$7-Utilities!$B$9)*EXP(-$B$2*A325))</f>
        <v>0.58224708502210976</v>
      </c>
      <c r="D325">
        <f>EXP(-1*SQRT(Utilities!$B$5)/(IF($B$1="Linear",B325,C325)*Utilities!$B$11))</f>
        <v>6.0337536438419051E-5</v>
      </c>
      <c r="E325">
        <f>EXP(-1*SQRT(Utilities!$B$5/20)/(IF($B$1="Linear",B325,C325)*Utilities!$B$11))</f>
        <v>0.11389658405142519</v>
      </c>
    </row>
    <row r="326" spans="1:5" x14ac:dyDescent="0.3">
      <c r="A326">
        <v>321</v>
      </c>
      <c r="B326">
        <f>Utilities!$B$7+((Utilities!$B$9-Utilities!$B$7)*(A326/Utilities!$B$1))</f>
        <v>48.411050000000003</v>
      </c>
      <c r="C326">
        <f>Utilities!$B$9+((Utilities!$B$7-Utilities!$B$9)*EXP(-$B$2*A326))</f>
        <v>0.58061848362201984</v>
      </c>
      <c r="D326">
        <f>EXP(-1*SQRT(Utilities!$B$5)/(IF($B$1="Linear",B326,C326)*Utilities!$B$11))</f>
        <v>5.8715446161342141E-5</v>
      </c>
      <c r="E326">
        <f>EXP(-1*SQRT(Utilities!$B$5/20)/(IF($B$1="Linear",B326,C326)*Utilities!$B$11))</f>
        <v>0.11320464989516134</v>
      </c>
    </row>
    <row r="327" spans="1:5" x14ac:dyDescent="0.3">
      <c r="A327">
        <v>322</v>
      </c>
      <c r="B327">
        <f>Utilities!$B$7+((Utilities!$B$9-Utilities!$B$7)*(A327/Utilities!$B$1))</f>
        <v>48.406100000000002</v>
      </c>
      <c r="C327">
        <f>Utilities!$B$9+((Utilities!$B$7-Utilities!$B$9)*EXP(-$B$2*A327))</f>
        <v>0.57902213069030628</v>
      </c>
      <c r="D327">
        <f>EXP(-1*SQRT(Utilities!$B$5)/(IF($B$1="Linear",B327,C327)*Utilities!$B$11))</f>
        <v>5.7159299340506646E-5</v>
      </c>
      <c r="E327">
        <f>EXP(-1*SQRT(Utilities!$B$5/20)/(IF($B$1="Linear",B327,C327)*Utilities!$B$11))</f>
        <v>0.11252675312482181</v>
      </c>
    </row>
    <row r="328" spans="1:5" x14ac:dyDescent="0.3">
      <c r="A328">
        <v>323</v>
      </c>
      <c r="B328">
        <f>Utilities!$B$7+((Utilities!$B$9-Utilities!$B$7)*(A328/Utilities!$B$1))</f>
        <v>48.401150000000001</v>
      </c>
      <c r="C328">
        <f>Utilities!$B$9+((Utilities!$B$7-Utilities!$B$9)*EXP(-$B$2*A328))</f>
        <v>0.57745738766451127</v>
      </c>
      <c r="D328">
        <f>EXP(-1*SQRT(Utilities!$B$5)/(IF($B$1="Linear",B328,C328)*Utilities!$B$11))</f>
        <v>5.5665975662190724E-5</v>
      </c>
      <c r="E328">
        <f>EXP(-1*SQRT(Utilities!$B$5/20)/(IF($B$1="Linear",B328,C328)*Utilities!$B$11))</f>
        <v>0.11186261422077551</v>
      </c>
    </row>
    <row r="329" spans="1:5" x14ac:dyDescent="0.3">
      <c r="A329">
        <v>324</v>
      </c>
      <c r="B329">
        <f>Utilities!$B$7+((Utilities!$B$9-Utilities!$B$7)*(A329/Utilities!$B$1))</f>
        <v>48.3962</v>
      </c>
      <c r="C329">
        <f>Utilities!$B$9+((Utilities!$B$7-Utilities!$B$9)*EXP(-$B$2*A329))</f>
        <v>0.57592362862656088</v>
      </c>
      <c r="D329">
        <f>EXP(-1*SQRT(Utilities!$B$5)/(IF($B$1="Linear",B329,C329)*Utilities!$B$11))</f>
        <v>5.4232519537325174E-5</v>
      </c>
      <c r="E329">
        <f>EXP(-1*SQRT(Utilities!$B$5/20)/(IF($B$1="Linear",B329,C329)*Utilities!$B$11))</f>
        <v>0.11121195868300264</v>
      </c>
    </row>
    <row r="330" spans="1:5" x14ac:dyDescent="0.3">
      <c r="A330">
        <v>325</v>
      </c>
      <c r="B330">
        <f>Utilities!$B$7+((Utilities!$B$9-Utilities!$B$7)*(A330/Utilities!$B$1))</f>
        <v>48.391249999999999</v>
      </c>
      <c r="C330">
        <f>Utilities!$B$9+((Utilities!$B$7-Utilities!$B$9)*EXP(-$B$2*A330))</f>
        <v>0.57442024005238979</v>
      </c>
      <c r="D330">
        <f>EXP(-1*SQRT(Utilities!$B$5)/(IF($B$1="Linear",B330,C330)*Utilities!$B$11))</f>
        <v>5.2856130716854892E-5</v>
      </c>
      <c r="E330">
        <f>EXP(-1*SQRT(Utilities!$B$5/20)/(IF($B$1="Linear",B330,C330)*Utilities!$B$11))</f>
        <v>0.11057451697831756</v>
      </c>
    </row>
    <row r="331" spans="1:5" x14ac:dyDescent="0.3">
      <c r="A331">
        <v>326</v>
      </c>
      <c r="B331">
        <f>Utilities!$B$7+((Utilities!$B$9-Utilities!$B$7)*(A331/Utilities!$B$1))</f>
        <v>48.386299999999999</v>
      </c>
      <c r="C331">
        <f>Utilities!$B$9+((Utilities!$B$7-Utilities!$B$9)*EXP(-$B$2*A331))</f>
        <v>0.57294662056652279</v>
      </c>
      <c r="D331">
        <f>EXP(-1*SQRT(Utilities!$B$5)/(IF($B$1="Linear",B331,C331)*Utilities!$B$11))</f>
        <v>5.153415547008384E-5</v>
      </c>
      <c r="E331">
        <f>EXP(-1*SQRT(Utilities!$B$5/20)/(IF($B$1="Linear",B331,C331)*Utilities!$B$11))</f>
        <v>0.10995002448576595</v>
      </c>
    </row>
    <row r="332" spans="1:5" x14ac:dyDescent="0.3">
      <c r="A332">
        <v>327</v>
      </c>
      <c r="B332">
        <f>Utilities!$B$7+((Utilities!$B$9-Utilities!$B$7)*(A332/Utilities!$B$1))</f>
        <v>48.381349999999998</v>
      </c>
      <c r="C332">
        <f>Utilities!$B$9+((Utilities!$B$7-Utilities!$B$9)*EXP(-$B$2*A332))</f>
        <v>0.57150218070151693</v>
      </c>
      <c r="D332">
        <f>EXP(-1*SQRT(Utilities!$B$5)/(IF($B$1="Linear",B332,C332)*Utilities!$B$11))</f>
        <v>5.0264078291170739E-5</v>
      </c>
      <c r="E332">
        <f>EXP(-1*SQRT(Utilities!$B$5/20)/(IF($B$1="Linear",B332,C332)*Utilities!$B$11))</f>
        <v>0.10933822144037307</v>
      </c>
    </row>
    <row r="333" spans="1:5" x14ac:dyDescent="0.3">
      <c r="A333">
        <v>328</v>
      </c>
      <c r="B333">
        <f>Utilities!$B$7+((Utilities!$B$9-Utilities!$B$7)*(A333/Utilities!$B$1))</f>
        <v>48.376399999999997</v>
      </c>
      <c r="C333">
        <f>Utilities!$B$9+((Utilities!$B$7-Utilities!$B$9)*EXP(-$B$2*A333))</f>
        <v>0.57008634266216673</v>
      </c>
      <c r="D333">
        <f>EXP(-1*SQRT(Utilities!$B$5)/(IF($B$1="Linear",B333,C333)*Utilities!$B$11))</f>
        <v>4.9043514101116724E-5</v>
      </c>
      <c r="E333">
        <f>EXP(-1*SQRT(Utilities!$B$5/20)/(IF($B$1="Linear",B333,C333)*Utilities!$B$11))</f>
        <v>0.1087388528754111</v>
      </c>
    </row>
    <row r="334" spans="1:5" x14ac:dyDescent="0.3">
      <c r="A334">
        <v>329</v>
      </c>
      <c r="B334">
        <f>Utilities!$B$7+((Utilities!$B$9-Utilities!$B$7)*(A334/Utilities!$B$1))</f>
        <v>48.371450000000003</v>
      </c>
      <c r="C334">
        <f>Utilities!$B$9+((Utilities!$B$7-Utilities!$B$9)*EXP(-$B$2*A334))</f>
        <v>0.56869854009437848</v>
      </c>
      <c r="D334">
        <f>EXP(-1*SQRT(Utilities!$B$5)/(IF($B$1="Linear",B334,C334)*Utilities!$B$11))</f>
        <v>4.7870200914629166E-5</v>
      </c>
      <c r="E334">
        <f>EXP(-1*SQRT(Utilities!$B$5/20)/(IF($B$1="Linear",B334,C334)*Utilities!$B$11))</f>
        <v>0.10815166856334467</v>
      </c>
    </row>
    <row r="335" spans="1:5" x14ac:dyDescent="0.3">
      <c r="A335">
        <v>330</v>
      </c>
      <c r="B335">
        <f>Utilities!$B$7+((Utilities!$B$9-Utilities!$B$7)*(A335/Utilities!$B$1))</f>
        <v>48.366500000000002</v>
      </c>
      <c r="C335">
        <f>Utilities!$B$9+((Utilities!$B$7-Utilities!$B$9)*EXP(-$B$2*A335))</f>
        <v>0.56733821785862071</v>
      </c>
      <c r="D335">
        <f>EXP(-1*SQRT(Utilities!$B$5)/(IF($B$1="Linear",B335,C335)*Utilities!$B$11))</f>
        <v>4.6741992943164064E-5</v>
      </c>
      <c r="E335">
        <f>EXP(-1*SQRT(Utilities!$B$5/20)/(IF($B$1="Linear",B335,C335)*Utilities!$B$11))</f>
        <v>0.10757642295560702</v>
      </c>
    </row>
    <row r="336" spans="1:5" x14ac:dyDescent="0.3">
      <c r="A336">
        <v>331</v>
      </c>
      <c r="B336">
        <f>Utilities!$B$7+((Utilities!$B$9-Utilities!$B$7)*(A336/Utilities!$B$1))</f>
        <v>48.361550000000001</v>
      </c>
      <c r="C336">
        <f>Utilities!$B$9+((Utilities!$B$7-Utilities!$B$9)*EXP(-$B$2*A336))</f>
        <v>0.56600483180786132</v>
      </c>
      <c r="D336">
        <f>EXP(-1*SQRT(Utilities!$B$5)/(IF($B$1="Linear",B336,C336)*Utilities!$B$11))</f>
        <v>4.5656854107248751E-5</v>
      </c>
      <c r="E336">
        <f>EXP(-1*SQRT(Utilities!$B$5/20)/(IF($B$1="Linear",B336,C336)*Utilities!$B$11))</f>
        <v>0.10701287512134931</v>
      </c>
    </row>
    <row r="337" spans="1:5" x14ac:dyDescent="0.3">
      <c r="A337">
        <v>332</v>
      </c>
      <c r="B337">
        <f>Utilities!$B$7+((Utilities!$B$9-Utilities!$B$7)*(A337/Utilities!$B$1))</f>
        <v>48.3566</v>
      </c>
      <c r="C337">
        <f>Utilities!$B$9+((Utilities!$B$7-Utilities!$B$9)*EXP(-$B$2*A337))</f>
        <v>0.56469784856990113</v>
      </c>
      <c r="D337">
        <f>EXP(-1*SQRT(Utilities!$B$5)/(IF($B$1="Linear",B337,C337)*Utilities!$B$11))</f>
        <v>4.4612851932869071E-5</v>
      </c>
      <c r="E337">
        <f>EXP(-1*SQRT(Utilities!$B$5/20)/(IF($B$1="Linear",B337,C337)*Utilities!$B$11))</f>
        <v>0.10646078868530043</v>
      </c>
    </row>
    <row r="338" spans="1:5" x14ac:dyDescent="0.3">
      <c r="A338">
        <v>333</v>
      </c>
      <c r="B338">
        <f>Utilities!$B$7+((Utilities!$B$9-Utilities!$B$7)*(A338/Utilities!$B$1))</f>
        <v>48.351649999999999</v>
      </c>
      <c r="C338">
        <f>Utilities!$B$9+((Utilities!$B$7-Utilities!$B$9)*EXP(-$B$2*A338))</f>
        <v>0.56341674533401842</v>
      </c>
      <c r="D338">
        <f>EXP(-1*SQRT(Utilities!$B$5)/(IF($B$1="Linear",B338,C338)*Utilities!$B$11))</f>
        <v>4.3608151808292072E-5</v>
      </c>
      <c r="E338">
        <f>EXP(-1*SQRT(Utilities!$B$5/20)/(IF($B$1="Linear",B338,C338)*Utilities!$B$11))</f>
        <v>0.10591993176486474</v>
      </c>
    </row>
    <row r="339" spans="1:5" x14ac:dyDescent="0.3">
      <c r="A339">
        <v>334</v>
      </c>
      <c r="B339">
        <f>Utilities!$B$7+((Utilities!$B$9-Utilities!$B$7)*(A339/Utilities!$B$1))</f>
        <v>48.346699999999998</v>
      </c>
      <c r="C339">
        <f>Utilities!$B$9+((Utilities!$B$7-Utilities!$B$9)*EXP(-$B$2*A339))</f>
        <v>0.56216100964183724</v>
      </c>
      <c r="D339">
        <f>EXP(-1*SQRT(Utilities!$B$5)/(IF($B$1="Linear",B339,C339)*Utilities!$B$11))</f>
        <v>4.2641011579173893E-5</v>
      </c>
      <c r="E339">
        <f>EXP(-1*SQRT(Utilities!$B$5/20)/(IF($B$1="Linear",B339,C339)*Utilities!$B$11))</f>
        <v>0.10539007690657987</v>
      </c>
    </row>
    <row r="340" spans="1:5" x14ac:dyDescent="0.3">
      <c r="A340">
        <v>335</v>
      </c>
      <c r="B340">
        <f>Utilities!$B$7+((Utilities!$B$9-Utilities!$B$7)*(A340/Utilities!$B$1))</f>
        <v>48.341749999999998</v>
      </c>
      <c r="C340">
        <f>Utilities!$B$9+((Utilities!$B$7-Utilities!$B$9)*EXP(-$B$2*A340))</f>
        <v>0.56093013918233736</v>
      </c>
      <c r="D340">
        <f>EXP(-1*SQRT(Utilities!$B$5)/(IF($B$1="Linear",B340,C340)*Utilities!$B$11))</f>
        <v>4.1709776461194416E-5</v>
      </c>
      <c r="E340">
        <f>EXP(-1*SQRT(Utilities!$B$5/20)/(IF($B$1="Linear",B340,C340)*Utilities!$B$11))</f>
        <v>0.10487100102204908</v>
      </c>
    </row>
    <row r="341" spans="1:5" x14ac:dyDescent="0.3">
      <c r="A341">
        <v>336</v>
      </c>
      <c r="B341">
        <f>Utilities!$B$7+((Utilities!$B$9-Utilities!$B$7)*(A341/Utilities!$B$1))</f>
        <v>48.336799999999997</v>
      </c>
      <c r="C341">
        <f>Utilities!$B$9+((Utilities!$B$7-Utilities!$B$9)*EXP(-$B$2*A341))</f>
        <v>0.55972364159092303</v>
      </c>
      <c r="D341">
        <f>EXP(-1*SQRT(Utilities!$B$5)/(IF($B$1="Linear",B341,C341)*Utilities!$B$11))</f>
        <v>4.0812874250763324E-5</v>
      </c>
      <c r="E341">
        <f>EXP(-1*SQRT(Utilities!$B$5/20)/(IF($B$1="Linear",B341,C341)*Utilities!$B$11))</f>
        <v>0.10436248532345614</v>
      </c>
    </row>
    <row r="342" spans="1:5" x14ac:dyDescent="0.3">
      <c r="A342">
        <v>337</v>
      </c>
      <c r="B342">
        <f>Utilities!$B$7+((Utilities!$B$9-Utilities!$B$7)*(A342/Utilities!$B$1))</f>
        <v>48.331850000000003</v>
      </c>
      <c r="C342">
        <f>Utilities!$B$9+((Utilities!$B$7-Utilities!$B$9)*EXP(-$B$2*A342))</f>
        <v>0.55854103425247081</v>
      </c>
      <c r="D342">
        <f>EXP(-1*SQRT(Utilities!$B$5)/(IF($B$1="Linear",B342,C342)*Utilities!$B$11))</f>
        <v>3.9948810815561492E-5</v>
      </c>
      <c r="E342">
        <f>EXP(-1*SQRT(Utilities!$B$5/20)/(IF($B$1="Linear",B342,C342)*Utilities!$B$11))</f>
        <v>0.10386431525876469</v>
      </c>
    </row>
    <row r="343" spans="1:5" x14ac:dyDescent="0.3">
      <c r="A343">
        <v>338</v>
      </c>
      <c r="B343">
        <f>Utilities!$B$7+((Utilities!$B$9-Utilities!$B$7)*(A343/Utilities!$B$1))</f>
        <v>48.326900000000002</v>
      </c>
      <c r="C343">
        <f>Utilities!$B$9+((Utilities!$B$7-Utilities!$B$9)*EXP(-$B$2*A343))</f>
        <v>0.55738184410827729</v>
      </c>
      <c r="D343">
        <f>EXP(-1*SQRT(Utilities!$B$5)/(IF($B$1="Linear",B343,C343)*Utilities!$B$11))</f>
        <v>3.9116165847827235E-5</v>
      </c>
      <c r="E343">
        <f>EXP(-1*SQRT(Utilities!$B$5/20)/(IF($B$1="Linear",B343,C343)*Utilities!$B$11))</f>
        <v>0.10337628044669661</v>
      </c>
    </row>
    <row r="344" spans="1:5" x14ac:dyDescent="0.3">
      <c r="A344">
        <v>339</v>
      </c>
      <c r="B344">
        <f>Utilities!$B$7+((Utilities!$B$9-Utilities!$B$7)*(A344/Utilities!$B$1))</f>
        <v>48.321950000000001</v>
      </c>
      <c r="C344">
        <f>Utilities!$B$9+((Utilities!$B$7-Utilities!$B$9)*EXP(-$B$2*A344))</f>
        <v>0.55624560746682838</v>
      </c>
      <c r="D344">
        <f>EXP(-1*SQRT(Utilities!$B$5)/(IF($B$1="Linear",B344,C344)*Utilities!$B$11))</f>
        <v>3.8313588864367428E-5</v>
      </c>
      <c r="E344">
        <f>EXP(-1*SQRT(Utilities!$B$5/20)/(IF($B$1="Linear",B344,C344)*Utilities!$B$11))</f>
        <v>0.10289817461158007</v>
      </c>
    </row>
    <row r="345" spans="1:5" x14ac:dyDescent="0.3">
      <c r="A345">
        <v>340</v>
      </c>
      <c r="B345">
        <f>Utilities!$B$7+((Utilities!$B$9-Utilities!$B$7)*(A345/Utilities!$B$1))</f>
        <v>48.317</v>
      </c>
      <c r="C345">
        <f>Utilities!$B$9+((Utilities!$B$7-Utilities!$B$9)*EXP(-$B$2*A345))</f>
        <v>0.55513186981831775</v>
      </c>
      <c r="D345">
        <f>EXP(-1*SQRT(Utilities!$B$5)/(IF($B$1="Linear",B345,C345)*Utilities!$B$11))</f>
        <v>3.7539795438279406E-5</v>
      </c>
      <c r="E345">
        <f>EXP(-1*SQRT(Utilities!$B$5/20)/(IF($B$1="Linear",B345,C345)*Utilities!$B$11))</f>
        <v>0.10242979551815086</v>
      </c>
    </row>
    <row r="346" spans="1:5" x14ac:dyDescent="0.3">
      <c r="A346">
        <v>341</v>
      </c>
      <c r="B346">
        <f>Utilities!$B$7+((Utilities!$B$9-Utilities!$B$7)*(A346/Utilities!$B$1))</f>
        <v>48.312049999999999</v>
      </c>
      <c r="C346">
        <f>Utilities!$B$9+((Utilities!$B$7-Utilities!$B$9)*EXP(-$B$2*A346))</f>
        <v>0.55404018565283575</v>
      </c>
      <c r="D346">
        <f>EXP(-1*SQRT(Utilities!$B$5)/(IF($B$1="Linear",B346,C346)*Utilities!$B$11))</f>
        <v>3.679356364830751E-5</v>
      </c>
      <c r="E346">
        <f>EXP(-1*SQRT(Utilities!$B$5/20)/(IF($B$1="Linear",B346,C346)*Utilities!$B$11))</f>
        <v>0.10197094490638436</v>
      </c>
    </row>
    <row r="347" spans="1:5" x14ac:dyDescent="0.3">
      <c r="A347">
        <v>342</v>
      </c>
      <c r="B347">
        <f>Utilities!$B$7+((Utilities!$B$9-Utilities!$B$7)*(A347/Utilities!$B$1))</f>
        <v>48.307099999999998</v>
      </c>
      <c r="C347">
        <f>Utilities!$B$9+((Utilities!$B$7-Utilities!$B$9)*EXP(-$B$2*A347))</f>
        <v>0.55297011828216047</v>
      </c>
      <c r="D347">
        <f>EXP(-1*SQRT(Utilities!$B$5)/(IF($B$1="Linear",B347,C347)*Utilities!$B$11))</f>
        <v>3.6073730732642884E-5</v>
      </c>
      <c r="E347">
        <f>EXP(-1*SQRT(Utilities!$B$5/20)/(IF($B$1="Linear",B347,C347)*Utilities!$B$11))</f>
        <v>0.10152142842643411</v>
      </c>
    </row>
    <row r="348" spans="1:5" x14ac:dyDescent="0.3">
      <c r="A348">
        <v>343</v>
      </c>
      <c r="B348">
        <f>Utilities!$B$7+((Utilities!$B$9-Utilities!$B$7)*(A348/Utilities!$B$1))</f>
        <v>48.302149999999997</v>
      </c>
      <c r="C348">
        <f>Utilities!$B$9+((Utilities!$B$7-Utilities!$B$9)*EXP(-$B$2*A348))</f>
        <v>0.55192123966507556</v>
      </c>
      <c r="D348">
        <f>EXP(-1*SQRT(Utilities!$B$5)/(IF($B$1="Linear",B348,C348)*Utilities!$B$11))</f>
        <v>3.5379189934795825E-5</v>
      </c>
      <c r="E348">
        <f>EXP(-1*SQRT(Utilities!$B$5/20)/(IF($B$1="Linear",B348,C348)*Utilities!$B$11))</f>
        <v>0.10108105557374145</v>
      </c>
    </row>
    <row r="349" spans="1:5" x14ac:dyDescent="0.3">
      <c r="A349">
        <v>344</v>
      </c>
      <c r="B349">
        <f>Utilities!$B$7+((Utilities!$B$9-Utilities!$B$7)*(A349/Utilities!$B$1))</f>
        <v>48.297199999999997</v>
      </c>
      <c r="C349">
        <f>Utilities!$B$9+((Utilities!$B$7-Utilities!$B$9)*EXP(-$B$2*A349))</f>
        <v>0.55089313023614916</v>
      </c>
      <c r="D349">
        <f>EXP(-1*SQRT(Utilities!$B$5)/(IF($B$1="Linear",B349,C349)*Utilities!$B$11))</f>
        <v>3.4708887529948434E-5</v>
      </c>
      <c r="E349">
        <f>EXP(-1*SQRT(Utilities!$B$5/20)/(IF($B$1="Linear",B349,C349)*Utilities!$B$11))</f>
        <v>0.10064963962438432</v>
      </c>
    </row>
    <row r="350" spans="1:5" x14ac:dyDescent="0.3">
      <c r="A350">
        <v>345</v>
      </c>
      <c r="B350">
        <f>Utilities!$B$7+((Utilities!$B$9-Utilities!$B$7)*(A350/Utilities!$B$1))</f>
        <v>48.292250000000003</v>
      </c>
      <c r="C350">
        <f>Utilities!$B$9+((Utilities!$B$7-Utilities!$B$9)*EXP(-$B$2*A350))</f>
        <v>0.54988537873790122</v>
      </c>
      <c r="D350">
        <f>EXP(-1*SQRT(Utilities!$B$5)/(IF($B$1="Linear",B350,C350)*Utilities!$B$11))</f>
        <v>3.4061820020913197E-5</v>
      </c>
      <c r="E350">
        <f>EXP(-1*SQRT(Utilities!$B$5/20)/(IF($B$1="Linear",B350,C350)*Utilities!$B$11))</f>
        <v>0.10022699757071997</v>
      </c>
    </row>
    <row r="351" spans="1:5" x14ac:dyDescent="0.3">
      <c r="A351">
        <v>346</v>
      </c>
      <c r="B351">
        <f>Utilities!$B$7+((Utilities!$B$9-Utilities!$B$7)*(A351/Utilities!$B$1))</f>
        <v>48.287300000000002</v>
      </c>
      <c r="C351">
        <f>Utilities!$B$9+((Utilities!$B$7-Utilities!$B$9)*EXP(-$B$2*A351))</f>
        <v>0.54889758205629591</v>
      </c>
      <c r="D351">
        <f>EXP(-1*SQRT(Utilities!$B$5)/(IF($B$1="Linear",B351,C351)*Utilities!$B$11))</f>
        <v>3.3437031493506654E-5</v>
      </c>
      <c r="E351">
        <f>EXP(-1*SQRT(Utilities!$B$5/20)/(IF($B$1="Linear",B351,C351)*Utilities!$B$11))</f>
        <v>9.9812950057379668E-2</v>
      </c>
    </row>
    <row r="352" spans="1:5" x14ac:dyDescent="0.3">
      <c r="A352">
        <v>347</v>
      </c>
      <c r="B352">
        <f>Utilities!$B$7+((Utilities!$B$9-Utilities!$B$7)*(A352/Utilities!$B$1))</f>
        <v>48.282350000000001</v>
      </c>
      <c r="C352">
        <f>Utilities!$B$9+((Utilities!$B$7-Utilities!$B$9)*EXP(-$B$2*A352))</f>
        <v>0.54792934505948943</v>
      </c>
      <c r="D352">
        <f>EXP(-1*SQRT(Utilities!$B$5)/(IF($B$1="Linear",B352,C352)*Utilities!$B$11))</f>
        <v>3.2833611121777819E-5</v>
      </c>
      <c r="E352">
        <f>EXP(-1*SQRT(Utilities!$B$5/20)/(IF($B$1="Linear",B352,C352)*Utilities!$B$11))</f>
        <v>9.94073213176635E-2</v>
      </c>
    </row>
    <row r="353" spans="1:5" x14ac:dyDescent="0.3">
      <c r="A353">
        <v>348</v>
      </c>
      <c r="B353">
        <f>Utilities!$B$7+((Utilities!$B$9-Utilities!$B$7)*(A353/Utilities!$B$1))</f>
        <v>48.2774</v>
      </c>
      <c r="C353">
        <f>Utilities!$B$9+((Utilities!$B$7-Utilities!$B$9)*EXP(-$B$2*A353))</f>
        <v>0.5469802804397732</v>
      </c>
      <c r="D353">
        <f>EXP(-1*SQRT(Utilities!$B$5)/(IF($B$1="Linear",B353,C353)*Utilities!$B$11))</f>
        <v>3.2250690814129212E-5</v>
      </c>
      <c r="E353">
        <f>EXP(-1*SQRT(Utilities!$B$5/20)/(IF($B$1="Linear",B353,C353)*Utilities!$B$11))</f>
        <v>9.9009939110384235E-2</v>
      </c>
    </row>
    <row r="354" spans="1:5" x14ac:dyDescent="0.3">
      <c r="A354">
        <v>349</v>
      </c>
      <c r="B354">
        <f>Utilities!$B$7+((Utilities!$B$9-Utilities!$B$7)*(A354/Utilities!$B$1))</f>
        <v>48.272449999999999</v>
      </c>
      <c r="C354">
        <f>Utilities!$B$9+((Utilities!$B$7-Utilities!$B$9)*EXP(-$B$2*A354))</f>
        <v>0.54605000855864494</v>
      </c>
      <c r="D354">
        <f>EXP(-1*SQRT(Utilities!$B$5)/(IF($B$1="Linear",B354,C354)*Utilities!$B$11))</f>
        <v>3.1687442991922316E-5</v>
      </c>
      <c r="E354">
        <f>EXP(-1*SQRT(Utilities!$B$5/20)/(IF($B$1="Linear",B354,C354)*Utilities!$B$11))</f>
        <v>9.862063465720132E-2</v>
      </c>
    </row>
    <row r="355" spans="1:5" x14ac:dyDescent="0.3">
      <c r="A355">
        <v>350</v>
      </c>
      <c r="B355">
        <f>Utilities!$B$7+((Utilities!$B$9-Utilities!$B$7)*(A355/Utilities!$B$1))</f>
        <v>48.267499999999998</v>
      </c>
      <c r="C355">
        <f>Utilities!$B$9+((Utilities!$B$7-Utilities!$B$9)*EXP(-$B$2*A355))</f>
        <v>0.54513815729494852</v>
      </c>
      <c r="D355">
        <f>EXP(-1*SQRT(Utilities!$B$5)/(IF($B$1="Linear",B355,C355)*Utilities!$B$11))</f>
        <v>3.1143078492682131E-5</v>
      </c>
      <c r="E355">
        <f>EXP(-1*SQRT(Utilities!$B$5/20)/(IF($B$1="Linear",B355,C355)*Utilities!$B$11))</f>
        <v>9.8239242580485317E-2</v>
      </c>
    </row>
    <row r="356" spans="1:5" x14ac:dyDescent="0.3">
      <c r="A356">
        <v>351</v>
      </c>
      <c r="B356">
        <f>Utilities!$B$7+((Utilities!$B$9-Utilities!$B$7)*(A356/Utilities!$B$1))</f>
        <v>48.262549999999997</v>
      </c>
      <c r="C356">
        <f>Utilities!$B$9+((Utilities!$B$7-Utilities!$B$9)*EXP(-$B$2*A356))</f>
        <v>0.54424436189602021</v>
      </c>
      <c r="D356">
        <f>EXP(-1*SQRT(Utilities!$B$5)/(IF($B$1="Linear",B356,C356)*Utilities!$B$11))</f>
        <v>3.0616844590504643E-5</v>
      </c>
      <c r="E356">
        <f>EXP(-1*SQRT(Utilities!$B$5/20)/(IF($B$1="Linear",B356,C356)*Utilities!$B$11))</f>
        <v>9.7865600841748959E-2</v>
      </c>
    </row>
    <row r="357" spans="1:5" x14ac:dyDescent="0.3">
      <c r="A357">
        <v>352</v>
      </c>
      <c r="B357">
        <f>Utilities!$B$7+((Utilities!$B$9-Utilities!$B$7)*(A357/Utilities!$B$1))</f>
        <v>48.257599999999996</v>
      </c>
      <c r="C357">
        <f>Utilities!$B$9+((Utilities!$B$7-Utilities!$B$9)*EXP(-$B$2*A357))</f>
        <v>0.54336826483178302</v>
      </c>
      <c r="D357">
        <f>EXP(-1*SQRT(Utilities!$B$5)/(IF($B$1="Linear",B357,C357)*Utilities!$B$11))</f>
        <v>3.0108023126726222E-5</v>
      </c>
      <c r="E357">
        <f>EXP(-1*SQRT(Utilities!$B$5/20)/(IF($B$1="Linear",B357,C357)*Utilities!$B$11))</f>
        <v>9.749955068067738E-2</v>
      </c>
    </row>
    <row r="358" spans="1:5" x14ac:dyDescent="0.3">
      <c r="A358">
        <v>353</v>
      </c>
      <c r="B358">
        <f>Utilities!$B$7+((Utilities!$B$9-Utilities!$B$7)*(A358/Utilities!$B$1))</f>
        <v>48.252650000000003</v>
      </c>
      <c r="C358">
        <f>Utilities!$B$9+((Utilities!$B$7-Utilities!$B$9)*EXP(-$B$2*A358))</f>
        <v>0.54250951565172967</v>
      </c>
      <c r="D358">
        <f>EXP(-1*SQRT(Utilities!$B$5)/(IF($B$1="Linear",B358,C358)*Utilities!$B$11))</f>
        <v>2.9615928744345031E-5</v>
      </c>
      <c r="E358">
        <f>EXP(-1*SQRT(Utilities!$B$5/20)/(IF($B$1="Linear",B358,C358)*Utilities!$B$11))</f>
        <v>9.7140936554787186E-2</v>
      </c>
    </row>
    <row r="359" spans="1:5" x14ac:dyDescent="0.3">
      <c r="A359">
        <v>354</v>
      </c>
      <c r="B359">
        <f>Utilities!$B$7+((Utilities!$B$9-Utilities!$B$7)*(A359/Utilities!$B$1))</f>
        <v>48.247700000000002</v>
      </c>
      <c r="C359">
        <f>Utilities!$B$9+((Utilities!$B$7-Utilities!$B$9)*EXP(-$B$2*A359))</f>
        <v>0.54166777084473816</v>
      </c>
      <c r="D359">
        <f>EXP(-1*SQRT(Utilities!$B$5)/(IF($B$1="Linear",B359,C359)*Utilities!$B$11))</f>
        <v>2.9139907220083704E-5</v>
      </c>
      <c r="E359">
        <f>EXP(-1*SQRT(Utilities!$B$5/20)/(IF($B$1="Linear",B359,C359)*Utilities!$B$11))</f>
        <v>9.678960607974238E-2</v>
      </c>
    </row>
    <row r="360" spans="1:5" x14ac:dyDescent="0.3">
      <c r="A360">
        <v>355</v>
      </c>
      <c r="B360">
        <f>Utilities!$B$7+((Utilities!$B$9-Utilities!$B$7)*(A360/Utilities!$B$1))</f>
        <v>48.242750000000001</v>
      </c>
      <c r="C360">
        <f>Utilities!$B$9+((Utilities!$B$7-Utilities!$B$9)*EXP(-$B$2*A360))</f>
        <v>0.54084269370166227</v>
      </c>
      <c r="D360">
        <f>EXP(-1*SQRT(Utilities!$B$5)/(IF($B$1="Linear",B360,C360)*Utilities!$B$11))</f>
        <v>2.8679333888358779E-5</v>
      </c>
      <c r="E360">
        <f>EXP(-1*SQRT(Utilities!$B$5/20)/(IF($B$1="Linear",B360,C360)*Utilities!$B$11))</f>
        <v>9.6445409970349977E-2</v>
      </c>
    </row>
    <row r="361" spans="1:5" x14ac:dyDescent="0.3">
      <c r="A361">
        <v>356</v>
      </c>
      <c r="B361">
        <f>Utilities!$B$7+((Utilities!$B$9-Utilities!$B$7)*(A361/Utilities!$B$1))</f>
        <v>48.2378</v>
      </c>
      <c r="C361">
        <f>Utilities!$B$9+((Utilities!$B$7-Utilities!$B$9)*EXP(-$B$2*A361))</f>
        <v>0.54003395418064348</v>
      </c>
      <c r="D361">
        <f>EXP(-1*SQRT(Utilities!$B$5)/(IF($B$1="Linear",B361,C361)*Utilities!$B$11))</f>
        <v>2.82336121517755E-5</v>
      </c>
      <c r="E361">
        <f>EXP(-1*SQRT(Utilities!$B$5/20)/(IF($B$1="Linear",B361,C361)*Utilities!$B$11))</f>
        <v>9.6108201982258168E-2</v>
      </c>
    </row>
    <row r="362" spans="1:5" x14ac:dyDescent="0.3">
      <c r="A362">
        <v>357</v>
      </c>
      <c r="B362">
        <f>Utilities!$B$7+((Utilities!$B$9-Utilities!$B$7)*(A362/Utilities!$B$1))</f>
        <v>48.232849999999999</v>
      </c>
      <c r="C362">
        <f>Utilities!$B$9+((Utilities!$B$7-Utilities!$B$9)*EXP(-$B$2*A362))</f>
        <v>0.53924122877509018</v>
      </c>
      <c r="D362">
        <f>EXP(-1*SQRT(Utilities!$B$5)/(IF($B$1="Linear",B362,C362)*Utilities!$B$11))</f>
        <v>2.780217207309544E-5</v>
      </c>
      <c r="E362">
        <f>EXP(-1*SQRT(Utilities!$B$5/20)/(IF($B$1="Linear",B362,C362)*Utilities!$B$11))</f>
        <v>9.5777838854376143E-2</v>
      </c>
    </row>
    <row r="363" spans="1:5" x14ac:dyDescent="0.3">
      <c r="A363">
        <v>358</v>
      </c>
      <c r="B363">
        <f>Utilities!$B$7+((Utilities!$B$9-Utilities!$B$7)*(A363/Utilities!$B$1))</f>
        <v>48.227899999999998</v>
      </c>
      <c r="C363">
        <f>Utilities!$B$9+((Utilities!$B$7-Utilities!$B$9)*EXP(-$B$2*A363))</f>
        <v>0.53846420038427034</v>
      </c>
      <c r="D363">
        <f>EXP(-1*SQRT(Utilities!$B$5)/(IF($B$1="Linear",B363,C363)*Utilities!$B$11))</f>
        <v>2.7384469043932835E-5</v>
      </c>
      <c r="E363">
        <f>EXP(-1*SQRT(Utilities!$B$5/20)/(IF($B$1="Linear",B363,C363)*Utilities!$B$11))</f>
        <v>9.5454180252032339E-2</v>
      </c>
    </row>
    <row r="364" spans="1:5" x14ac:dyDescent="0.3">
      <c r="A364">
        <v>359</v>
      </c>
      <c r="B364">
        <f>Utilities!$B$7+((Utilities!$B$9-Utilities!$B$7)*(A364/Utilities!$B$1))</f>
        <v>48.222949999999997</v>
      </c>
      <c r="C364">
        <f>Utilities!$B$9+((Utilities!$B$7-Utilities!$B$9)*EXP(-$B$2*A364))</f>
        <v>0.53770255818646695</v>
      </c>
      <c r="D364">
        <f>EXP(-1*SQRT(Utilities!$B$5)/(IF($B$1="Linear",B364,C364)*Utilities!$B$11))</f>
        <v>2.6979982525726567E-5</v>
      </c>
      <c r="E364">
        <f>EXP(-1*SQRT(Utilities!$B$5/20)/(IF($B$1="Linear",B364,C364)*Utilities!$B$11))</f>
        <v>9.5137088710886386E-2</v>
      </c>
    </row>
    <row r="365" spans="1:5" x14ac:dyDescent="0.3">
      <c r="A365">
        <v>360</v>
      </c>
      <c r="B365">
        <f>Utilities!$B$7+((Utilities!$B$9-Utilities!$B$7)*(A365/Utilities!$B$1))</f>
        <v>48.218000000000004</v>
      </c>
      <c r="C365">
        <f>Utilities!$B$9+((Utilities!$B$7-Utilities!$B$9)*EXP(-$B$2*A365))</f>
        <v>0.53695599751464562</v>
      </c>
      <c r="D365">
        <f>EXP(-1*SQRT(Utilities!$B$5)/(IF($B$1="Linear",B365,C365)*Utilities!$B$11))</f>
        <v>2.6588214858804265E-5</v>
      </c>
      <c r="E365">
        <f>EXP(-1*SQRT(Utilities!$B$5/20)/(IF($B$1="Linear",B365,C365)*Utilities!$B$11))</f>
        <v>9.4826429581607558E-2</v>
      </c>
    </row>
    <row r="366" spans="1:5" x14ac:dyDescent="0.3">
      <c r="A366">
        <v>361</v>
      </c>
      <c r="B366">
        <f>Utilities!$B$7+((Utilities!$B$9-Utilities!$B$7)*(A366/Utilities!$B$1))</f>
        <v>48.213050000000003</v>
      </c>
      <c r="C366">
        <f>Utilities!$B$9+((Utilities!$B$7-Utilities!$B$9)*EXP(-$B$2*A366))</f>
        <v>0.53622421973458345</v>
      </c>
      <c r="D366">
        <f>EXP(-1*SQRT(Utilities!$B$5)/(IF($B$1="Linear",B366,C366)*Utilities!$B$11))</f>
        <v>2.620869013561039E-5</v>
      </c>
      <c r="E366">
        <f>EXP(-1*SQRT(Utilities!$B$5/20)/(IF($B$1="Linear",B366,C366)*Utilities!$B$11))</f>
        <v>9.4522070975330913E-2</v>
      </c>
    </row>
    <row r="367" spans="1:5" x14ac:dyDescent="0.3">
      <c r="A367">
        <v>362</v>
      </c>
      <c r="B367">
        <f>Utilities!$B$7+((Utilities!$B$9-Utilities!$B$7)*(A367/Utilities!$B$1))</f>
        <v>48.208100000000002</v>
      </c>
      <c r="C367">
        <f>Utilities!$B$9+((Utilities!$B$7-Utilities!$B$9)*EXP(-$B$2*A367))</f>
        <v>0.53550693212541101</v>
      </c>
      <c r="D367">
        <f>EXP(-1*SQRT(Utilities!$B$5)/(IF($B$1="Linear",B367,C367)*Utilities!$B$11))</f>
        <v>2.5840953134406656E-5</v>
      </c>
      <c r="E367">
        <f>EXP(-1*SQRT(Utilities!$B$5/20)/(IF($B$1="Linear",B367,C367)*Utilities!$B$11))</f>
        <v>9.4223883709899842E-2</v>
      </c>
    </row>
    <row r="368" spans="1:5" x14ac:dyDescent="0.3">
      <c r="A368">
        <v>363</v>
      </c>
      <c r="B368">
        <f>Utilities!$B$7+((Utilities!$B$9-Utilities!$B$7)*(A368/Utilities!$B$1))</f>
        <v>48.203150000000001</v>
      </c>
      <c r="C368">
        <f>Utilities!$B$9+((Utilities!$B$7-Utilities!$B$9)*EXP(-$B$2*A368))</f>
        <v>0.53480384776252088</v>
      </c>
      <c r="D368">
        <f>EXP(-1*SQRT(Utilities!$B$5)/(IF($B$1="Linear",B368,C368)*Utilities!$B$11))</f>
        <v>2.5484568309979316E-5</v>
      </c>
      <c r="E368">
        <f>EXP(-1*SQRT(Utilities!$B$5/20)/(IF($B$1="Linear",B368,C368)*Utilities!$B$11))</f>
        <v>9.3931741256903928E-2</v>
      </c>
    </row>
    <row r="369" spans="1:5" x14ac:dyDescent="0.3">
      <c r="A369">
        <v>364</v>
      </c>
      <c r="B369">
        <f>Utilities!$B$7+((Utilities!$B$9-Utilities!$B$7)*(A369/Utilities!$B$1))</f>
        <v>48.1982</v>
      </c>
      <c r="C369">
        <f>Utilities!$B$9+((Utilities!$B$7-Utilities!$B$9)*EXP(-$B$2*A369))</f>
        <v>0.53411468540279328</v>
      </c>
      <c r="D369">
        <f>EXP(-1*SQRT(Utilities!$B$5)/(IF($B$1="Linear",B369,C369)*Utilities!$B$11))</f>
        <v>2.5139118838092583E-5</v>
      </c>
      <c r="E369">
        <f>EXP(-1*SQRT(Utilities!$B$5/20)/(IF($B$1="Linear",B369,C369)*Utilities!$B$11))</f>
        <v>9.3645519689516454E-2</v>
      </c>
    </row>
    <row r="370" spans="1:5" x14ac:dyDescent="0.3">
      <c r="A370">
        <v>365</v>
      </c>
      <c r="B370">
        <f>Utilities!$B$7+((Utilities!$B$9-Utilities!$B$7)*(A370/Utilities!$B$1))</f>
        <v>48.193249999999999</v>
      </c>
      <c r="C370">
        <f>Utilities!$B$9+((Utilities!$B$7-Utilities!$B$9)*EXP(-$B$2*A370))</f>
        <v>0.53343916937209535</v>
      </c>
      <c r="D370">
        <f>EXP(-1*SQRT(Utilities!$B$5)/(IF($B$1="Linear",B370,C370)*Utilities!$B$11))</f>
        <v>2.4804205710628529E-5</v>
      </c>
      <c r="E370">
        <f>EXP(-1*SQRT(Utilities!$B$5/20)/(IF($B$1="Linear",B370,C370)*Utilities!$B$11))</f>
        <v>9.3365097631137706E-2</v>
      </c>
    </row>
    <row r="371" spans="1:5" x14ac:dyDescent="0.3">
      <c r="A371">
        <v>366</v>
      </c>
      <c r="B371">
        <f>Utilities!$B$7+((Utilities!$B$9-Utilities!$B$7)*(A371/Utilities!$B$1))</f>
        <v>48.188299999999998</v>
      </c>
      <c r="C371">
        <f>Utilities!$B$9+((Utilities!$B$7-Utilities!$B$9)*EXP(-$B$2*A371))</f>
        <v>0.53277702945500771</v>
      </c>
      <c r="D371">
        <f>EXP(-1*SQRT(Utilities!$B$5)/(IF($B$1="Linear",B371,C371)*Utilities!$B$11))</f>
        <v>2.4479446878533107E-5</v>
      </c>
      <c r="E371">
        <f>EXP(-1*SQRT(Utilities!$B$5/20)/(IF($B$1="Linear",B371,C371)*Utilities!$B$11))</f>
        <v>9.3090356204846292E-2</v>
      </c>
    </row>
    <row r="372" spans="1:5" x14ac:dyDescent="0.3">
      <c r="A372">
        <v>367</v>
      </c>
      <c r="B372">
        <f>Utilities!$B$7+((Utilities!$B$9-Utilities!$B$7)*(A372/Utilities!$B$1))</f>
        <v>48.183349999999997</v>
      </c>
      <c r="C372">
        <f>Utilities!$B$9+((Utilities!$B$7-Utilities!$B$9)*EXP(-$B$2*A372))</f>
        <v>0.53212800078673494</v>
      </c>
      <c r="D372">
        <f>EXP(-1*SQRT(Utilities!$B$5)/(IF($B$1="Linear",B372,C372)*Utilities!$B$11))</f>
        <v>2.4164476439863698E-5</v>
      </c>
      <c r="E372">
        <f>EXP(-1*SQRT(Utilities!$B$5/20)/(IF($B$1="Linear",B372,C372)*Utilities!$B$11))</f>
        <v>9.282117898366149E-2</v>
      </c>
    </row>
    <row r="373" spans="1:5" x14ac:dyDescent="0.3">
      <c r="A373">
        <v>368</v>
      </c>
      <c r="B373">
        <f>Utilities!$B$7+((Utilities!$B$9-Utilities!$B$7)*(A373/Utilities!$B$1))</f>
        <v>48.178400000000003</v>
      </c>
      <c r="C373">
        <f>Utilities!$B$9+((Utilities!$B$7-Utilities!$B$9)*EXP(-$B$2*A373))</f>
        <v>0.53149182374715598</v>
      </c>
      <c r="D373">
        <f>EXP(-1*SQRT(Utilities!$B$5)/(IF($B$1="Linear",B373,C373)*Utilities!$B$11))</f>
        <v>2.3858943870393398E-5</v>
      </c>
      <c r="E373">
        <f>EXP(-1*SQRT(Utilities!$B$5/20)/(IF($B$1="Linear",B373,C373)*Utilities!$B$11))</f>
        <v>9.2557451941615951E-2</v>
      </c>
    </row>
    <row r="374" spans="1:5" x14ac:dyDescent="0.3">
      <c r="A374">
        <v>369</v>
      </c>
      <c r="B374">
        <f>Utilities!$B$7+((Utilities!$B$9-Utilities!$B$7)*(A374/Utilities!$B$1))</f>
        <v>48.173450000000003</v>
      </c>
      <c r="C374">
        <f>Utilities!$B$9+((Utilities!$B$7-Utilities!$B$9)*EXP(-$B$2*A374))</f>
        <v>0.53086824385697251</v>
      </c>
      <c r="D374">
        <f>EXP(-1*SQRT(Utilities!$B$5)/(IF($B$1="Linear",B374,C374)*Utilities!$B$11))</f>
        <v>2.3562513294378626E-5</v>
      </c>
      <c r="E374">
        <f>EXP(-1*SQRT(Utilities!$B$5/20)/(IF($B$1="Linear",B374,C374)*Utilities!$B$11))</f>
        <v>9.2299063405640341E-2</v>
      </c>
    </row>
    <row r="375" spans="1:5" x14ac:dyDescent="0.3">
      <c r="A375">
        <v>370</v>
      </c>
      <c r="B375">
        <f>Utilities!$B$7+((Utilities!$B$9-Utilities!$B$7)*(A375/Utilities!$B$1))</f>
        <v>48.168500000000002</v>
      </c>
      <c r="C375">
        <f>Utilities!$B$9+((Utilities!$B$7-Utilities!$B$9)*EXP(-$B$2*A375))</f>
        <v>0.53025701167591388</v>
      </c>
      <c r="D375">
        <f>EXP(-1*SQRT(Utilities!$B$5)/(IF($B$1="Linear",B375,C375)*Utilities!$B$11))</f>
        <v>2.3274862793240388E-5</v>
      </c>
      <c r="E375">
        <f>EXP(-1*SQRT(Utilities!$B$5/20)/(IF($B$1="Linear",B375,C375)*Utilities!$B$11))</f>
        <v>9.2045904008256837E-2</v>
      </c>
    </row>
    <row r="376" spans="1:5" x14ac:dyDescent="0.3">
      <c r="A376">
        <v>371</v>
      </c>
      <c r="B376">
        <f>Utilities!$B$7+((Utilities!$B$9-Utilities!$B$7)*(A376/Utilities!$B$1))</f>
        <v>48.163550000000001</v>
      </c>
      <c r="C376">
        <f>Utilities!$B$9+((Utilities!$B$7-Utilities!$B$9)*EXP(-$B$2*A376))</f>
        <v>0.52965788270295777</v>
      </c>
      <c r="D376">
        <f>EXP(-1*SQRT(Utilities!$B$5)/(IF($B$1="Linear",B376,C376)*Utilities!$B$11))</f>
        <v>2.2995683750041685E-5</v>
      </c>
      <c r="E376">
        <f>EXP(-1*SQRT(Utilities!$B$5/20)/(IF($B$1="Linear",B376,C376)*Utilities!$B$11))</f>
        <v>9.1797866641080694E-2</v>
      </c>
    </row>
    <row r="377" spans="1:5" x14ac:dyDescent="0.3">
      <c r="A377">
        <v>372</v>
      </c>
      <c r="B377">
        <f>Utilities!$B$7+((Utilities!$B$9-Utilities!$B$7)*(A377/Utilities!$B$1))</f>
        <v>48.1586</v>
      </c>
      <c r="C377">
        <f>Utilities!$B$9+((Utilities!$B$7-Utilities!$B$9)*EXP(-$B$2*A377))</f>
        <v>0.52907061727852656</v>
      </c>
      <c r="D377">
        <f>EXP(-1*SQRT(Utilities!$B$5)/(IF($B$1="Linear",B377,C377)*Utilities!$B$11))</f>
        <v>2.2724680227768144E-5</v>
      </c>
      <c r="E377">
        <f>EXP(-1*SQRT(Utilities!$B$5/20)/(IF($B$1="Linear",B377,C377)*Utilities!$B$11))</f>
        <v>9.1554846409125937E-2</v>
      </c>
    </row>
    <row r="378" spans="1:5" x14ac:dyDescent="0.3">
      <c r="A378">
        <v>373</v>
      </c>
      <c r="B378">
        <f>Utilities!$B$7+((Utilities!$B$9-Utilities!$B$7)*(A378/Utilities!$B$1))</f>
        <v>48.153649999999999</v>
      </c>
      <c r="C378">
        <f>Utilities!$B$9+((Utilities!$B$7-Utilities!$B$9)*EXP(-$B$2*A378))</f>
        <v>0.5284949804886202</v>
      </c>
      <c r="D378">
        <f>EXP(-1*SQRT(Utilities!$B$5)/(IF($B$1="Linear",B378,C378)*Utilities!$B$11))</f>
        <v>2.2461568379537904E-5</v>
      </c>
      <c r="E378">
        <f>EXP(-1*SQRT(Utilities!$B$5/20)/(IF($B$1="Linear",B378,C378)*Utilities!$B$11))</f>
        <v>9.1316740585911521E-2</v>
      </c>
    </row>
    <row r="379" spans="1:5" x14ac:dyDescent="0.3">
      <c r="A379">
        <v>374</v>
      </c>
      <c r="B379">
        <f>Utilities!$B$7+((Utilities!$B$9-Utilities!$B$7)*(A379/Utilities!$B$1))</f>
        <v>48.148699999999998</v>
      </c>
      <c r="C379">
        <f>Utilities!$B$9+((Utilities!$B$7-Utilities!$B$9)*EXP(-$B$2*A379))</f>
        <v>0.52793074207084734</v>
      </c>
      <c r="D379">
        <f>EXP(-1*SQRT(Utilities!$B$5)/(IF($B$1="Linear",B379,C379)*Utilities!$B$11))</f>
        <v>2.2206075888975633E-5</v>
      </c>
      <c r="E379">
        <f>EXP(-1*SQRT(Utilities!$B$5/20)/(IF($B$1="Linear",B379,C379)*Utilities!$B$11))</f>
        <v>9.1083448569363248E-2</v>
      </c>
    </row>
    <row r="380" spans="1:5" x14ac:dyDescent="0.3">
      <c r="A380">
        <v>375</v>
      </c>
      <c r="B380">
        <f>Utilities!$B$7+((Utilities!$B$9-Utilities!$B$7)*(A380/Utilities!$B$1))</f>
        <v>48.143749999999997</v>
      </c>
      <c r="C380">
        <f>Utilities!$B$9+((Utilities!$B$7-Utilities!$B$9)*EXP(-$B$2*A380))</f>
        <v>0.5273776763223178</v>
      </c>
      <c r="D380">
        <f>EXP(-1*SQRT(Utilities!$B$5)/(IF($B$1="Linear",B380,C380)*Utilities!$B$11))</f>
        <v>2.1957941439089819E-5</v>
      </c>
      <c r="E380">
        <f>EXP(-1*SQRT(Utilities!$B$5/20)/(IF($B$1="Linear",B380,C380)*Utilities!$B$11))</f>
        <v>9.0854871838506643E-2</v>
      </c>
    </row>
    <row r="381" spans="1:5" x14ac:dyDescent="0.3">
      <c r="A381">
        <v>376</v>
      </c>
      <c r="B381">
        <f>Utilities!$B$7+((Utilities!$B$9-Utilities!$B$7)*(A381/Utilities!$B$1))</f>
        <v>48.138800000000003</v>
      </c>
      <c r="C381">
        <f>Utilities!$B$9+((Utilities!$B$7-Utilities!$B$9)*EXP(-$B$2*A381))</f>
        <v>0.52683556200935766</v>
      </c>
      <c r="D381">
        <f>EXP(-1*SQRT(Utilities!$B$5)/(IF($B$1="Linear",B381,C381)*Utilities!$B$11))</f>
        <v>2.1716914208088223E-5</v>
      </c>
      <c r="E381">
        <f>EXP(-1*SQRT(Utilities!$B$5/20)/(IF($B$1="Linear",B381,C381)*Utilities!$B$11))</f>
        <v>9.0630913910943536E-2</v>
      </c>
    </row>
    <row r="382" spans="1:5" x14ac:dyDescent="0.3">
      <c r="A382">
        <v>377</v>
      </c>
      <c r="B382">
        <f>Utilities!$B$7+((Utilities!$B$9-Utilities!$B$7)*(A382/Utilities!$B$1))</f>
        <v>48.133850000000002</v>
      </c>
      <c r="C382">
        <f>Utilities!$B$9+((Utilities!$B$7-Utilities!$B$9)*EXP(-$B$2*A382))</f>
        <v>0.52630418227901354</v>
      </c>
      <c r="D382">
        <f>EXP(-1*SQRT(Utilities!$B$5)/(IF($B$1="Linear",B382,C382)*Utilities!$B$11))</f>
        <v>2.1482753390659549E-5</v>
      </c>
      <c r="E382">
        <f>EXP(-1*SQRT(Utilities!$B$5/20)/(IF($B$1="Linear",B382,C382)*Utilities!$B$11))</f>
        <v>9.0411480301107919E-2</v>
      </c>
    </row>
    <row r="383" spans="1:5" x14ac:dyDescent="0.3">
      <c r="A383">
        <v>378</v>
      </c>
      <c r="B383">
        <f>Utilities!$B$7+((Utilities!$B$9-Utilities!$B$7)*(A383/Utilities!$B$1))</f>
        <v>48.128900000000002</v>
      </c>
      <c r="C383">
        <f>Utilities!$B$9+((Utilities!$B$7-Utilities!$B$9)*EXP(-$B$2*A383))</f>
        <v>0.52578332457230814</v>
      </c>
      <c r="D383">
        <f>EXP(-1*SQRT(Utilities!$B$5)/(IF($B$1="Linear",B383,C383)*Utilities!$B$11))</f>
        <v>2.1255227743332648E-5</v>
      </c>
      <c r="E383">
        <f>EXP(-1*SQRT(Utilities!$B$5/20)/(IF($B$1="Linear",B383,C383)*Utilities!$B$11))</f>
        <v>9.0196478479291686E-2</v>
      </c>
    </row>
    <row r="384" spans="1:5" x14ac:dyDescent="0.3">
      <c r="A384">
        <v>379</v>
      </c>
      <c r="B384">
        <f>Utilities!$B$7+((Utilities!$B$9-Utilities!$B$7)*(A384/Utilities!$B$1))</f>
        <v>48.123950000000001</v>
      </c>
      <c r="C384">
        <f>Utilities!$B$9+((Utilities!$B$7-Utilities!$B$9)*EXP(-$B$2*A384))</f>
        <v>0.52527278053921389</v>
      </c>
      <c r="D384">
        <f>EXP(-1*SQRT(Utilities!$B$5)/(IF($B$1="Linear",B384,C384)*Utilities!$B$11))</f>
        <v>2.1034115152606901E-5</v>
      </c>
      <c r="E384">
        <f>EXP(-1*SQRT(Utilities!$B$5/20)/(IF($B$1="Linear",B384,C384)*Utilities!$B$11))</f>
        <v>8.9985817831434722E-2</v>
      </c>
    </row>
    <row r="385" spans="1:5" x14ac:dyDescent="0.3">
      <c r="A385">
        <v>380</v>
      </c>
      <c r="B385">
        <f>Utilities!$B$7+((Utilities!$B$9-Utilities!$B$7)*(A385/Utilities!$B$1))</f>
        <v>48.119</v>
      </c>
      <c r="C385">
        <f>Utilities!$B$9+((Utilities!$B$7-Utilities!$B$9)*EXP(-$B$2*A385))</f>
        <v>0.52477234595531019</v>
      </c>
      <c r="D385">
        <f>EXP(-1*SQRT(Utilities!$B$5)/(IF($B$1="Linear",B385,C385)*Utilities!$B$11))</f>
        <v>2.081920222462108E-5</v>
      </c>
      <c r="E385">
        <f>EXP(-1*SQRT(Utilities!$B$5/20)/(IF($B$1="Linear",B385,C385)*Utilities!$B$11))</f>
        <v>8.9779409619670375E-2</v>
      </c>
    </row>
    <row r="386" spans="1:5" x14ac:dyDescent="0.3">
      <c r="A386">
        <v>381</v>
      </c>
      <c r="B386">
        <f>Utilities!$B$7+((Utilities!$B$9-Utilities!$B$7)*(A386/Utilities!$B$1))</f>
        <v>48.114049999999999</v>
      </c>
      <c r="C386">
        <f>Utilities!$B$9+((Utilities!$B$7-Utilities!$B$9)*EXP(-$B$2*A386))</f>
        <v>0.5242818206400911</v>
      </c>
      <c r="D386">
        <f>EXP(-1*SQRT(Utilities!$B$5)/(IF($B$1="Linear",B386,C386)*Utilities!$B$11))</f>
        <v>2.0610283895200884E-5</v>
      </c>
      <c r="E386">
        <f>EXP(-1*SQRT(Utilities!$B$5/20)/(IF($B$1="Linear",B386,C386)*Utilities!$B$11))</f>
        <v>8.9577166943618308E-2</v>
      </c>
    </row>
    <row r="387" spans="1:5" x14ac:dyDescent="0.3">
      <c r="A387">
        <v>382</v>
      </c>
      <c r="B387">
        <f>Utilities!$B$7+((Utilities!$B$9-Utilities!$B$7)*(A387/Utilities!$B$1))</f>
        <v>48.109099999999998</v>
      </c>
      <c r="C387">
        <f>Utilities!$B$9+((Utilities!$B$7-Utilities!$B$9)*EXP(-$B$2*A387))</f>
        <v>0.52380100837688981</v>
      </c>
      <c r="D387">
        <f>EXP(-1*SQRT(Utilities!$B$5)/(IF($B$1="Linear",B387,C387)*Utilities!$B$11))</f>
        <v>2.0407163059189303E-5</v>
      </c>
      <c r="E387">
        <f>EXP(-1*SQRT(Utilities!$B$5/20)/(IF($B$1="Linear",B387,C387)*Utilities!$B$11))</f>
        <v>8.9379004702415762E-2</v>
      </c>
    </row>
    <row r="388" spans="1:5" x14ac:dyDescent="0.3">
      <c r="A388">
        <v>383</v>
      </c>
      <c r="B388">
        <f>Utilities!$B$7+((Utilities!$B$9-Utilities!$B$7)*(A388/Utilities!$B$1))</f>
        <v>48.104149999999997</v>
      </c>
      <c r="C388">
        <f>Utilities!$B$9+((Utilities!$B$7-Utilities!$B$9)*EXP(-$B$2*A388))</f>
        <v>0.52332971683439033</v>
      </c>
      <c r="D388">
        <f>EXP(-1*SQRT(Utilities!$B$5)/(IF($B$1="Linear",B388,C388)*Utilities!$B$11))</f>
        <v>2.0209650218029896E-5</v>
      </c>
      <c r="E388">
        <f>EXP(-1*SQRT(Utilities!$B$5/20)/(IF($B$1="Linear",B388,C388)*Utilities!$B$11))</f>
        <v>8.9184839557479412E-2</v>
      </c>
    </row>
    <row r="389" spans="1:5" x14ac:dyDescent="0.3">
      <c r="A389">
        <v>384</v>
      </c>
      <c r="B389">
        <f>Utilities!$B$7+((Utilities!$B$9-Utilities!$B$7)*(A389/Utilities!$B$1))</f>
        <v>48.099200000000003</v>
      </c>
      <c r="C389">
        <f>Utilities!$B$9+((Utilities!$B$7-Utilities!$B$9)*EXP(-$B$2*A389))</f>
        <v>0.52286775748969172</v>
      </c>
      <c r="D389">
        <f>EXP(-1*SQRT(Utilities!$B$5)/(IF($B$1="Linear",B389,C389)*Utilities!$B$11))</f>
        <v>2.0017563144628516E-5</v>
      </c>
      <c r="E389">
        <f>EXP(-1*SQRT(Utilities!$B$5/20)/(IF($B$1="Linear",B389,C389)*Utilities!$B$11))</f>
        <v>8.8994589895986811E-2</v>
      </c>
    </row>
    <row r="390" spans="1:5" x14ac:dyDescent="0.3">
      <c r="A390">
        <v>385</v>
      </c>
      <c r="B390">
        <f>Utilities!$B$7+((Utilities!$B$9-Utilities!$B$7)*(A390/Utilities!$B$1))</f>
        <v>48.094250000000002</v>
      </c>
      <c r="C390">
        <f>Utilities!$B$9+((Utilities!$B$7-Utilities!$B$9)*EXP(-$B$2*A390))</f>
        <v>0.52241494555289647</v>
      </c>
      <c r="D390">
        <f>EXP(-1*SQRT(Utilities!$B$5)/(IF($B$1="Linear",B390,C390)*Utilities!$B$11))</f>
        <v>1.9830726564576534E-5</v>
      </c>
      <c r="E390">
        <f>EXP(-1*SQRT(Utilities!$B$5/20)/(IF($B$1="Linear",B390,C390)*Utilities!$B$11))</f>
        <v>8.8808175795069388E-2</v>
      </c>
    </row>
    <row r="391" spans="1:5" x14ac:dyDescent="0.3">
      <c r="A391">
        <v>386</v>
      </c>
      <c r="B391">
        <f>Utilities!$B$7+((Utilities!$B$9-Utilities!$B$7)*(A391/Utilities!$B$1))</f>
        <v>48.089300000000001</v>
      </c>
      <c r="C391">
        <f>Utilities!$B$9+((Utilities!$B$7-Utilities!$B$9)*EXP(-$B$2*A391))</f>
        <v>0.52197109989319224</v>
      </c>
      <c r="D391">
        <f>EXP(-1*SQRT(Utilities!$B$5)/(IF($B$1="Linear",B391,C391)*Utilities!$B$11))</f>
        <v>1.9648971852869823E-5</v>
      </c>
      <c r="E391">
        <f>EXP(-1*SQRT(Utilities!$B$5/20)/(IF($B$1="Linear",B391,C391)*Utilities!$B$11))</f>
        <v>8.8625518986706939E-2</v>
      </c>
    </row>
    <row r="392" spans="1:5" x14ac:dyDescent="0.3">
      <c r="A392">
        <v>387</v>
      </c>
      <c r="B392">
        <f>Utilities!$B$7+((Utilities!$B$9-Utilities!$B$7)*(A392/Utilities!$B$1))</f>
        <v>48.084350000000001</v>
      </c>
      <c r="C392">
        <f>Utilities!$B$9+((Utilities!$B$7-Utilities!$B$9)*EXP(-$B$2*A392))</f>
        <v>0.52153604296639722</v>
      </c>
      <c r="D392">
        <f>EXP(-1*SQRT(Utilities!$B$5)/(IF($B$1="Linear",B392,C392)*Utilities!$B$11))</f>
        <v>1.9472136745306917E-5</v>
      </c>
      <c r="E392">
        <f>EXP(-1*SQRT(Utilities!$B$5/20)/(IF($B$1="Linear",B392,C392)*Utilities!$B$11))</f>
        <v>8.8446542823313684E-2</v>
      </c>
    </row>
    <row r="393" spans="1:5" x14ac:dyDescent="0.3">
      <c r="A393">
        <v>388</v>
      </c>
      <c r="B393">
        <f>Utilities!$B$7+((Utilities!$B$9-Utilities!$B$7)*(A393/Utilities!$B$1))</f>
        <v>48.0794</v>
      </c>
      <c r="C393">
        <f>Utilities!$B$9+((Utilities!$B$7-Utilities!$B$9)*EXP(-$B$2*A393))</f>
        <v>0.52110960074393986</v>
      </c>
      <c r="D393">
        <f>EXP(-1*SQRT(Utilities!$B$5)/(IF($B$1="Linear",B393,C393)*Utilities!$B$11))</f>
        <v>1.9300065063794967E-5</v>
      </c>
      <c r="E393">
        <f>EXP(-1*SQRT(Utilities!$B$5/20)/(IF($B$1="Linear",B393,C393)*Utilities!$B$11))</f>
        <v>8.8271172244005561E-2</v>
      </c>
    </row>
    <row r="394" spans="1:5" x14ac:dyDescent="0.3">
      <c r="A394">
        <v>389</v>
      </c>
      <c r="B394">
        <f>Utilities!$B$7+((Utilities!$B$9-Utilities!$B$7)*(A394/Utilities!$B$1))</f>
        <v>48.074449999999999</v>
      </c>
      <c r="C394">
        <f>Utilities!$B$9+((Utilities!$B$7-Utilities!$B$9)*EXP(-$B$2*A394))</f>
        <v>0.5206916026432451</v>
      </c>
      <c r="D394">
        <f>EXP(-1*SQRT(Utilities!$B$5)/(IF($B$1="Linear",B394,C394)*Utilities!$B$11))</f>
        <v>1.9132606454836191E-5</v>
      </c>
      <c r="E394">
        <f>EXP(-1*SQRT(Utilities!$B$5/20)/(IF($B$1="Linear",B394,C394)*Utilities!$B$11))</f>
        <v>8.809933374153954E-2</v>
      </c>
    </row>
    <row r="395" spans="1:5" x14ac:dyDescent="0.3">
      <c r="A395">
        <v>390</v>
      </c>
      <c r="B395">
        <f>Utilities!$B$7+((Utilities!$B$9-Utilities!$B$7)*(A395/Utilities!$B$1))</f>
        <v>48.069499999999998</v>
      </c>
      <c r="C395">
        <f>Utilities!$B$9+((Utilities!$B$7-Utilities!$B$9)*EXP(-$B$2*A395))</f>
        <v>0.5202818814594995</v>
      </c>
      <c r="D395">
        <f>EXP(-1*SQRT(Utilities!$B$5)/(IF($B$1="Linear",B395,C395)*Utilities!$B$11))</f>
        <v>1.8969616140508494E-5</v>
      </c>
      <c r="E395">
        <f>EXP(-1*SQRT(Utilities!$B$5/20)/(IF($B$1="Linear",B395,C395)*Utilities!$B$11))</f>
        <v>8.7930955329913962E-2</v>
      </c>
    </row>
    <row r="396" spans="1:5" x14ac:dyDescent="0.3">
      <c r="A396">
        <v>391</v>
      </c>
      <c r="B396">
        <f>Utilities!$B$7+((Utilities!$B$9-Utilities!$B$7)*(A396/Utilities!$B$1))</f>
        <v>48.064549999999997</v>
      </c>
      <c r="C396">
        <f>Utilities!$B$9+((Utilities!$B$7-Utilities!$B$9)*EXP(-$B$2*A396))</f>
        <v>0.51988027329876618</v>
      </c>
      <c r="D396">
        <f>EXP(-1*SQRT(Utilities!$B$5)/(IF($B$1="Linear",B396,C396)*Utilities!$B$11))</f>
        <v>1.8810954681290278E-5</v>
      </c>
      <c r="E396">
        <f>EXP(-1*SQRT(Utilities!$B$5/20)/(IF($B$1="Linear",B396,C396)*Utilities!$B$11))</f>
        <v>8.7765966512619628E-2</v>
      </c>
    </row>
    <row r="397" spans="1:5" x14ac:dyDescent="0.3">
      <c r="A397">
        <v>392</v>
      </c>
      <c r="B397">
        <f>Utilities!$B$7+((Utilities!$B$9-Utilities!$B$7)*(A397/Utilities!$B$1))</f>
        <v>48.059600000000003</v>
      </c>
      <c r="C397">
        <f>Utilities!$B$9+((Utilities!$B$7-Utilities!$B$9)*EXP(-$B$2*A397))</f>
        <v>0.51948661751242642</v>
      </c>
      <c r="D397">
        <f>EXP(-1*SQRT(Utilities!$B$5)/(IF($B$1="Linear",B397,C397)*Utilities!$B$11))</f>
        <v>1.8656487750118549E-5</v>
      </c>
      <c r="E397">
        <f>EXP(-1*SQRT(Utilities!$B$5/20)/(IF($B$1="Linear",B397,C397)*Utilities!$B$11))</f>
        <v>8.7604298251532015E-2</v>
      </c>
    </row>
    <row r="398" spans="1:5" x14ac:dyDescent="0.3">
      <c r="A398">
        <v>393</v>
      </c>
      <c r="B398">
        <f>Utilities!$B$7+((Utilities!$B$9-Utilities!$B$7)*(A398/Utilities!$B$1))</f>
        <v>48.054650000000002</v>
      </c>
      <c r="C398">
        <f>Utilities!$B$9+((Utilities!$B$7-Utilities!$B$9)*EXP(-$B$2*A398))</f>
        <v>0.51910075663291655</v>
      </c>
      <c r="D398">
        <f>EXP(-1*SQRT(Utilities!$B$5)/(IF($B$1="Linear",B398,C398)*Utilities!$B$11))</f>
        <v>1.850608591709987E-5</v>
      </c>
      <c r="E398">
        <f>EXP(-1*SQRT(Utilities!$B$5/20)/(IF($B$1="Linear",B398,C398)*Utilities!$B$11))</f>
        <v>8.7445882936433059E-2</v>
      </c>
    </row>
    <row r="399" spans="1:5" x14ac:dyDescent="0.3">
      <c r="A399">
        <v>394</v>
      </c>
      <c r="B399">
        <f>Utilities!$B$7+((Utilities!$B$9-Utilities!$B$7)*(A399/Utilities!$B$1))</f>
        <v>48.049700000000001</v>
      </c>
      <c r="C399">
        <f>Utilities!$B$9+((Utilities!$B$7-Utilities!$B$9)*EXP(-$B$2*A399))</f>
        <v>0.51872253631073995</v>
      </c>
      <c r="D399">
        <f>EXP(-1*SQRT(Utilities!$B$5)/(IF($B$1="Linear",B399,C399)*Utilities!$B$11))</f>
        <v>1.8359624444328837E-5</v>
      </c>
      <c r="E399">
        <f>EXP(-1*SQRT(Utilities!$B$5/20)/(IF($B$1="Linear",B399,C399)*Utilities!$B$11))</f>
        <v>8.7290654355153374E-2</v>
      </c>
    </row>
    <row r="400" spans="1:5" x14ac:dyDescent="0.3">
      <c r="A400">
        <v>395</v>
      </c>
      <c r="B400">
        <f>Utilities!$B$7+((Utilities!$B$9-Utilities!$B$7)*(A400/Utilities!$B$1))</f>
        <v>48.044750000000001</v>
      </c>
      <c r="C400">
        <f>Utilities!$B$9+((Utilities!$B$7-Utilities!$B$9)*EXP(-$B$2*A400))</f>
        <v>0.51835180525272484</v>
      </c>
      <c r="D400">
        <f>EXP(-1*SQRT(Utilities!$B$5)/(IF($B$1="Linear",B400,C400)*Utilities!$B$11))</f>
        <v>1.8216983090296476E-5</v>
      </c>
      <c r="E400">
        <f>EXP(-1*SQRT(Utilities!$B$5/20)/(IF($B$1="Linear",B400,C400)*Utilities!$B$11))</f>
        <v>8.7138547664323399E-2</v>
      </c>
    </row>
    <row r="401" spans="1:5" x14ac:dyDescent="0.3">
      <c r="A401">
        <v>396</v>
      </c>
      <c r="B401">
        <f>Utilities!$B$7+((Utilities!$B$9-Utilities!$B$7)*(A401/Utilities!$B$1))</f>
        <v>48.0398</v>
      </c>
      <c r="C401">
        <f>Utilities!$B$9+((Utilities!$B$7-Utilities!$B$9)*EXP(-$B$2*A401))</f>
        <v>0.51798841516150484</v>
      </c>
      <c r="D401">
        <f>EXP(-1*SQRT(Utilities!$B$5)/(IF($B$1="Linear",B401,C401)*Utilities!$B$11))</f>
        <v>1.8078045923400582E-5</v>
      </c>
      <c r="E401">
        <f>EXP(-1*SQRT(Utilities!$B$5/20)/(IF($B$1="Linear",B401,C401)*Utilities!$B$11))</f>
        <v>8.6989499360723546E-2</v>
      </c>
    </row>
    <row r="402" spans="1:5" x14ac:dyDescent="0.3">
      <c r="A402">
        <v>397</v>
      </c>
      <c r="B402">
        <f>Utilities!$B$7+((Utilities!$B$9-Utilities!$B$7)*(A402/Utilities!$B$1))</f>
        <v>48.034849999999999</v>
      </c>
      <c r="C402">
        <f>Utilities!$B$9+((Utilities!$B$7-Utilities!$B$9)*EXP(-$B$2*A402))</f>
        <v>0.51763222067619818</v>
      </c>
      <c r="D402">
        <f>EXP(-1*SQRT(Utilities!$B$5)/(IF($B$1="Linear",B402,C402)*Utilities!$B$11))</f>
        <v>1.7942701144095954E-5</v>
      </c>
      <c r="E402">
        <f>EXP(-1*SQRT(Utilities!$B$5/20)/(IF($B$1="Linear",B402,C402)*Utilities!$B$11))</f>
        <v>8.6843447253222933E-2</v>
      </c>
    </row>
    <row r="403" spans="1:5" x14ac:dyDescent="0.3">
      <c r="A403">
        <v>398</v>
      </c>
      <c r="B403">
        <f>Utilities!$B$7+((Utilities!$B$9-Utilities!$B$7)*(A403/Utilities!$B$1))</f>
        <v>48.029899999999998</v>
      </c>
      <c r="C403">
        <f>Utilities!$B$9+((Utilities!$B$7-Utilities!$B$9)*EXP(-$B$2*A403))</f>
        <v>0.51728307931426143</v>
      </c>
      <c r="D403">
        <f>EXP(-1*SQRT(Utilities!$B$5)/(IF($B$1="Linear",B403,C403)*Utilities!$B$11))</f>
        <v>1.7810840915248307E-5</v>
      </c>
      <c r="E403">
        <f>EXP(-1*SQRT(Utilities!$B$5/20)/(IF($B$1="Linear",B403,C403)*Utilities!$B$11))</f>
        <v>8.6700330435296208E-2</v>
      </c>
    </row>
    <row r="404" spans="1:5" x14ac:dyDescent="0.3">
      <c r="A404">
        <v>399</v>
      </c>
      <c r="B404">
        <f>Utilities!$B$7+((Utilities!$B$9-Utilities!$B$7)*(A404/Utilities!$B$1))</f>
        <v>48.024949999999997</v>
      </c>
      <c r="C404">
        <f>Utilities!$B$9+((Utilities!$B$7-Utilities!$B$9)*EXP(-$B$2*A404))</f>
        <v>0.51694085141449442</v>
      </c>
      <c r="D404">
        <f>EXP(-1*SQRT(Utilities!$B$5)/(IF($B$1="Linear",B404,C404)*Utilities!$B$11))</f>
        <v>1.7682361200278601E-5</v>
      </c>
      <c r="E404">
        <f>EXP(-1*SQRT(Utilities!$B$5/20)/(IF($B$1="Linear",B404,C404)*Utilities!$B$11))</f>
        <v>8.6560089258108319E-2</v>
      </c>
    </row>
    <row r="405" spans="1:5" x14ac:dyDescent="0.3">
      <c r="A405">
        <v>400</v>
      </c>
      <c r="B405">
        <f>Utilities!$B$7+((Utilities!$B$9-Utilities!$B$7)*(A405/Utilities!$B$1))</f>
        <v>48.02</v>
      </c>
      <c r="C405">
        <f>Utilities!$B$9+((Utilities!$B$7-Utilities!$B$9)*EXP(-$B$2*A405))</f>
        <v>0.51660540008117439</v>
      </c>
      <c r="D405">
        <f>EXP(-1*SQRT(Utilities!$B$5)/(IF($B$1="Linear",B405,C405)*Utilities!$B$11))</f>
        <v>1.75571616087073E-5</v>
      </c>
      <c r="E405">
        <f>EXP(-1*SQRT(Utilities!$B$5/20)/(IF($B$1="Linear",B405,C405)*Utilities!$B$11))</f>
        <v>8.6422665304156862E-2</v>
      </c>
    </row>
    <row r="406" spans="1:5" x14ac:dyDescent="0.3">
      <c r="A406">
        <v>401</v>
      </c>
      <c r="B406">
        <f>Utilities!$B$7+((Utilities!$B$9-Utilities!$B$7)*(A406/Utilities!$B$1))</f>
        <v>48.015050000000002</v>
      </c>
      <c r="C406">
        <f>Utilities!$B$9+((Utilities!$B$7-Utilities!$B$9)*EXP(-$B$2*A406))</f>
        <v>0.51627659112929503</v>
      </c>
      <c r="D406">
        <f>EXP(-1*SQRT(Utilities!$B$5)/(IF($B$1="Linear",B406,C406)*Utilities!$B$11))</f>
        <v>1.7435145248728845E-5</v>
      </c>
      <c r="E406">
        <f>EXP(-1*SQRT(Utilities!$B$5/20)/(IF($B$1="Linear",B406,C406)*Utilities!$B$11))</f>
        <v>8.6288001361461281E-2</v>
      </c>
    </row>
    <row r="407" spans="1:5" x14ac:dyDescent="0.3">
      <c r="A407">
        <v>402</v>
      </c>
      <c r="B407">
        <f>Utilities!$B$7+((Utilities!$B$9-Utilities!$B$7)*(A407/Utilities!$B$1))</f>
        <v>48.010100000000001</v>
      </c>
      <c r="C407">
        <f>Utilities!$B$9+((Utilities!$B$7-Utilities!$B$9)*EXP(-$B$2*A407))</f>
        <v>0.51595429303089146</v>
      </c>
      <c r="D407">
        <f>EXP(-1*SQRT(Utilities!$B$5)/(IF($B$1="Linear",B407,C407)*Utilities!$B$11))</f>
        <v>1.7316218586466962E-5</v>
      </c>
      <c r="E407">
        <f>EXP(-1*SQRT(Utilities!$B$5/20)/(IF($B$1="Linear",B407,C407)*Utilities!$B$11))</f>
        <v>8.615604139829007E-2</v>
      </c>
    </row>
    <row r="408" spans="1:5" x14ac:dyDescent="0.3">
      <c r="A408">
        <v>403</v>
      </c>
      <c r="B408">
        <f>Utilities!$B$7+((Utilities!$B$9-Utilities!$B$7)*(A408/Utilities!$B$1))</f>
        <v>48.00515</v>
      </c>
      <c r="C408">
        <f>Utilities!$B$9+((Utilities!$B$7-Utilities!$B$9)*EXP(-$B$2*A408))</f>
        <v>0.51563837686242697</v>
      </c>
      <c r="D408">
        <f>EXP(-1*SQRT(Utilities!$B$5)/(IF($B$1="Linear",B408,C408)*Utilities!$B$11))</f>
        <v>1.7200291311579302E-5</v>
      </c>
      <c r="E408">
        <f>EXP(-1*SQRT(Utilities!$B$5/20)/(IF($B$1="Linear",B408,C408)*Utilities!$B$11))</f>
        <v>8.6026730538414642E-2</v>
      </c>
    </row>
    <row r="409" spans="1:5" x14ac:dyDescent="0.3">
      <c r="A409">
        <v>404</v>
      </c>
      <c r="B409">
        <f>Utilities!$B$7+((Utilities!$B$9-Utilities!$B$7)*(A409/Utilities!$B$1))</f>
        <v>48.0002</v>
      </c>
      <c r="C409">
        <f>Utilities!$B$9+((Utilities!$B$7-Utilities!$B$9)*EXP(-$B$2*A409))</f>
        <v>0.51532871625322196</v>
      </c>
      <c r="D409">
        <f>EXP(-1*SQRT(Utilities!$B$5)/(IF($B$1="Linear",B409,C409)*Utilities!$B$11))</f>
        <v>1.7087276208898348E-5</v>
      </c>
      <c r="E409">
        <f>EXP(-1*SQRT(Utilities!$B$5/20)/(IF($B$1="Linear",B409,C409)*Utilities!$B$11))</f>
        <v>8.5900015036880648E-2</v>
      </c>
    </row>
    <row r="410" spans="1:5" x14ac:dyDescent="0.3">
      <c r="A410">
        <v>405</v>
      </c>
      <c r="B410">
        <f>Utilities!$B$7+((Utilities!$B$9-Utilities!$B$7)*(A410/Utilities!$B$1))</f>
        <v>47.995249999999999</v>
      </c>
      <c r="C410">
        <f>Utilities!$B$9+((Utilities!$B$7-Utilities!$B$9)*EXP(-$B$2*A410))</f>
        <v>0.51502518733490388</v>
      </c>
      <c r="D410">
        <f>EXP(-1*SQRT(Utilities!$B$5)/(IF($B$1="Linear",B410,C410)*Utilities!$B$11))</f>
        <v>1.6977089035811506E-5</v>
      </c>
      <c r="E410">
        <f>EXP(-1*SQRT(Utilities!$B$5/20)/(IF($B$1="Linear",B410,C410)*Utilities!$B$11))</f>
        <v>8.5775842256286372E-2</v>
      </c>
    </row>
    <row r="411" spans="1:5" x14ac:dyDescent="0.3">
      <c r="A411">
        <v>406</v>
      </c>
      <c r="B411">
        <f>Utilities!$B$7+((Utilities!$B$9-Utilities!$B$7)*(A411/Utilities!$B$1))</f>
        <v>47.990299999999998</v>
      </c>
      <c r="C411">
        <f>Utilities!$B$9+((Utilities!$B$7-Utilities!$B$9)*EXP(-$B$2*A411))</f>
        <v>0.51472766869185826</v>
      </c>
      <c r="D411">
        <f>EXP(-1*SQRT(Utilities!$B$5)/(IF($B$1="Linear",B411,C411)*Utilities!$B$11))</f>
        <v>1.6869648405099734E-5</v>
      </c>
      <c r="E411">
        <f>EXP(-1*SQRT(Utilities!$B$5/20)/(IF($B$1="Linear",B411,C411)*Utilities!$B$11))</f>
        <v>8.5654160643559088E-2</v>
      </c>
    </row>
    <row r="412" spans="1:5" x14ac:dyDescent="0.3">
      <c r="A412">
        <v>407</v>
      </c>
      <c r="B412">
        <f>Utilities!$B$7+((Utilities!$B$9-Utilities!$B$7)*(A412/Utilities!$B$1))</f>
        <v>47.985349999999997</v>
      </c>
      <c r="C412">
        <f>Utilities!$B$9+((Utilities!$B$7-Utilities!$B$9)*EXP(-$B$2*A412))</f>
        <v>0.51443604131266085</v>
      </c>
      <c r="D412">
        <f>EXP(-1*SQRT(Utilities!$B$5)/(IF($B$1="Linear",B412,C412)*Utilities!$B$11))</f>
        <v>1.6764875672968003E-5</v>
      </c>
      <c r="E412">
        <f>EXP(-1*SQRT(Utilities!$B$5/20)/(IF($B$1="Linear",B412,C412)*Utilities!$B$11))</f>
        <v>8.5534919707219187E-2</v>
      </c>
    </row>
    <row r="413" spans="1:5" x14ac:dyDescent="0.3">
      <c r="A413">
        <v>408</v>
      </c>
      <c r="B413">
        <f>Utilities!$B$7+((Utilities!$B$9-Utilities!$B$7)*(A413/Utilities!$B$1))</f>
        <v>47.980400000000003</v>
      </c>
      <c r="C413">
        <f>Utilities!$B$9+((Utilities!$B$7-Utilities!$B$9)*EXP(-$B$2*A413))</f>
        <v>0.51415018854247174</v>
      </c>
      <c r="D413">
        <f>EXP(-1*SQRT(Utilities!$B$5)/(IF($B$1="Linear",B413,C413)*Utilities!$B$11))</f>
        <v>1.6662694832015882E-5</v>
      </c>
      <c r="E413">
        <f>EXP(-1*SQRT(Utilities!$B$5/20)/(IF($B$1="Linear",B413,C413)*Utilities!$B$11))</f>
        <v>8.5418069995122858E-2</v>
      </c>
    </row>
    <row r="414" spans="1:5" x14ac:dyDescent="0.3">
      <c r="A414">
        <v>409</v>
      </c>
      <c r="B414">
        <f>Utilities!$B$7+((Utilities!$B$9-Utilities!$B$7)*(A414/Utilities!$B$1))</f>
        <v>47.975450000000002</v>
      </c>
      <c r="C414">
        <f>Utilities!$B$9+((Utilities!$B$7-Utilities!$B$9)*EXP(-$B$2*A414))</f>
        <v>0.51386999603637129</v>
      </c>
      <c r="D414">
        <f>EXP(-1*SQRT(Utilities!$B$5)/(IF($B$1="Linear",B414,C414)*Utilities!$B$11))</f>
        <v>1.6563032408908531E-5</v>
      </c>
      <c r="E414">
        <f>EXP(-1*SQRT(Utilities!$B$5/20)/(IF($B$1="Linear",B414,C414)*Utilities!$B$11))</f>
        <v>8.5303563072673672E-2</v>
      </c>
    </row>
    <row r="415" spans="1:5" x14ac:dyDescent="0.3">
      <c r="A415">
        <v>410</v>
      </c>
      <c r="B415">
        <f>Utilities!$B$7+((Utilities!$B$9-Utilities!$B$7)*(A415/Utilities!$B$1))</f>
        <v>47.970500000000001</v>
      </c>
      <c r="C415">
        <f>Utilities!$B$9+((Utilities!$B$7-Utilities!$B$9)*EXP(-$B$2*A415))</f>
        <v>0.51359535171362103</v>
      </c>
      <c r="D415">
        <f>EXP(-1*SQRT(Utilities!$B$5)/(IF($B$1="Linear",B415,C415)*Utilities!$B$11))</f>
        <v>1.646581736652206E-5</v>
      </c>
      <c r="E415">
        <f>EXP(-1*SQRT(Utilities!$B$5/20)/(IF($B$1="Linear",B415,C415)*Utilities!$B$11))</f>
        <v>8.51913515014939E-2</v>
      </c>
    </row>
    <row r="416" spans="1:5" x14ac:dyDescent="0.3">
      <c r="A416">
        <v>411</v>
      </c>
      <c r="B416">
        <f>Utilities!$B$7+((Utilities!$B$9-Utilities!$B$7)*(A416/Utilities!$B$1))</f>
        <v>47.96555</v>
      </c>
      <c r="C416">
        <f>Utilities!$B$9+((Utilities!$B$7-Utilities!$B$9)*EXP(-$B$2*A416))</f>
        <v>0.51332614571283008</v>
      </c>
      <c r="D416">
        <f>EXP(-1*SQRT(Utilities!$B$5)/(IF($B$1="Linear",B416,C416)*Utilities!$B$11))</f>
        <v>1.6370981010348474E-5</v>
      </c>
      <c r="E416">
        <f>EXP(-1*SQRT(Utilities!$B$5/20)/(IF($B$1="Linear",B416,C416)*Utilities!$B$11))</f>
        <v>8.5081388818546613E-2</v>
      </c>
    </row>
    <row r="417" spans="1:5" x14ac:dyDescent="0.3">
      <c r="A417">
        <v>412</v>
      </c>
      <c r="B417">
        <f>Utilities!$B$7+((Utilities!$B$9-Utilities!$B$7)*(A417/Utilities!$B$1))</f>
        <v>47.960599999999999</v>
      </c>
      <c r="C417">
        <f>Utilities!$B$9+((Utilities!$B$7-Utilities!$B$9)*EXP(-$B$2*A417))</f>
        <v>0.51306227034800855</v>
      </c>
      <c r="D417">
        <f>EXP(-1*SQRT(Utilities!$B$5)/(IF($B$1="Linear",B417,C417)*Utilities!$B$11))</f>
        <v>1.6278456898955938E-5</v>
      </c>
      <c r="E417">
        <f>EXP(-1*SQRT(Utilities!$B$5/20)/(IF($B$1="Linear",B417,C417)*Utilities!$B$11))</f>
        <v>8.4973629515699076E-2</v>
      </c>
    </row>
    <row r="418" spans="1:5" x14ac:dyDescent="0.3">
      <c r="A418">
        <v>413</v>
      </c>
      <c r="B418">
        <f>Utilities!$B$7+((Utilities!$B$9-Utilities!$B$7)*(A418/Utilities!$B$1))</f>
        <v>47.955649999999999</v>
      </c>
      <c r="C418">
        <f>Utilities!$B$9+((Utilities!$B$7-Utilities!$B$9)*EXP(-$B$2*A418))</f>
        <v>0.51280362006549218</v>
      </c>
      <c r="D418">
        <f>EXP(-1*SQRT(Utilities!$B$5)/(IF($B$1="Linear",B418,C418)*Utilities!$B$11))</f>
        <v>1.6188180758311735E-5</v>
      </c>
      <c r="E418">
        <f>EXP(-1*SQRT(Utilities!$B$5/20)/(IF($B$1="Linear",B418,C418)*Utilities!$B$11))</f>
        <v>8.4868029019718738E-2</v>
      </c>
    </row>
    <row r="419" spans="1:5" x14ac:dyDescent="0.3">
      <c r="A419">
        <v>414</v>
      </c>
      <c r="B419">
        <f>Utilities!$B$7+((Utilities!$B$9-Utilities!$B$7)*(A419/Utilities!$B$1))</f>
        <v>47.950699999999998</v>
      </c>
      <c r="C419">
        <f>Utilities!$B$9+((Utilities!$B$7-Utilities!$B$9)*EXP(-$B$2*A419))</f>
        <v>0.51255009140171914</v>
      </c>
      <c r="D419">
        <f>EXP(-1*SQRT(Utilities!$B$5)/(IF($B$1="Linear",B419,C419)*Utilities!$B$11))</f>
        <v>1.6100090399784706E-5</v>
      </c>
      <c r="E419">
        <f>EXP(-1*SQRT(Utilities!$B$5/20)/(IF($B$1="Linear",B419,C419)*Utilities!$B$11))</f>
        <v>8.4764543672693288E-2</v>
      </c>
    </row>
    <row r="420" spans="1:5" x14ac:dyDescent="0.3">
      <c r="A420">
        <v>415</v>
      </c>
      <c r="B420">
        <f>Utilities!$B$7+((Utilities!$B$9-Utilities!$B$7)*(A420/Utilities!$B$1))</f>
        <v>47.945749999999997</v>
      </c>
      <c r="C420">
        <f>Utilities!$B$9+((Utilities!$B$7-Utilities!$B$9)*EXP(-$B$2*A420))</f>
        <v>0.51230158294184358</v>
      </c>
      <c r="D420">
        <f>EXP(-1*SQRT(Utilities!$B$5)/(IF($B$1="Linear",B420,C420)*Utilities!$B$11))</f>
        <v>1.6014125641652914E-5</v>
      </c>
      <c r="E420">
        <f>EXP(-1*SQRT(Utilities!$B$5/20)/(IF($B$1="Linear",B420,C420)*Utilities!$B$11))</f>
        <v>8.4663130712865825E-2</v>
      </c>
    </row>
    <row r="421" spans="1:5" x14ac:dyDescent="0.3">
      <c r="A421">
        <v>416</v>
      </c>
      <c r="B421">
        <f>Utilities!$B$7+((Utilities!$B$9-Utilities!$B$7)*(A421/Utilities!$B$1))</f>
        <v>47.940800000000003</v>
      </c>
      <c r="C421">
        <f>Utilities!$B$9+((Utilities!$B$7-Utilities!$B$9)*EXP(-$B$2*A421))</f>
        <v>0.51205799527916818</v>
      </c>
      <c r="D421">
        <f>EXP(-1*SQRT(Utilities!$B$5)/(IF($B$1="Linear",B421,C421)*Utilities!$B$11))</f>
        <v>1.5930228233951942E-5</v>
      </c>
      <c r="E421">
        <f>EXP(-1*SQRT(Utilities!$B$5/20)/(IF($B$1="Linear",B421,C421)*Utilities!$B$11))</f>
        <v>8.456374825587662E-2</v>
      </c>
    </row>
    <row r="422" spans="1:5" x14ac:dyDescent="0.3">
      <c r="A422">
        <v>417</v>
      </c>
      <c r="B422">
        <f>Utilities!$B$7+((Utilities!$B$9-Utilities!$B$7)*(A422/Utilities!$B$1))</f>
        <v>47.935850000000002</v>
      </c>
      <c r="C422">
        <f>Utilities!$B$9+((Utilities!$B$7-Utilities!$B$9)*EXP(-$B$2*A422))</f>
        <v>0.51181923097537974</v>
      </c>
      <c r="D422">
        <f>EXP(-1*SQRT(Utilities!$B$5)/(IF($B$1="Linear",B422,C422)*Utilities!$B$11))</f>
        <v>1.5848341786506881E-5</v>
      </c>
      <c r="E422">
        <f>EXP(-1*SQRT(Utilities!$B$5/20)/(IF($B$1="Linear",B422,C422)*Utilities!$B$11))</f>
        <v>8.4466355276403143E-2</v>
      </c>
    </row>
    <row r="423" spans="1:5" x14ac:dyDescent="0.3">
      <c r="A423">
        <v>418</v>
      </c>
      <c r="B423">
        <f>Utilities!$B$7+((Utilities!$B$9-Utilities!$B$7)*(A423/Utilities!$B$1))</f>
        <v>47.930900000000001</v>
      </c>
      <c r="C423">
        <f>Utilities!$B$9+((Utilities!$B$7-Utilities!$B$9)*EXP(-$B$2*A423))</f>
        <v>0.51158519452157336</v>
      </c>
      <c r="D423">
        <f>EXP(-1*SQRT(Utilities!$B$5)/(IF($B$1="Linear",B423,C423)*Utilities!$B$11))</f>
        <v>1.5768411699999933E-5</v>
      </c>
      <c r="E423">
        <f>EXP(-1*SQRT(Utilities!$B$5/20)/(IF($B$1="Linear",B423,C423)*Utilities!$B$11))</f>
        <v>8.4370911590190709E-2</v>
      </c>
    </row>
    <row r="424" spans="1:5" x14ac:dyDescent="0.3">
      <c r="A424">
        <v>419</v>
      </c>
      <c r="B424">
        <f>Utilities!$B$7+((Utilities!$B$9-Utilities!$B$7)*(A424/Utilities!$B$1))</f>
        <v>47.92595</v>
      </c>
      <c r="C424">
        <f>Utilities!$B$9+((Utilities!$B$7-Utilities!$B$9)*EXP(-$B$2*A424))</f>
        <v>0.5113557923000468</v>
      </c>
      <c r="D424">
        <f>EXP(-1*SQRT(Utilities!$B$5)/(IF($B$1="Linear",B424,C424)*Utilities!$B$11))</f>
        <v>1.5690385099931758E-5</v>
      </c>
      <c r="E424">
        <f>EXP(-1*SQRT(Utilities!$B$5/20)/(IF($B$1="Linear",B424,C424)*Utilities!$B$11))</f>
        <v>8.4277377836464273E-2</v>
      </c>
    </row>
    <row r="425" spans="1:5" x14ac:dyDescent="0.3">
      <c r="A425">
        <v>420</v>
      </c>
      <c r="B425">
        <f>Utilities!$B$7+((Utilities!$B$9-Utilities!$B$7)*(A425/Utilities!$B$1))</f>
        <v>47.920999999999999</v>
      </c>
      <c r="C425">
        <f>Utilities!$B$9+((Utilities!$B$7-Utilities!$B$9)*EXP(-$B$2*A425))</f>
        <v>0.51113093254685293</v>
      </c>
      <c r="D425">
        <f>EXP(-1*SQRT(Utilities!$B$5)/(IF($B$1="Linear",B425,C425)*Utilities!$B$11))</f>
        <v>1.5614210773343294E-5</v>
      </c>
      <c r="E425">
        <f>EXP(-1*SQRT(Utilities!$B$5/20)/(IF($B$1="Linear",B425,C425)*Utilities!$B$11))</f>
        <v>8.4185715460715196E-2</v>
      </c>
    </row>
    <row r="426" spans="1:5" x14ac:dyDescent="0.3">
      <c r="A426">
        <v>421</v>
      </c>
      <c r="B426">
        <f>Utilities!$B$7+((Utilities!$B$9-Utilities!$B$7)*(A426/Utilities!$B$1))</f>
        <v>47.916049999999998</v>
      </c>
      <c r="C426">
        <f>Utilities!$B$9+((Utilities!$B$7-Utilities!$B$9)*EXP(-$B$2*A426))</f>
        <v>0.51091052531509229</v>
      </c>
      <c r="D426">
        <f>EXP(-1*SQRT(Utilities!$B$5)/(IF($B$1="Linear",B426,C426)*Utilities!$B$11))</f>
        <v>1.5539839108169787E-5</v>
      </c>
      <c r="E426">
        <f>EXP(-1*SQRT(Utilities!$B$5/20)/(IF($B$1="Linear",B426,C426)*Utilities!$B$11))</f>
        <v>8.4095886697853436E-2</v>
      </c>
    </row>
    <row r="427" spans="1:5" x14ac:dyDescent="0.3">
      <c r="A427">
        <v>422</v>
      </c>
      <c r="B427">
        <f>Utilities!$B$7+((Utilities!$B$9-Utilities!$B$7)*(A427/Utilities!$B$1))</f>
        <v>47.911099999999998</v>
      </c>
      <c r="C427">
        <f>Utilities!$B$9+((Utilities!$B$7-Utilities!$B$9)*EXP(-$B$2*A427))</f>
        <v>0.51069448243893323</v>
      </c>
      <c r="D427">
        <f>EXP(-1*SQRT(Utilities!$B$5)/(IF($B$1="Linear",B427,C427)*Utilities!$B$11))</f>
        <v>1.54672220351071E-5</v>
      </c>
      <c r="E427">
        <f>EXP(-1*SQRT(Utilities!$B$5/20)/(IF($B$1="Linear",B427,C427)*Utilities!$B$11))</f>
        <v>8.4007854555718658E-2</v>
      </c>
    </row>
    <row r="428" spans="1:5" x14ac:dyDescent="0.3">
      <c r="A428">
        <v>423</v>
      </c>
      <c r="B428">
        <f>Utilities!$B$7+((Utilities!$B$9-Utilities!$B$7)*(A428/Utilities!$B$1))</f>
        <v>47.906149999999997</v>
      </c>
      <c r="C428">
        <f>Utilities!$B$9+((Utilities!$B$7-Utilities!$B$9)*EXP(-$B$2*A428))</f>
        <v>0.51048271749834473</v>
      </c>
      <c r="D428">
        <f>EXP(-1*SQRT(Utilities!$B$5)/(IF($B$1="Linear",B428,C428)*Utilities!$B$11))</f>
        <v>1.5396312971874731E-5</v>
      </c>
      <c r="E428">
        <f>EXP(-1*SQRT(Utilities!$B$5/20)/(IF($B$1="Linear",B428,C428)*Utilities!$B$11))</f>
        <v>8.392158279894267E-2</v>
      </c>
    </row>
    <row r="429" spans="1:5" x14ac:dyDescent="0.3">
      <c r="A429">
        <v>424</v>
      </c>
      <c r="B429">
        <f>Utilities!$B$7+((Utilities!$B$9-Utilities!$B$7)*(A429/Utilities!$B$1))</f>
        <v>47.901200000000003</v>
      </c>
      <c r="C429">
        <f>Utilities!$B$9+((Utilities!$B$7-Utilities!$B$9)*EXP(-$B$2*A429))</f>
        <v>0.51027514578452704</v>
      </c>
      <c r="D429">
        <f>EXP(-1*SQRT(Utilities!$B$5)/(IF($B$1="Linear",B429,C429)*Utilities!$B$11))</f>
        <v>1.532706676976639E-5</v>
      </c>
      <c r="E429">
        <f>EXP(-1*SQRT(Utilities!$B$5/20)/(IF($B$1="Linear",B429,C429)*Utilities!$B$11))</f>
        <v>8.3837035933154766E-2</v>
      </c>
    </row>
    <row r="430" spans="1:5" x14ac:dyDescent="0.3">
      <c r="A430">
        <v>425</v>
      </c>
      <c r="B430">
        <f>Utilities!$B$7+((Utilities!$B$9-Utilities!$B$7)*(A430/Utilities!$B$1))</f>
        <v>47.896250000000002</v>
      </c>
      <c r="C430">
        <f>Utilities!$B$9+((Utilities!$B$7-Utilities!$B$9)*EXP(-$B$2*A430))</f>
        <v>0.51007168426602689</v>
      </c>
      <c r="D430">
        <f>EXP(-1*SQRT(Utilities!$B$5)/(IF($B$1="Linear",B430,C430)*Utilities!$B$11))</f>
        <v>1.5259439662384269E-5</v>
      </c>
      <c r="E430">
        <f>EXP(-1*SQRT(Utilities!$B$5/20)/(IF($B$1="Linear",B430,C430)*Utilities!$B$11))</f>
        <v>8.3754179189523881E-2</v>
      </c>
    </row>
    <row r="431" spans="1:5" x14ac:dyDescent="0.3">
      <c r="A431">
        <v>426</v>
      </c>
      <c r="B431">
        <f>Utilities!$B$7+((Utilities!$B$9-Utilities!$B$7)*(A431/Utilities!$B$1))</f>
        <v>47.891300000000001</v>
      </c>
      <c r="C431">
        <f>Utilities!$B$9+((Utilities!$B$7-Utilities!$B$9)*EXP(-$B$2*A431))</f>
        <v>0.50987225155552407</v>
      </c>
      <c r="D431">
        <f>EXP(-1*SQRT(Utilities!$B$5)/(IF($B$1="Linear",B431,C431)*Utilities!$B$11))</f>
        <v>1.5193389216458535E-5</v>
      </c>
      <c r="E431">
        <f>EXP(-1*SQRT(Utilities!$B$5/20)/(IF($B$1="Linear",B431,C431)*Utilities!$B$11))</f>
        <v>8.3672978509629944E-2</v>
      </c>
    </row>
    <row r="432" spans="1:5" x14ac:dyDescent="0.3">
      <c r="A432">
        <v>427</v>
      </c>
      <c r="B432">
        <f>Utilities!$B$7+((Utilities!$B$9-Utilities!$B$7)*(A432/Utilities!$B$1))</f>
        <v>47.88635</v>
      </c>
      <c r="C432">
        <f>Utilities!$B$9+((Utilities!$B$7-Utilities!$B$9)*EXP(-$B$2*A432))</f>
        <v>0.50967676787727523</v>
      </c>
      <c r="D432">
        <f>EXP(-1*SQRT(Utilities!$B$5)/(IF($B$1="Linear",B432,C432)*Utilities!$B$11))</f>
        <v>1.5128874284657771E-5</v>
      </c>
      <c r="E432">
        <f>EXP(-1*SQRT(Utilities!$B$5/20)/(IF($B$1="Linear",B432,C432)*Utilities!$B$11))</f>
        <v>8.3593400530657239E-2</v>
      </c>
    </row>
    <row r="433" spans="1:5" x14ac:dyDescent="0.3">
      <c r="A433">
        <v>428</v>
      </c>
      <c r="B433">
        <f>Utilities!$B$7+((Utilities!$B$9-Utilities!$B$7)*(A433/Utilities!$B$1))</f>
        <v>47.881399999999999</v>
      </c>
      <c r="C433">
        <f>Utilities!$B$9+((Utilities!$B$7-Utilities!$B$9)*EXP(-$B$2*A433))</f>
        <v>0.50948515503520264</v>
      </c>
      <c r="D433">
        <f>EXP(-1*SQRT(Utilities!$B$5)/(IF($B$1="Linear",B433,C433)*Utilities!$B$11))</f>
        <v>1.5065854960301374E-5</v>
      </c>
      <c r="E433">
        <f>EXP(-1*SQRT(Utilities!$B$5/20)/(IF($B$1="Linear",B433,C433)*Utilities!$B$11))</f>
        <v>8.3515412570903266E-2</v>
      </c>
    </row>
    <row r="434" spans="1:5" x14ac:dyDescent="0.3">
      <c r="A434">
        <v>429</v>
      </c>
      <c r="B434">
        <f>Utilities!$B$7+((Utilities!$B$9-Utilities!$B$7)*(A434/Utilities!$B$1))</f>
        <v>47.876449999999998</v>
      </c>
      <c r="C434">
        <f>Utilities!$B$9+((Utilities!$B$7-Utilities!$B$9)*EXP(-$B$2*A434))</f>
        <v>0.50929733638161445</v>
      </c>
      <c r="D434">
        <f>EXP(-1*SQRT(Utilities!$B$5)/(IF($B$1="Linear",B434,C434)*Utilities!$B$11))</f>
        <v>1.5004292533888707E-5</v>
      </c>
      <c r="E434">
        <f>EXP(-1*SQRT(Utilities!$B$5/20)/(IF($B$1="Linear",B434,C434)*Utilities!$B$11))</f>
        <v>8.3438982615595958E-2</v>
      </c>
    </row>
    <row r="435" spans="1:5" x14ac:dyDescent="0.3">
      <c r="A435">
        <v>430</v>
      </c>
      <c r="B435">
        <f>Utilities!$B$7+((Utilities!$B$9-Utilities!$B$7)*(A435/Utilities!$B$1))</f>
        <v>47.871499999999997</v>
      </c>
      <c r="C435">
        <f>Utilities!$B$9+((Utilities!$B$7-Utilities!$B$9)*EXP(-$B$2*A435))</f>
        <v>0.50911323678654519</v>
      </c>
      <c r="D435">
        <f>EXP(-1*SQRT(Utilities!$B$5)/(IF($B$1="Linear",B435,C435)*Utilities!$B$11))</f>
        <v>1.4944149451364532E-5</v>
      </c>
      <c r="E435">
        <f>EXP(-1*SQRT(Utilities!$B$5/20)/(IF($B$1="Linear",B435,C435)*Utilities!$B$11))</f>
        <v>8.3364079303013636E-2</v>
      </c>
    </row>
    <row r="436" spans="1:5" x14ac:dyDescent="0.3">
      <c r="A436">
        <v>431</v>
      </c>
      <c r="B436">
        <f>Utilities!$B$7+((Utilities!$B$9-Utilities!$B$7)*(A436/Utilities!$B$1))</f>
        <v>47.866550000000004</v>
      </c>
      <c r="C436">
        <f>Utilities!$B$9+((Utilities!$B$7-Utilities!$B$9)*EXP(-$B$2*A436))</f>
        <v>0.50893278260770192</v>
      </c>
      <c r="D436">
        <f>EXP(-1*SQRT(Utilities!$B$5)/(IF($B$1="Linear",B436,C436)*Utilities!$B$11))</f>
        <v>1.4885389274043112E-5</v>
      </c>
      <c r="E436">
        <f>EXP(-1*SQRT(Utilities!$B$5/20)/(IF($B$1="Linear",B436,C436)*Utilities!$B$11))</f>
        <v>8.3290671910899283E-2</v>
      </c>
    </row>
    <row r="437" spans="1:5" x14ac:dyDescent="0.3">
      <c r="A437">
        <v>432</v>
      </c>
      <c r="B437">
        <f>Utilities!$B$7+((Utilities!$B$9-Utilities!$B$7)*(A437/Utilities!$B$1))</f>
        <v>47.861600000000003</v>
      </c>
      <c r="C437">
        <f>Utilities!$B$9+((Utilities!$B$7-Utilities!$B$9)*EXP(-$B$2*A437))</f>
        <v>0.50875590166100704</v>
      </c>
      <c r="D437">
        <f>EXP(-1*SQRT(Utilities!$B$5)/(IF($B$1="Linear",B437,C437)*Utilities!$B$11))</f>
        <v>1.4827976640118613E-5</v>
      </c>
      <c r="E437">
        <f>EXP(-1*SQRT(Utilities!$B$5/20)/(IF($B$1="Linear",B437,C437)*Utilities!$B$11))</f>
        <v>8.321873034316539E-2</v>
      </c>
    </row>
    <row r="438" spans="1:5" x14ac:dyDescent="0.3">
      <c r="A438">
        <v>433</v>
      </c>
      <c r="B438">
        <f>Utilities!$B$7+((Utilities!$B$9-Utilities!$B$7)*(A438/Utilities!$B$1))</f>
        <v>47.856650000000002</v>
      </c>
      <c r="C438">
        <f>Utilities!$B$9+((Utilities!$B$7-Utilities!$B$9)*EXP(-$B$2*A438))</f>
        <v>0.50858252319172348</v>
      </c>
      <c r="D438">
        <f>EXP(-1*SQRT(Utilities!$B$5)/(IF($B$1="Linear",B438,C438)*Utilities!$B$11))</f>
        <v>1.4771877227691605E-5</v>
      </c>
      <c r="E438">
        <f>EXP(-1*SQRT(Utilities!$B$5/20)/(IF($B$1="Linear",B438,C438)*Utilities!$B$11))</f>
        <v>8.3148225116880733E-2</v>
      </c>
    </row>
    <row r="439" spans="1:5" x14ac:dyDescent="0.3">
      <c r="A439">
        <v>434</v>
      </c>
      <c r="B439">
        <f>Utilities!$B$7+((Utilities!$B$9-Utilities!$B$7)*(A439/Utilities!$B$1))</f>
        <v>47.851700000000001</v>
      </c>
      <c r="C439">
        <f>Utilities!$B$9+((Utilities!$B$7-Utilities!$B$9)*EXP(-$B$2*A439))</f>
        <v>0.5084125778461519</v>
      </c>
      <c r="D439">
        <f>EXP(-1*SQRT(Utilities!$B$5)/(IF($B$1="Linear",B439,C439)*Utilities!$B$11))</f>
        <v>1.4717057719245158E-5</v>
      </c>
      <c r="E439">
        <f>EXP(-1*SQRT(Utilities!$B$5/20)/(IF($B$1="Linear",B439,C439)*Utilities!$B$11))</f>
        <v>8.3079127349534779E-2</v>
      </c>
    </row>
    <row r="440" spans="1:5" x14ac:dyDescent="0.3">
      <c r="A440">
        <v>435</v>
      </c>
      <c r="B440">
        <f>Utilities!$B$7+((Utilities!$B$9-Utilities!$B$7)*(A440/Utilities!$B$1))</f>
        <v>47.84675</v>
      </c>
      <c r="C440">
        <f>Utilities!$B$9+((Utilities!$B$7-Utilities!$B$9)*EXP(-$B$2*A440))</f>
        <v>0.50824599764388789</v>
      </c>
      <c r="D440">
        <f>EXP(-1*SQRT(Utilities!$B$5)/(IF($B$1="Linear",B440,C440)*Utilities!$B$11))</f>
        <v>1.4663485767507523E-5</v>
      </c>
      <c r="E440">
        <f>EXP(-1*SQRT(Utilities!$B$5/20)/(IF($B$1="Linear",B440,C440)*Utilities!$B$11))</f>
        <v>8.3011408746572271E-2</v>
      </c>
    </row>
    <row r="441" spans="1:5" x14ac:dyDescent="0.3">
      <c r="A441">
        <v>436</v>
      </c>
      <c r="B441">
        <f>Utilities!$B$7+((Utilities!$B$9-Utilities!$B$7)*(A441/Utilities!$B$1))</f>
        <v>47.841799999999999</v>
      </c>
      <c r="C441">
        <f>Utilities!$B$9+((Utilities!$B$7-Utilities!$B$9)*EXP(-$B$2*A441))</f>
        <v>0.50808271595062948</v>
      </c>
      <c r="D441">
        <f>EXP(-1*SQRT(Utilities!$B$5)/(IF($B$1="Linear",B441,C441)*Utilities!$B$11))</f>
        <v>1.4611129962641476E-5</v>
      </c>
      <c r="E441">
        <f>EXP(-1*SQRT(Utilities!$B$5/20)/(IF($B$1="Linear",B441,C441)*Utilities!$B$11))</f>
        <v>8.2945041589193844E-2</v>
      </c>
    </row>
    <row r="442" spans="1:5" x14ac:dyDescent="0.3">
      <c r="A442">
        <v>437</v>
      </c>
      <c r="B442">
        <f>Utilities!$B$7+((Utilities!$B$9-Utilities!$B$7)*(A442/Utilities!$B$1))</f>
        <v>47.836849999999998</v>
      </c>
      <c r="C442">
        <f>Utilities!$B$9+((Utilities!$B$7-Utilities!$B$9)*EXP(-$B$2*A442))</f>
        <v>0.50792266745152237</v>
      </c>
      <c r="D442">
        <f>EXP(-1*SQRT(Utilities!$B$5)/(IF($B$1="Linear",B442,C442)*Utilities!$B$11))</f>
        <v>1.4559959800702404E-5</v>
      </c>
      <c r="E442">
        <f>EXP(-1*SQRT(Utilities!$B$5/20)/(IF($B$1="Linear",B442,C442)*Utilities!$B$11))</f>
        <v>8.2879998722415249E-2</v>
      </c>
    </row>
    <row r="443" spans="1:5" x14ac:dyDescent="0.3">
      <c r="A443">
        <v>438</v>
      </c>
      <c r="B443">
        <f>Utilities!$B$7+((Utilities!$B$9-Utilities!$B$7)*(A443/Utilities!$B$1))</f>
        <v>47.831899999999997</v>
      </c>
      <c r="C443">
        <f>Utilities!$B$9+((Utilities!$B$7-Utilities!$B$9)*EXP(-$B$2*A443))</f>
        <v>0.50776578812503281</v>
      </c>
      <c r="D443">
        <f>EXP(-1*SQRT(Utilities!$B$5)/(IF($B$1="Linear",B443,C443)*Utilities!$B$11))</f>
        <v>1.4509945653310698E-5</v>
      </c>
      <c r="E443">
        <f>EXP(-1*SQRT(Utilities!$B$5/20)/(IF($B$1="Linear",B443,C443)*Utilities!$B$11))</f>
        <v>8.2816253543380638E-2</v>
      </c>
    </row>
    <row r="444" spans="1:5" x14ac:dyDescent="0.3">
      <c r="A444">
        <v>439</v>
      </c>
      <c r="B444">
        <f>Utilities!$B$7+((Utilities!$B$9-Utilities!$B$7)*(A444/Utilities!$B$1))</f>
        <v>47.826949999999997</v>
      </c>
      <c r="C444">
        <f>Utilities!$B$9+((Utilities!$B$7-Utilities!$B$9)*EXP(-$B$2*A444))</f>
        <v>0.50761201521733856</v>
      </c>
      <c r="D444">
        <f>EXP(-1*SQRT(Utilities!$B$5)/(IF($B$1="Linear",B444,C444)*Utilities!$B$11))</f>
        <v>1.4461058738486393E-5</v>
      </c>
      <c r="E444">
        <f>EXP(-1*SQRT(Utilities!$B$5/20)/(IF($B$1="Linear",B444,C444)*Utilities!$B$11))</f>
        <v>8.2753779989924212E-2</v>
      </c>
    </row>
    <row r="445" spans="1:5" x14ac:dyDescent="0.3">
      <c r="A445">
        <v>440</v>
      </c>
      <c r="B445">
        <f>Utilities!$B$7+((Utilities!$B$9-Utilities!$B$7)*(A445/Utilities!$B$1))</f>
        <v>47.822000000000003</v>
      </c>
      <c r="C445">
        <f>Utilities!$B$9+((Utilities!$B$7-Utilities!$B$9)*EXP(-$B$2*A445))</f>
        <v>0.50746128721722605</v>
      </c>
      <c r="D445">
        <f>EXP(-1*SQRT(Utilities!$B$5)/(IF($B$1="Linear",B445,C445)*Utilities!$B$11))</f>
        <v>1.4413271092596404E-5</v>
      </c>
      <c r="E445">
        <f>EXP(-1*SQRT(Utilities!$B$5/20)/(IF($B$1="Linear",B445,C445)*Utilities!$B$11))</f>
        <v>8.2692552529374491E-2</v>
      </c>
    </row>
    <row r="446" spans="1:5" x14ac:dyDescent="0.3">
      <c r="A446">
        <v>441</v>
      </c>
      <c r="B446">
        <f>Utilities!$B$7+((Utilities!$B$9-Utilities!$B$7)*(A446/Utilities!$B$1))</f>
        <v>47.817050000000002</v>
      </c>
      <c r="C446">
        <f>Utilities!$B$9+((Utilities!$B$7-Utilities!$B$9)*EXP(-$B$2*A446))</f>
        <v>0.50731354383148564</v>
      </c>
      <c r="D446">
        <f>EXP(-1*SQRT(Utilities!$B$5)/(IF($B$1="Linear",B446,C446)*Utilities!$B$11))</f>
        <v>1.4366555543367002E-5</v>
      </c>
      <c r="E446">
        <f>EXP(-1*SQRT(Utilities!$B$5/20)/(IF($B$1="Linear",B446,C446)*Utilities!$B$11))</f>
        <v>8.2632546147596714E-2</v>
      </c>
    </row>
    <row r="447" spans="1:5" x14ac:dyDescent="0.3">
      <c r="A447">
        <v>442</v>
      </c>
      <c r="B447">
        <f>Utilities!$B$7+((Utilities!$B$9-Utilities!$B$7)*(A447/Utilities!$B$1))</f>
        <v>47.812100000000001</v>
      </c>
      <c r="C447">
        <f>Utilities!$B$9+((Utilities!$B$7-Utilities!$B$9)*EXP(-$B$2*A447))</f>
        <v>0.5071687259607931</v>
      </c>
      <c r="D447">
        <f>EXP(-1*SQRT(Utilities!$B$5)/(IF($B$1="Linear",B447,C447)*Utilities!$B$11))</f>
        <v>1.4320885683916154E-5</v>
      </c>
      <c r="E447">
        <f>EXP(-1*SQRT(Utilities!$B$5/20)/(IF($B$1="Linear",B447,C447)*Utilities!$B$11))</f>
        <v>8.257373633826702E-2</v>
      </c>
    </row>
    <row r="448" spans="1:5" x14ac:dyDescent="0.3">
      <c r="A448">
        <v>443</v>
      </c>
      <c r="B448">
        <f>Utilities!$B$7+((Utilities!$B$9-Utilities!$B$7)*(A448/Utilities!$B$1))</f>
        <v>47.80715</v>
      </c>
      <c r="C448">
        <f>Utilities!$B$9+((Utilities!$B$7-Utilities!$B$9)*EXP(-$B$2*A448))</f>
        <v>0.50702677567606902</v>
      </c>
      <c r="D448">
        <f>EXP(-1*SQRT(Utilities!$B$5)/(IF($B$1="Linear",B448,C448)*Utilities!$B$11))</f>
        <v>1.4276235847763027E-5</v>
      </c>
      <c r="E448">
        <f>EXP(-1*SQRT(Utilities!$B$5/20)/(IF($B$1="Linear",B448,C448)*Utilities!$B$11))</f>
        <v>8.2516099092374853E-2</v>
      </c>
    </row>
    <row r="449" spans="1:5" x14ac:dyDescent="0.3">
      <c r="A449">
        <v>444</v>
      </c>
      <c r="B449">
        <f>Utilities!$B$7+((Utilities!$B$9-Utilities!$B$7)*(A449/Utilities!$B$1))</f>
        <v>47.802199999999999</v>
      </c>
      <c r="C449">
        <f>Utilities!$B$9+((Utilities!$B$7-Utilities!$B$9)*EXP(-$B$2*A449))</f>
        <v>0.50688763619530708</v>
      </c>
      <c r="D449">
        <f>EXP(-1*SQRT(Utilities!$B$5)/(IF($B$1="Linear",B449,C449)*Utilities!$B$11))</f>
        <v>1.4232581084773334E-5</v>
      </c>
      <c r="E449">
        <f>EXP(-1*SQRT(Utilities!$B$5/20)/(IF($B$1="Linear",B449,C449)*Utilities!$B$11))</f>
        <v>8.2459610887947371E-2</v>
      </c>
    </row>
    <row r="450" spans="1:5" x14ac:dyDescent="0.3">
      <c r="A450">
        <v>445</v>
      </c>
      <c r="B450">
        <f>Utilities!$B$7+((Utilities!$B$9-Utilities!$B$7)*(A450/Utilities!$B$1))</f>
        <v>47.797249999999998</v>
      </c>
      <c r="C450">
        <f>Utilities!$B$9+((Utilities!$B$7-Utilities!$B$9)*EXP(-$B$2*A450))</f>
        <v>0.50675125186085956</v>
      </c>
      <c r="D450">
        <f>EXP(-1*SQRT(Utilities!$B$5)/(IF($B$1="Linear",B450,C450)*Utilities!$B$11))</f>
        <v>1.418989713800123E-5</v>
      </c>
      <c r="E450">
        <f>EXP(-1*SQRT(Utilities!$B$5/20)/(IF($B$1="Linear",B450,C450)*Utilities!$B$11))</f>
        <v>8.2404248679991701E-2</v>
      </c>
    </row>
    <row r="451" spans="1:5" x14ac:dyDescent="0.3">
      <c r="A451">
        <v>446</v>
      </c>
      <c r="B451">
        <f>Utilities!$B$7+((Utilities!$B$9-Utilities!$B$7)*(A451/Utilities!$B$1))</f>
        <v>47.792299999999997</v>
      </c>
      <c r="C451">
        <f>Utilities!$B$9+((Utilities!$B$7-Utilities!$B$9)*EXP(-$B$2*A451))</f>
        <v>0.50661756811717429</v>
      </c>
      <c r="D451">
        <f>EXP(-1*SQRT(Utilities!$B$5)/(IF($B$1="Linear",B451,C451)*Utilities!$B$11))</f>
        <v>1.414816042139088E-5</v>
      </c>
      <c r="E451">
        <f>EXP(-1*SQRT(Utilities!$B$5/20)/(IF($B$1="Linear",B451,C451)*Utilities!$B$11))</f>
        <v>8.2349989890650274E-2</v>
      </c>
    </row>
    <row r="452" spans="1:5" x14ac:dyDescent="0.3">
      <c r="A452">
        <v>447</v>
      </c>
      <c r="B452">
        <f>Utilities!$B$7+((Utilities!$B$9-Utilities!$B$7)*(A452/Utilities!$B$1))</f>
        <v>47.787350000000004</v>
      </c>
      <c r="C452">
        <f>Utilities!$B$9+((Utilities!$B$7-Utilities!$B$9)*EXP(-$B$2*A452))</f>
        <v>0.50648653148897138</v>
      </c>
      <c r="D452">
        <f>EXP(-1*SQRT(Utilities!$B$5)/(IF($B$1="Linear",B452,C452)*Utilities!$B$11))</f>
        <v>1.410734799830127E-5</v>
      </c>
      <c r="E452">
        <f>EXP(-1*SQRT(Utilities!$B$5/20)/(IF($B$1="Linear",B452,C452)*Utilities!$B$11))</f>
        <v>8.2296812399564309E-2</v>
      </c>
    </row>
    <row r="453" spans="1:5" x14ac:dyDescent="0.3">
      <c r="A453">
        <v>448</v>
      </c>
      <c r="B453">
        <f>Utilities!$B$7+((Utilities!$B$9-Utilities!$B$7)*(A453/Utilities!$B$1))</f>
        <v>47.782400000000003</v>
      </c>
      <c r="C453">
        <f>Utilities!$B$9+((Utilities!$B$7-Utilities!$B$9)*EXP(-$B$2*A453))</f>
        <v>0.50635808955985218</v>
      </c>
      <c r="D453">
        <f>EXP(-1*SQRT(Utilities!$B$5)/(IF($B$1="Linear",B453,C453)*Utilities!$B$11))</f>
        <v>1.4067437560820582E-5</v>
      </c>
      <c r="E453">
        <f>EXP(-1*SQRT(Utilities!$B$5/20)/(IF($B$1="Linear",B453,C453)*Utilities!$B$11))</f>
        <v>8.2244694534441234E-2</v>
      </c>
    </row>
    <row r="454" spans="1:5" x14ac:dyDescent="0.3">
      <c r="A454">
        <v>449</v>
      </c>
      <c r="B454">
        <f>Utilities!$B$7+((Utilities!$B$9-Utilities!$B$7)*(A454/Utilities!$B$1))</f>
        <v>47.777450000000002</v>
      </c>
      <c r="C454">
        <f>Utilities!$B$9+((Utilities!$B$7-Utilities!$B$9)*EXP(-$B$2*A454))</f>
        <v>0.50623219095133265</v>
      </c>
      <c r="D454">
        <f>EXP(-1*SQRT(Utilities!$B$5)/(IF($B$1="Linear",B454,C454)*Utilities!$B$11))</f>
        <v>1.4028407409837996E-5</v>
      </c>
      <c r="E454">
        <f>EXP(-1*SQRT(Utilities!$B$5/20)/(IF($B$1="Linear",B454,C454)*Utilities!$B$11))</f>
        <v>8.2193615061821698E-2</v>
      </c>
    </row>
    <row r="455" spans="1:5" x14ac:dyDescent="0.3">
      <c r="A455">
        <v>450</v>
      </c>
      <c r="B455">
        <f>Utilities!$B$7+((Utilities!$B$9-Utilities!$B$7)*(A455/Utilities!$B$1))</f>
        <v>47.772500000000001</v>
      </c>
      <c r="C455">
        <f>Utilities!$B$9+((Utilities!$B$7-Utilities!$B$9)*EXP(-$B$2*A455))</f>
        <v>0.50610878530229064</v>
      </c>
      <c r="D455">
        <f>EXP(-1*SQRT(Utilities!$B$5)/(IF($B$1="Linear",B455,C455)*Utilities!$B$11))</f>
        <v>1.3990236435840819E-5</v>
      </c>
      <c r="E455">
        <f>EXP(-1*SQRT(Utilities!$B$5/20)/(IF($B$1="Linear",B455,C455)*Utilities!$B$11))</f>
        <v>8.2143553178041118E-2</v>
      </c>
    </row>
    <row r="456" spans="1:5" x14ac:dyDescent="0.3">
      <c r="A456">
        <v>451</v>
      </c>
      <c r="B456">
        <f>Utilities!$B$7+((Utilities!$B$9-Utilities!$B$7)*(A456/Utilities!$B$1))</f>
        <v>47.76755</v>
      </c>
      <c r="C456">
        <f>Utilities!$B$9+((Utilities!$B$7-Utilities!$B$9)*EXP(-$B$2*A456))</f>
        <v>0.50598782324882108</v>
      </c>
      <c r="D456">
        <f>EXP(-1*SQRT(Utilities!$B$5)/(IF($B$1="Linear",B456,C456)*Utilities!$B$11))</f>
        <v>1.3952904100408254E-5</v>
      </c>
      <c r="E456">
        <f>EXP(-1*SQRT(Utilities!$B$5/20)/(IF($B$1="Linear",B456,C456)*Utilities!$B$11))</f>
        <v>8.2094488500382631E-2</v>
      </c>
    </row>
    <row r="457" spans="1:5" x14ac:dyDescent="0.3">
      <c r="A457">
        <v>452</v>
      </c>
      <c r="B457">
        <f>Utilities!$B$7+((Utilities!$B$9-Utilities!$B$7)*(A457/Utilities!$B$1))</f>
        <v>47.762599999999999</v>
      </c>
      <c r="C457">
        <f>Utilities!$B$9+((Utilities!$B$7-Utilities!$B$9)*EXP(-$B$2*A457))</f>
        <v>0.50586925640448976</v>
      </c>
      <c r="D457">
        <f>EXP(-1*SQRT(Utilities!$B$5)/(IF($B$1="Linear",B457,C457)*Utilities!$B$11))</f>
        <v>1.3916390418373165E-5</v>
      </c>
      <c r="E457">
        <f>EXP(-1*SQRT(Utilities!$B$5/20)/(IF($B$1="Linear",B457,C457)*Utilities!$B$11))</f>
        <v>8.2046401058416596E-2</v>
      </c>
    </row>
    <row r="458" spans="1:5" x14ac:dyDescent="0.3">
      <c r="A458">
        <v>453</v>
      </c>
      <c r="B458">
        <f>Utilities!$B$7+((Utilities!$B$9-Utilities!$B$7)*(A458/Utilities!$B$1))</f>
        <v>47.757649999999998</v>
      </c>
      <c r="C458">
        <f>Utilities!$B$9+((Utilities!$B$7-Utilities!$B$9)*EXP(-$B$2*A458))</f>
        <v>0.5057530373409781</v>
      </c>
      <c r="D458">
        <f>EXP(-1*SQRT(Utilities!$B$5)/(IF($B$1="Linear",B458,C458)*Utilities!$B$11))</f>
        <v>1.3880675940624312E-5</v>
      </c>
      <c r="E458">
        <f>EXP(-1*SQRT(Utilities!$B$5/20)/(IF($B$1="Linear",B458,C458)*Utilities!$B$11))</f>
        <v>8.199927128552241E-2</v>
      </c>
    </row>
    <row r="459" spans="1:5" x14ac:dyDescent="0.3">
      <c r="A459">
        <v>454</v>
      </c>
      <c r="B459">
        <f>Utilities!$B$7+((Utilities!$B$9-Utilities!$B$7)*(A459/Utilities!$B$1))</f>
        <v>47.752699999999997</v>
      </c>
      <c r="C459">
        <f>Utilities!$B$9+((Utilities!$B$7-Utilities!$B$9)*EXP(-$B$2*A459))</f>
        <v>0.5056391195691109</v>
      </c>
      <c r="D459">
        <f>EXP(-1*SQRT(Utilities!$B$5)/(IF($B$1="Linear",B459,C459)*Utilities!$B$11))</f>
        <v>1.3845741737523916E-5</v>
      </c>
      <c r="E459">
        <f>EXP(-1*SQRT(Utilities!$B$5/20)/(IF($B$1="Linear",B459,C459)*Utilities!$B$11))</f>
        <v>8.1953080010589402E-2</v>
      </c>
    </row>
    <row r="460" spans="1:5" x14ac:dyDescent="0.3">
      <c r="A460">
        <v>455</v>
      </c>
      <c r="B460">
        <f>Utilities!$B$7+((Utilities!$B$9-Utilities!$B$7)*(A460/Utilities!$B$1))</f>
        <v>47.747749999999996</v>
      </c>
      <c r="C460">
        <f>Utilities!$B$9+((Utilities!$B$7-Utilities!$B$9)*EXP(-$B$2*A460))</f>
        <v>0.50552745752026063</v>
      </c>
      <c r="D460">
        <f>EXP(-1*SQRT(Utilities!$B$5)/(IF($B$1="Linear",B460,C460)*Utilities!$B$11))</f>
        <v>1.3811569382915357E-5</v>
      </c>
      <c r="E460">
        <f>EXP(-1*SQRT(Utilities!$B$5/20)/(IF($B$1="Linear",B460,C460)*Utilities!$B$11))</f>
        <v>8.1907808449892469E-2</v>
      </c>
    </row>
    <row r="461" spans="1:5" x14ac:dyDescent="0.3">
      <c r="A461">
        <v>456</v>
      </c>
      <c r="B461">
        <f>Utilities!$B$7+((Utilities!$B$9-Utilities!$B$7)*(A461/Utilities!$B$1))</f>
        <v>47.742800000000003</v>
      </c>
      <c r="C461">
        <f>Utilities!$B$9+((Utilities!$B$7-Utilities!$B$9)*EXP(-$B$2*A461))</f>
        <v>0.50541800652811897</v>
      </c>
      <c r="D461">
        <f>EXP(-1*SQRT(Utilities!$B$5)/(IF($B$1="Linear",B461,C461)*Utilities!$B$11))</f>
        <v>1.377814093869741E-5</v>
      </c>
      <c r="E461">
        <f>EXP(-1*SQRT(Utilities!$B$5/20)/(IF($B$1="Linear",B461,C461)*Utilities!$B$11))</f>
        <v>8.1863438199138633E-2</v>
      </c>
    </row>
    <row r="462" spans="1:5" x14ac:dyDescent="0.3">
      <c r="A462">
        <v>457</v>
      </c>
      <c r="B462">
        <f>Utilities!$B$7+((Utilities!$B$9-Utilities!$B$7)*(A462/Utilities!$B$1))</f>
        <v>47.737850000000002</v>
      </c>
      <c r="C462">
        <f>Utilities!$B$9+((Utilities!$B$7-Utilities!$B$9)*EXP(-$B$2*A462))</f>
        <v>0.50531072281082956</v>
      </c>
      <c r="D462">
        <f>EXP(-1*SQRT(Utilities!$B$5)/(IF($B$1="Linear",B462,C462)*Utilities!$B$11))</f>
        <v>1.3745438939942451E-5</v>
      </c>
      <c r="E462">
        <f>EXP(-1*SQRT(Utilities!$B$5/20)/(IF($B$1="Linear",B462,C462)*Utilities!$B$11))</f>
        <v>8.1819951225680615E-2</v>
      </c>
    </row>
    <row r="463" spans="1:5" x14ac:dyDescent="0.3">
      <c r="A463">
        <v>458</v>
      </c>
      <c r="B463">
        <f>Utilities!$B$7+((Utilities!$B$9-Utilities!$B$7)*(A463/Utilities!$B$1))</f>
        <v>47.732900000000001</v>
      </c>
      <c r="C463">
        <f>Utilities!$B$9+((Utilities!$B$7-Utilities!$B$9)*EXP(-$B$2*A463))</f>
        <v>0.505205563453475</v>
      </c>
      <c r="D463">
        <f>EXP(-1*SQRT(Utilities!$B$5)/(IF($B$1="Linear",B463,C463)*Utilities!$B$11))</f>
        <v>1.3713446380537309E-5</v>
      </c>
      <c r="E463">
        <f>EXP(-1*SQRT(Utilities!$B$5/20)/(IF($B$1="Linear",B463,C463)*Utilities!$B$11))</f>
        <v>8.1777329860894837E-2</v>
      </c>
    </row>
    <row r="464" spans="1:5" x14ac:dyDescent="0.3">
      <c r="A464">
        <v>459</v>
      </c>
      <c r="B464">
        <f>Utilities!$B$7+((Utilities!$B$9-Utilities!$B$7)*(A464/Utilities!$B$1))</f>
        <v>47.72795</v>
      </c>
      <c r="C464">
        <f>Utilities!$B$9+((Utilities!$B$7-Utilities!$B$9)*EXP(-$B$2*A464))</f>
        <v>0.50510248639091038</v>
      </c>
      <c r="D464">
        <f>EXP(-1*SQRT(Utilities!$B$5)/(IF($B$1="Linear",B464,C464)*Utilities!$B$11))</f>
        <v>1.3682146699325587E-5</v>
      </c>
      <c r="E464">
        <f>EXP(-1*SQRT(Utilities!$B$5/20)/(IF($B$1="Linear",B464,C464)*Utilities!$B$11))</f>
        <v>8.1735556792718878E-2</v>
      </c>
    </row>
    <row r="465" spans="1:5" x14ac:dyDescent="0.3">
      <c r="A465">
        <v>460</v>
      </c>
      <c r="B465">
        <f>Utilities!$B$7+((Utilities!$B$9-Utilities!$B$7)*(A465/Utilities!$B$1))</f>
        <v>47.722999999999999</v>
      </c>
      <c r="C465">
        <f>Utilities!$B$9+((Utilities!$B$7-Utilities!$B$9)*EXP(-$B$2*A465))</f>
        <v>0.50500145039093614</v>
      </c>
      <c r="D465">
        <f>EXP(-1*SQRT(Utilities!$B$5)/(IF($B$1="Linear",B465,C465)*Utilities!$B$11))</f>
        <v>1.365152376673205E-5</v>
      </c>
      <c r="E465">
        <f>EXP(-1*SQRT(Utilities!$B$5/20)/(IF($B$1="Linear",B465,C465)*Utilities!$B$11))</f>
        <v>8.1694615058345826E-2</v>
      </c>
    </row>
    <row r="466" spans="1:5" x14ac:dyDescent="0.3">
      <c r="A466">
        <v>461</v>
      </c>
      <c r="B466">
        <f>Utilities!$B$7+((Utilities!$B$9-Utilities!$B$7)*(A466/Utilities!$B$1))</f>
        <v>47.718049999999998</v>
      </c>
      <c r="C466">
        <f>Utilities!$B$9+((Utilities!$B$7-Utilities!$B$9)*EXP(-$B$2*A466))</f>
        <v>0.50490241503780509</v>
      </c>
      <c r="D466">
        <f>EXP(-1*SQRT(Utilities!$B$5)/(IF($B$1="Linear",B466,C466)*Utilities!$B$11))</f>
        <v>1.3621561871850045E-5</v>
      </c>
      <c r="E466">
        <f>EXP(-1*SQRT(Utilities!$B$5/20)/(IF($B$1="Linear",B466,C466)*Utilities!$B$11))</f>
        <v>8.1654488037072023E-2</v>
      </c>
    </row>
    <row r="467" spans="1:5" x14ac:dyDescent="0.3">
      <c r="A467">
        <v>462</v>
      </c>
      <c r="B467">
        <f>Utilities!$B$7+((Utilities!$B$9-Utilities!$B$7)*(A467/Utilities!$B$1))</f>
        <v>47.713099999999997</v>
      </c>
      <c r="C467">
        <f>Utilities!$B$9+((Utilities!$B$7-Utilities!$B$9)*EXP(-$B$2*A467))</f>
        <v>0.50480534071605565</v>
      </c>
      <c r="D467">
        <f>EXP(-1*SQRT(Utilities!$B$5)/(IF($B$1="Linear",B467,C467)*Utilities!$B$11))</f>
        <v>1.359224570997395E-5</v>
      </c>
      <c r="E467">
        <f>EXP(-1*SQRT(Utilities!$B$5/20)/(IF($B$1="Linear",B467,C467)*Utilities!$B$11))</f>
        <v>8.1615159443294713E-2</v>
      </c>
    </row>
    <row r="468" spans="1:5" x14ac:dyDescent="0.3">
      <c r="A468">
        <v>463</v>
      </c>
      <c r="B468">
        <f>Utilities!$B$7+((Utilities!$B$9-Utilities!$B$7)*(A468/Utilities!$B$1))</f>
        <v>47.708150000000003</v>
      </c>
      <c r="C468">
        <f>Utilities!$B$9+((Utilities!$B$7-Utilities!$B$9)*EXP(-$B$2*A468))</f>
        <v>0.50471018859466477</v>
      </c>
      <c r="D468">
        <f>EXP(-1*SQRT(Utilities!$B$5)/(IF($B$1="Linear",B468,C468)*Utilities!$B$11))</f>
        <v>1.3563560370559209E-5</v>
      </c>
      <c r="E468">
        <f>EXP(-1*SQRT(Utilities!$B$5/20)/(IF($B$1="Linear",B468,C468)*Utilities!$B$11))</f>
        <v>8.1576613319656183E-2</v>
      </c>
    </row>
    <row r="469" spans="1:5" x14ac:dyDescent="0.3">
      <c r="A469">
        <v>464</v>
      </c>
      <c r="B469">
        <f>Utilities!$B$7+((Utilities!$B$9-Utilities!$B$7)*(A469/Utilities!$B$1))</f>
        <v>47.703200000000002</v>
      </c>
      <c r="C469">
        <f>Utilities!$B$9+((Utilities!$B$7-Utilities!$B$9)*EXP(-$B$2*A469))</f>
        <v>0.50461692061151497</v>
      </c>
      <c r="D469">
        <f>EXP(-1*SQRT(Utilities!$B$5)/(IF($B$1="Linear",B469,C469)*Utilities!$B$11))</f>
        <v>1.353549132559322E-5</v>
      </c>
      <c r="E469">
        <f>EXP(-1*SQRT(Utilities!$B$5/20)/(IF($B$1="Linear",B469,C469)*Utilities!$B$11))</f>
        <v>8.1538834030331658E-2</v>
      </c>
    </row>
    <row r="470" spans="1:5" x14ac:dyDescent="0.3">
      <c r="A470">
        <v>465</v>
      </c>
      <c r="B470">
        <f>Utilities!$B$7+((Utilities!$B$9-Utilities!$B$7)*(A470/Utilities!$B$1))</f>
        <v>47.698250000000002</v>
      </c>
      <c r="C470">
        <f>Utilities!$B$9+((Utilities!$B$7-Utilities!$B$9)*EXP(-$B$2*A470))</f>
        <v>0.5045254994581696</v>
      </c>
      <c r="D470">
        <f>EXP(-1*SQRT(Utilities!$B$5)/(IF($B$1="Linear",B470,C470)*Utilities!$B$11))</f>
        <v>1.3508024418361988E-5</v>
      </c>
      <c r="E470">
        <f>EXP(-1*SQRT(Utilities!$B$5/20)/(IF($B$1="Linear",B470,C470)*Utilities!$B$11))</f>
        <v>8.1501806254457868E-2</v>
      </c>
    </row>
    <row r="471" spans="1:5" x14ac:dyDescent="0.3">
      <c r="A471">
        <v>466</v>
      </c>
      <c r="B471">
        <f>Utilities!$B$7+((Utilities!$B$9-Utilities!$B$7)*(A471/Utilities!$B$1))</f>
        <v>47.693300000000001</v>
      </c>
      <c r="C471">
        <f>Utilities!$B$9+((Utilities!$B$7-Utilities!$B$9)*EXP(-$B$2*A471))</f>
        <v>0.50443588856494825</v>
      </c>
      <c r="D471">
        <f>EXP(-1*SQRT(Utilities!$B$5)/(IF($B$1="Linear",B471,C471)*Utilities!$B$11))</f>
        <v>1.3481145852596126E-5</v>
      </c>
      <c r="E471">
        <f>EXP(-1*SQRT(Utilities!$B$5/20)/(IF($B$1="Linear",B471,C471)*Utilities!$B$11))</f>
        <v>8.1465514979698575E-2</v>
      </c>
    </row>
    <row r="472" spans="1:5" x14ac:dyDescent="0.3">
      <c r="A472">
        <v>467</v>
      </c>
      <c r="B472">
        <f>Utilities!$B$7+((Utilities!$B$9-Utilities!$B$7)*(A472/Utilities!$B$1))</f>
        <v>47.68835</v>
      </c>
      <c r="C472">
        <f>Utilities!$B$9+((Utilities!$B$7-Utilities!$B$9)*EXP(-$B$2*A472))</f>
        <v>0.50434805208629885</v>
      </c>
      <c r="D472">
        <f>EXP(-1*SQRT(Utilities!$B$5)/(IF($B$1="Linear",B472,C472)*Utilities!$B$11))</f>
        <v>1.3454842181982825E-5</v>
      </c>
      <c r="E472">
        <f>EXP(-1*SQRT(Utilities!$B$5/20)/(IF($B$1="Linear",B472,C472)*Utilities!$B$11))</f>
        <v>8.1429945495944775E-2</v>
      </c>
    </row>
    <row r="473" spans="1:5" x14ac:dyDescent="0.3">
      <c r="A473">
        <v>468</v>
      </c>
      <c r="B473">
        <f>Utilities!$B$7+((Utilities!$B$9-Utilities!$B$7)*(A473/Utilities!$B$1))</f>
        <v>47.683399999999999</v>
      </c>
      <c r="C473">
        <f>Utilities!$B$9+((Utilities!$B$7-Utilities!$B$9)*EXP(-$B$2*A473))</f>
        <v>0.50426195488645886</v>
      </c>
      <c r="D473">
        <f>EXP(-1*SQRT(Utilities!$B$5)/(IF($B$1="Linear",B473,C473)*Utilities!$B$11))</f>
        <v>1.3429100300029031E-5</v>
      </c>
      <c r="E473">
        <f>EXP(-1*SQRT(Utilities!$B$5/20)/(IF($B$1="Linear",B473,C473)*Utilities!$B$11))</f>
        <v>8.1395083389146555E-2</v>
      </c>
    </row>
    <row r="474" spans="1:5" x14ac:dyDescent="0.3">
      <c r="A474">
        <v>469</v>
      </c>
      <c r="B474">
        <f>Utilities!$B$7+((Utilities!$B$9-Utilities!$B$7)*(A474/Utilities!$B$1))</f>
        <v>47.678449999999998</v>
      </c>
      <c r="C474">
        <f>Utilities!$B$9+((Utilities!$B$7-Utilities!$B$9)*EXP(-$B$2*A474))</f>
        <v>0.50417756252540025</v>
      </c>
      <c r="D474">
        <f>EXP(-1*SQRT(Utilities!$B$5)/(IF($B$1="Linear",B474,C474)*Utilities!$B$11))</f>
        <v>1.3403907430262909E-5</v>
      </c>
      <c r="E474">
        <f>EXP(-1*SQRT(Utilities!$B$5/20)/(IF($B$1="Linear",B474,C474)*Utilities!$B$11))</f>
        <v>8.1360914535273415E-2</v>
      </c>
    </row>
    <row r="475" spans="1:5" x14ac:dyDescent="0.3">
      <c r="A475">
        <v>470</v>
      </c>
      <c r="B475">
        <f>Utilities!$B$7+((Utilities!$B$9-Utilities!$B$7)*(A475/Utilities!$B$1))</f>
        <v>47.673499999999997</v>
      </c>
      <c r="C475">
        <f>Utilities!$B$9+((Utilities!$B$7-Utilities!$B$9)*EXP(-$B$2*A475))</f>
        <v>0.50409484124505333</v>
      </c>
      <c r="D475">
        <f>EXP(-1*SQRT(Utilities!$B$5)/(IF($B$1="Linear",B475,C475)*Utilities!$B$11))</f>
        <v>1.3379251116760783E-5</v>
      </c>
      <c r="E475">
        <f>EXP(-1*SQRT(Utilities!$B$5/20)/(IF($B$1="Linear",B475,C475)*Utilities!$B$11))</f>
        <v>8.132742509440076E-2</v>
      </c>
    </row>
    <row r="476" spans="1:5" x14ac:dyDescent="0.3">
      <c r="A476">
        <v>471</v>
      </c>
      <c r="B476">
        <f>Utilities!$B$7+((Utilities!$B$9-Utilities!$B$7)*(A476/Utilities!$B$1))</f>
        <v>47.668549999999996</v>
      </c>
      <c r="C476">
        <f>Utilities!$B$9+((Utilities!$B$7-Utilities!$B$9)*EXP(-$B$2*A476))</f>
        <v>0.50401375795580305</v>
      </c>
      <c r="D476">
        <f>EXP(-1*SQRT(Utilities!$B$5)/(IF($B$1="Linear",B476,C476)*Utilities!$B$11))</f>
        <v>1.3355119214987112E-5</v>
      </c>
      <c r="E476">
        <f>EXP(-1*SQRT(Utilities!$B$5/20)/(IF($B$1="Linear",B476,C476)*Utilities!$B$11))</f>
        <v>8.1294601504919586E-2</v>
      </c>
    </row>
    <row r="477" spans="1:5" x14ac:dyDescent="0.3">
      <c r="A477">
        <v>472</v>
      </c>
      <c r="B477">
        <f>Utilities!$B$7+((Utilities!$B$9-Utilities!$B$7)*(A477/Utilities!$B$1))</f>
        <v>47.663600000000002</v>
      </c>
      <c r="C477">
        <f>Utilities!$B$9+((Utilities!$B$7-Utilities!$B$9)*EXP(-$B$2*A477))</f>
        <v>0.5039342802232526</v>
      </c>
      <c r="D477">
        <f>EXP(-1*SQRT(Utilities!$B$5)/(IF($B$1="Linear",B477,C477)*Utilities!$B$11))</f>
        <v>1.3331499882935919E-5</v>
      </c>
      <c r="E477">
        <f>EXP(-1*SQRT(Utilities!$B$5/20)/(IF($B$1="Linear",B477,C477)*Utilities!$B$11))</f>
        <v>8.1262430477866701E-2</v>
      </c>
    </row>
    <row r="478" spans="1:5" x14ac:dyDescent="0.3">
      <c r="A478">
        <v>473</v>
      </c>
      <c r="B478">
        <f>Utilities!$B$7+((Utilities!$B$9-Utilities!$B$7)*(A478/Utilities!$B$1))</f>
        <v>47.658650000000002</v>
      </c>
      <c r="C478">
        <f>Utilities!$B$9+((Utilities!$B$7-Utilities!$B$9)*EXP(-$B$2*A478))</f>
        <v>0.50385637625524915</v>
      </c>
      <c r="D478">
        <f>EXP(-1*SQRT(Utilities!$B$5)/(IF($B$1="Linear",B478,C478)*Utilities!$B$11))</f>
        <v>1.3308381572562303E-5</v>
      </c>
      <c r="E478">
        <f>EXP(-1*SQRT(Utilities!$B$5/20)/(IF($B$1="Linear",B478,C478)*Utilities!$B$11))</f>
        <v>8.1230898991372924E-2</v>
      </c>
    </row>
    <row r="479" spans="1:5" x14ac:dyDescent="0.3">
      <c r="A479">
        <v>474</v>
      </c>
      <c r="B479">
        <f>Utilities!$B$7+((Utilities!$B$9-Utilities!$B$7)*(A479/Utilities!$B$1))</f>
        <v>47.653700000000001</v>
      </c>
      <c r="C479">
        <f>Utilities!$B$9+((Utilities!$B$7-Utilities!$B$9)*EXP(-$B$2*A479))</f>
        <v>0.5037800148891669</v>
      </c>
      <c r="D479">
        <f>EXP(-1*SQRT(Utilities!$B$5)/(IF($B$1="Linear",B479,C479)*Utilities!$B$11))</f>
        <v>1.3285753021493365E-5</v>
      </c>
      <c r="E479">
        <f>EXP(-1*SQRT(Utilities!$B$5/20)/(IF($B$1="Linear",B479,C479)*Utilities!$B$11))</f>
        <v>8.1199994285226923E-2</v>
      </c>
    </row>
    <row r="480" spans="1:5" x14ac:dyDescent="0.3">
      <c r="A480">
        <v>475</v>
      </c>
      <c r="B480">
        <f>Utilities!$B$7+((Utilities!$B$9-Utilities!$B$7)*(A480/Utilities!$B$1))</f>
        <v>47.64875</v>
      </c>
      <c r="C480">
        <f>Utilities!$B$9+((Utilities!$B$7-Utilities!$B$9)*EXP(-$B$2*A480))</f>
        <v>0.50370516557944123</v>
      </c>
      <c r="D480">
        <f>EXP(-1*SQRT(Utilities!$B$5)/(IF($B$1="Linear",B480,C480)*Utilities!$B$11))</f>
        <v>1.3263603245008098E-5</v>
      </c>
      <c r="E480">
        <f>EXP(-1*SQRT(Utilities!$B$5/20)/(IF($B$1="Linear",B480,C480)*Utilities!$B$11))</f>
        <v>8.1169703855551736E-2</v>
      </c>
    </row>
    <row r="481" spans="1:5" x14ac:dyDescent="0.3">
      <c r="A481">
        <v>476</v>
      </c>
      <c r="B481">
        <f>Utilities!$B$7+((Utilities!$B$9-Utilities!$B$7)*(A481/Utilities!$B$1))</f>
        <v>47.643799999999999</v>
      </c>
      <c r="C481">
        <f>Utilities!$B$9+((Utilities!$B$7-Utilities!$B$9)*EXP(-$B$2*A481))</f>
        <v>0.5036317983853501</v>
      </c>
      <c r="D481">
        <f>EXP(-1*SQRT(Utilities!$B$5)/(IF($B$1="Linear",B481,C481)*Utilities!$B$11))</f>
        <v>1.324192152827636E-5</v>
      </c>
      <c r="E481">
        <f>EXP(-1*SQRT(Utilities!$B$5/20)/(IF($B$1="Linear",B481,C481)*Utilities!$B$11))</f>
        <v>8.1140015449592151E-2</v>
      </c>
    </row>
    <row r="482" spans="1:5" x14ac:dyDescent="0.3">
      <c r="A482">
        <v>477</v>
      </c>
      <c r="B482">
        <f>Utilities!$B$7+((Utilities!$B$9-Utilities!$B$7)*(A482/Utilities!$B$1))</f>
        <v>47.638849999999998</v>
      </c>
      <c r="C482">
        <f>Utilities!$B$9+((Utilities!$B$7-Utilities!$B$9)*EXP(-$B$2*A482))</f>
        <v>0.50355988395903784</v>
      </c>
      <c r="D482">
        <f>EXP(-1*SQRT(Utilities!$B$5)/(IF($B$1="Linear",B482,C482)*Utilities!$B$11))</f>
        <v>1.3220697418847544E-5</v>
      </c>
      <c r="E482">
        <f>EXP(-1*SQRT(Utilities!$B$5/20)/(IF($B$1="Linear",B482,C482)*Utilities!$B$11))</f>
        <v>8.1110917060610258E-2</v>
      </c>
    </row>
    <row r="483" spans="1:5" x14ac:dyDescent="0.3">
      <c r="A483">
        <v>478</v>
      </c>
      <c r="B483">
        <f>Utilities!$B$7+((Utilities!$B$9-Utilities!$B$7)*(A483/Utilities!$B$1))</f>
        <v>47.633899999999997</v>
      </c>
      <c r="C483">
        <f>Utilities!$B$9+((Utilities!$B$7-Utilities!$B$9)*EXP(-$B$2*A483))</f>
        <v>0.50348939353377486</v>
      </c>
      <c r="D483">
        <f>EXP(-1*SQRT(Utilities!$B$5)/(IF($B$1="Linear",B483,C483)*Utilities!$B$11))</f>
        <v>1.3199920719379444E-5</v>
      </c>
      <c r="E483">
        <f>EXP(-1*SQRT(Utilities!$B$5/20)/(IF($B$1="Linear",B483,C483)*Utilities!$B$11))</f>
        <v>8.108239692288656E-2</v>
      </c>
    </row>
    <row r="484" spans="1:5" x14ac:dyDescent="0.3">
      <c r="A484">
        <v>479</v>
      </c>
      <c r="B484">
        <f>Utilities!$B$7+((Utilities!$B$9-Utilities!$B$7)*(A484/Utilities!$B$1))</f>
        <v>47.628950000000003</v>
      </c>
      <c r="C484">
        <f>Utilities!$B$9+((Utilities!$B$7-Utilities!$B$9)*EXP(-$B$2*A484))</f>
        <v>0.50342029891245121</v>
      </c>
      <c r="D484">
        <f>EXP(-1*SQRT(Utilities!$B$5)/(IF($B$1="Linear",B484,C484)*Utilities!$B$11))</f>
        <v>1.3179581480598971E-5</v>
      </c>
      <c r="E484">
        <f>EXP(-1*SQRT(Utilities!$B$5/20)/(IF($B$1="Linear",B484,C484)*Utilities!$B$11))</f>
        <v>8.1054443506825197E-2</v>
      </c>
    </row>
    <row r="485" spans="1:5" x14ac:dyDescent="0.3">
      <c r="A485">
        <v>480</v>
      </c>
      <c r="B485">
        <f>Utilities!$B$7+((Utilities!$B$9-Utilities!$B$7)*(A485/Utilities!$B$1))</f>
        <v>47.624000000000002</v>
      </c>
      <c r="C485">
        <f>Utilities!$B$9+((Utilities!$B$7-Utilities!$B$9)*EXP(-$B$2*A485))</f>
        <v>0.50335257245629728</v>
      </c>
      <c r="D485">
        <f>EXP(-1*SQRT(Utilities!$B$5)/(IF($B$1="Linear",B485,C485)*Utilities!$B$11))</f>
        <v>1.3159669994486264E-5</v>
      </c>
      <c r="E485">
        <f>EXP(-1*SQRT(Utilities!$B$5/20)/(IF($B$1="Linear",B485,C485)*Utilities!$B$11))</f>
        <v>8.1027045514160317E-2</v>
      </c>
    </row>
    <row r="486" spans="1:5" x14ac:dyDescent="0.3">
      <c r="A486">
        <v>481</v>
      </c>
      <c r="B486">
        <f>Utilities!$B$7+((Utilities!$B$9-Utilities!$B$7)*(A486/Utilities!$B$1))</f>
        <v>47.619050000000001</v>
      </c>
      <c r="C486">
        <f>Utilities!$B$9+((Utilities!$B$7-Utilities!$B$9)*EXP(-$B$2*A486))</f>
        <v>0.50328618707382733</v>
      </c>
      <c r="D486">
        <f>EXP(-1*SQRT(Utilities!$B$5)/(IF($B$1="Linear",B486,C486)*Utilities!$B$11))</f>
        <v>1.3140176787673571E-5</v>
      </c>
      <c r="E486">
        <f>EXP(-1*SQRT(Utilities!$B$5/20)/(IF($B$1="Linear",B486,C486)*Utilities!$B$11))</f>
        <v>8.1000191873261421E-2</v>
      </c>
    </row>
    <row r="487" spans="1:5" x14ac:dyDescent="0.3">
      <c r="A487">
        <v>482</v>
      </c>
      <c r="B487">
        <f>Utilities!$B$7+((Utilities!$B$9-Utilities!$B$7)*(A487/Utilities!$B$1))</f>
        <v>47.614100000000001</v>
      </c>
      <c r="C487">
        <f>Utilities!$B$9+((Utilities!$B$7-Utilities!$B$9)*EXP(-$B$2*A487))</f>
        <v>0.50322111621000343</v>
      </c>
      <c r="D487">
        <f>EXP(-1*SQRT(Utilities!$B$5)/(IF($B$1="Linear",B487,C487)*Utilities!$B$11))</f>
        <v>1.3121092615052273E-5</v>
      </c>
      <c r="E487">
        <f>EXP(-1*SQRT(Utilities!$B$5/20)/(IF($B$1="Linear",B487,C487)*Utilities!$B$11))</f>
        <v>8.0973871734536518E-2</v>
      </c>
    </row>
    <row r="488" spans="1:5" x14ac:dyDescent="0.3">
      <c r="A488">
        <v>483</v>
      </c>
      <c r="B488">
        <f>Utilities!$B$7+((Utilities!$B$9-Utilities!$B$7)*(A488/Utilities!$B$1))</f>
        <v>47.60915</v>
      </c>
      <c r="C488">
        <f>Utilities!$B$9+((Utilities!$B$7-Utilities!$B$9)*EXP(-$B$2*A488))</f>
        <v>0.50315733383561223</v>
      </c>
      <c r="D488">
        <f>EXP(-1*SQRT(Utilities!$B$5)/(IF($B$1="Linear",B488,C488)*Utilities!$B$11))</f>
        <v>1.310240845357923E-5</v>
      </c>
      <c r="E488">
        <f>EXP(-1*SQRT(Utilities!$B$5/20)/(IF($B$1="Linear",B488,C488)*Utilities!$B$11))</f>
        <v>8.0948074465929484E-2</v>
      </c>
    </row>
    <row r="489" spans="1:5" x14ac:dyDescent="0.3">
      <c r="A489">
        <v>484</v>
      </c>
      <c r="B489">
        <f>Utilities!$B$7+((Utilities!$B$9-Utilities!$B$7)*(A489/Utilities!$B$1))</f>
        <v>47.604199999999999</v>
      </c>
      <c r="C489">
        <f>Utilities!$B$9+((Utilities!$B$7-Utilities!$B$9)*EXP(-$B$2*A489))</f>
        <v>0.50309481443685355</v>
      </c>
      <c r="D489">
        <f>EXP(-1*SQRT(Utilities!$B$5)/(IF($B$1="Linear",B489,C489)*Utilities!$B$11))</f>
        <v>1.3084115496276577E-5</v>
      </c>
      <c r="E489">
        <f>EXP(-1*SQRT(Utilities!$B$5/20)/(IF($B$1="Linear",B489,C489)*Utilities!$B$11))</f>
        <v>8.0922789648511309E-2</v>
      </c>
    </row>
    <row r="490" spans="1:5" x14ac:dyDescent="0.3">
      <c r="A490">
        <v>485</v>
      </c>
      <c r="B490">
        <f>Utilities!$B$7+((Utilities!$B$9-Utilities!$B$7)*(A490/Utilities!$B$1))</f>
        <v>47.599249999999998</v>
      </c>
      <c r="C490">
        <f>Utilities!$B$9+((Utilities!$B$7-Utilities!$B$9)*EXP(-$B$2*A490))</f>
        <v>0.50303353300513454</v>
      </c>
      <c r="D490">
        <f>EXP(-1*SQRT(Utilities!$B$5)/(IF($B$1="Linear",B490,C490)*Utilities!$B$11))</f>
        <v>1.3066205146417428E-5</v>
      </c>
      <c r="E490">
        <f>EXP(-1*SQRT(Utilities!$B$5/20)/(IF($B$1="Linear",B490,C490)*Utilities!$B$11))</f>
        <v>8.0898007072161909E-2</v>
      </c>
    </row>
    <row r="491" spans="1:5" x14ac:dyDescent="0.3">
      <c r="A491">
        <v>486</v>
      </c>
      <c r="B491">
        <f>Utilities!$B$7+((Utilities!$B$9-Utilities!$B$7)*(A491/Utilities!$B$1))</f>
        <v>47.594299999999997</v>
      </c>
      <c r="C491">
        <f>Utilities!$B$9+((Utilities!$B$7-Utilities!$B$9)*EXP(-$B$2*A491))</f>
        <v>0.50297346502706508</v>
      </c>
      <c r="D491">
        <f>EXP(-1*SQRT(Utilities!$B$5)/(IF($B$1="Linear",B491,C491)*Utilities!$B$11))</f>
        <v>1.3048669011890789E-5</v>
      </c>
      <c r="E491">
        <f>EXP(-1*SQRT(Utilities!$B$5/20)/(IF($B$1="Linear",B491,C491)*Utilities!$B$11))</f>
        <v>8.0873716731340708E-2</v>
      </c>
    </row>
    <row r="492" spans="1:5" x14ac:dyDescent="0.3">
      <c r="A492">
        <v>487</v>
      </c>
      <c r="B492">
        <f>Utilities!$B$7+((Utilities!$B$9-Utilities!$B$7)*(A492/Utilities!$B$1))</f>
        <v>47.589350000000003</v>
      </c>
      <c r="C492">
        <f>Utilities!$B$9+((Utilities!$B$7-Utilities!$B$9)*EXP(-$B$2*A492))</f>
        <v>0.50291458647465326</v>
      </c>
      <c r="D492">
        <f>EXP(-1*SQRT(Utilities!$B$5)/(IF($B$1="Linear",B492,C492)*Utilities!$B$11))</f>
        <v>1.3031498899740096E-5</v>
      </c>
      <c r="E492">
        <f>EXP(-1*SQRT(Utilities!$B$5/20)/(IF($B$1="Linear",B492,C492)*Utilities!$B$11))</f>
        <v>8.0849908820945462E-2</v>
      </c>
    </row>
    <row r="493" spans="1:5" x14ac:dyDescent="0.3">
      <c r="A493">
        <v>488</v>
      </c>
      <c r="B493">
        <f>Utilities!$B$7+((Utilities!$B$9-Utilities!$B$7)*(A493/Utilities!$B$1))</f>
        <v>47.584400000000002</v>
      </c>
      <c r="C493">
        <f>Utilities!$B$9+((Utilities!$B$7-Utilities!$B$9)*EXP(-$B$2*A493))</f>
        <v>0.50285687379569288</v>
      </c>
      <c r="D493">
        <f>EXP(-1*SQRT(Utilities!$B$5)/(IF($B$1="Linear",B493,C493)*Utilities!$B$11))</f>
        <v>1.3014686810868384E-5</v>
      </c>
      <c r="E493">
        <f>EXP(-1*SQRT(Utilities!$B$5/20)/(IF($B$1="Linear",B493,C493)*Utilities!$B$11))</f>
        <v>8.082657373225545E-2</v>
      </c>
    </row>
    <row r="494" spans="1:5" x14ac:dyDescent="0.3">
      <c r="A494">
        <v>489</v>
      </c>
      <c r="B494">
        <f>Utilities!$B$7+((Utilities!$B$9-Utilities!$B$7)*(A494/Utilities!$B$1))</f>
        <v>47.579450000000001</v>
      </c>
      <c r="C494">
        <f>Utilities!$B$9+((Utilities!$B$7-Utilities!$B$9)*EXP(-$B$2*A494))</f>
        <v>0.50280030390434305</v>
      </c>
      <c r="D494">
        <f>EXP(-1*SQRT(Utilities!$B$5)/(IF($B$1="Linear",B494,C494)*Utilities!$B$11))</f>
        <v>1.2998224934904992E-5</v>
      </c>
      <c r="E494">
        <f>EXP(-1*SQRT(Utilities!$B$5/20)/(IF($B$1="Linear",B494,C494)*Utilities!$B$11))</f>
        <v>8.080370204895887E-2</v>
      </c>
    </row>
    <row r="495" spans="1:5" x14ac:dyDescent="0.3">
      <c r="A495">
        <v>490</v>
      </c>
      <c r="B495">
        <f>Utilities!$B$7+((Utilities!$B$9-Utilities!$B$7)*(A495/Utilities!$B$1))</f>
        <v>47.5745</v>
      </c>
      <c r="C495">
        <f>Utilities!$B$9+((Utilities!$B$7-Utilities!$B$9)*EXP(-$B$2*A495))</f>
        <v>0.50274485417189274</v>
      </c>
      <c r="D495">
        <f>EXP(-1*SQRT(Utilities!$B$5)/(IF($B$1="Linear",B495,C495)*Utilities!$B$11))</f>
        <v>1.2982105645227736E-5</v>
      </c>
      <c r="E495">
        <f>EXP(-1*SQRT(Utilities!$B$5/20)/(IF($B$1="Linear",B495,C495)*Utilities!$B$11))</f>
        <v>8.0781284543261458E-2</v>
      </c>
    </row>
    <row r="496" spans="1:5" x14ac:dyDescent="0.3">
      <c r="A496">
        <v>491</v>
      </c>
      <c r="B496">
        <f>Utilities!$B$7+((Utilities!$B$9-Utilities!$B$7)*(A496/Utilities!$B$1))</f>
        <v>47.56955</v>
      </c>
      <c r="C496">
        <f>Utilities!$B$9+((Utilities!$B$7-Utilities!$B$9)*EXP(-$B$2*A496))</f>
        <v>0.50269050241770985</v>
      </c>
      <c r="D496">
        <f>EXP(-1*SQRT(Utilities!$B$5)/(IF($B$1="Linear",B496,C496)*Utilities!$B$11))</f>
        <v>1.2966321494135615E-5</v>
      </c>
      <c r="E496">
        <f>EXP(-1*SQRT(Utilities!$B$5/20)/(IF($B$1="Linear",B496,C496)*Utilities!$B$11))</f>
        <v>8.0759312172075992E-2</v>
      </c>
    </row>
    <row r="497" spans="1:5" x14ac:dyDescent="0.3">
      <c r="A497">
        <v>492</v>
      </c>
      <c r="B497">
        <f>Utilities!$B$7+((Utilities!$B$9-Utilities!$B$7)*(A497/Utilities!$B$1))</f>
        <v>47.564599999999999</v>
      </c>
      <c r="C497">
        <f>Utilities!$B$9+((Utilities!$B$7-Utilities!$B$9)*EXP(-$B$2*A497))</f>
        <v>0.50263722690036772</v>
      </c>
      <c r="D497">
        <f>EXP(-1*SQRT(Utilities!$B$5)/(IF($B$1="Linear",B497,C497)*Utilities!$B$11))</f>
        <v>1.2950865208165934E-5</v>
      </c>
      <c r="E497">
        <f>EXP(-1*SQRT(Utilities!$B$5/20)/(IF($B$1="Linear",B497,C497)*Utilities!$B$11))</f>
        <v>8.0737776073289066E-2</v>
      </c>
    </row>
    <row r="498" spans="1:5" x14ac:dyDescent="0.3">
      <c r="A498">
        <v>493</v>
      </c>
      <c r="B498">
        <f>Utilities!$B$7+((Utilities!$B$9-Utilities!$B$7)*(A498/Utilities!$B$1))</f>
        <v>47.559649999999998</v>
      </c>
      <c r="C498">
        <f>Utilities!$B$9+((Utilities!$B$7-Utilities!$B$9)*EXP(-$B$2*A498))</f>
        <v>0.50258500630894931</v>
      </c>
      <c r="D498">
        <f>EXP(-1*SQRT(Utilities!$B$5)/(IF($B$1="Linear",B498,C498)*Utilities!$B$11))</f>
        <v>1.2935729683552503E-5</v>
      </c>
      <c r="E498">
        <f>EXP(-1*SQRT(Utilities!$B$5/20)/(IF($B$1="Linear",B498,C498)*Utilities!$B$11))</f>
        <v>8.0716667562105757E-2</v>
      </c>
    </row>
    <row r="499" spans="1:5" x14ac:dyDescent="0.3">
      <c r="A499">
        <v>494</v>
      </c>
      <c r="B499">
        <f>Utilities!$B$7+((Utilities!$B$9-Utilities!$B$7)*(A499/Utilities!$B$1))</f>
        <v>47.554699999999997</v>
      </c>
      <c r="C499">
        <f>Utilities!$B$9+((Utilities!$B$7-Utilities!$B$9)*EXP(-$B$2*A499))</f>
        <v>0.50253381975452172</v>
      </c>
      <c r="D499">
        <f>EXP(-1*SQRT(Utilities!$B$5)/(IF($B$1="Linear",B499,C499)*Utilities!$B$11))</f>
        <v>1.2920907981818096E-5</v>
      </c>
      <c r="E499">
        <f>EXP(-1*SQRT(Utilities!$B$5/20)/(IF($B$1="Linear",B499,C499)*Utilities!$B$11))</f>
        <v>8.0695978127468301E-2</v>
      </c>
    </row>
    <row r="500" spans="1:5" x14ac:dyDescent="0.3">
      <c r="A500">
        <v>495</v>
      </c>
      <c r="B500">
        <f>Utilities!$B$7+((Utilities!$B$9-Utilities!$B$7)*(A500/Utilities!$B$1))</f>
        <v>47.549750000000003</v>
      </c>
      <c r="C500">
        <f>Utilities!$B$9+((Utilities!$B$7-Utilities!$B$9)*EXP(-$B$2*A500))</f>
        <v>0.5024836467617807</v>
      </c>
      <c r="D500">
        <f>EXP(-1*SQRT(Utilities!$B$5)/(IF($B$1="Linear",B500,C500)*Utilities!$B$11))</f>
        <v>1.2906393325498383E-5</v>
      </c>
      <c r="E500">
        <f>EXP(-1*SQRT(Utilities!$B$5/20)/(IF($B$1="Linear",B500,C500)*Utilities!$B$11))</f>
        <v>8.0675699428549186E-2</v>
      </c>
    </row>
    <row r="501" spans="1:5" x14ac:dyDescent="0.3">
      <c r="A501">
        <v>496</v>
      </c>
      <c r="B501">
        <f>Utilities!$B$7+((Utilities!$B$9-Utilities!$B$7)*(A501/Utilities!$B$1))</f>
        <v>47.544800000000002</v>
      </c>
      <c r="C501">
        <f>Utilities!$B$9+((Utilities!$B$7-Utilities!$B$9)*EXP(-$B$2*A501))</f>
        <v>0.50243446726086005</v>
      </c>
      <c r="D501">
        <f>EXP(-1*SQRT(Utilities!$B$5)/(IF($B$1="Linear",B501,C501)*Utilities!$B$11))</f>
        <v>1.2892179093991579E-5</v>
      </c>
      <c r="E501">
        <f>EXP(-1*SQRT(Utilities!$B$5/20)/(IF($B$1="Linear",B501,C501)*Utilities!$B$11))</f>
        <v>8.0655823291315265E-2</v>
      </c>
    </row>
    <row r="502" spans="1:5" x14ac:dyDescent="0.3">
      <c r="A502">
        <v>497</v>
      </c>
      <c r="B502">
        <f>Utilities!$B$7+((Utilities!$B$9-Utilities!$B$7)*(A502/Utilities!$B$1))</f>
        <v>47.539850000000001</v>
      </c>
      <c r="C502">
        <f>Utilities!$B$9+((Utilities!$B$7-Utilities!$B$9)*EXP(-$B$2*A502))</f>
        <v>0.50238626157930377</v>
      </c>
      <c r="D502">
        <f>EXP(-1*SQRT(Utilities!$B$5)/(IF($B$1="Linear",B502,C502)*Utilities!$B$11))</f>
        <v>1.287825881953053E-5</v>
      </c>
      <c r="E502">
        <f>EXP(-1*SQRT(Utilities!$B$5/20)/(IF($B$1="Linear",B502,C502)*Utilities!$B$11))</f>
        <v>8.0636341705163414E-2</v>
      </c>
    </row>
    <row r="503" spans="1:5" x14ac:dyDescent="0.3">
      <c r="A503">
        <v>498</v>
      </c>
      <c r="B503">
        <f>Utilities!$B$7+((Utilities!$B$9-Utilities!$B$7)*(A503/Utilities!$B$1))</f>
        <v>47.5349</v>
      </c>
      <c r="C503">
        <f>Utilities!$B$9+((Utilities!$B$7-Utilities!$B$9)*EXP(-$B$2*A503))</f>
        <v>0.50233901043419638</v>
      </c>
      <c r="D503">
        <f>EXP(-1*SQRT(Utilities!$B$5)/(IF($B$1="Linear",B503,C503)*Utilities!$B$11))</f>
        <v>1.2864626183272321E-5</v>
      </c>
      <c r="E503">
        <f>EXP(-1*SQRT(Utilities!$B$5/20)/(IF($B$1="Linear",B503,C503)*Utilities!$B$11))</f>
        <v>8.0617246819624067E-2</v>
      </c>
    </row>
    <row r="504" spans="1:5" x14ac:dyDescent="0.3">
      <c r="A504">
        <v>499</v>
      </c>
      <c r="B504">
        <f>Utilities!$B$7+((Utilities!$B$9-Utilities!$B$7)*(A504/Utilities!$B$1))</f>
        <v>47.529949999999999</v>
      </c>
      <c r="C504">
        <f>Utilities!$B$9+((Utilities!$B$7-Utilities!$B$9)*EXP(-$B$2*A504))</f>
        <v>0.50229269492444995</v>
      </c>
      <c r="D504">
        <f>EXP(-1*SQRT(Utilities!$B$5)/(IF($B$1="Linear",B504,C504)*Utilities!$B$11))</f>
        <v>1.285127501150213E-5</v>
      </c>
      <c r="E504">
        <f>EXP(-1*SQRT(Utilities!$B$5/20)/(IF($B$1="Linear",B504,C504)*Utilities!$B$11))</f>
        <v>8.0598530941133048E-2</v>
      </c>
    </row>
    <row r="505" spans="1:5" x14ac:dyDescent="0.3">
      <c r="A505">
        <v>500</v>
      </c>
      <c r="B505">
        <f>Utilities!$B$7+((Utilities!$B$9-Utilities!$B$7)*(A505/Utilities!$B$1))</f>
        <v>47.524999999999999</v>
      </c>
      <c r="C505">
        <f>Utilities!$B$9+((Utilities!$B$7-Utilities!$B$9)*EXP(-$B$2*A505))</f>
        <v>0.50224729652324296</v>
      </c>
      <c r="D505">
        <f>EXP(-1*SQRT(Utilities!$B$5)/(IF($B$1="Linear",B505,C505)*Utilities!$B$11))</f>
        <v>1.283819927194691E-5</v>
      </c>
      <c r="E505">
        <f>EXP(-1*SQRT(Utilities!$B$5/20)/(IF($B$1="Linear",B505,C505)*Utilities!$B$11))</f>
        <v>8.0580186529869036E-2</v>
      </c>
    </row>
    <row r="506" spans="1:5" x14ac:dyDescent="0.3">
      <c r="A506">
        <v>501</v>
      </c>
      <c r="B506">
        <f>Utilities!$B$7+((Utilities!$B$9-Utilities!$B$7)*(A506/Utilities!$B$1))</f>
        <v>47.520049999999998</v>
      </c>
      <c r="C506">
        <f>Utilities!$B$9+((Utilities!$B$7-Utilities!$B$9)*EXP(-$B$2*A506))</f>
        <v>0.50220279707060966</v>
      </c>
      <c r="D506">
        <f>EXP(-1*SQRT(Utilities!$B$5)/(IF($B$1="Linear",B506,C506)*Utilities!$B$11))</f>
        <v>1.2825393070195911E-5</v>
      </c>
      <c r="E506">
        <f>EXP(-1*SQRT(Utilities!$B$5/20)/(IF($B$1="Linear",B506,C506)*Utilities!$B$11))</f>
        <v>8.0562206196655842E-2</v>
      </c>
    </row>
    <row r="507" spans="1:5" x14ac:dyDescent="0.3">
      <c r="A507">
        <v>502</v>
      </c>
      <c r="B507">
        <f>Utilities!$B$7+((Utilities!$B$9-Utilities!$B$7)*(A507/Utilities!$B$1))</f>
        <v>47.515099999999997</v>
      </c>
      <c r="C507">
        <f>Utilities!$B$9+((Utilities!$B$7-Utilities!$B$9)*EXP(-$B$2*A507))</f>
        <v>0.50215917876617555</v>
      </c>
      <c r="D507">
        <f>EXP(-1*SQRT(Utilities!$B$5)/(IF($B$1="Linear",B507,C507)*Utilities!$B$11))</f>
        <v>1.2812850646223899E-5</v>
      </c>
      <c r="E507">
        <f>EXP(-1*SQRT(Utilities!$B$5/20)/(IF($B$1="Linear",B507,C507)*Utilities!$B$11))</f>
        <v>8.0544582699928202E-2</v>
      </c>
    </row>
    <row r="508" spans="1:5" x14ac:dyDescent="0.3">
      <c r="A508">
        <v>503</v>
      </c>
      <c r="B508">
        <f>Utilities!$B$7+((Utilities!$B$9-Utilities!$B$7)*(A508/Utilities!$B$1))</f>
        <v>47.510150000000003</v>
      </c>
      <c r="C508">
        <f>Utilities!$B$9+((Utilities!$B$7-Utilities!$B$9)*EXP(-$B$2*A508))</f>
        <v>0.5021164241620375</v>
      </c>
      <c r="D508">
        <f>EXP(-1*SQRT(Utilities!$B$5)/(IF($B$1="Linear",B508,C508)*Utilities!$B$11))</f>
        <v>1.2800566371014154E-5</v>
      </c>
      <c r="E508">
        <f>EXP(-1*SQRT(Utilities!$B$5/20)/(IF($B$1="Linear",B508,C508)*Utilities!$B$11))</f>
        <v>8.0527308942759487E-2</v>
      </c>
    </row>
    <row r="509" spans="1:5" x14ac:dyDescent="0.3">
      <c r="A509">
        <v>504</v>
      </c>
      <c r="B509">
        <f>Utilities!$B$7+((Utilities!$B$9-Utilities!$B$7)*(A509/Utilities!$B$1))</f>
        <v>47.505200000000002</v>
      </c>
      <c r="C509">
        <f>Utilities!$B$9+((Utilities!$B$7-Utilities!$B$9)*EXP(-$B$2*A509))</f>
        <v>0.50207451615578347</v>
      </c>
      <c r="D509">
        <f>EXP(-1*SQRT(Utilities!$B$5)/(IF($B$1="Linear",B509,C509)*Utilities!$B$11))</f>
        <v>1.2788534743277521E-5</v>
      </c>
      <c r="E509">
        <f>EXP(-1*SQRT(Utilities!$B$5/20)/(IF($B$1="Linear",B509,C509)*Utilities!$B$11))</f>
        <v>8.0510377969949726E-2</v>
      </c>
    </row>
    <row r="510" spans="1:5" x14ac:dyDescent="0.3">
      <c r="A510">
        <v>505</v>
      </c>
      <c r="B510">
        <f>Utilities!$B$7+((Utilities!$B$9-Utilities!$B$7)*(A510/Utilities!$B$1))</f>
        <v>47.500250000000001</v>
      </c>
      <c r="C510">
        <f>Utilities!$B$9+((Utilities!$B$7-Utilities!$B$9)*EXP(-$B$2*A510))</f>
        <v>0.50203343798365241</v>
      </c>
      <c r="D510">
        <f>EXP(-1*SQRT(Utilities!$B$5)/(IF($B$1="Linear",B510,C510)*Utilities!$B$11))</f>
        <v>1.2776750386265057E-5</v>
      </c>
      <c r="E510">
        <f>EXP(-1*SQRT(Utilities!$B$5/20)/(IF($B$1="Linear",B510,C510)*Utilities!$B$11))</f>
        <v>8.0493782965173927E-2</v>
      </c>
    </row>
    <row r="511" spans="1:5" x14ac:dyDescent="0.3">
      <c r="A511">
        <v>506</v>
      </c>
      <c r="B511">
        <f>Utilities!$B$7+((Utilities!$B$9-Utilities!$B$7)*(A511/Utilities!$B$1))</f>
        <v>47.4953</v>
      </c>
      <c r="C511">
        <f>Utilities!$B$9+((Utilities!$B$7-Utilities!$B$9)*EXP(-$B$2*A511))</f>
        <v>0.50199317321382764</v>
      </c>
      <c r="D511">
        <f>EXP(-1*SQRT(Utilities!$B$5)/(IF($B$1="Linear",B511,C511)*Utilities!$B$11))</f>
        <v>1.2765208044670457E-5</v>
      </c>
      <c r="E511">
        <f>EXP(-1*SQRT(Utilities!$B$5/20)/(IF($B$1="Linear",B511,C511)*Utilities!$B$11))</f>
        <v>8.0477517248187774E-2</v>
      </c>
    </row>
    <row r="512" spans="1:5" x14ac:dyDescent="0.3">
      <c r="A512">
        <v>507</v>
      </c>
      <c r="B512">
        <f>Utilities!$B$7+((Utilities!$B$9-Utilities!$B$7)*(A512/Utilities!$B$1))</f>
        <v>47.490349999999999</v>
      </c>
      <c r="C512">
        <f>Utilities!$B$9+((Utilities!$B$7-Utilities!$B$9)*EXP(-$B$2*A512))</f>
        <v>0.50195370573986442</v>
      </c>
      <c r="D512">
        <f>EXP(-1*SQRT(Utilities!$B$5)/(IF($B$1="Linear",B512,C512)*Utilities!$B$11))</f>
        <v>1.2753902581619768E-5</v>
      </c>
      <c r="E512">
        <f>EXP(-1*SQRT(Utilities!$B$5/20)/(IF($B$1="Linear",B512,C512)*Utilities!$B$11))</f>
        <v>8.0461574272090816E-2</v>
      </c>
    </row>
    <row r="513" spans="1:5" x14ac:dyDescent="0.3">
      <c r="A513">
        <v>508</v>
      </c>
      <c r="B513">
        <f>Utilities!$B$7+((Utilities!$B$9-Utilities!$B$7)*(A513/Utilities!$B$1))</f>
        <v>47.485399999999998</v>
      </c>
      <c r="C513">
        <f>Utilities!$B$9+((Utilities!$B$7-Utilities!$B$9)*EXP(-$B$2*A513))</f>
        <v>0.50191501977424691</v>
      </c>
      <c r="D513">
        <f>EXP(-1*SQRT(Utilities!$B$5)/(IF($B$1="Linear",B513,C513)*Utilities!$B$11))</f>
        <v>1.274282897574579E-5</v>
      </c>
      <c r="E513">
        <f>EXP(-1*SQRT(Utilities!$B$5/20)/(IF($B$1="Linear",B513,C513)*Utilities!$B$11))</f>
        <v>8.0445947620645233E-2</v>
      </c>
    </row>
    <row r="514" spans="1:5" x14ac:dyDescent="0.3">
      <c r="A514">
        <v>509</v>
      </c>
      <c r="B514">
        <f>Utilities!$B$7+((Utilities!$B$9-Utilities!$B$7)*(A514/Utilities!$B$1))</f>
        <v>47.480449999999998</v>
      </c>
      <c r="C514">
        <f>Utilities!$B$9+((Utilities!$B$7-Utilities!$B$9)*EXP(-$B$2*A514))</f>
        <v>0.50187709984207296</v>
      </c>
      <c r="D514">
        <f>EXP(-1*SQRT(Utilities!$B$5)/(IF($B$1="Linear",B514,C514)*Utilities!$B$11))</f>
        <v>1.2731982318343803E-5</v>
      </c>
      <c r="E514">
        <f>EXP(-1*SQRT(Utilities!$B$5/20)/(IF($B$1="Linear",B514,C514)*Utilities!$B$11))</f>
        <v>8.043063100564922E-2</v>
      </c>
    </row>
    <row r="515" spans="1:5" x14ac:dyDescent="0.3">
      <c r="A515">
        <v>510</v>
      </c>
      <c r="B515">
        <f>Utilities!$B$7+((Utilities!$B$9-Utilities!$B$7)*(A515/Utilities!$B$1))</f>
        <v>47.475499999999997</v>
      </c>
      <c r="C515">
        <f>Utilities!$B$9+((Utilities!$B$7-Utilities!$B$9)*EXP(-$B$2*A515))</f>
        <v>0.50183993077486422</v>
      </c>
      <c r="D515">
        <f>EXP(-1*SQRT(Utilities!$B$5)/(IF($B$1="Linear",B515,C515)*Utilities!$B$11))</f>
        <v>1.2721357810606731E-5</v>
      </c>
      <c r="E515">
        <f>EXP(-1*SQRT(Utilities!$B$5/20)/(IF($B$1="Linear",B515,C515)*Utilities!$B$11))</f>
        <v>8.041561826436408E-2</v>
      </c>
    </row>
    <row r="516" spans="1:5" x14ac:dyDescent="0.3">
      <c r="A516">
        <v>511</v>
      </c>
      <c r="B516">
        <f>Utilities!$B$7+((Utilities!$B$9-Utilities!$B$7)*(A516/Utilities!$B$1))</f>
        <v>47.470550000000003</v>
      </c>
      <c r="C516">
        <f>Utilities!$B$9+((Utilities!$B$7-Utilities!$B$9)*EXP(-$B$2*A516))</f>
        <v>0.50180349770449828</v>
      </c>
      <c r="D516">
        <f>EXP(-1*SQRT(Utilities!$B$5)/(IF($B$1="Linear",B516,C516)*Utilities!$B$11))</f>
        <v>1.2710950760936772E-5</v>
      </c>
      <c r="E516">
        <f>EXP(-1*SQRT(Utilities!$B$5/20)/(IF($B$1="Linear",B516,C516)*Utilities!$B$11))</f>
        <v>8.0400903356993444E-2</v>
      </c>
    </row>
    <row r="517" spans="1:5" x14ac:dyDescent="0.3">
      <c r="A517">
        <v>512</v>
      </c>
      <c r="B517">
        <f>Utilities!$B$7+((Utilities!$B$9-Utilities!$B$7)*(A517/Utilities!$B$1))</f>
        <v>47.465600000000002</v>
      </c>
      <c r="C517">
        <f>Utilities!$B$9+((Utilities!$B$7-Utilities!$B$9)*EXP(-$B$2*A517))</f>
        <v>0.50176778605726091</v>
      </c>
      <c r="D517">
        <f>EXP(-1*SQRT(Utilities!$B$5)/(IF($B$1="Linear",B517,C517)*Utilities!$B$11))</f>
        <v>1.2700756582330948E-5</v>
      </c>
      <c r="E517">
        <f>EXP(-1*SQRT(Utilities!$B$5/20)/(IF($B$1="Linear",B517,C517)*Utilities!$B$11))</f>
        <v>8.0386480364213739E-2</v>
      </c>
    </row>
    <row r="518" spans="1:5" x14ac:dyDescent="0.3">
      <c r="A518">
        <v>513</v>
      </c>
      <c r="B518">
        <f>Utilities!$B$7+((Utilities!$B$9-Utilities!$B$7)*(A518/Utilities!$B$1))</f>
        <v>47.460650000000001</v>
      </c>
      <c r="C518">
        <f>Utilities!$B$9+((Utilities!$B$7-Utilities!$B$9)*EXP(-$B$2*A518))</f>
        <v>0.50173278154801737</v>
      </c>
      <c r="D518">
        <f>EXP(-1*SQRT(Utilities!$B$5)/(IF($B$1="Linear",B518,C518)*Utilities!$B$11))</f>
        <v>1.2690770789839109E-5</v>
      </c>
      <c r="E518">
        <f>EXP(-1*SQRT(Utilities!$B$5/20)/(IF($B$1="Linear",B518,C518)*Utilities!$B$11))</f>
        <v>8.0372343484755512E-2</v>
      </c>
    </row>
    <row r="519" spans="1:5" x14ac:dyDescent="0.3">
      <c r="A519">
        <v>514</v>
      </c>
      <c r="B519">
        <f>Utilities!$B$7+((Utilities!$B$9-Utilities!$B$7)*(A519/Utilities!$B$1))</f>
        <v>47.4557</v>
      </c>
      <c r="C519">
        <f>Utilities!$B$9+((Utilities!$B$7-Utilities!$B$9)*EXP(-$B$2*A519))</f>
        <v>0.50169847017449709</v>
      </c>
      <c r="D519">
        <f>EXP(-1*SQRT(Utilities!$B$5)/(IF($B$1="Linear",B519,C519)*Utilities!$B$11))</f>
        <v>1.2680988998090714E-5</v>
      </c>
      <c r="E519">
        <f>EXP(-1*SQRT(Utilities!$B$5/20)/(IF($B$1="Linear",B519,C519)*Utilities!$B$11))</f>
        <v>8.0358487033032805E-2</v>
      </c>
    </row>
    <row r="520" spans="1:5" x14ac:dyDescent="0.3">
      <c r="A520">
        <v>515</v>
      </c>
      <c r="B520">
        <f>Utilities!$B$7+((Utilities!$B$9-Utilities!$B$7)*(A520/Utilities!$B$1))</f>
        <v>47.450749999999999</v>
      </c>
      <c r="C520">
        <f>Utilities!$B$9+((Utilities!$B$7-Utilities!$B$9)*EXP(-$B$2*A520))</f>
        <v>0.50166483821169305</v>
      </c>
      <c r="D520">
        <f>EXP(-1*SQRT(Utilities!$B$5)/(IF($B$1="Linear",B520,C520)*Utilities!$B$11))</f>
        <v>1.2671406918889605E-5</v>
      </c>
      <c r="E520">
        <f>EXP(-1*SQRT(Utilities!$B$5/20)/(IF($B$1="Linear",B520,C520)*Utilities!$B$11))</f>
        <v>8.034490543682174E-2</v>
      </c>
    </row>
    <row r="521" spans="1:5" x14ac:dyDescent="0.3">
      <c r="A521">
        <v>516</v>
      </c>
      <c r="B521">
        <f>Utilities!$B$7+((Utilities!$B$9-Utilities!$B$7)*(A521/Utilities!$B$1))</f>
        <v>47.445799999999998</v>
      </c>
      <c r="C521">
        <f>Utilities!$B$9+((Utilities!$B$7-Utilities!$B$9)*EXP(-$B$2*A521))</f>
        <v>0.50163187220637195</v>
      </c>
      <c r="D521">
        <f>EXP(-1*SQRT(Utilities!$B$5)/(IF($B$1="Linear",B521,C521)*Utilities!$B$11))</f>
        <v>1.2662020358873877E-5</v>
      </c>
      <c r="E521">
        <f>EXP(-1*SQRT(Utilities!$B$5/20)/(IF($B$1="Linear",B521,C521)*Utilities!$B$11))</f>
        <v>8.0331593234985899E-2</v>
      </c>
    </row>
    <row r="522" spans="1:5" x14ac:dyDescent="0.3">
      <c r="A522">
        <v>517</v>
      </c>
      <c r="B522">
        <f>Utilities!$B$7+((Utilities!$B$9-Utilities!$B$7)*(A522/Utilities!$B$1))</f>
        <v>47.440849999999998</v>
      </c>
      <c r="C522">
        <f>Utilities!$B$9+((Utilities!$B$7-Utilities!$B$9)*EXP(-$B$2*A522))</f>
        <v>0.50159955897169195</v>
      </c>
      <c r="D522">
        <f>EXP(-1*SQRT(Utilities!$B$5)/(IF($B$1="Linear",B522,C522)*Utilities!$B$11))</f>
        <v>1.2652825217238877E-5</v>
      </c>
      <c r="E522">
        <f>EXP(-1*SQRT(Utilities!$B$5/20)/(IF($B$1="Linear",B522,C522)*Utilities!$B$11))</f>
        <v>8.0318545075247452E-2</v>
      </c>
    </row>
    <row r="523" spans="1:5" x14ac:dyDescent="0.3">
      <c r="A523">
        <v>518</v>
      </c>
      <c r="B523">
        <f>Utilities!$B$7+((Utilities!$B$9-Utilities!$B$7)*(A523/Utilities!$B$1))</f>
        <v>47.435900000000004</v>
      </c>
      <c r="C523">
        <f>Utilities!$B$9+((Utilities!$B$7-Utilities!$B$9)*EXP(-$B$2*A523))</f>
        <v>0.50156788558192833</v>
      </c>
      <c r="D523">
        <f>EXP(-1*SQRT(Utilities!$B$5)/(IF($B$1="Linear",B523,C523)*Utilities!$B$11))</f>
        <v>1.2643817483521767E-5</v>
      </c>
      <c r="E523">
        <f>EXP(-1*SQRT(Utilities!$B$5/20)/(IF($B$1="Linear",B523,C523)*Utilities!$B$11))</f>
        <v>8.0305755712004198E-2</v>
      </c>
    </row>
    <row r="524" spans="1:5" x14ac:dyDescent="0.3">
      <c r="A524">
        <v>519</v>
      </c>
      <c r="B524">
        <f>Utilities!$B$7+((Utilities!$B$9-Utilities!$B$7)*(A524/Utilities!$B$1))</f>
        <v>47.430950000000003</v>
      </c>
      <c r="C524">
        <f>Utilities!$B$9+((Utilities!$B$7-Utilities!$B$9)*EXP(-$B$2*A524))</f>
        <v>0.50153683936730298</v>
      </c>
      <c r="D524">
        <f>EXP(-1*SQRT(Utilities!$B$5)/(IF($B$1="Linear",B524,C524)*Utilities!$B$11))</f>
        <v>1.2634993235445411E-5</v>
      </c>
      <c r="E524">
        <f>EXP(-1*SQRT(Utilities!$B$5/20)/(IF($B$1="Linear",B524,C524)*Utilities!$B$11))</f>
        <v>8.0293220004190619E-2</v>
      </c>
    </row>
    <row r="525" spans="1:5" x14ac:dyDescent="0.3">
      <c r="A525">
        <v>520</v>
      </c>
      <c r="B525">
        <f>Utilities!$B$7+((Utilities!$B$9-Utilities!$B$7)*(A525/Utilities!$B$1))</f>
        <v>47.426000000000002</v>
      </c>
      <c r="C525">
        <f>Utilities!$B$9+((Utilities!$B$7-Utilities!$B$9)*EXP(-$B$2*A525))</f>
        <v>0.50150640790891599</v>
      </c>
      <c r="D525">
        <f>EXP(-1*SQRT(Utilities!$B$5)/(IF($B$1="Linear",B525,C525)*Utilities!$B$11))</f>
        <v>1.2626348636819701E-5</v>
      </c>
      <c r="E525">
        <f>EXP(-1*SQRT(Utilities!$B$5/20)/(IF($B$1="Linear",B525,C525)*Utilities!$B$11))</f>
        <v>8.0280932913181918E-2</v>
      </c>
    </row>
    <row r="526" spans="1:5" x14ac:dyDescent="0.3">
      <c r="A526">
        <v>521</v>
      </c>
      <c r="B526">
        <f>Utilities!$B$7+((Utilities!$B$9-Utilities!$B$7)*(A526/Utilities!$B$1))</f>
        <v>47.421050000000001</v>
      </c>
      <c r="C526">
        <f>Utilities!$B$9+((Utilities!$B$7-Utilities!$B$9)*EXP(-$B$2*A526))</f>
        <v>0.50147657903377829</v>
      </c>
      <c r="D526">
        <f>EXP(-1*SQRT(Utilities!$B$5)/(IF($B$1="Linear",B526,C526)*Utilities!$B$11))</f>
        <v>1.2617879935499119E-5</v>
      </c>
      <c r="E526">
        <f>EXP(-1*SQRT(Utilities!$B$5/20)/(IF($B$1="Linear",B526,C526)*Utilities!$B$11))</f>
        <v>8.0268889500741292E-2</v>
      </c>
    </row>
    <row r="527" spans="1:5" x14ac:dyDescent="0.3">
      <c r="A527">
        <v>522</v>
      </c>
      <c r="B527">
        <f>Utilities!$B$7+((Utilities!$B$9-Utilities!$B$7)*(A527/Utilities!$B$1))</f>
        <v>47.4161</v>
      </c>
      <c r="C527">
        <f>Utilities!$B$9+((Utilities!$B$7-Utilities!$B$9)*EXP(-$B$2*A527))</f>
        <v>0.50144734080994202</v>
      </c>
      <c r="D527">
        <f>EXP(-1*SQRT(Utilities!$B$5)/(IF($B$1="Linear",B527,C527)*Utilities!$B$11))</f>
        <v>1.2609583461394077E-5</v>
      </c>
      <c r="E527">
        <f>EXP(-1*SQRT(Utilities!$B$5/20)/(IF($B$1="Linear",B527,C527)*Utilities!$B$11))</f>
        <v>8.0257084927008102E-2</v>
      </c>
    </row>
    <row r="528" spans="1:5" x14ac:dyDescent="0.3">
      <c r="A528">
        <v>523</v>
      </c>
      <c r="B528">
        <f>Utilities!$B$7+((Utilities!$B$9-Utilities!$B$7)*(A528/Utilities!$B$1))</f>
        <v>47.411149999999999</v>
      </c>
      <c r="C528">
        <f>Utilities!$B$9+((Utilities!$B$7-Utilities!$B$9)*EXP(-$B$2*A528))</f>
        <v>0.50141868154172786</v>
      </c>
      <c r="D528">
        <f>EXP(-1*SQRT(Utilities!$B$5)/(IF($B$1="Linear",B528,C528)*Utilities!$B$11))</f>
        <v>1.2601455624535049E-5</v>
      </c>
      <c r="E528">
        <f>EXP(-1*SQRT(Utilities!$B$5/20)/(IF($B$1="Linear",B528,C528)*Utilities!$B$11))</f>
        <v>8.0245514448527275E-2</v>
      </c>
    </row>
    <row r="529" spans="1:5" x14ac:dyDescent="0.3">
      <c r="A529">
        <v>524</v>
      </c>
      <c r="B529">
        <f>Utilities!$B$7+((Utilities!$B$9-Utilities!$B$7)*(A529/Utilities!$B$1))</f>
        <v>47.406199999999998</v>
      </c>
      <c r="C529">
        <f>Utilities!$B$9+((Utilities!$B$7-Utilities!$B$9)*EXP(-$B$2*A529))</f>
        <v>0.50139058976504647</v>
      </c>
      <c r="D529">
        <f>EXP(-1*SQRT(Utilities!$B$5)/(IF($B$1="Linear",B529,C529)*Utilities!$B$11))</f>
        <v>1.2593492913187571E-5</v>
      </c>
      <c r="E529">
        <f>EXP(-1*SQRT(Utilities!$B$5/20)/(IF($B$1="Linear",B529,C529)*Utilities!$B$11))</f>
        <v>8.023417341631818E-2</v>
      </c>
    </row>
    <row r="530" spans="1:5" x14ac:dyDescent="0.3">
      <c r="A530">
        <v>525</v>
      </c>
      <c r="B530">
        <f>Utilities!$B$7+((Utilities!$B$9-Utilities!$B$7)*(A530/Utilities!$B$1))</f>
        <v>47.401249999999997</v>
      </c>
      <c r="C530">
        <f>Utilities!$B$9+((Utilities!$B$7-Utilities!$B$9)*EXP(-$B$2*A530))</f>
        <v>0.50136305424281247</v>
      </c>
      <c r="D530">
        <f>EXP(-1*SQRT(Utilities!$B$5)/(IF($B$1="Linear",B530,C530)*Utilities!$B$11))</f>
        <v>1.2585691892016418E-5</v>
      </c>
      <c r="E530">
        <f>EXP(-1*SQRT(Utilities!$B$5/20)/(IF($B$1="Linear",B530,C530)*Utilities!$B$11))</f>
        <v>8.0223057273982934E-2</v>
      </c>
    </row>
    <row r="531" spans="1:5" x14ac:dyDescent="0.3">
      <c r="A531">
        <v>526</v>
      </c>
      <c r="B531">
        <f>Utilities!$B$7+((Utilities!$B$9-Utilities!$B$7)*(A531/Utilities!$B$1))</f>
        <v>47.396299999999997</v>
      </c>
      <c r="C531">
        <f>Utilities!$B$9+((Utilities!$B$7-Utilities!$B$9)*EXP(-$B$2*A531))</f>
        <v>0.50133606396044994</v>
      </c>
      <c r="D531">
        <f>EXP(-1*SQRT(Utilities!$B$5)/(IF($B$1="Linear",B531,C531)*Utilities!$B$11))</f>
        <v>1.2578049200298186E-5</v>
      </c>
      <c r="E531">
        <f>EXP(-1*SQRT(Utilities!$B$5/20)/(IF($B$1="Linear",B531,C531)*Utilities!$B$11))</f>
        <v>8.021216155585284E-2</v>
      </c>
    </row>
    <row r="532" spans="1:5" x14ac:dyDescent="0.3">
      <c r="A532">
        <v>527</v>
      </c>
      <c r="B532">
        <f>Utilities!$B$7+((Utilities!$B$9-Utilities!$B$7)*(A532/Utilities!$B$1))</f>
        <v>47.391350000000003</v>
      </c>
      <c r="C532">
        <f>Utilities!$B$9+((Utilities!$B$7-Utilities!$B$9)*EXP(-$B$2*A532))</f>
        <v>0.50130960812148595</v>
      </c>
      <c r="D532">
        <f>EXP(-1*SQRT(Utilities!$B$5)/(IF($B$1="Linear",B532,C532)*Utilities!$B$11))</f>
        <v>1.2570561550179996E-5</v>
      </c>
      <c r="E532">
        <f>EXP(-1*SQRT(Utilities!$B$5/20)/(IF($B$1="Linear",B532,C532)*Utilities!$B$11))</f>
        <v>8.0201481885172177E-2</v>
      </c>
    </row>
    <row r="533" spans="1:5" x14ac:dyDescent="0.3">
      <c r="A533">
        <v>528</v>
      </c>
      <c r="B533">
        <f>Utilities!$B$7+((Utilities!$B$9-Utilities!$B$7)*(A533/Utilities!$B$1))</f>
        <v>47.386400000000002</v>
      </c>
      <c r="C533">
        <f>Utilities!$B$9+((Utilities!$B$7-Utilities!$B$9)*EXP(-$B$2*A533))</f>
        <v>0.50128367614323233</v>
      </c>
      <c r="D533">
        <f>EXP(-1*SQRT(Utilities!$B$5)/(IF($B$1="Linear",B533,C533)*Utilities!$B$11))</f>
        <v>1.256322572498353E-5</v>
      </c>
      <c r="E533">
        <f>EXP(-1*SQRT(Utilities!$B$5/20)/(IF($B$1="Linear",B533,C533)*Utilities!$B$11))</f>
        <v>8.0191013972318981E-2</v>
      </c>
    </row>
    <row r="534" spans="1:5" x14ac:dyDescent="0.3">
      <c r="A534">
        <v>529</v>
      </c>
      <c r="B534">
        <f>Utilities!$B$7+((Utilities!$B$9-Utilities!$B$7)*(A534/Utilities!$B$1))</f>
        <v>47.381450000000001</v>
      </c>
      <c r="C534">
        <f>Utilities!$B$9+((Utilities!$B$7-Utilities!$B$9)*EXP(-$B$2*A534))</f>
        <v>0.50125825765255183</v>
      </c>
      <c r="D534">
        <f>EXP(-1*SQRT(Utilities!$B$5)/(IF($B$1="Linear",B534,C534)*Utilities!$B$11))</f>
        <v>1.2556038577552744E-5</v>
      </c>
      <c r="E534">
        <f>EXP(-1*SQRT(Utilities!$B$5/20)/(IF($B$1="Linear",B534,C534)*Utilities!$B$11))</f>
        <v>8.0180753613061401E-2</v>
      </c>
    </row>
    <row r="535" spans="1:5" x14ac:dyDescent="0.3">
      <c r="A535">
        <v>530</v>
      </c>
      <c r="B535">
        <f>Utilities!$B$7+((Utilities!$B$9-Utilities!$B$7)*(A535/Utilities!$B$1))</f>
        <v>47.3765</v>
      </c>
      <c r="C535">
        <f>Utilities!$B$9+((Utilities!$B$7-Utilities!$B$9)*EXP(-$B$2*A535))</f>
        <v>0.50123334248170937</v>
      </c>
      <c r="D535">
        <f>EXP(-1*SQRT(Utilities!$B$5)/(IF($B$1="Linear",B535,C535)*Utilities!$B$11))</f>
        <v>1.254899702864426E-5</v>
      </c>
      <c r="E535">
        <f>EXP(-1*SQRT(Utilities!$B$5/20)/(IF($B$1="Linear",B535,C535)*Utilities!$B$11))</f>
        <v>8.017069668684966E-2</v>
      </c>
    </row>
    <row r="536" spans="1:5" x14ac:dyDescent="0.3">
      <c r="A536">
        <v>531</v>
      </c>
      <c r="B536">
        <f>Utilities!$B$7+((Utilities!$B$9-Utilities!$B$7)*(A536/Utilities!$B$1))</f>
        <v>47.371549999999999</v>
      </c>
      <c r="C536">
        <f>Utilities!$B$9+((Utilities!$B$7-Utilities!$B$9)*EXP(-$B$2*A536))</f>
        <v>0.50120892066430445</v>
      </c>
      <c r="D536">
        <f>EXP(-1*SQRT(Utilities!$B$5)/(IF($B$1="Linear",B536,C536)*Utilities!$B$11))</f>
        <v>1.2542098065358923E-5</v>
      </c>
      <c r="E536">
        <f>EXP(-1*SQRT(Utilities!$B$5/20)/(IF($B$1="Linear",B536,C536)*Utilities!$B$11))</f>
        <v>8.016083915514241E-2</v>
      </c>
    </row>
    <row r="537" spans="1:5" x14ac:dyDescent="0.3">
      <c r="A537">
        <v>532</v>
      </c>
      <c r="B537">
        <f>Utilities!$B$7+((Utilities!$B$9-Utilities!$B$7)*(A537/Utilities!$B$1))</f>
        <v>47.366599999999998</v>
      </c>
      <c r="C537">
        <f>Utilities!$B$9+((Utilities!$B$7-Utilities!$B$9)*EXP(-$B$2*A537))</f>
        <v>0.50118498243128429</v>
      </c>
      <c r="D537">
        <f>EXP(-1*SQRT(Utilities!$B$5)/(IF($B$1="Linear",B537,C537)*Utilities!$B$11))</f>
        <v>1.2535338739613437E-5</v>
      </c>
      <c r="E537">
        <f>EXP(-1*SQRT(Utilities!$B$5/20)/(IF($B$1="Linear",B537,C537)*Utilities!$B$11))</f>
        <v>8.0151177059766404E-2</v>
      </c>
    </row>
    <row r="538" spans="1:5" x14ac:dyDescent="0.3">
      <c r="A538">
        <v>533</v>
      </c>
      <c r="B538">
        <f>Utilities!$B$7+((Utilities!$B$9-Utilities!$B$7)*(A538/Utilities!$B$1))</f>
        <v>47.361649999999997</v>
      </c>
      <c r="C538">
        <f>Utilities!$B$9+((Utilities!$B$7-Utilities!$B$9)*EXP(-$B$2*A538))</f>
        <v>0.50116151820703669</v>
      </c>
      <c r="D538">
        <f>EXP(-1*SQRT(Utilities!$B$5)/(IF($B$1="Linear",B538,C538)*Utilities!$B$11))</f>
        <v>1.2528716166651008E-5</v>
      </c>
      <c r="E538">
        <f>EXP(-1*SQRT(Utilities!$B$5/20)/(IF($B$1="Linear",B538,C538)*Utilities!$B$11))</f>
        <v>8.0141706521310099E-2</v>
      </c>
    </row>
    <row r="539" spans="1:5" x14ac:dyDescent="0.3">
      <c r="A539">
        <v>534</v>
      </c>
      <c r="B539">
        <f>Utilities!$B$7+((Utilities!$B$9-Utilities!$B$7)*(A539/Utilities!$B$1))</f>
        <v>47.356700000000004</v>
      </c>
      <c r="C539">
        <f>Utilities!$B$9+((Utilities!$B$7-Utilities!$B$9)*EXP(-$B$2*A539))</f>
        <v>0.50113851860555902</v>
      </c>
      <c r="D539">
        <f>EXP(-1*SQRT(Utilities!$B$5)/(IF($B$1="Linear",B539,C539)*Utilities!$B$11))</f>
        <v>1.2522227523589685E-5</v>
      </c>
      <c r="E539">
        <f>EXP(-1*SQRT(Utilities!$B$5/20)/(IF($B$1="Linear",B539,C539)*Utilities!$B$11))</f>
        <v>8.0132423737548905E-2</v>
      </c>
    </row>
    <row r="540" spans="1:5" x14ac:dyDescent="0.3">
      <c r="A540">
        <v>535</v>
      </c>
      <c r="B540">
        <f>Utilities!$B$7+((Utilities!$B$9-Utilities!$B$7)*(A540/Utilities!$B$1))</f>
        <v>47.351750000000003</v>
      </c>
      <c r="C540">
        <f>Utilities!$B$9+((Utilities!$B$7-Utilities!$B$9)*EXP(-$B$2*A540))</f>
        <v>0.50111597442670397</v>
      </c>
      <c r="D540">
        <f>EXP(-1*SQRT(Utilities!$B$5)/(IF($B$1="Linear",B540,C540)*Utilities!$B$11))</f>
        <v>1.2515870048007394E-5</v>
      </c>
      <c r="E540">
        <f>EXP(-1*SQRT(Utilities!$B$5/20)/(IF($B$1="Linear",B540,C540)*Utilities!$B$11))</f>
        <v>8.0123324981902652E-2</v>
      </c>
    </row>
    <row r="541" spans="1:5" x14ac:dyDescent="0.3">
      <c r="A541">
        <v>536</v>
      </c>
      <c r="B541">
        <f>Utilities!$B$7+((Utilities!$B$9-Utilities!$B$7)*(A541/Utilities!$B$1))</f>
        <v>47.346800000000002</v>
      </c>
      <c r="C541">
        <f>Utilities!$B$9+((Utilities!$B$7-Utilities!$B$9)*EXP(-$B$2*A541))</f>
        <v>0.50109387665249949</v>
      </c>
      <c r="D541">
        <f>EXP(-1*SQRT(Utilities!$B$5)/(IF($B$1="Linear",B541,C541)*Utilities!$B$11))</f>
        <v>1.2509641036562762E-5</v>
      </c>
      <c r="E541">
        <f>EXP(-1*SQRT(Utilities!$B$5/20)/(IF($B$1="Linear",B541,C541)*Utilities!$B$11))</f>
        <v>8.0114406601923871E-2</v>
      </c>
    </row>
    <row r="542" spans="1:5" x14ac:dyDescent="0.3">
      <c r="A542">
        <v>537</v>
      </c>
      <c r="B542">
        <f>Utilities!$B$7+((Utilities!$B$9-Utilities!$B$7)*(A542/Utilities!$B$1))</f>
        <v>47.341850000000001</v>
      </c>
      <c r="C542">
        <f>Utilities!$B$9+((Utilities!$B$7-Utilities!$B$9)*EXP(-$B$2*A542))</f>
        <v>0.50107221644354127</v>
      </c>
      <c r="D542">
        <f>EXP(-1*SQRT(Utilities!$B$5)/(IF($B$1="Linear",B542,C542)*Utilities!$B$11))</f>
        <v>1.2503537843650334E-5</v>
      </c>
      <c r="E542">
        <f>EXP(-1*SQRT(Utilities!$B$5/20)/(IF($B$1="Linear",B542,C542)*Utilities!$B$11))</f>
        <v>8.0105665017816796E-2</v>
      </c>
    </row>
    <row r="543" spans="1:5" x14ac:dyDescent="0.3">
      <c r="A543">
        <v>538</v>
      </c>
      <c r="B543">
        <f>Utilities!$B$7+((Utilities!$B$9-Utilities!$B$7)*(A543/Utilities!$B$1))</f>
        <v>47.3369</v>
      </c>
      <c r="C543">
        <f>Utilities!$B$9+((Utilities!$B$7-Utilities!$B$9)*EXP(-$B$2*A543))</f>
        <v>0.50105098513545687</v>
      </c>
      <c r="D543">
        <f>EXP(-1*SQRT(Utilities!$B$5)/(IF($B$1="Linear",B543,C543)*Utilities!$B$11))</f>
        <v>1.2497557880089803E-5</v>
      </c>
      <c r="E543">
        <f>EXP(-1*SQRT(Utilities!$B$5/20)/(IF($B$1="Linear",B543,C543)*Utilities!$B$11))</f>
        <v>8.0097096720985861E-2</v>
      </c>
    </row>
    <row r="544" spans="1:5" x14ac:dyDescent="0.3">
      <c r="A544">
        <v>539</v>
      </c>
      <c r="B544">
        <f>Utilities!$B$7+((Utilities!$B$9-Utilities!$B$7)*(A544/Utilities!$B$1))</f>
        <v>47.331949999999999</v>
      </c>
      <c r="C544">
        <f>Utilities!$B$9+((Utilities!$B$7-Utilities!$B$9)*EXP(-$B$2*A544))</f>
        <v>0.50103017423543994</v>
      </c>
      <c r="D544">
        <f>EXP(-1*SQRT(Utilities!$B$5)/(IF($B$1="Linear",B544,C544)*Utilities!$B$11))</f>
        <v>1.2491698611847464E-5</v>
      </c>
      <c r="E544">
        <f>EXP(-1*SQRT(Utilities!$B$5/20)/(IF($B$1="Linear",B544,C544)*Utilities!$B$11))</f>
        <v>8.0088698272613834E-2</v>
      </c>
    </row>
    <row r="545" spans="1:5" x14ac:dyDescent="0.3">
      <c r="A545">
        <v>540</v>
      </c>
      <c r="B545">
        <f>Utilities!$B$7+((Utilities!$B$9-Utilities!$B$7)*(A545/Utilities!$B$1))</f>
        <v>47.326999999999998</v>
      </c>
      <c r="C545">
        <f>Utilities!$B$9+((Utilities!$B$7-Utilities!$B$9)*EXP(-$B$2*A545))</f>
        <v>0.50100977541885305</v>
      </c>
      <c r="D545">
        <f>EXP(-1*SQRT(Utilities!$B$5)/(IF($B$1="Linear",B545,C545)*Utilities!$B$11))</f>
        <v>1.2485957558789984E-5</v>
      </c>
      <c r="E545">
        <f>EXP(-1*SQRT(Utilities!$B$5/20)/(IF($B$1="Linear",B545,C545)*Utilities!$B$11))</f>
        <v>8.0080466302268241E-2</v>
      </c>
    </row>
    <row r="546" spans="1:5" x14ac:dyDescent="0.3">
      <c r="A546">
        <v>541</v>
      </c>
      <c r="B546">
        <f>Utilities!$B$7+((Utilities!$B$9-Utilities!$B$7)*(A546/Utilities!$B$1))</f>
        <v>47.322049999999997</v>
      </c>
      <c r="C546">
        <f>Utilities!$B$9+((Utilities!$B$7-Utilities!$B$9)*EXP(-$B$2*A546))</f>
        <v>0.50098978052589749</v>
      </c>
      <c r="D546">
        <f>EXP(-1*SQRT(Utilities!$B$5)/(IF($B$1="Linear",B546,C546)*Utilities!$B$11))</f>
        <v>1.2480332293468546E-5</v>
      </c>
      <c r="E546">
        <f>EXP(-1*SQRT(Utilities!$B$5/20)/(IF($B$1="Linear",B546,C546)*Utilities!$B$11))</f>
        <v>8.0072397506535956E-2</v>
      </c>
    </row>
    <row r="547" spans="1:5" x14ac:dyDescent="0.3">
      <c r="A547">
        <v>542</v>
      </c>
      <c r="B547">
        <f>Utilities!$B$7+((Utilities!$B$9-Utilities!$B$7)*(A547/Utilities!$B$1))</f>
        <v>47.317099999999996</v>
      </c>
      <c r="C547">
        <f>Utilities!$B$9+((Utilities!$B$7-Utilities!$B$9)*EXP(-$B$2*A547))</f>
        <v>0.5009701815583496</v>
      </c>
      <c r="D547">
        <f>EXP(-1*SQRT(Utilities!$B$5)/(IF($B$1="Linear",B547,C547)*Utilities!$B$11))</f>
        <v>1.2474820439933493E-5</v>
      </c>
      <c r="E547">
        <f>EXP(-1*SQRT(Utilities!$B$5/20)/(IF($B$1="Linear",B547,C547)*Utilities!$B$11))</f>
        <v>8.0064488647685367E-2</v>
      </c>
    </row>
    <row r="548" spans="1:5" x14ac:dyDescent="0.3">
      <c r="A548">
        <v>543</v>
      </c>
      <c r="B548">
        <f>Utilities!$B$7+((Utilities!$B$9-Utilities!$B$7)*(A548/Utilities!$B$1))</f>
        <v>47.312150000000003</v>
      </c>
      <c r="C548">
        <f>Utilities!$B$9+((Utilities!$B$7-Utilities!$B$9)*EXP(-$B$2*A548))</f>
        <v>0.50095097067636096</v>
      </c>
      <c r="D548">
        <f>EXP(-1*SQRT(Utilities!$B$5)/(IF($B$1="Linear",B548,C548)*Utilities!$B$11))</f>
        <v>1.2469419672577648E-5</v>
      </c>
      <c r="E548">
        <f>EXP(-1*SQRT(Utilities!$B$5/20)/(IF($B$1="Linear",B548,C548)*Utilities!$B$11))</f>
        <v>8.005673655235522E-2</v>
      </c>
    </row>
    <row r="549" spans="1:5" x14ac:dyDescent="0.3">
      <c r="A549">
        <v>544</v>
      </c>
      <c r="B549">
        <f>Utilities!$B$7+((Utilities!$B$9-Utilities!$B$7)*(A549/Utilities!$B$1))</f>
        <v>47.307200000000002</v>
      </c>
      <c r="C549">
        <f>Utilities!$B$9+((Utilities!$B$7-Utilities!$B$9)*EXP(-$B$2*A549))</f>
        <v>0.50093214019532262</v>
      </c>
      <c r="D549">
        <f>EXP(-1*SQRT(Utilities!$B$5)/(IF($B$1="Linear",B549,C549)*Utilities!$B$11))</f>
        <v>1.2464127715008499E-5</v>
      </c>
      <c r="E549">
        <f>EXP(-1*SQRT(Utilities!$B$5/20)/(IF($B$1="Linear",B549,C549)*Utilities!$B$11))</f>
        <v>8.0049138110270091E-2</v>
      </c>
    </row>
    <row r="550" spans="1:5" x14ac:dyDescent="0.3">
      <c r="A550">
        <v>545</v>
      </c>
      <c r="B550">
        <f>Utilities!$B$7+((Utilities!$B$9-Utilities!$B$7)*(A550/Utilities!$B$1))</f>
        <v>47.302250000000001</v>
      </c>
      <c r="C550">
        <f>Utilities!$B$9+((Utilities!$B$7-Utilities!$B$9)*EXP(-$B$2*A550))</f>
        <v>0.50091368258279112</v>
      </c>
      <c r="D550">
        <f>EXP(-1*SQRT(Utilities!$B$5)/(IF($B$1="Linear",B550,C550)*Utilities!$B$11))</f>
        <v>1.245894233894774E-5</v>
      </c>
      <c r="E550">
        <f>EXP(-1*SQRT(Utilities!$B$5/20)/(IF($B$1="Linear",B550,C550)*Utilities!$B$11))</f>
        <v>8.0041690272981442E-2</v>
      </c>
    </row>
    <row r="551" spans="1:5" x14ac:dyDescent="0.3">
      <c r="A551">
        <v>546</v>
      </c>
      <c r="B551">
        <f>Utilities!$B$7+((Utilities!$B$9-Utilities!$B$7)*(A551/Utilities!$B$1))</f>
        <v>47.2973</v>
      </c>
      <c r="C551">
        <f>Utilities!$B$9+((Utilities!$B$7-Utilities!$B$9)*EXP(-$B$2*A551))</f>
        <v>0.50089559045547538</v>
      </c>
      <c r="D551">
        <f>EXP(-1*SQRT(Utilities!$B$5)/(IF($B$1="Linear",B551,C551)*Utilities!$B$11))</f>
        <v>1.2453861363157563E-5</v>
      </c>
      <c r="E551">
        <f>EXP(-1*SQRT(Utilities!$B$5/20)/(IF($B$1="Linear",B551,C551)*Utilities!$B$11))</f>
        <v>8.0034390052634186E-2</v>
      </c>
    </row>
    <row r="552" spans="1:5" x14ac:dyDescent="0.3">
      <c r="A552">
        <v>547</v>
      </c>
      <c r="B552">
        <f>Utilities!$B$7+((Utilities!$B$9-Utilities!$B$7)*(A552/Utilities!$B$1))</f>
        <v>47.292349999999999</v>
      </c>
      <c r="C552">
        <f>Utilities!$B$9+((Utilities!$B$7-Utilities!$B$9)*EXP(-$B$2*A552))</f>
        <v>0.50087785657628314</v>
      </c>
      <c r="D552">
        <f>EXP(-1*SQRT(Utilities!$B$5)/(IF($B$1="Linear",B552,C552)*Utilities!$B$11))</f>
        <v>1.2448882652393242E-5</v>
      </c>
      <c r="E552">
        <f>EXP(-1*SQRT(Utilities!$B$5/20)/(IF($B$1="Linear",B552,C552)*Utilities!$B$11))</f>
        <v>8.0027234520757759E-2</v>
      </c>
    </row>
    <row r="553" spans="1:5" x14ac:dyDescent="0.3">
      <c r="A553">
        <v>548</v>
      </c>
      <c r="B553">
        <f>Utilities!$B$7+((Utilities!$B$9-Utilities!$B$7)*(A553/Utilities!$B$1))</f>
        <v>47.287399999999998</v>
      </c>
      <c r="C553">
        <f>Utilities!$B$9+((Utilities!$B$7-Utilities!$B$9)*EXP(-$B$2*A553))</f>
        <v>0.5008604738514264</v>
      </c>
      <c r="D553">
        <f>EXP(-1*SQRT(Utilities!$B$5)/(IF($B$1="Linear",B553,C553)*Utilities!$B$11))</f>
        <v>1.2444004116381044E-5</v>
      </c>
      <c r="E553">
        <f>EXP(-1*SQRT(Utilities!$B$5/20)/(IF($B$1="Linear",B553,C553)*Utilities!$B$11))</f>
        <v>8.0020220807081904E-2</v>
      </c>
    </row>
    <row r="554" spans="1:5" x14ac:dyDescent="0.3">
      <c r="A554">
        <v>549</v>
      </c>
      <c r="B554">
        <f>Utilities!$B$7+((Utilities!$B$9-Utilities!$B$7)*(A554/Utilities!$B$1))</f>
        <v>47.282449999999997</v>
      </c>
      <c r="C554">
        <f>Utilities!$B$9+((Utilities!$B$7-Utilities!$B$9)*EXP(-$B$2*A554))</f>
        <v>0.50084343532758324</v>
      </c>
      <c r="D554">
        <f>EXP(-1*SQRT(Utilities!$B$5)/(IF($B$1="Linear",B554,C554)*Utilities!$B$11))</f>
        <v>1.2439223708820683E-5</v>
      </c>
      <c r="E554">
        <f>EXP(-1*SQRT(Utilities!$B$5/20)/(IF($B$1="Linear",B554,C554)*Utilities!$B$11))</f>
        <v>8.0013346098375709E-2</v>
      </c>
    </row>
    <row r="555" spans="1:5" x14ac:dyDescent="0.3">
      <c r="A555">
        <v>550</v>
      </c>
      <c r="B555">
        <f>Utilities!$B$7+((Utilities!$B$9-Utilities!$B$7)*(A555/Utilities!$B$1))</f>
        <v>47.277500000000003</v>
      </c>
      <c r="C555">
        <f>Utilities!$B$9+((Utilities!$B$7-Utilities!$B$9)*EXP(-$B$2*A555))</f>
        <v>0.50082673418911716</v>
      </c>
      <c r="D555">
        <f>EXP(-1*SQRT(Utilities!$B$5)/(IF($B$1="Linear",B555,C555)*Utilities!$B$11))</f>
        <v>1.2434539426412157E-5</v>
      </c>
      <c r="E555">
        <f>EXP(-1*SQRT(Utilities!$B$5/20)/(IF($B$1="Linear",B555,C555)*Utilities!$B$11))</f>
        <v>8.0006607637310531E-2</v>
      </c>
    </row>
    <row r="556" spans="1:5" x14ac:dyDescent="0.3">
      <c r="A556">
        <v>551</v>
      </c>
      <c r="B556">
        <f>Utilities!$B$7+((Utilities!$B$9-Utilities!$B$7)*(A556/Utilities!$B$1))</f>
        <v>47.272550000000003</v>
      </c>
      <c r="C556">
        <f>Utilities!$B$9+((Utilities!$B$7-Utilities!$B$9)*EXP(-$B$2*A556))</f>
        <v>0.50081036375534993</v>
      </c>
      <c r="D556">
        <f>EXP(-1*SQRT(Utilities!$B$5)/(IF($B$1="Linear",B556,C556)*Utilities!$B$11))</f>
        <v>1.2429949307905501E-5</v>
      </c>
      <c r="E556">
        <f>EXP(-1*SQRT(Utilities!$B$5/20)/(IF($B$1="Linear",B556,C556)*Utilities!$B$11))</f>
        <v>8.0000002721345095E-2</v>
      </c>
    </row>
    <row r="557" spans="1:5" x14ac:dyDescent="0.3">
      <c r="A557">
        <v>552</v>
      </c>
      <c r="B557">
        <f>Utilities!$B$7+((Utilities!$B$9-Utilities!$B$7)*(A557/Utilities!$B$1))</f>
        <v>47.267600000000002</v>
      </c>
      <c r="C557">
        <f>Utilities!$B$9+((Utilities!$B$7-Utilities!$B$9)*EXP(-$B$2*A557))</f>
        <v>0.50079431747788994</v>
      </c>
      <c r="D557">
        <f>EXP(-1*SQRT(Utilities!$B$5)/(IF($B$1="Linear",B557,C557)*Utilities!$B$11))</f>
        <v>1.2425451433173695E-5</v>
      </c>
      <c r="E557">
        <f>EXP(-1*SQRT(Utilities!$B$5/20)/(IF($B$1="Linear",B557,C557)*Utilities!$B$11))</f>
        <v>7.9993528701633537E-2</v>
      </c>
    </row>
    <row r="558" spans="1:5" x14ac:dyDescent="0.3">
      <c r="A558">
        <v>553</v>
      </c>
      <c r="B558">
        <f>Utilities!$B$7+((Utilities!$B$9-Utilities!$B$7)*(A558/Utilities!$B$1))</f>
        <v>47.262650000000001</v>
      </c>
      <c r="C558">
        <f>Utilities!$B$9+((Utilities!$B$7-Utilities!$B$9)*EXP(-$B$2*A558))</f>
        <v>0.50077858893801208</v>
      </c>
      <c r="D558">
        <f>EXP(-1*SQRT(Utilities!$B$5)/(IF($B$1="Linear",B558,C558)*Utilities!$B$11))</f>
        <v>1.2421043922307408E-5</v>
      </c>
      <c r="E558">
        <f>EXP(-1*SQRT(Utilities!$B$5/20)/(IF($B$1="Linear",B558,C558)*Utilities!$B$11))</f>
        <v>7.9987182981955007E-2</v>
      </c>
    </row>
    <row r="559" spans="1:5" x14ac:dyDescent="0.3">
      <c r="A559">
        <v>554</v>
      </c>
      <c r="B559">
        <f>Utilities!$B$7+((Utilities!$B$9-Utilities!$B$7)*(A559/Utilities!$B$1))</f>
        <v>47.2577</v>
      </c>
      <c r="C559">
        <f>Utilities!$B$9+((Utilities!$B$7-Utilities!$B$9)*EXP(-$B$2*A559))</f>
        <v>0.5007631718440908</v>
      </c>
      <c r="D559">
        <f>EXP(-1*SQRT(Utilities!$B$5)/(IF($B$1="Linear",B559,C559)*Utilities!$B$11))</f>
        <v>1.241672493473162E-5</v>
      </c>
      <c r="E559">
        <f>EXP(-1*SQRT(Utilities!$B$5/20)/(IF($B$1="Linear",B559,C559)*Utilities!$B$11))</f>
        <v>7.9980963017664941E-2</v>
      </c>
    </row>
    <row r="560" spans="1:5" x14ac:dyDescent="0.3">
      <c r="A560">
        <v>555</v>
      </c>
      <c r="B560">
        <f>Utilities!$B$7+((Utilities!$B$9-Utilities!$B$7)*(A560/Utilities!$B$1))</f>
        <v>47.252749999999999</v>
      </c>
      <c r="C560">
        <f>Utilities!$B$9+((Utilities!$B$7-Utilities!$B$9)*EXP(-$B$2*A560))</f>
        <v>0.50074806002908279</v>
      </c>
      <c r="D560">
        <f>EXP(-1*SQRT(Utilities!$B$5)/(IF($B$1="Linear",B560,C560)*Utilities!$B$11))</f>
        <v>1.2412492668342765E-5</v>
      </c>
      <c r="E560">
        <f>EXP(-1*SQRT(Utilities!$B$5/20)/(IF($B$1="Linear",B560,C560)*Utilities!$B$11))</f>
        <v>7.9974866314667159E-2</v>
      </c>
    </row>
    <row r="561" spans="1:5" x14ac:dyDescent="0.3">
      <c r="A561">
        <v>556</v>
      </c>
      <c r="B561">
        <f>Utilities!$B$7+((Utilities!$B$9-Utilities!$B$7)*(A561/Utilities!$B$1))</f>
        <v>47.247799999999998</v>
      </c>
      <c r="C561">
        <f>Utilities!$B$9+((Utilities!$B$7-Utilities!$B$9)*EXP(-$B$2*A561))</f>
        <v>0.5007332474480608</v>
      </c>
      <c r="D561">
        <f>EXP(-1*SQRT(Utilities!$B$5)/(IF($B$1="Linear",B561,C561)*Utilities!$B$11))</f>
        <v>1.2408345358666868E-5</v>
      </c>
      <c r="E561">
        <f>EXP(-1*SQRT(Utilities!$B$5/20)/(IF($B$1="Linear",B561,C561)*Utilities!$B$11))</f>
        <v>7.9968890428406839E-2</v>
      </c>
    </row>
    <row r="562" spans="1:5" x14ac:dyDescent="0.3">
      <c r="A562">
        <v>557</v>
      </c>
      <c r="B562">
        <f>Utilities!$B$7+((Utilities!$B$9-Utilities!$B$7)*(A562/Utilities!$B$1))</f>
        <v>47.242849999999997</v>
      </c>
      <c r="C562">
        <f>Utilities!$B$9+((Utilities!$B$7-Utilities!$B$9)*EXP(-$B$2*A562))</f>
        <v>0.50071872817579477</v>
      </c>
      <c r="D562">
        <f>EXP(-1*SQRT(Utilities!$B$5)/(IF($B$1="Linear",B562,C562)*Utilities!$B$11))</f>
        <v>1.2404281278037054E-5</v>
      </c>
      <c r="E562">
        <f>EXP(-1*SQRT(Utilities!$B$5/20)/(IF($B$1="Linear",B562,C562)*Utilities!$B$11))</f>
        <v>7.996303296288329E-2</v>
      </c>
    </row>
    <row r="563" spans="1:5" x14ac:dyDescent="0.3">
      <c r="A563">
        <v>558</v>
      </c>
      <c r="B563">
        <f>Utilities!$B$7+((Utilities!$B$9-Utilities!$B$7)*(A563/Utilities!$B$1))</f>
        <v>47.237899999999996</v>
      </c>
      <c r="C563">
        <f>Utilities!$B$9+((Utilities!$B$7-Utilities!$B$9)*EXP(-$B$2*A563))</f>
        <v>0.50070449640438219</v>
      </c>
      <c r="D563">
        <f>EXP(-1*SQRT(Utilities!$B$5)/(IF($B$1="Linear",B563,C563)*Utilities!$B$11))</f>
        <v>1.2400298734790646E-5</v>
      </c>
      <c r="E563">
        <f>EXP(-1*SQRT(Utilities!$B$5/20)/(IF($B$1="Linear",B563,C563)*Utilities!$B$11))</f>
        <v>7.9957291569682884E-2</v>
      </c>
    </row>
    <row r="564" spans="1:5" x14ac:dyDescent="0.3">
      <c r="A564">
        <v>559</v>
      </c>
      <c r="B564">
        <f>Utilities!$B$7+((Utilities!$B$9-Utilities!$B$7)*(A564/Utilities!$B$1))</f>
        <v>47.232950000000002</v>
      </c>
      <c r="C564">
        <f>Utilities!$B$9+((Utilities!$B$7-Utilities!$B$9)*EXP(-$B$2*A564))</f>
        <v>0.50069054644092481</v>
      </c>
      <c r="D564">
        <f>EXP(-1*SQRT(Utilities!$B$5)/(IF($B$1="Linear",B564,C564)*Utilities!$B$11))</f>
        <v>1.2396396072485173E-5</v>
      </c>
      <c r="E564">
        <f>EXP(-1*SQRT(Utilities!$B$5/20)/(IF($B$1="Linear",B564,C564)*Utilities!$B$11))</f>
        <v>7.9951663947031265E-2</v>
      </c>
    </row>
    <row r="565" spans="1:5" x14ac:dyDescent="0.3">
      <c r="A565">
        <v>560</v>
      </c>
      <c r="B565">
        <f>Utilities!$B$7+((Utilities!$B$9-Utilities!$B$7)*(A565/Utilities!$B$1))</f>
        <v>47.228000000000002</v>
      </c>
      <c r="C565">
        <f>Utilities!$B$9+((Utilities!$B$7-Utilities!$B$9)*EXP(-$B$2*A565))</f>
        <v>0.50067687270525119</v>
      </c>
      <c r="D565">
        <f>EXP(-1*SQRT(Utilities!$B$5)/(IF($B$1="Linear",B565,C565)*Utilities!$B$11))</f>
        <v>1.2392571669132577E-5</v>
      </c>
      <c r="E565">
        <f>EXP(-1*SQRT(Utilities!$B$5/20)/(IF($B$1="Linear",B565,C565)*Utilities!$B$11))</f>
        <v>7.9946147838864362E-2</v>
      </c>
    </row>
    <row r="566" spans="1:5" x14ac:dyDescent="0.3">
      <c r="A566">
        <v>561</v>
      </c>
      <c r="B566">
        <f>Utilities!$B$7+((Utilities!$B$9-Utilities!$B$7)*(A566/Utilities!$B$1))</f>
        <v>47.223050000000001</v>
      </c>
      <c r="C566">
        <f>Utilities!$B$9+((Utilities!$B$7-Utilities!$B$9)*EXP(-$B$2*A566))</f>
        <v>0.50066346972768483</v>
      </c>
      <c r="D566">
        <f>EXP(-1*SQRT(Utilities!$B$5)/(IF($B$1="Linear",B566,C566)*Utilities!$B$11))</f>
        <v>1.2388823936451483E-5</v>
      </c>
      <c r="E566">
        <f>EXP(-1*SQRT(Utilities!$B$5/20)/(IF($B$1="Linear",B566,C566)*Utilities!$B$11))</f>
        <v>7.9940741033918072E-2</v>
      </c>
    </row>
    <row r="567" spans="1:5" x14ac:dyDescent="0.3">
      <c r="A567">
        <v>562</v>
      </c>
      <c r="B567">
        <f>Utilities!$B$7+((Utilities!$B$9-Utilities!$B$7)*(A567/Utilities!$B$1))</f>
        <v>47.2181</v>
      </c>
      <c r="C567">
        <f>Utilities!$B$9+((Utilities!$B$7-Utilities!$B$9)*EXP(-$B$2*A567))</f>
        <v>0.50065033214685584</v>
      </c>
      <c r="D567">
        <f>EXP(-1*SQRT(Utilities!$B$5)/(IF($B$1="Linear",B567,C567)*Utilities!$B$11))</f>
        <v>1.238515131913664E-5</v>
      </c>
      <c r="E567">
        <f>EXP(-1*SQRT(Utilities!$B$5/20)/(IF($B$1="Linear",B567,C567)*Utilities!$B$11))</f>
        <v>7.9935441364836407E-2</v>
      </c>
    </row>
    <row r="568" spans="1:5" x14ac:dyDescent="0.3">
      <c r="A568">
        <v>563</v>
      </c>
      <c r="B568">
        <f>Utilities!$B$7+((Utilities!$B$9-Utilities!$B$7)*(A568/Utilities!$B$1))</f>
        <v>47.213149999999999</v>
      </c>
      <c r="C568">
        <f>Utilities!$B$9+((Utilities!$B$7-Utilities!$B$9)*EXP(-$B$2*A568))</f>
        <v>0.50063745470755683</v>
      </c>
      <c r="D568">
        <f>EXP(-1*SQRT(Utilities!$B$5)/(IF($B$1="Linear",B568,C568)*Utilities!$B$11))</f>
        <v>1.2381552294145688E-5</v>
      </c>
      <c r="E568">
        <f>EXP(-1*SQRT(Utilities!$B$5/20)/(IF($B$1="Linear",B568,C568)*Utilities!$B$11))</f>
        <v>7.9930246707297176E-2</v>
      </c>
    </row>
    <row r="569" spans="1:5" x14ac:dyDescent="0.3">
      <c r="A569">
        <v>564</v>
      </c>
      <c r="B569">
        <f>Utilities!$B$7+((Utilities!$B$9-Utilities!$B$7)*(A569/Utilities!$B$1))</f>
        <v>47.208199999999998</v>
      </c>
      <c r="C569">
        <f>Utilities!$B$9+((Utilities!$B$7-Utilities!$B$9)*EXP(-$B$2*A569))</f>
        <v>0.5006248322586403</v>
      </c>
      <c r="D569">
        <f>EXP(-1*SQRT(Utilities!$B$5)/(IF($B$1="Linear",B569,C569)*Utilities!$B$11))</f>
        <v>1.2378025370002075E-5</v>
      </c>
      <c r="E569">
        <f>EXP(-1*SQRT(Utilities!$B$5/20)/(IF($B$1="Linear",B569,C569)*Utilities!$B$11))</f>
        <v>7.9925154979155352E-2</v>
      </c>
    </row>
    <row r="570" spans="1:5" x14ac:dyDescent="0.3">
      <c r="A570">
        <v>565</v>
      </c>
      <c r="B570">
        <f>Utilities!$B$7+((Utilities!$B$9-Utilities!$B$7)*(A570/Utilities!$B$1))</f>
        <v>47.203249999999997</v>
      </c>
      <c r="C570">
        <f>Utilities!$B$9+((Utilities!$B$7-Utilities!$B$9)*EXP(-$B$2*A570))</f>
        <v>0.50061245975095847</v>
      </c>
      <c r="D570">
        <f>EXP(-1*SQRT(Utilities!$B$5)/(IF($B$1="Linear",B570,C570)*Utilities!$B$11))</f>
        <v>1.2374569086114394E-5</v>
      </c>
      <c r="E570">
        <f>EXP(-1*SQRT(Utilities!$B$5/20)/(IF($B$1="Linear",B570,C570)*Utilities!$B$11))</f>
        <v>7.9920164139603497E-2</v>
      </c>
    </row>
    <row r="571" spans="1:5" x14ac:dyDescent="0.3">
      <c r="A571">
        <v>566</v>
      </c>
      <c r="B571">
        <f>Utilities!$B$7+((Utilities!$B$9-Utilities!$B$7)*(A571/Utilities!$B$1))</f>
        <v>47.198300000000003</v>
      </c>
      <c r="C571">
        <f>Utilities!$B$9+((Utilities!$B$7-Utilities!$B$9)*EXP(-$B$2*A571))</f>
        <v>0.50060033223534328</v>
      </c>
      <c r="D571">
        <f>EXP(-1*SQRT(Utilities!$B$5)/(IF($B$1="Linear",B571,C571)*Utilities!$B$11))</f>
        <v>1.2371182012111206E-5</v>
      </c>
      <c r="E571">
        <f>EXP(-1*SQRT(Utilities!$B$5/20)/(IF($B$1="Linear",B571,C571)*Utilities!$B$11))</f>
        <v>7.9915272188348971E-2</v>
      </c>
    </row>
    <row r="572" spans="1:5" x14ac:dyDescent="0.3">
      <c r="A572">
        <v>567</v>
      </c>
      <c r="B572">
        <f>Utilities!$B$7+((Utilities!$B$9-Utilities!$B$7)*(A572/Utilities!$B$1))</f>
        <v>47.193350000000002</v>
      </c>
      <c r="C572">
        <f>Utilities!$B$9+((Utilities!$B$7-Utilities!$B$9)*EXP(-$B$2*A572))</f>
        <v>0.50058844486062681</v>
      </c>
      <c r="D572">
        <f>EXP(-1*SQRT(Utilities!$B$5)/(IF($B$1="Linear",B572,C572)*Utilities!$B$11))</f>
        <v>1.236786274719128E-5</v>
      </c>
      <c r="E572">
        <f>EXP(-1*SQRT(Utilities!$B$5/20)/(IF($B$1="Linear",B572,C572)*Utilities!$B$11))</f>
        <v>7.9910477164807703E-2</v>
      </c>
    </row>
    <row r="573" spans="1:5" x14ac:dyDescent="0.3">
      <c r="A573">
        <v>568</v>
      </c>
      <c r="B573">
        <f>Utilities!$B$7+((Utilities!$B$9-Utilities!$B$7)*(A573/Utilities!$B$1))</f>
        <v>47.188400000000001</v>
      </c>
      <c r="C573">
        <f>Utilities!$B$9+((Utilities!$B$7-Utilities!$B$9)*EXP(-$B$2*A573))</f>
        <v>0.50057679287170054</v>
      </c>
      <c r="D573">
        <f>EXP(-1*SQRT(Utilities!$B$5)/(IF($B$1="Linear",B573,C573)*Utilities!$B$11))</f>
        <v>1.2364609919488713E-5</v>
      </c>
      <c r="E573">
        <f>EXP(-1*SQRT(Utilities!$B$5/20)/(IF($B$1="Linear",B573,C573)*Utilities!$B$11))</f>
        <v>7.9905777147313922E-2</v>
      </c>
    </row>
    <row r="574" spans="1:5" x14ac:dyDescent="0.3">
      <c r="A574">
        <v>569</v>
      </c>
      <c r="B574">
        <f>Utilities!$B$7+((Utilities!$B$9-Utilities!$B$7)*(A574/Utilities!$B$1))</f>
        <v>47.183450000000001</v>
      </c>
      <c r="C574">
        <f>Utilities!$B$9+((Utilities!$B$7-Utilities!$B$9)*EXP(-$B$2*A574))</f>
        <v>0.50056537160761372</v>
      </c>
      <c r="D574">
        <f>EXP(-1*SQRT(Utilities!$B$5)/(IF($B$1="Linear",B574,C574)*Utilities!$B$11))</f>
        <v>1.2361422185452592E-5</v>
      </c>
      <c r="E574">
        <f>EXP(-1*SQRT(Utilities!$B$5/20)/(IF($B$1="Linear",B574,C574)*Utilities!$B$11))</f>
        <v>7.9901170252345971E-2</v>
      </c>
    </row>
    <row r="575" spans="1:5" x14ac:dyDescent="0.3">
      <c r="A575">
        <v>570</v>
      </c>
      <c r="B575">
        <f>Utilities!$B$7+((Utilities!$B$9-Utilities!$B$7)*(A575/Utilities!$B$1))</f>
        <v>47.1785</v>
      </c>
      <c r="C575">
        <f>Utilities!$B$9+((Utilities!$B$7-Utilities!$B$9)*EXP(-$B$2*A575))</f>
        <v>0.50055417649970824</v>
      </c>
      <c r="D575">
        <f>EXP(-1*SQRT(Utilities!$B$5)/(IF($B$1="Linear",B575,C575)*Utilities!$B$11))</f>
        <v>1.2358298229240739E-5</v>
      </c>
      <c r="E575">
        <f>EXP(-1*SQRT(Utilities!$B$5/20)/(IF($B$1="Linear",B575,C575)*Utilities!$B$11))</f>
        <v>7.9896654633766995E-2</v>
      </c>
    </row>
    <row r="576" spans="1:5" x14ac:dyDescent="0.3">
      <c r="A576">
        <v>571</v>
      </c>
      <c r="B576">
        <f>Utilities!$B$7+((Utilities!$B$9-Utilities!$B$7)*(A576/Utilities!$B$1))</f>
        <v>47.173549999999999</v>
      </c>
      <c r="C576">
        <f>Utilities!$B$9+((Utilities!$B$7-Utilities!$B$9)*EXP(-$B$2*A576))</f>
        <v>0.50054320306979183</v>
      </c>
      <c r="D576">
        <f>EXP(-1*SQRT(Utilities!$B$5)/(IF($B$1="Linear",B576,C576)*Utilities!$B$11))</f>
        <v>1.2355236762127525E-5</v>
      </c>
      <c r="E576">
        <f>EXP(-1*SQRT(Utilities!$B$5/20)/(IF($B$1="Linear",B576,C576)*Utilities!$B$11))</f>
        <v>7.9892228482081842E-2</v>
      </c>
    </row>
    <row r="577" spans="1:5" x14ac:dyDescent="0.3">
      <c r="A577">
        <v>572</v>
      </c>
      <c r="B577">
        <f>Utilities!$B$7+((Utilities!$B$9-Utilities!$B$7)*(A577/Utilities!$B$1))</f>
        <v>47.168599999999998</v>
      </c>
      <c r="C577">
        <f>Utilities!$B$9+((Utilities!$B$7-Utilities!$B$9)*EXP(-$B$2*A577))</f>
        <v>0.50053244692834609</v>
      </c>
      <c r="D577">
        <f>EXP(-1*SQRT(Utilities!$B$5)/(IF($B$1="Linear",B577,C577)*Utilities!$B$11))</f>
        <v>1.2352236521924667E-5</v>
      </c>
      <c r="E577">
        <f>EXP(-1*SQRT(Utilities!$B$5/20)/(IF($B$1="Linear",B577,C577)*Utilities!$B$11))</f>
        <v>7.9887890023707483E-2</v>
      </c>
    </row>
    <row r="578" spans="1:5" x14ac:dyDescent="0.3">
      <c r="A578">
        <v>573</v>
      </c>
      <c r="B578">
        <f>Utilities!$B$7+((Utilities!$B$9-Utilities!$B$7)*(A578/Utilities!$B$1))</f>
        <v>47.163649999999997</v>
      </c>
      <c r="C578">
        <f>Utilities!$B$9+((Utilities!$B$7-Utilities!$B$9)*EXP(-$B$2*A578))</f>
        <v>0.50052190377277106</v>
      </c>
      <c r="D578">
        <f>EXP(-1*SQRT(Utilities!$B$5)/(IF($B$1="Linear",B578,C578)*Utilities!$B$11))</f>
        <v>1.2349296272415772E-5</v>
      </c>
      <c r="E578">
        <f>EXP(-1*SQRT(Utilities!$B$5/20)/(IF($B$1="Linear",B578,C578)*Utilities!$B$11))</f>
        <v>7.9883637520259232E-2</v>
      </c>
    </row>
    <row r="579" spans="1:5" x14ac:dyDescent="0.3">
      <c r="A579">
        <v>574</v>
      </c>
      <c r="B579">
        <f>Utilities!$B$7+((Utilities!$B$9-Utilities!$B$7)*(A579/Utilities!$B$1))</f>
        <v>47.158700000000003</v>
      </c>
      <c r="C579">
        <f>Utilities!$B$9+((Utilities!$B$7-Utilities!$B$9)*EXP(-$B$2*A579))</f>
        <v>0.50051156938566399</v>
      </c>
      <c r="D579">
        <f>EXP(-1*SQRT(Utilities!$B$5)/(IF($B$1="Linear",B579,C579)*Utilities!$B$11))</f>
        <v>1.2346414802803141E-5</v>
      </c>
      <c r="E579">
        <f>EXP(-1*SQRT(Utilities!$B$5/20)/(IF($B$1="Linear",B579,C579)*Utilities!$B$11))</f>
        <v>7.9879469267850542E-2</v>
      </c>
    </row>
    <row r="580" spans="1:5" x14ac:dyDescent="0.3">
      <c r="A580">
        <v>575</v>
      </c>
      <c r="B580">
        <f>Utilities!$B$7+((Utilities!$B$9-Utilities!$B$7)*(A580/Utilities!$B$1))</f>
        <v>47.153750000000002</v>
      </c>
      <c r="C580">
        <f>Utilities!$B$9+((Utilities!$B$7-Utilities!$B$9)*EXP(-$B$2*A580))</f>
        <v>0.50050143963313221</v>
      </c>
      <c r="D580">
        <f>EXP(-1*SQRT(Utilities!$B$5)/(IF($B$1="Linear",B580,C580)*Utilities!$B$11))</f>
        <v>1.2343590927167389E-5</v>
      </c>
      <c r="E580">
        <f>EXP(-1*SQRT(Utilities!$B$5/20)/(IF($B$1="Linear",B580,C580)*Utilities!$B$11))</f>
        <v>7.9875383596406752E-2</v>
      </c>
    </row>
    <row r="581" spans="1:5" x14ac:dyDescent="0.3">
      <c r="A581">
        <v>576</v>
      </c>
      <c r="B581">
        <f>Utilities!$B$7+((Utilities!$B$9-Utilities!$B$7)*(A581/Utilities!$B$1))</f>
        <v>47.148800000000001</v>
      </c>
      <c r="C581">
        <f>Utilities!$B$9+((Utilities!$B$7-Utilities!$B$9)*EXP(-$B$2*A581))</f>
        <v>0.50049151046313967</v>
      </c>
      <c r="D581">
        <f>EXP(-1*SQRT(Utilities!$B$5)/(IF($B$1="Linear",B581,C581)*Utilities!$B$11))</f>
        <v>1.2340823483939091E-5</v>
      </c>
      <c r="E581">
        <f>EXP(-1*SQRT(Utilities!$B$5/20)/(IF($B$1="Linear",B581,C581)*Utilities!$B$11))</f>
        <v>7.9871378868993037E-2</v>
      </c>
    </row>
    <row r="582" spans="1:5" x14ac:dyDescent="0.3">
      <c r="A582">
        <v>577</v>
      </c>
      <c r="B582">
        <f>Utilities!$B$7+((Utilities!$B$9-Utilities!$B$7)*(A582/Utilities!$B$1))</f>
        <v>47.14385</v>
      </c>
      <c r="C582">
        <f>Utilities!$B$9+((Utilities!$B$7-Utilities!$B$9)*EXP(-$B$2*A582))</f>
        <v>0.50048177790388582</v>
      </c>
      <c r="D582">
        <f>EXP(-1*SQRT(Utilities!$B$5)/(IF($B$1="Linear",B582,C582)*Utilities!$B$11))</f>
        <v>1.2338111335382302E-5</v>
      </c>
      <c r="E582">
        <f>EXP(-1*SQRT(Utilities!$B$5/20)/(IF($B$1="Linear",B582,C582)*Utilities!$B$11))</f>
        <v>7.9867453481155232E-2</v>
      </c>
    </row>
    <row r="583" spans="1:5" x14ac:dyDescent="0.3">
      <c r="A583">
        <v>578</v>
      </c>
      <c r="B583">
        <f>Utilities!$B$7+((Utilities!$B$9-Utilities!$B$7)*(A583/Utilities!$B$1))</f>
        <v>47.1389</v>
      </c>
      <c r="C583">
        <f>Utilities!$B$9+((Utilities!$B$7-Utilities!$B$9)*EXP(-$B$2*A583))</f>
        <v>0.50047223806221741</v>
      </c>
      <c r="D583">
        <f>EXP(-1*SQRT(Utilities!$B$5)/(IF($B$1="Linear",B583,C583)*Utilities!$B$11))</f>
        <v>1.2335453367089914E-5</v>
      </c>
      <c r="E583">
        <f>EXP(-1*SQRT(Utilities!$B$5/20)/(IF($B$1="Linear",B583,C583)*Utilities!$B$11))</f>
        <v>7.9863605860274176E-2</v>
      </c>
    </row>
    <row r="584" spans="1:5" x14ac:dyDescent="0.3">
      <c r="A584">
        <v>579</v>
      </c>
      <c r="B584">
        <f>Utilities!$B$7+((Utilities!$B$9-Utilities!$B$7)*(A584/Utilities!$B$1))</f>
        <v>47.133949999999999</v>
      </c>
      <c r="C584">
        <f>Utilities!$B$9+((Utilities!$B$7-Utilities!$B$9)*EXP(-$B$2*A584))</f>
        <v>0.50046288712207043</v>
      </c>
      <c r="D584">
        <f>EXP(-1*SQRT(Utilities!$B$5)/(IF($B$1="Linear",B584,C584)*Utilities!$B$11))</f>
        <v>1.2332848487489833E-5</v>
      </c>
      <c r="E584">
        <f>EXP(-1*SQRT(Utilities!$B$5/20)/(IF($B$1="Linear",B584,C584)*Utilities!$B$11))</f>
        <v>7.9859834464932805E-2</v>
      </c>
    </row>
    <row r="585" spans="1:5" x14ac:dyDescent="0.3">
      <c r="A585">
        <v>580</v>
      </c>
      <c r="B585">
        <f>Utilities!$B$7+((Utilities!$B$9-Utilities!$B$7)*(A585/Utilities!$B$1))</f>
        <v>47.128999999999998</v>
      </c>
      <c r="C585">
        <f>Utilities!$B$9+((Utilities!$B$7-Utilities!$B$9)*EXP(-$B$2*A585))</f>
        <v>0.5004537213429443</v>
      </c>
      <c r="D585">
        <f>EXP(-1*SQRT(Utilities!$B$5)/(IF($B$1="Linear",B585,C585)*Utilities!$B$11))</f>
        <v>1.2330295627362683E-5</v>
      </c>
      <c r="E585">
        <f>EXP(-1*SQRT(Utilities!$B$5/20)/(IF($B$1="Linear",B585,C585)*Utilities!$B$11))</f>
        <v>7.985613778429583E-2</v>
      </c>
    </row>
    <row r="586" spans="1:5" x14ac:dyDescent="0.3">
      <c r="A586">
        <v>581</v>
      </c>
      <c r="B586">
        <f>Utilities!$B$7+((Utilities!$B$9-Utilities!$B$7)*(A586/Utilities!$B$1))</f>
        <v>47.124049999999997</v>
      </c>
      <c r="C586">
        <f>Utilities!$B$9+((Utilities!$B$7-Utilities!$B$9)*EXP(-$B$2*A586))</f>
        <v>0.50044473705840486</v>
      </c>
      <c r="D586">
        <f>EXP(-1*SQRT(Utilities!$B$5)/(IF($B$1="Linear",B586,C586)*Utilities!$B$11))</f>
        <v>1.2327793739369847E-5</v>
      </c>
      <c r="E586">
        <f>EXP(-1*SQRT(Utilities!$B$5/20)/(IF($B$1="Linear",B586,C586)*Utilities!$B$11))</f>
        <v>7.9852514337501776E-2</v>
      </c>
    </row>
    <row r="587" spans="1:5" x14ac:dyDescent="0.3">
      <c r="A587">
        <v>582</v>
      </c>
      <c r="B587">
        <f>Utilities!$B$7+((Utilities!$B$9-Utilities!$B$7)*(A587/Utilities!$B$1))</f>
        <v>47.119100000000003</v>
      </c>
      <c r="C587">
        <f>Utilities!$B$9+((Utilities!$B$7-Utilities!$B$9)*EXP(-$B$2*A587))</f>
        <v>0.50043593067461889</v>
      </c>
      <c r="D587">
        <f>EXP(-1*SQRT(Utilities!$B$5)/(IF($B$1="Linear",B587,C587)*Utilities!$B$11))</f>
        <v>1.2325341797592477E-5</v>
      </c>
      <c r="E587">
        <f>EXP(-1*SQRT(Utilities!$B$5/20)/(IF($B$1="Linear",B587,C587)*Utilities!$B$11))</f>
        <v>7.9848962673067583E-2</v>
      </c>
    </row>
    <row r="588" spans="1:5" x14ac:dyDescent="0.3">
      <c r="A588">
        <v>583</v>
      </c>
      <c r="B588">
        <f>Utilities!$B$7+((Utilities!$B$9-Utilities!$B$7)*(A588/Utilities!$B$1))</f>
        <v>47.114150000000002</v>
      </c>
      <c r="C588">
        <f>Utilities!$B$9+((Utilities!$B$7-Utilities!$B$9)*EXP(-$B$2*A588))</f>
        <v>0.50042729866891511</v>
      </c>
      <c r="D588">
        <f>EXP(-1*SQRT(Utilities!$B$5)/(IF($B$1="Linear",B588,C588)*Utilities!$B$11))</f>
        <v>1.2322938797080151E-5</v>
      </c>
      <c r="E588">
        <f>EXP(-1*SQRT(Utilities!$B$5/20)/(IF($B$1="Linear",B588,C588)*Utilities!$B$11))</f>
        <v>7.9845481368304147E-2</v>
      </c>
    </row>
    <row r="589" spans="1:5" x14ac:dyDescent="0.3">
      <c r="A589">
        <v>584</v>
      </c>
      <c r="B589">
        <f>Utilities!$B$7+((Utilities!$B$9-Utilities!$B$7)*(A589/Utilities!$B$1))</f>
        <v>47.109200000000001</v>
      </c>
      <c r="C589">
        <f>Utilities!$B$9+((Utilities!$B$7-Utilities!$B$9)*EXP(-$B$2*A589))</f>
        <v>0.50041883758837635</v>
      </c>
      <c r="D589">
        <f>EXP(-1*SQRT(Utilities!$B$5)/(IF($B$1="Linear",B589,C589)*Utilities!$B$11))</f>
        <v>1.2320583753410078E-5</v>
      </c>
      <c r="E589">
        <f>EXP(-1*SQRT(Utilities!$B$5/20)/(IF($B$1="Linear",B589,C589)*Utilities!$B$11))</f>
        <v>7.9842069028744675E-2</v>
      </c>
    </row>
    <row r="590" spans="1:5" x14ac:dyDescent="0.3">
      <c r="A590">
        <v>585</v>
      </c>
      <c r="B590">
        <f>Utilities!$B$7+((Utilities!$B$9-Utilities!$B$7)*(A590/Utilities!$B$1))</f>
        <v>47.10425</v>
      </c>
      <c r="C590">
        <f>Utilities!$B$9+((Utilities!$B$7-Utilities!$B$9)*EXP(-$B$2*A590))</f>
        <v>0.50041054404845753</v>
      </c>
      <c r="D590">
        <f>EXP(-1*SQRT(Utilities!$B$5)/(IF($B$1="Linear",B590,C590)*Utilities!$B$11))</f>
        <v>1.2318275702255723E-5</v>
      </c>
      <c r="E590">
        <f>EXP(-1*SQRT(Utilities!$B$5/20)/(IF($B$1="Linear",B590,C590)*Utilities!$B$11))</f>
        <v>7.9838724287583512E-2</v>
      </c>
    </row>
    <row r="591" spans="1:5" x14ac:dyDescent="0.3">
      <c r="A591">
        <v>586</v>
      </c>
      <c r="B591">
        <f>Utilities!$B$7+((Utilities!$B$9-Utilities!$B$7)*(A591/Utilities!$B$1))</f>
        <v>47.099299999999999</v>
      </c>
      <c r="C591">
        <f>Utilities!$B$9+((Utilities!$B$7-Utilities!$B$9)*EXP(-$B$2*A591))</f>
        <v>0.50040241473163205</v>
      </c>
      <c r="D591">
        <f>EXP(-1*SQRT(Utilities!$B$5)/(IF($B$1="Linear",B591,C591)*Utilities!$B$11))</f>
        <v>1.2316013698965101E-5</v>
      </c>
      <c r="E591">
        <f>EXP(-1*SQRT(Utilities!$B$5/20)/(IF($B$1="Linear",B591,C591)*Utilities!$B$11))</f>
        <v>7.9835445805126484E-2</v>
      </c>
    </row>
    <row r="592" spans="1:5" x14ac:dyDescent="0.3">
      <c r="A592">
        <v>587</v>
      </c>
      <c r="B592">
        <f>Utilities!$B$7+((Utilities!$B$9-Utilities!$B$7)*(A592/Utilities!$B$1))</f>
        <v>47.094349999999999</v>
      </c>
      <c r="C592">
        <f>Utilities!$B$9+((Utilities!$B$7-Utilities!$B$9)*EXP(-$B$2*A592))</f>
        <v>0.50039444638606478</v>
      </c>
      <c r="D592">
        <f>EXP(-1*SQRT(Utilities!$B$5)/(IF($B$1="Linear",B592,C592)*Utilities!$B$11))</f>
        <v>1.2313796818148315E-5</v>
      </c>
      <c r="E592">
        <f>EXP(-1*SQRT(Utilities!$B$5/20)/(IF($B$1="Linear",B592,C592)*Utilities!$B$11))</f>
        <v>7.9832232268252451E-2</v>
      </c>
    </row>
    <row r="593" spans="1:5" x14ac:dyDescent="0.3">
      <c r="A593">
        <v>588</v>
      </c>
      <c r="B593">
        <f>Utilities!$B$7+((Utilities!$B$9-Utilities!$B$7)*(A593/Utilities!$B$1))</f>
        <v>47.089399999999998</v>
      </c>
      <c r="C593">
        <f>Utilities!$B$9+((Utilities!$B$7-Utilities!$B$9)*EXP(-$B$2*A593))</f>
        <v>0.50038663582431131</v>
      </c>
      <c r="D593">
        <f>EXP(-1*SQRT(Utilities!$B$5)/(IF($B$1="Linear",B593,C593)*Utilities!$B$11))</f>
        <v>1.2311624153274159E-5</v>
      </c>
      <c r="E593">
        <f>EXP(-1*SQRT(Utilities!$B$5/20)/(IF($B$1="Linear",B593,C593)*Utilities!$B$11))</f>
        <v>7.9829082389885259E-2</v>
      </c>
    </row>
    <row r="594" spans="1:5" x14ac:dyDescent="0.3">
      <c r="A594">
        <v>589</v>
      </c>
      <c r="B594">
        <f>Utilities!$B$7+((Utilities!$B$9-Utilities!$B$7)*(A594/Utilities!$B$1))</f>
        <v>47.084449999999997</v>
      </c>
      <c r="C594">
        <f>Utilities!$B$9+((Utilities!$B$7-Utilities!$B$9)*EXP(-$B$2*A594))</f>
        <v>0.50037897992204283</v>
      </c>
      <c r="D594">
        <f>EXP(-1*SQRT(Utilities!$B$5)/(IF($B$1="Linear",B594,C594)*Utilities!$B$11))</f>
        <v>1.2309494816275605E-5</v>
      </c>
      <c r="E594">
        <f>EXP(-1*SQRT(Utilities!$B$5/20)/(IF($B$1="Linear",B594,C594)*Utilities!$B$11))</f>
        <v>7.982599490847625E-2</v>
      </c>
    </row>
    <row r="595" spans="1:5" x14ac:dyDescent="0.3">
      <c r="A595">
        <v>590</v>
      </c>
      <c r="B595">
        <f>Utilities!$B$7+((Utilities!$B$9-Utilities!$B$7)*(A595/Utilities!$B$1))</f>
        <v>47.079500000000003</v>
      </c>
      <c r="C595">
        <f>Utilities!$B$9+((Utilities!$B$7-Utilities!$B$9)*EXP(-$B$2*A595))</f>
        <v>0.50037147561679629</v>
      </c>
      <c r="D595">
        <f>EXP(-1*SQRT(Utilities!$B$5)/(IF($B$1="Linear",B595,C595)*Utilities!$B$11))</f>
        <v>1.2307407937163928E-5</v>
      </c>
      <c r="E595">
        <f>EXP(-1*SQRT(Utilities!$B$5/20)/(IF($B$1="Linear",B595,C595)*Utilities!$B$11))</f>
        <v>7.9822968587497142E-2</v>
      </c>
    </row>
    <row r="596" spans="1:5" x14ac:dyDescent="0.3">
      <c r="A596">
        <v>591</v>
      </c>
      <c r="B596">
        <f>Utilities!$B$7+((Utilities!$B$9-Utilities!$B$7)*(A596/Utilities!$B$1))</f>
        <v>47.074550000000002</v>
      </c>
      <c r="C596">
        <f>Utilities!$B$9+((Utilities!$B$7-Utilities!$B$9)*EXP(-$B$2*A596))</f>
        <v>0.50036411990674956</v>
      </c>
      <c r="D596">
        <f>EXP(-1*SQRT(Utilities!$B$5)/(IF($B$1="Linear",B596,C596)*Utilities!$B$11))</f>
        <v>1.2305362663651251E-5</v>
      </c>
      <c r="E596">
        <f>EXP(-1*SQRT(Utilities!$B$5/20)/(IF($B$1="Linear",B596,C596)*Utilities!$B$11))</f>
        <v>7.9820002214943189E-2</v>
      </c>
    </row>
    <row r="597" spans="1:5" x14ac:dyDescent="0.3">
      <c r="A597">
        <v>592</v>
      </c>
      <c r="B597">
        <f>Utilities!$B$7+((Utilities!$B$9-Utilities!$B$7)*(A597/Utilities!$B$1))</f>
        <v>47.069600000000001</v>
      </c>
      <c r="C597">
        <f>Utilities!$B$9+((Utilities!$B$7-Utilities!$B$9)*EXP(-$B$2*A597))</f>
        <v>0.50035690984952053</v>
      </c>
      <c r="D597">
        <f>EXP(-1*SQRT(Utilities!$B$5)/(IF($B$1="Linear",B597,C597)*Utilities!$B$11))</f>
        <v>1.2303358160781343E-5</v>
      </c>
      <c r="E597">
        <f>EXP(-1*SQRT(Utilities!$B$5/20)/(IF($B$1="Linear",B597,C597)*Utilities!$B$11))</f>
        <v>7.9817094602845903E-2</v>
      </c>
    </row>
    <row r="598" spans="1:5" x14ac:dyDescent="0.3">
      <c r="A598">
        <v>593</v>
      </c>
      <c r="B598">
        <f>Utilities!$B$7+((Utilities!$B$9-Utilities!$B$7)*(A598/Utilities!$B$1))</f>
        <v>47.06465</v>
      </c>
      <c r="C598">
        <f>Utilities!$B$9+((Utilities!$B$7-Utilities!$B$9)*EXP(-$B$2*A598))</f>
        <v>0.50034984256099013</v>
      </c>
      <c r="D598">
        <f>EXP(-1*SQRT(Utilities!$B$5)/(IF($B$1="Linear",B598,C598)*Utilities!$B$11))</f>
        <v>1.2301393610568528E-5</v>
      </c>
      <c r="E598">
        <f>EXP(-1*SQRT(Utilities!$B$5/20)/(IF($B$1="Linear",B598,C598)*Utilities!$B$11))</f>
        <v>7.9814244586795799E-2</v>
      </c>
    </row>
    <row r="599" spans="1:5" x14ac:dyDescent="0.3">
      <c r="A599">
        <v>594</v>
      </c>
      <c r="B599">
        <f>Utilities!$B$7+((Utilities!$B$9-Utilities!$B$7)*(A599/Utilities!$B$1))</f>
        <v>47.059699999999999</v>
      </c>
      <c r="C599">
        <f>Utilities!$B$9+((Utilities!$B$7-Utilities!$B$9)*EXP(-$B$2*A599))</f>
        <v>0.50034291521414875</v>
      </c>
      <c r="D599">
        <f>EXP(-1*SQRT(Utilities!$B$5)/(IF($B$1="Linear",B599,C599)*Utilities!$B$11))</f>
        <v>1.2299468211644354E-5</v>
      </c>
      <c r="E599">
        <f>EXP(-1*SQRT(Utilities!$B$5/20)/(IF($B$1="Linear",B599,C599)*Utilities!$B$11))</f>
        <v>7.9811451025474378E-2</v>
      </c>
    </row>
    <row r="600" spans="1:5" x14ac:dyDescent="0.3">
      <c r="A600">
        <v>595</v>
      </c>
      <c r="B600">
        <f>Utilities!$B$7+((Utilities!$B$9-Utilities!$B$7)*(A600/Utilities!$B$1))</f>
        <v>47.054749999999999</v>
      </c>
      <c r="C600">
        <f>Utilities!$B$9+((Utilities!$B$7-Utilities!$B$9)*EXP(-$B$2*A600))</f>
        <v>0.50033612503796532</v>
      </c>
      <c r="D600">
        <f>EXP(-1*SQRT(Utilities!$B$5)/(IF($B$1="Linear",B600,C600)*Utilities!$B$11))</f>
        <v>1.2297581178912085E-5</v>
      </c>
      <c r="E600">
        <f>EXP(-1*SQRT(Utilities!$B$5/20)/(IF($B$1="Linear",B600,C600)*Utilities!$B$11))</f>
        <v>7.980871280019565E-2</v>
      </c>
    </row>
    <row r="601" spans="1:5" x14ac:dyDescent="0.3">
      <c r="A601">
        <v>596</v>
      </c>
      <c r="B601">
        <f>Utilities!$B$7+((Utilities!$B$9-Utilities!$B$7)*(A601/Utilities!$B$1))</f>
        <v>47.049799999999998</v>
      </c>
      <c r="C601">
        <f>Utilities!$B$9+((Utilities!$B$7-Utilities!$B$9)*EXP(-$B$2*A601))</f>
        <v>0.50032946931627875</v>
      </c>
      <c r="D601">
        <f>EXP(-1*SQRT(Utilities!$B$5)/(IF($B$1="Linear",B601,C601)*Utilities!$B$11))</f>
        <v>1.2295731743208405E-5</v>
      </c>
      <c r="E601">
        <f>EXP(-1*SQRT(Utilities!$B$5/20)/(IF($B$1="Linear",B601,C601)*Utilities!$B$11))</f>
        <v>7.9806028814456684E-2</v>
      </c>
    </row>
    <row r="602" spans="1:5" x14ac:dyDescent="0.3">
      <c r="A602">
        <v>597</v>
      </c>
      <c r="B602">
        <f>Utilities!$B$7+((Utilities!$B$9-Utilities!$B$7)*(A602/Utilities!$B$1))</f>
        <v>47.044849999999997</v>
      </c>
      <c r="C602">
        <f>Utilities!$B$9+((Utilities!$B$7-Utilities!$B$9)*EXP(-$B$2*A602))</f>
        <v>0.50032294538671174</v>
      </c>
      <c r="D602">
        <f>EXP(-1*SQRT(Utilities!$B$5)/(IF($B$1="Linear",B602,C602)*Utilities!$B$11))</f>
        <v>1.2293919150972828E-5</v>
      </c>
      <c r="E602">
        <f>EXP(-1*SQRT(Utilities!$B$5/20)/(IF($B$1="Linear",B602,C602)*Utilities!$B$11))</f>
        <v>7.9803397993497102E-2</v>
      </c>
    </row>
    <row r="603" spans="1:5" x14ac:dyDescent="0.3">
      <c r="A603">
        <v>598</v>
      </c>
      <c r="B603">
        <f>Utilities!$B$7+((Utilities!$B$9-Utilities!$B$7)*(A603/Utilities!$B$1))</f>
        <v>47.039900000000003</v>
      </c>
      <c r="C603">
        <f>Utilities!$B$9+((Utilities!$B$7-Utilities!$B$9)*EXP(-$B$2*A603))</f>
        <v>0.50031655063960534</v>
      </c>
      <c r="D603">
        <f>EXP(-1*SQRT(Utilities!$B$5)/(IF($B$1="Linear",B603,C603)*Utilities!$B$11))</f>
        <v>1.2292142663923937E-5</v>
      </c>
      <c r="E603">
        <f>EXP(-1*SQRT(Utilities!$B$5/20)/(IF($B$1="Linear",B603,C603)*Utilities!$B$11))</f>
        <v>7.9800819283867341E-2</v>
      </c>
    </row>
    <row r="604" spans="1:5" x14ac:dyDescent="0.3">
      <c r="A604">
        <v>599</v>
      </c>
      <c r="B604">
        <f>Utilities!$B$7+((Utilities!$B$9-Utilities!$B$7)*(A604/Utilities!$B$1))</f>
        <v>47.034950000000002</v>
      </c>
      <c r="C604">
        <f>Utilities!$B$9+((Utilities!$B$7-Utilities!$B$9)*EXP(-$B$2*A604))</f>
        <v>0.50031028251697562</v>
      </c>
      <c r="D604">
        <f>EXP(-1*SQRT(Utilities!$B$5)/(IF($B$1="Linear",B604,C604)*Utilities!$B$11))</f>
        <v>1.2290401558742884E-5</v>
      </c>
      <c r="E604">
        <f>EXP(-1*SQRT(Utilities!$B$5/20)/(IF($B$1="Linear",B604,C604)*Utilities!$B$11))</f>
        <v>7.9798291653005587E-2</v>
      </c>
    </row>
    <row r="605" spans="1:5" x14ac:dyDescent="0.3">
      <c r="A605">
        <v>600</v>
      </c>
      <c r="B605">
        <f>Utilities!$B$7+((Utilities!$B$9-Utilities!$B$7)*(A605/Utilities!$B$1))</f>
        <v>47.03</v>
      </c>
      <c r="C605">
        <f>Utilities!$B$9+((Utilities!$B$7-Utilities!$B$9)*EXP(-$B$2*A605))</f>
        <v>0.50030413851148969</v>
      </c>
      <c r="D605">
        <f>EXP(-1*SQRT(Utilities!$B$5)/(IF($B$1="Linear",B605,C605)*Utilities!$B$11))</f>
        <v>1.2288695126763364E-5</v>
      </c>
      <c r="E605">
        <f>EXP(-1*SQRT(Utilities!$B$5/20)/(IF($B$1="Linear",B605,C605)*Utilities!$B$11))</f>
        <v>7.9795814088822969E-2</v>
      </c>
    </row>
    <row r="606" spans="1:5" x14ac:dyDescent="0.3">
      <c r="A606">
        <v>601</v>
      </c>
      <c r="B606">
        <f>Utilities!$B$7+((Utilities!$B$9-Utilities!$B$7)*(A606/Utilities!$B$1))</f>
        <v>47.02505</v>
      </c>
      <c r="C606">
        <f>Utilities!$B$9+((Utilities!$B$7-Utilities!$B$9)*EXP(-$B$2*A606))</f>
        <v>0.50029811616546371</v>
      </c>
      <c r="D606">
        <f>EXP(-1*SQRT(Utilities!$B$5)/(IF($B$1="Linear",B606,C606)*Utilities!$B$11))</f>
        <v>1.2287022673668725E-5</v>
      </c>
      <c r="E606">
        <f>EXP(-1*SQRT(Utilities!$B$5/20)/(IF($B$1="Linear",B606,C606)*Utilities!$B$11))</f>
        <v>7.9793385599297356E-2</v>
      </c>
    </row>
    <row r="607" spans="1:5" x14ac:dyDescent="0.3">
      <c r="A607">
        <v>602</v>
      </c>
      <c r="B607">
        <f>Utilities!$B$7+((Utilities!$B$9-Utilities!$B$7)*(A607/Utilities!$B$1))</f>
        <v>47.020099999999999</v>
      </c>
      <c r="C607">
        <f>Utilities!$B$9+((Utilities!$B$7-Utilities!$B$9)*EXP(-$B$2*A607))</f>
        <v>0.50029221306987881</v>
      </c>
      <c r="D607">
        <f>EXP(-1*SQRT(Utilities!$B$5)/(IF($B$1="Linear",B607,C607)*Utilities!$B$11))</f>
        <v>1.2285383519195099E-5</v>
      </c>
      <c r="E607">
        <f>EXP(-1*SQRT(Utilities!$B$5/20)/(IF($B$1="Linear",B607,C607)*Utilities!$B$11))</f>
        <v>7.9791005212074648E-2</v>
      </c>
    </row>
    <row r="608" spans="1:5" x14ac:dyDescent="0.3">
      <c r="A608">
        <v>603</v>
      </c>
      <c r="B608">
        <f>Utilities!$B$7+((Utilities!$B$9-Utilities!$B$7)*(A608/Utilities!$B$1))</f>
        <v>47.015149999999998</v>
      </c>
      <c r="C608">
        <f>Utilities!$B$9+((Utilities!$B$7-Utilities!$B$9)*EXP(-$B$2*A608))</f>
        <v>0.50028642686341818</v>
      </c>
      <c r="D608">
        <f>EXP(-1*SQRT(Utilities!$B$5)/(IF($B$1="Linear",B608,C608)*Utilities!$B$11))</f>
        <v>1.2283776996841366E-5</v>
      </c>
      <c r="E608">
        <f>EXP(-1*SQRT(Utilities!$B$5/20)/(IF($B$1="Linear",B608,C608)*Utilities!$B$11))</f>
        <v>7.9788671974078684E-2</v>
      </c>
    </row>
    <row r="609" spans="1:5" x14ac:dyDescent="0.3">
      <c r="A609">
        <v>604</v>
      </c>
      <c r="B609">
        <f>Utilities!$B$7+((Utilities!$B$9-Utilities!$B$7)*(A609/Utilities!$B$1))</f>
        <v>47.010199999999998</v>
      </c>
      <c r="C609">
        <f>Utilities!$B$9+((Utilities!$B$7-Utilities!$B$9)*EXP(-$B$2*A609))</f>
        <v>0.50028075523152193</v>
      </c>
      <c r="D609">
        <f>EXP(-1*SQRT(Utilities!$B$5)/(IF($B$1="Linear",B609,C609)*Utilities!$B$11))</f>
        <v>1.2282202453584843E-5</v>
      </c>
      <c r="E609">
        <f>EXP(-1*SQRT(Utilities!$B$5/20)/(IF($B$1="Linear",B609,C609)*Utilities!$B$11))</f>
        <v>7.9786384951128303E-2</v>
      </c>
    </row>
    <row r="610" spans="1:5" x14ac:dyDescent="0.3">
      <c r="A610">
        <v>605</v>
      </c>
      <c r="B610">
        <f>Utilities!$B$7+((Utilities!$B$9-Utilities!$B$7)*(A610/Utilities!$B$1))</f>
        <v>47.005250000000004</v>
      </c>
      <c r="C610">
        <f>Utilities!$B$9+((Utilities!$B$7-Utilities!$B$9)*EXP(-$B$2*A610))</f>
        <v>0.50027519590546166</v>
      </c>
      <c r="D610">
        <f>EXP(-1*SQRT(Utilities!$B$5)/(IF($B$1="Linear",B610,C610)*Utilities!$B$11))</f>
        <v>1.228065924960361E-5</v>
      </c>
      <c r="E610">
        <f>EXP(-1*SQRT(Utilities!$B$5/20)/(IF($B$1="Linear",B610,C610)*Utilities!$B$11))</f>
        <v>7.9784143227562457E-2</v>
      </c>
    </row>
    <row r="611" spans="1:5" x14ac:dyDescent="0.3">
      <c r="A611">
        <v>606</v>
      </c>
      <c r="B611">
        <f>Utilities!$B$7+((Utilities!$B$9-Utilities!$B$7)*(A611/Utilities!$B$1))</f>
        <v>47.000300000000003</v>
      </c>
      <c r="C611">
        <f>Utilities!$B$9+((Utilities!$B$7-Utilities!$B$9)*EXP(-$B$2*A611))</f>
        <v>0.50026974666143298</v>
      </c>
      <c r="D611">
        <f>EXP(-1*SQRT(Utilities!$B$5)/(IF($B$1="Linear",B611,C611)*Utilities!$B$11))</f>
        <v>1.2279146758004313E-5</v>
      </c>
      <c r="E611">
        <f>EXP(-1*SQRT(Utilities!$B$5/20)/(IF($B$1="Linear",B611,C611)*Utilities!$B$11))</f>
        <v>7.9781945905872745E-2</v>
      </c>
    </row>
    <row r="612" spans="1:5" x14ac:dyDescent="0.3">
      <c r="A612">
        <v>607</v>
      </c>
      <c r="B612">
        <f>Utilities!$B$7+((Utilities!$B$9-Utilities!$B$7)*(A612/Utilities!$B$1))</f>
        <v>46.995350000000002</v>
      </c>
      <c r="C612">
        <f>Utilities!$B$9+((Utilities!$B$7-Utilities!$B$9)*EXP(-$B$2*A612))</f>
        <v>0.50026440531966554</v>
      </c>
      <c r="D612">
        <f>EXP(-1*SQRT(Utilities!$B$5)/(IF($B$1="Linear",B612,C612)*Utilities!$B$11))</f>
        <v>1.2277664364556012E-5</v>
      </c>
      <c r="E612">
        <f>EXP(-1*SQRT(Utilities!$B$5/20)/(IF($B$1="Linear",B612,C612)*Utilities!$B$11))</f>
        <v>7.9779792106342839E-2</v>
      </c>
    </row>
    <row r="613" spans="1:5" x14ac:dyDescent="0.3">
      <c r="A613">
        <v>608</v>
      </c>
      <c r="B613">
        <f>Utilities!$B$7+((Utilities!$B$9-Utilities!$B$7)*(A613/Utilities!$B$1))</f>
        <v>46.990400000000001</v>
      </c>
      <c r="C613">
        <f>Utilities!$B$9+((Utilities!$B$7-Utilities!$B$9)*EXP(-$B$2*A613))</f>
        <v>0.50025916974355145</v>
      </c>
      <c r="D613">
        <f>EXP(-1*SQRT(Utilities!$B$5)/(IF($B$1="Linear",B613,C613)*Utilities!$B$11))</f>
        <v>1.2276211467429587E-5</v>
      </c>
      <c r="E613">
        <f>EXP(-1*SQRT(Utilities!$B$5/20)/(IF($B$1="Linear",B613,C613)*Utilities!$B$11))</f>
        <v>7.9777680966695574E-2</v>
      </c>
    </row>
    <row r="614" spans="1:5" x14ac:dyDescent="0.3">
      <c r="A614">
        <v>609</v>
      </c>
      <c r="B614">
        <f>Utilities!$B$7+((Utilities!$B$9-Utilities!$B$7)*(A614/Utilities!$B$1))</f>
        <v>46.98545</v>
      </c>
      <c r="C614">
        <f>Utilities!$B$9+((Utilities!$B$7-Utilities!$B$9)*EXP(-$B$2*A614))</f>
        <v>0.5002540378387903</v>
      </c>
      <c r="D614">
        <f>EXP(-1*SQRT(Utilities!$B$5)/(IF($B$1="Linear",B614,C614)*Utilities!$B$11))</f>
        <v>1.2274787476942761E-5</v>
      </c>
      <c r="E614">
        <f>EXP(-1*SQRT(Utilities!$B$5/20)/(IF($B$1="Linear",B614,C614)*Utilities!$B$11))</f>
        <v>7.9775611641746791E-2</v>
      </c>
    </row>
    <row r="615" spans="1:5" x14ac:dyDescent="0.3">
      <c r="A615">
        <v>610</v>
      </c>
      <c r="B615">
        <f>Utilities!$B$7+((Utilities!$B$9-Utilities!$B$7)*(A615/Utilities!$B$1))</f>
        <v>46.980499999999999</v>
      </c>
      <c r="C615">
        <f>Utilities!$B$9+((Utilities!$B$7-Utilities!$B$9)*EXP(-$B$2*A615))</f>
        <v>0.50024900755255197</v>
      </c>
      <c r="D615">
        <f>EXP(-1*SQRT(Utilities!$B$5)/(IF($B$1="Linear",B615,C615)*Utilities!$B$11))</f>
        <v>1.2273391815310678E-5</v>
      </c>
      <c r="E615">
        <f>EXP(-1*SQRT(Utilities!$B$5/20)/(IF($B$1="Linear",B615,C615)*Utilities!$B$11))</f>
        <v>7.9773583303066289E-2</v>
      </c>
    </row>
    <row r="616" spans="1:5" x14ac:dyDescent="0.3">
      <c r="A616">
        <v>611</v>
      </c>
      <c r="B616">
        <f>Utilities!$B$7+((Utilities!$B$9-Utilities!$B$7)*(A616/Utilities!$B$1))</f>
        <v>46.975549999999998</v>
      </c>
      <c r="C616">
        <f>Utilities!$B$9+((Utilities!$B$7-Utilities!$B$9)*EXP(-$B$2*A616))</f>
        <v>0.50024407687265482</v>
      </c>
      <c r="D616">
        <f>EXP(-1*SQRT(Utilities!$B$5)/(IF($B$1="Linear",B616,C616)*Utilities!$B$11))</f>
        <v>1.2272023916401327E-5</v>
      </c>
      <c r="E616">
        <f>EXP(-1*SQRT(Utilities!$B$5/20)/(IF($B$1="Linear",B616,C616)*Utilities!$B$11))</f>
        <v>7.9771595138645152E-2</v>
      </c>
    </row>
    <row r="617" spans="1:5" x14ac:dyDescent="0.3">
      <c r="A617">
        <v>612</v>
      </c>
      <c r="B617">
        <f>Utilities!$B$7+((Utilities!$B$9-Utilities!$B$7)*(A617/Utilities!$B$1))</f>
        <v>46.970599999999997</v>
      </c>
      <c r="C617">
        <f>Utilities!$B$9+((Utilities!$B$7-Utilities!$B$9)*EXP(-$B$2*A617))</f>
        <v>0.5002392438267611</v>
      </c>
      <c r="D617">
        <f>EXP(-1*SQRT(Utilities!$B$5)/(IF($B$1="Linear",B617,C617)*Utilities!$B$11))</f>
        <v>1.2270683225496735E-5</v>
      </c>
      <c r="E617">
        <f>EXP(-1*SQRT(Utilities!$B$5/20)/(IF($B$1="Linear",B617,C617)*Utilities!$B$11))</f>
        <v>7.9769646352570001E-2</v>
      </c>
    </row>
    <row r="618" spans="1:5" x14ac:dyDescent="0.3">
      <c r="A618">
        <v>613</v>
      </c>
      <c r="B618">
        <f>Utilities!$B$7+((Utilities!$B$9-Utilities!$B$7)*(A618/Utilities!$B$1))</f>
        <v>46.965649999999997</v>
      </c>
      <c r="C618">
        <f>Utilities!$B$9+((Utilities!$B$7-Utilities!$B$9)*EXP(-$B$2*A618))</f>
        <v>0.50023450648158807</v>
      </c>
      <c r="D618">
        <f>EXP(-1*SQRT(Utilities!$B$5)/(IF($B$1="Linear",B618,C618)*Utilities!$B$11))</f>
        <v>1.2269369199058762E-5</v>
      </c>
      <c r="E618">
        <f>EXP(-1*SQRT(Utilities!$B$5/20)/(IF($B$1="Linear",B618,C618)*Utilities!$B$11))</f>
        <v>7.9767736164703673E-2</v>
      </c>
    </row>
    <row r="619" spans="1:5" x14ac:dyDescent="0.3">
      <c r="A619">
        <v>614</v>
      </c>
      <c r="B619">
        <f>Utilities!$B$7+((Utilities!$B$9-Utilities!$B$7)*(A619/Utilities!$B$1))</f>
        <v>46.960700000000003</v>
      </c>
      <c r="C619">
        <f>Utilities!$B$9+((Utilities!$B$7-Utilities!$B$9)*EXP(-$B$2*A619))</f>
        <v>0.50022986294213445</v>
      </c>
      <c r="D619">
        <f>EXP(-1*SQRT(Utilities!$B$5)/(IF($B$1="Linear",B619,C619)*Utilities!$B$11))</f>
        <v>1.2268081304500061E-5</v>
      </c>
      <c r="E619">
        <f>EXP(-1*SQRT(Utilities!$B$5/20)/(IF($B$1="Linear",B619,C619)*Utilities!$B$11))</f>
        <v>7.9765863810372123E-2</v>
      </c>
    </row>
    <row r="620" spans="1:5" x14ac:dyDescent="0.3">
      <c r="A620">
        <v>615</v>
      </c>
      <c r="B620">
        <f>Utilities!$B$7+((Utilities!$B$9-Utilities!$B$7)*(A620/Utilities!$B$1))</f>
        <v>46.955750000000002</v>
      </c>
      <c r="C620">
        <f>Utilities!$B$9+((Utilities!$B$7-Utilities!$B$9)*EXP(-$B$2*A620))</f>
        <v>0.50022531135092263</v>
      </c>
      <c r="D620">
        <f>EXP(-1*SQRT(Utilities!$B$5)/(IF($B$1="Linear",B620,C620)*Utilities!$B$11))</f>
        <v>1.2266819019959953E-5</v>
      </c>
      <c r="E620">
        <f>EXP(-1*SQRT(Utilities!$B$5/20)/(IF($B$1="Linear",B620,C620)*Utilities!$B$11))</f>
        <v>7.9764028540057749E-2</v>
      </c>
    </row>
    <row r="621" spans="1:5" x14ac:dyDescent="0.3">
      <c r="A621">
        <v>616</v>
      </c>
      <c r="B621">
        <f>Utilities!$B$7+((Utilities!$B$9-Utilities!$B$7)*(A621/Utilities!$B$1))</f>
        <v>46.950800000000001</v>
      </c>
      <c r="C621">
        <f>Utilities!$B$9+((Utilities!$B$7-Utilities!$B$9)*EXP(-$B$2*A621))</f>
        <v>0.50022084988725535</v>
      </c>
      <c r="D621">
        <f>EXP(-1*SQRT(Utilities!$B$5)/(IF($B$1="Linear",B621,C621)*Utilities!$B$11))</f>
        <v>1.2265581834084701E-5</v>
      </c>
      <c r="E621">
        <f>EXP(-1*SQRT(Utilities!$B$5/20)/(IF($B$1="Linear",B621,C621)*Utilities!$B$11))</f>
        <v>7.9762229619098526E-2</v>
      </c>
    </row>
    <row r="622" spans="1:5" x14ac:dyDescent="0.3">
      <c r="A622">
        <v>617</v>
      </c>
      <c r="B622">
        <f>Utilities!$B$7+((Utilities!$B$9-Utilities!$B$7)*(A622/Utilities!$B$1))</f>
        <v>46.94585</v>
      </c>
      <c r="C622">
        <f>Utilities!$B$9+((Utilities!$B$7-Utilities!$B$9)*EXP(-$B$2*A622))</f>
        <v>0.50021647676648762</v>
      </c>
      <c r="D622">
        <f>EXP(-1*SQRT(Utilities!$B$5)/(IF($B$1="Linear",B622,C622)*Utilities!$B$11))</f>
        <v>1.2264369245812754E-5</v>
      </c>
      <c r="E622">
        <f>EXP(-1*SQRT(Utilities!$B$5/20)/(IF($B$1="Linear",B622,C622)*Utilities!$B$11))</f>
        <v>7.9760466327393406E-2</v>
      </c>
    </row>
    <row r="623" spans="1:5" x14ac:dyDescent="0.3">
      <c r="A623">
        <v>618</v>
      </c>
      <c r="B623">
        <f>Utilities!$B$7+((Utilities!$B$9-Utilities!$B$7)*(A623/Utilities!$B$1))</f>
        <v>46.940899999999999</v>
      </c>
      <c r="C623">
        <f>Utilities!$B$9+((Utilities!$B$7-Utilities!$B$9)*EXP(-$B$2*A623))</f>
        <v>0.50021219023931285</v>
      </c>
      <c r="D623">
        <f>EXP(-1*SQRT(Utilities!$B$5)/(IF($B$1="Linear",B623,C623)*Utilities!$B$11))</f>
        <v>1.2263180764164472E-5</v>
      </c>
      <c r="E623">
        <f>EXP(-1*SQRT(Utilities!$B$5/20)/(IF($B$1="Linear",B623,C623)*Utilities!$B$11))</f>
        <v>7.9758737959113493E-2</v>
      </c>
    </row>
    <row r="624" spans="1:5" x14ac:dyDescent="0.3">
      <c r="A624">
        <v>619</v>
      </c>
      <c r="B624">
        <f>Utilities!$B$7+((Utilities!$B$9-Utilities!$B$7)*(A624/Utilities!$B$1))</f>
        <v>46.935949999999998</v>
      </c>
      <c r="C624">
        <f>Utilities!$B$9+((Utilities!$B$7-Utilities!$B$9)*EXP(-$B$2*A624))</f>
        <v>0.50020798859106308</v>
      </c>
      <c r="D624">
        <f>EXP(-1*SQRT(Utilities!$B$5)/(IF($B$1="Linear",B624,C624)*Utilities!$B$11))</f>
        <v>1.2262015908036048E-5</v>
      </c>
      <c r="E624">
        <f>EXP(-1*SQRT(Utilities!$B$5/20)/(IF($B$1="Linear",B624,C624)*Utilities!$B$11))</f>
        <v>7.9757043822418799E-2</v>
      </c>
    </row>
    <row r="625" spans="1:5" x14ac:dyDescent="0.3">
      <c r="A625">
        <v>620</v>
      </c>
      <c r="B625">
        <f>Utilities!$B$7+((Utilities!$B$9-Utilities!$B$7)*(A625/Utilities!$B$1))</f>
        <v>46.930999999999997</v>
      </c>
      <c r="C625">
        <f>Utilities!$B$9+((Utilities!$B$7-Utilities!$B$9)*EXP(-$B$2*A625))</f>
        <v>0.50020387014102297</v>
      </c>
      <c r="D625">
        <f>EXP(-1*SQRT(Utilities!$B$5)/(IF($B$1="Linear",B625,C625)*Utilities!$B$11))</f>
        <v>1.2260874205997934E-5</v>
      </c>
      <c r="E625">
        <f>EXP(-1*SQRT(Utilities!$B$5/20)/(IF($B$1="Linear",B625,C625)*Utilities!$B$11))</f>
        <v>7.9755383239180855E-2</v>
      </c>
    </row>
    <row r="626" spans="1:5" x14ac:dyDescent="0.3">
      <c r="A626">
        <v>621</v>
      </c>
      <c r="B626">
        <f>Utilities!$B$7+((Utilities!$B$9-Utilities!$B$7)*(A626/Utilities!$B$1))</f>
        <v>46.926050000000004</v>
      </c>
      <c r="C626">
        <f>Utilities!$B$9+((Utilities!$B$7-Utilities!$B$9)*EXP(-$B$2*A626))</f>
        <v>0.50019983324175765</v>
      </c>
      <c r="D626">
        <f>EXP(-1*SQRT(Utilities!$B$5)/(IF($B$1="Linear",B626,C626)*Utilities!$B$11))</f>
        <v>1.2259755196097541E-5</v>
      </c>
      <c r="E626">
        <f>EXP(-1*SQRT(Utilities!$B$5/20)/(IF($B$1="Linear",B626,C626)*Utilities!$B$11))</f>
        <v>7.9753755544710647E-2</v>
      </c>
    </row>
    <row r="627" spans="1:5" x14ac:dyDescent="0.3">
      <c r="A627">
        <v>622</v>
      </c>
      <c r="B627">
        <f>Utilities!$B$7+((Utilities!$B$9-Utilities!$B$7)*(A627/Utilities!$B$1))</f>
        <v>46.921100000000003</v>
      </c>
      <c r="C627">
        <f>Utilities!$B$9+((Utilities!$B$7-Utilities!$B$9)*EXP(-$B$2*A627))</f>
        <v>0.50019587627845341</v>
      </c>
      <c r="D627">
        <f>EXP(-1*SQRT(Utilities!$B$5)/(IF($B$1="Linear",B627,C627)*Utilities!$B$11))</f>
        <v>1.2258658425665817E-5</v>
      </c>
      <c r="E627">
        <f>EXP(-1*SQRT(Utilities!$B$5/20)/(IF($B$1="Linear",B627,C627)*Utilities!$B$11))</f>
        <v>7.9752160087492127E-2</v>
      </c>
    </row>
    <row r="628" spans="1:5" x14ac:dyDescent="0.3">
      <c r="A628">
        <v>623</v>
      </c>
      <c r="B628">
        <f>Utilities!$B$7+((Utilities!$B$9-Utilities!$B$7)*(A628/Utilities!$B$1))</f>
        <v>46.916150000000002</v>
      </c>
      <c r="C628">
        <f>Utilities!$B$9+((Utilities!$B$7-Utilities!$B$9)*EXP(-$B$2*A628))</f>
        <v>0.50019199766827227</v>
      </c>
      <c r="D628">
        <f>EXP(-1*SQRT(Utilities!$B$5)/(IF($B$1="Linear",B628,C628)*Utilities!$B$11))</f>
        <v>1.2257583451128314E-5</v>
      </c>
      <c r="E628">
        <f>EXP(-1*SQRT(Utilities!$B$5/20)/(IF($B$1="Linear",B628,C628)*Utilities!$B$11))</f>
        <v>7.9750596228920806E-2</v>
      </c>
    </row>
    <row r="629" spans="1:5" x14ac:dyDescent="0.3">
      <c r="A629">
        <v>624</v>
      </c>
      <c r="B629">
        <f>Utilities!$B$7+((Utilities!$B$9-Utilities!$B$7)*(A629/Utilities!$B$1))</f>
        <v>46.911200000000001</v>
      </c>
      <c r="C629">
        <f>Utilities!$B$9+((Utilities!$B$7-Utilities!$B$9)*EXP(-$B$2*A629))</f>
        <v>0.50018819585971852</v>
      </c>
      <c r="D629">
        <f>EXP(-1*SQRT(Utilities!$B$5)/(IF($B$1="Linear",B629,C629)*Utilities!$B$11))</f>
        <v>1.2256529837819808E-5</v>
      </c>
      <c r="E629">
        <f>EXP(-1*SQRT(Utilities!$B$5/20)/(IF($B$1="Linear",B629,C629)*Utilities!$B$11))</f>
        <v>7.9749063343047905E-2</v>
      </c>
    </row>
    <row r="630" spans="1:5" x14ac:dyDescent="0.3">
      <c r="A630">
        <v>625</v>
      </c>
      <c r="B630">
        <f>Utilities!$B$7+((Utilities!$B$9-Utilities!$B$7)*(A630/Utilities!$B$1))</f>
        <v>46.90625</v>
      </c>
      <c r="C630">
        <f>Utilities!$B$9+((Utilities!$B$7-Utilities!$B$9)*EXP(-$B$2*A630))</f>
        <v>0.50018446933201788</v>
      </c>
      <c r="D630">
        <f>EXP(-1*SQRT(Utilities!$B$5)/(IF($B$1="Linear",B630,C630)*Utilities!$B$11))</f>
        <v>1.2255497159802791E-5</v>
      </c>
      <c r="E630">
        <f>EXP(-1*SQRT(Utilities!$B$5/20)/(IF($B$1="Linear",B630,C630)*Utilities!$B$11))</f>
        <v>7.9747560816328972E-2</v>
      </c>
    </row>
    <row r="631" spans="1:5" x14ac:dyDescent="0.3">
      <c r="A631">
        <v>626</v>
      </c>
      <c r="B631">
        <f>Utilities!$B$7+((Utilities!$B$9-Utilities!$B$7)*(A631/Utilities!$B$1))</f>
        <v>46.901299999999999</v>
      </c>
      <c r="C631">
        <f>Utilities!$B$9+((Utilities!$B$7-Utilities!$B$9)*EXP(-$B$2*A631))</f>
        <v>0.50018081659450975</v>
      </c>
      <c r="D631">
        <f>EXP(-1*SQRT(Utilities!$B$5)/(IF($B$1="Linear",B631,C631)*Utilities!$B$11))</f>
        <v>1.2254484999690248E-5</v>
      </c>
      <c r="E631">
        <f>EXP(-1*SQRT(Utilities!$B$5/20)/(IF($B$1="Linear",B631,C631)*Utilities!$B$11))</f>
        <v>7.9746088047378372E-2</v>
      </c>
    </row>
    <row r="632" spans="1:5" x14ac:dyDescent="0.3">
      <c r="A632">
        <v>627</v>
      </c>
      <c r="B632">
        <f>Utilities!$B$7+((Utilities!$B$9-Utilities!$B$7)*(A632/Utilities!$B$1))</f>
        <v>46.896349999999998</v>
      </c>
      <c r="C632">
        <f>Utilities!$B$9+((Utilities!$B$7-Utilities!$B$9)*EXP(-$B$2*A632))</f>
        <v>0.50017723618605026</v>
      </c>
      <c r="D632">
        <f>EXP(-1*SQRT(Utilities!$B$5)/(IF($B$1="Linear",B632,C632)*Utilities!$B$11))</f>
        <v>1.2253492948471389E-5</v>
      </c>
      <c r="E632">
        <f>EXP(-1*SQRT(Utilities!$B$5/20)/(IF($B$1="Linear",B632,C632)*Utilities!$B$11))</f>
        <v>7.9744644446727631E-2</v>
      </c>
    </row>
    <row r="633" spans="1:5" x14ac:dyDescent="0.3">
      <c r="A633">
        <v>628</v>
      </c>
      <c r="B633">
        <f>Utilities!$B$7+((Utilities!$B$9-Utilities!$B$7)*(A633/Utilities!$B$1))</f>
        <v>46.891399999999997</v>
      </c>
      <c r="C633">
        <f>Utilities!$B$9+((Utilities!$B$7-Utilities!$B$9)*EXP(-$B$2*A633))</f>
        <v>0.50017372667442839</v>
      </c>
      <c r="D633">
        <f>EXP(-1*SQRT(Utilities!$B$5)/(IF($B$1="Linear",B633,C633)*Utilities!$B$11))</f>
        <v>1.2252520605341752E-5</v>
      </c>
      <c r="E633">
        <f>EXP(-1*SQRT(Utilities!$B$5/20)/(IF($B$1="Linear",B633,C633)*Utilities!$B$11))</f>
        <v>7.9743229436589416E-2</v>
      </c>
    </row>
    <row r="634" spans="1:5" x14ac:dyDescent="0.3">
      <c r="A634">
        <v>629</v>
      </c>
      <c r="B634">
        <f>Utilities!$B$7+((Utilities!$B$9-Utilities!$B$7)*(A634/Utilities!$B$1))</f>
        <v>46.886449999999996</v>
      </c>
      <c r="C634">
        <f>Utilities!$B$9+((Utilities!$B$7-Utilities!$B$9)*EXP(-$B$2*A634))</f>
        <v>0.50017028665579277</v>
      </c>
      <c r="D634">
        <f>EXP(-1*SQRT(Utilities!$B$5)/(IF($B$1="Linear",B634,C634)*Utilities!$B$11))</f>
        <v>1.2251567577536221E-5</v>
      </c>
      <c r="E634">
        <f>EXP(-1*SQRT(Utilities!$B$5/20)/(IF($B$1="Linear",B634,C634)*Utilities!$B$11))</f>
        <v>7.974184245062596E-2</v>
      </c>
    </row>
    <row r="635" spans="1:5" x14ac:dyDescent="0.3">
      <c r="A635">
        <v>630</v>
      </c>
      <c r="B635">
        <f>Utilities!$B$7+((Utilities!$B$9-Utilities!$B$7)*(A635/Utilities!$B$1))</f>
        <v>46.881500000000003</v>
      </c>
      <c r="C635">
        <f>Utilities!$B$9+((Utilities!$B$7-Utilities!$B$9)*EXP(-$B$2*A635))</f>
        <v>0.50016691475408992</v>
      </c>
      <c r="D635">
        <f>EXP(-1*SQRT(Utilities!$B$5)/(IF($B$1="Linear",B635,C635)*Utilities!$B$11))</f>
        <v>1.2250633480165893E-5</v>
      </c>
      <c r="E635">
        <f>EXP(-1*SQRT(Utilities!$B$5/20)/(IF($B$1="Linear",B635,C635)*Utilities!$B$11))</f>
        <v>7.9740482933721671E-2</v>
      </c>
    </row>
    <row r="636" spans="1:5" x14ac:dyDescent="0.3">
      <c r="A636">
        <v>631</v>
      </c>
      <c r="B636">
        <f>Utilities!$B$7+((Utilities!$B$9-Utilities!$B$7)*(A636/Utilities!$B$1))</f>
        <v>46.876550000000002</v>
      </c>
      <c r="C636">
        <f>Utilities!$B$9+((Utilities!$B$7-Utilities!$B$9)*EXP(-$B$2*A636))</f>
        <v>0.5001636096205142</v>
      </c>
      <c r="D636">
        <f>EXP(-1*SQRT(Utilities!$B$5)/(IF($B$1="Linear",B636,C636)*Utilities!$B$11))</f>
        <v>1.2249717936058284E-5</v>
      </c>
      <c r="E636">
        <f>EXP(-1*SQRT(Utilities!$B$5/20)/(IF($B$1="Linear",B636,C636)*Utilities!$B$11))</f>
        <v>7.9739150341760878E-2</v>
      </c>
    </row>
    <row r="637" spans="1:5" x14ac:dyDescent="0.3">
      <c r="A637">
        <v>632</v>
      </c>
      <c r="B637">
        <f>Utilities!$B$7+((Utilities!$B$9-Utilities!$B$7)*(A637/Utilities!$B$1))</f>
        <v>46.871600000000001</v>
      </c>
      <c r="C637">
        <f>Utilities!$B$9+((Utilities!$B$7-Utilities!$B$9)*EXP(-$B$2*A637))</f>
        <v>0.50016036993296831</v>
      </c>
      <c r="D637">
        <f>EXP(-1*SQRT(Utilities!$B$5)/(IF($B$1="Linear",B637,C637)*Utilities!$B$11))</f>
        <v>1.2248820575600706E-5</v>
      </c>
      <c r="E637">
        <f>EXP(-1*SQRT(Utilities!$B$5/20)/(IF($B$1="Linear",B637,C637)*Utilities!$B$11))</f>
        <v>7.9737844141409692E-2</v>
      </c>
    </row>
    <row r="638" spans="1:5" x14ac:dyDescent="0.3">
      <c r="A638">
        <v>633</v>
      </c>
      <c r="B638">
        <f>Utilities!$B$7+((Utilities!$B$9-Utilities!$B$7)*(A638/Utilities!$B$1))</f>
        <v>46.86665</v>
      </c>
      <c r="C638">
        <f>Utilities!$B$9+((Utilities!$B$7-Utilities!$B$9)*EXP(-$B$2*A638))</f>
        <v>0.50015719439553374</v>
      </c>
      <c r="D638">
        <f>EXP(-1*SQRT(Utilities!$B$5)/(IF($B$1="Linear",B638,C638)*Utilities!$B$11))</f>
        <v>1.2247941036586974E-5</v>
      </c>
      <c r="E638">
        <f>EXP(-1*SQRT(Utilities!$B$5/20)/(IF($B$1="Linear",B638,C638)*Utilities!$B$11))</f>
        <v>7.9736563809902045E-2</v>
      </c>
    </row>
    <row r="639" spans="1:5" x14ac:dyDescent="0.3">
      <c r="A639">
        <v>634</v>
      </c>
      <c r="B639">
        <f>Utilities!$B$7+((Utilities!$B$9-Utilities!$B$7)*(A639/Utilities!$B$1))</f>
        <v>46.861699999999999</v>
      </c>
      <c r="C639">
        <f>Utilities!$B$9+((Utilities!$B$7-Utilities!$B$9)*EXP(-$B$2*A639))</f>
        <v>0.5001540817379535</v>
      </c>
      <c r="D639">
        <f>EXP(-1*SQRT(Utilities!$B$5)/(IF($B$1="Linear",B639,C639)*Utilities!$B$11))</f>
        <v>1.2247078964067488E-5</v>
      </c>
      <c r="E639">
        <f>EXP(-1*SQRT(Utilities!$B$5/20)/(IF($B$1="Linear",B639,C639)*Utilities!$B$11))</f>
        <v>7.9735308834830487E-2</v>
      </c>
    </row>
    <row r="640" spans="1:5" x14ac:dyDescent="0.3">
      <c r="A640">
        <v>635</v>
      </c>
      <c r="B640">
        <f>Utilities!$B$7+((Utilities!$B$9-Utilities!$B$7)*(A640/Utilities!$B$1))</f>
        <v>46.856749999999998</v>
      </c>
      <c r="C640">
        <f>Utilities!$B$9+((Utilities!$B$7-Utilities!$B$9)*EXP(-$B$2*A640))</f>
        <v>0.50015103071512279</v>
      </c>
      <c r="D640">
        <f>EXP(-1*SQRT(Utilities!$B$5)/(IF($B$1="Linear",B640,C640)*Utilities!$B$11))</f>
        <v>1.2246234010201888E-5</v>
      </c>
      <c r="E640">
        <f>EXP(-1*SQRT(Utilities!$B$5/20)/(IF($B$1="Linear",B640,C640)*Utilities!$B$11))</f>
        <v>7.973407871394024E-2</v>
      </c>
    </row>
    <row r="641" spans="1:5" x14ac:dyDescent="0.3">
      <c r="A641">
        <v>636</v>
      </c>
      <c r="B641">
        <f>Utilities!$B$7+((Utilities!$B$9-Utilities!$B$7)*(A641/Utilities!$B$1))</f>
        <v>46.851799999999997</v>
      </c>
      <c r="C641">
        <f>Utilities!$B$9+((Utilities!$B$7-Utilities!$B$9)*EXP(-$B$2*A641))</f>
        <v>0.50014804010659197</v>
      </c>
      <c r="D641">
        <f>EXP(-1*SQRT(Utilities!$B$5)/(IF($B$1="Linear",B641,C641)*Utilities!$B$11))</f>
        <v>1.2245405834115442E-5</v>
      </c>
      <c r="E641">
        <f>EXP(-1*SQRT(Utilities!$B$5/20)/(IF($B$1="Linear",B641,C641)*Utilities!$B$11))</f>
        <v>7.9732872954928549E-2</v>
      </c>
    </row>
    <row r="642" spans="1:5" x14ac:dyDescent="0.3">
      <c r="A642">
        <v>637</v>
      </c>
      <c r="B642">
        <f>Utilities!$B$7+((Utilities!$B$9-Utilities!$B$7)*(A642/Utilities!$B$1))</f>
        <v>46.846850000000003</v>
      </c>
      <c r="C642">
        <f>Utilities!$B$9+((Utilities!$B$7-Utilities!$B$9)*EXP(-$B$2*A642))</f>
        <v>0.50014510871607765</v>
      </c>
      <c r="D642">
        <f>EXP(-1*SQRT(Utilities!$B$5)/(IF($B$1="Linear",B642,C642)*Utilities!$B$11))</f>
        <v>1.2244594101757859E-5</v>
      </c>
      <c r="E642">
        <f>EXP(-1*SQRT(Utilities!$B$5/20)/(IF($B$1="Linear",B642,C642)*Utilities!$B$11))</f>
        <v>7.9731691075246872E-2</v>
      </c>
    </row>
    <row r="643" spans="1:5" x14ac:dyDescent="0.3">
      <c r="A643">
        <v>638</v>
      </c>
      <c r="B643">
        <f>Utilities!$B$7+((Utilities!$B$9-Utilities!$B$7)*(A643/Utilities!$B$1))</f>
        <v>46.841900000000003</v>
      </c>
      <c r="C643">
        <f>Utilities!$B$9+((Utilities!$B$7-Utilities!$B$9)*EXP(-$B$2*A643))</f>
        <v>0.50014223537098457</v>
      </c>
      <c r="D643">
        <f>EXP(-1*SQRT(Utilities!$B$5)/(IF($B$1="Linear",B643,C643)*Utilities!$B$11))</f>
        <v>1.2243798485765275E-5</v>
      </c>
      <c r="E643">
        <f>EXP(-1*SQRT(Utilities!$B$5/20)/(IF($B$1="Linear",B643,C643)*Utilities!$B$11))</f>
        <v>7.9730532601907808E-2</v>
      </c>
    </row>
    <row r="644" spans="1:5" x14ac:dyDescent="0.3">
      <c r="A644">
        <v>639</v>
      </c>
      <c r="B644">
        <f>Utilities!$B$7+((Utilities!$B$9-Utilities!$B$7)*(A644/Utilities!$B$1))</f>
        <v>46.836950000000002</v>
      </c>
      <c r="C644">
        <f>Utilities!$B$9+((Utilities!$B$7-Utilities!$B$9)*EXP(-$B$2*A644))</f>
        <v>0.50013941892193636</v>
      </c>
      <c r="D644">
        <f>EXP(-1*SQRT(Utilities!$B$5)/(IF($B$1="Linear",B644,C644)*Utilities!$B$11))</f>
        <v>1.2243018665325044E-5</v>
      </c>
      <c r="E644">
        <f>EXP(-1*SQRT(Utilities!$B$5/20)/(IF($B$1="Linear",B644,C644)*Utilities!$B$11))</f>
        <v>7.9729397071295297E-2</v>
      </c>
    </row>
    <row r="645" spans="1:5" x14ac:dyDescent="0.3">
      <c r="A645">
        <v>640</v>
      </c>
      <c r="B645">
        <f>Utilities!$B$7+((Utilities!$B$9-Utilities!$B$7)*(A645/Utilities!$B$1))</f>
        <v>46.832000000000001</v>
      </c>
      <c r="C645">
        <f>Utilities!$B$9+((Utilities!$B$7-Utilities!$B$9)*EXP(-$B$2*A645))</f>
        <v>0.50013665824231579</v>
      </c>
      <c r="D645">
        <f>EXP(-1*SQRT(Utilities!$B$5)/(IF($B$1="Linear",B645,C645)*Utilities!$B$11))</f>
        <v>1.2242254326043272E-5</v>
      </c>
      <c r="E645">
        <f>EXP(-1*SQRT(Utilities!$B$5/20)/(IF($B$1="Linear",B645,C645)*Utilities!$B$11))</f>
        <v>7.9728284028979024E-2</v>
      </c>
    </row>
    <row r="646" spans="1:5" x14ac:dyDescent="0.3">
      <c r="A646">
        <v>641</v>
      </c>
      <c r="B646">
        <f>Utilities!$B$7+((Utilities!$B$9-Utilities!$B$7)*(A646/Utilities!$B$1))</f>
        <v>46.82705</v>
      </c>
      <c r="C646">
        <f>Utilities!$B$9+((Utilities!$B$7-Utilities!$B$9)*EXP(-$B$2*A646))</f>
        <v>0.50013395222781443</v>
      </c>
      <c r="D646">
        <f>EXP(-1*SQRT(Utilities!$B$5)/(IF($B$1="Linear",B646,C646)*Utilities!$B$11))</f>
        <v>1.2241505159815176E-5</v>
      </c>
      <c r="E646">
        <f>EXP(-1*SQRT(Utilities!$B$5/20)/(IF($B$1="Linear",B646,C646)*Utilities!$B$11))</f>
        <v>7.9727193029532309E-2</v>
      </c>
    </row>
    <row r="647" spans="1:5" x14ac:dyDescent="0.3">
      <c r="A647">
        <v>642</v>
      </c>
      <c r="B647">
        <f>Utilities!$B$7+((Utilities!$B$9-Utilities!$B$7)*(A647/Utilities!$B$1))</f>
        <v>46.822099999999999</v>
      </c>
      <c r="C647">
        <f>Utilities!$B$9+((Utilities!$B$7-Utilities!$B$9)*EXP(-$B$2*A647))</f>
        <v>0.50013129979599014</v>
      </c>
      <c r="D647">
        <f>EXP(-1*SQRT(Utilities!$B$5)/(IF($B$1="Linear",B647,C647)*Utilities!$B$11))</f>
        <v>1.2240770864697936E-5</v>
      </c>
      <c r="E647">
        <f>EXP(-1*SQRT(Utilities!$B$5/20)/(IF($B$1="Linear",B647,C647)*Utilities!$B$11))</f>
        <v>7.9726123636353341E-2</v>
      </c>
    </row>
    <row r="648" spans="1:5" x14ac:dyDescent="0.3">
      <c r="A648">
        <v>643</v>
      </c>
      <c r="B648">
        <f>Utilities!$B$7+((Utilities!$B$9-Utilities!$B$7)*(A648/Utilities!$B$1))</f>
        <v>46.817149999999998</v>
      </c>
      <c r="C648">
        <f>Utilities!$B$9+((Utilities!$B$7-Utilities!$B$9)*EXP(-$B$2*A648))</f>
        <v>0.50012869988583497</v>
      </c>
      <c r="D648">
        <f>EXP(-1*SQRT(Utilities!$B$5)/(IF($B$1="Linear",B648,C648)*Utilities!$B$11))</f>
        <v>1.2240051144786431E-5</v>
      </c>
      <c r="E648">
        <f>EXP(-1*SQRT(Utilities!$B$5/20)/(IF($B$1="Linear",B648,C648)*Utilities!$B$11))</f>
        <v>7.9725075421490668E-2</v>
      </c>
    </row>
    <row r="649" spans="1:5" x14ac:dyDescent="0.3">
      <c r="A649">
        <v>644</v>
      </c>
      <c r="B649">
        <f>Utilities!$B$7+((Utilities!$B$9-Utilities!$B$7)*(A649/Utilities!$B$1))</f>
        <v>46.812199999999997</v>
      </c>
      <c r="C649">
        <f>Utilities!$B$9+((Utilities!$B$7-Utilities!$B$9)*EXP(-$B$2*A649))</f>
        <v>0.50012615145735018</v>
      </c>
      <c r="D649">
        <f>EXP(-1*SQRT(Utilities!$B$5)/(IF($B$1="Linear",B649,C649)*Utilities!$B$11))</f>
        <v>1.2239345710091248E-5</v>
      </c>
      <c r="E649">
        <f>EXP(-1*SQRT(Utilities!$B$5/20)/(IF($B$1="Linear",B649,C649)*Utilities!$B$11))</f>
        <v>7.9724047965471334E-2</v>
      </c>
    </row>
    <row r="650" spans="1:5" x14ac:dyDescent="0.3">
      <c r="A650">
        <v>645</v>
      </c>
      <c r="B650">
        <f>Utilities!$B$7+((Utilities!$B$9-Utilities!$B$7)*(A650/Utilities!$B$1))</f>
        <v>46.807249999999996</v>
      </c>
      <c r="C650">
        <f>Utilities!$B$9+((Utilities!$B$7-Utilities!$B$9)*EXP(-$B$2*A650))</f>
        <v>0.50012365349113042</v>
      </c>
      <c r="D650">
        <f>EXP(-1*SQRT(Utilities!$B$5)/(IF($B$1="Linear",B650,C650)*Utilities!$B$11))</f>
        <v>1.2238654276419369E-5</v>
      </c>
      <c r="E650">
        <f>EXP(-1*SQRT(Utilities!$B$5/20)/(IF($B$1="Linear",B650,C650)*Utilities!$B$11))</f>
        <v>7.9723040857133137E-2</v>
      </c>
    </row>
    <row r="651" spans="1:5" x14ac:dyDescent="0.3">
      <c r="A651">
        <v>646</v>
      </c>
      <c r="B651">
        <f>Utilities!$B$7+((Utilities!$B$9-Utilities!$B$7)*(A651/Utilities!$B$1))</f>
        <v>46.802300000000002</v>
      </c>
      <c r="C651">
        <f>Utilities!$B$9+((Utilities!$B$7-Utilities!$B$9)*EXP(-$B$2*A651))</f>
        <v>0.50012120498795576</v>
      </c>
      <c r="D651">
        <f>EXP(-1*SQRT(Utilities!$B$5)/(IF($B$1="Linear",B651,C651)*Utilities!$B$11))</f>
        <v>1.2237976565257264E-5</v>
      </c>
      <c r="E651">
        <f>EXP(-1*SQRT(Utilities!$B$5/20)/(IF($B$1="Linear",B651,C651)*Utilities!$B$11))</f>
        <v>7.9722053693459527E-2</v>
      </c>
    </row>
    <row r="652" spans="1:5" x14ac:dyDescent="0.3">
      <c r="A652">
        <v>647</v>
      </c>
      <c r="B652">
        <f>Utilities!$B$7+((Utilities!$B$9-Utilities!$B$7)*(A652/Utilities!$B$1))</f>
        <v>46.797350000000002</v>
      </c>
      <c r="C652">
        <f>Utilities!$B$9+((Utilities!$B$7-Utilities!$B$9)*EXP(-$B$2*A652))</f>
        <v>0.50011880496839245</v>
      </c>
      <c r="D652">
        <f>EXP(-1*SQRT(Utilities!$B$5)/(IF($B$1="Linear",B652,C652)*Utilities!$B$11))</f>
        <v>1.2237312303656417E-5</v>
      </c>
      <c r="E652">
        <f>EXP(-1*SQRT(Utilities!$B$5/20)/(IF($B$1="Linear",B652,C652)*Utilities!$B$11))</f>
        <v>7.9721086079418566E-2</v>
      </c>
    </row>
    <row r="653" spans="1:5" x14ac:dyDescent="0.3">
      <c r="A653">
        <v>648</v>
      </c>
      <c r="B653">
        <f>Utilities!$B$7+((Utilities!$B$9-Utilities!$B$7)*(A653/Utilities!$B$1))</f>
        <v>46.792400000000001</v>
      </c>
      <c r="C653">
        <f>Utilities!$B$9+((Utilities!$B$7-Utilities!$B$9)*EXP(-$B$2*A653))</f>
        <v>0.50011645247240044</v>
      </c>
      <c r="D653">
        <f>EXP(-1*SQRT(Utilities!$B$5)/(IF($B$1="Linear",B653,C653)*Utilities!$B$11))</f>
        <v>1.2236661224121083E-5</v>
      </c>
      <c r="E653">
        <f>EXP(-1*SQRT(Utilities!$B$5/20)/(IF($B$1="Linear",B653,C653)*Utilities!$B$11))</f>
        <v>7.9720137627804194E-2</v>
      </c>
    </row>
    <row r="654" spans="1:5" x14ac:dyDescent="0.3">
      <c r="A654">
        <v>649</v>
      </c>
      <c r="B654">
        <f>Utilities!$B$7+((Utilities!$B$9-Utilities!$B$7)*(A654/Utilities!$B$1))</f>
        <v>46.78745</v>
      </c>
      <c r="C654">
        <f>Utilities!$B$9+((Utilities!$B$7-Utilities!$B$9)*EXP(-$B$2*A654))</f>
        <v>0.50011414655895026</v>
      </c>
      <c r="D654">
        <f>EXP(-1*SQRT(Utilities!$B$5)/(IF($B$1="Linear",B654,C654)*Utilities!$B$11))</f>
        <v>1.2236023064498548E-5</v>
      </c>
      <c r="E654">
        <f>EXP(-1*SQRT(Utilities!$B$5/20)/(IF($B$1="Linear",B654,C654)*Utilities!$B$11))</f>
        <v>7.9719207959081578E-2</v>
      </c>
    </row>
    <row r="655" spans="1:5" x14ac:dyDescent="0.3">
      <c r="A655">
        <v>650</v>
      </c>
      <c r="B655">
        <f>Utilities!$B$7+((Utilities!$B$9-Utilities!$B$7)*(A655/Utilities!$B$1))</f>
        <v>46.782499999999999</v>
      </c>
      <c r="C655">
        <f>Utilities!$B$9+((Utilities!$B$7-Utilities!$B$9)*EXP(-$B$2*A655))</f>
        <v>0.50011188630564551</v>
      </c>
      <c r="D655">
        <f>EXP(-1*SQRT(Utilities!$B$5)/(IF($B$1="Linear",B655,C655)*Utilities!$B$11))</f>
        <v>1.2235397567871347E-5</v>
      </c>
      <c r="E655">
        <f>EXP(-1*SQRT(Utilities!$B$5/20)/(IF($B$1="Linear",B655,C655)*Utilities!$B$11))</f>
        <v>7.9718296701234689E-2</v>
      </c>
    </row>
    <row r="656" spans="1:5" x14ac:dyDescent="0.3">
      <c r="A656">
        <v>651</v>
      </c>
      <c r="B656">
        <f>Utilities!$B$7+((Utilities!$B$9-Utilities!$B$7)*(A656/Utilities!$B$1))</f>
        <v>46.777549999999998</v>
      </c>
      <c r="C656">
        <f>Utilities!$B$9+((Utilities!$B$7-Utilities!$B$9)*EXP(-$B$2*A656))</f>
        <v>0.500109670808355</v>
      </c>
      <c r="D656">
        <f>EXP(-1*SQRT(Utilities!$B$5)/(IF($B$1="Linear",B656,C656)*Utilities!$B$11))</f>
        <v>1.2234784482452109E-5</v>
      </c>
      <c r="E656">
        <f>EXP(-1*SQRT(Utilities!$B$5/20)/(IF($B$1="Linear",B656,C656)*Utilities!$B$11))</f>
        <v>7.9717403489617575E-2</v>
      </c>
    </row>
    <row r="657" spans="1:5" x14ac:dyDescent="0.3">
      <c r="A657">
        <v>652</v>
      </c>
      <c r="B657">
        <f>Utilities!$B$7+((Utilities!$B$9-Utilities!$B$7)*(A657/Utilities!$B$1))</f>
        <v>46.772599999999997</v>
      </c>
      <c r="C657">
        <f>Utilities!$B$9+((Utilities!$B$7-Utilities!$B$9)*EXP(-$B$2*A657))</f>
        <v>0.50010749918085007</v>
      </c>
      <c r="D657">
        <f>EXP(-1*SQRT(Utilities!$B$5)/(IF($B$1="Linear",B657,C657)*Utilities!$B$11))</f>
        <v>1.2234183561479996E-5</v>
      </c>
      <c r="E657">
        <f>EXP(-1*SQRT(Utilities!$B$5/20)/(IF($B$1="Linear",B657,C657)*Utilities!$B$11))</f>
        <v>7.9716527966807935E-2</v>
      </c>
    </row>
    <row r="658" spans="1:5" x14ac:dyDescent="0.3">
      <c r="A658">
        <v>653</v>
      </c>
      <c r="B658">
        <f>Utilities!$B$7+((Utilities!$B$9-Utilities!$B$7)*(A658/Utilities!$B$1))</f>
        <v>46.767650000000003</v>
      </c>
      <c r="C658">
        <f>Utilities!$B$9+((Utilities!$B$7-Utilities!$B$9)*EXP(-$B$2*A658))</f>
        <v>0.50010537055445081</v>
      </c>
      <c r="D658">
        <f>EXP(-1*SQRT(Utilities!$B$5)/(IF($B$1="Linear",B658,C658)*Utilities!$B$11))</f>
        <v>1.2233594563119742E-5</v>
      </c>
      <c r="E658">
        <f>EXP(-1*SQRT(Utilities!$B$5/20)/(IF($B$1="Linear",B658,C658)*Utilities!$B$11))</f>
        <v>7.9715669782464332E-2</v>
      </c>
    </row>
    <row r="659" spans="1:5" x14ac:dyDescent="0.3">
      <c r="A659">
        <v>654</v>
      </c>
      <c r="B659">
        <f>Utilities!$B$7+((Utilities!$B$9-Utilities!$B$7)*(A659/Utilities!$B$1))</f>
        <v>46.762700000000002</v>
      </c>
      <c r="C659">
        <f>Utilities!$B$9+((Utilities!$B$7-Utilities!$B$9)*EXP(-$B$2*A659))</f>
        <v>0.50010328407767823</v>
      </c>
      <c r="D659">
        <f>EXP(-1*SQRT(Utilities!$B$5)/(IF($B$1="Linear",B659,C659)*Utilities!$B$11))</f>
        <v>1.22330172503626E-5</v>
      </c>
      <c r="E659">
        <f>EXP(-1*SQRT(Utilities!$B$5/20)/(IF($B$1="Linear",B659,C659)*Utilities!$B$11))</f>
        <v>7.9714828593185585E-2</v>
      </c>
    </row>
    <row r="660" spans="1:5" x14ac:dyDescent="0.3">
      <c r="A660">
        <v>655</v>
      </c>
      <c r="B660">
        <f>Utilities!$B$7+((Utilities!$B$9-Utilities!$B$7)*(A660/Utilities!$B$1))</f>
        <v>46.757750000000001</v>
      </c>
      <c r="C660">
        <f>Utilities!$B$9+((Utilities!$B$7-Utilities!$B$9)*EXP(-$B$2*A660))</f>
        <v>0.50010123891591396</v>
      </c>
      <c r="D660">
        <f>EXP(-1*SQRT(Utilities!$B$5)/(IF($B$1="Linear",B660,C660)*Utilities!$B$11))</f>
        <v>1.2232451390929206E-5</v>
      </c>
      <c r="E660">
        <f>EXP(-1*SQRT(Utilities!$B$5/20)/(IF($B$1="Linear",B660,C660)*Utilities!$B$11))</f>
        <v>7.971400406237332E-2</v>
      </c>
    </row>
    <row r="661" spans="1:5" x14ac:dyDescent="0.3">
      <c r="A661">
        <v>656</v>
      </c>
      <c r="B661">
        <f>Utilities!$B$7+((Utilities!$B$9-Utilities!$B$7)*(A661/Utilities!$B$1))</f>
        <v>46.752800000000001</v>
      </c>
      <c r="C661">
        <f>Utilities!$B$9+((Utilities!$B$7-Utilities!$B$9)*EXP(-$B$2*A661))</f>
        <v>0.50009923425106584</v>
      </c>
      <c r="D661">
        <f>EXP(-1*SQRT(Utilities!$B$5)/(IF($B$1="Linear",B661,C661)*Utilities!$B$11))</f>
        <v>1.2231896757174491E-5</v>
      </c>
      <c r="E661">
        <f>EXP(-1*SQRT(Utilities!$B$5/20)/(IF($B$1="Linear",B661,C661)*Utilities!$B$11))</f>
        <v>7.9713195860097175E-2</v>
      </c>
    </row>
    <row r="662" spans="1:5" x14ac:dyDescent="0.3">
      <c r="A662">
        <v>657</v>
      </c>
      <c r="B662">
        <f>Utilities!$B$7+((Utilities!$B$9-Utilities!$B$7)*(A662/Utilities!$B$1))</f>
        <v>46.74785</v>
      </c>
      <c r="C662">
        <f>Utilities!$B$9+((Utilities!$B$7-Utilities!$B$9)*EXP(-$B$2*A662))</f>
        <v>0.50009726928124132</v>
      </c>
      <c r="D662">
        <f>EXP(-1*SQRT(Utilities!$B$5)/(IF($B$1="Linear",B662,C662)*Utilities!$B$11))</f>
        <v>1.2231353125994639E-5</v>
      </c>
      <c r="E662">
        <f>EXP(-1*SQRT(Utilities!$B$5/20)/(IF($B$1="Linear",B662,C662)*Utilities!$B$11))</f>
        <v>7.9712403662962561E-2</v>
      </c>
    </row>
    <row r="663" spans="1:5" x14ac:dyDescent="0.3">
      <c r="A663">
        <v>658</v>
      </c>
      <c r="B663">
        <f>Utilities!$B$7+((Utilities!$B$9-Utilities!$B$7)*(A663/Utilities!$B$1))</f>
        <v>46.742899999999999</v>
      </c>
      <c r="C663">
        <f>Utilities!$B$9+((Utilities!$B$7-Utilities!$B$9)*EXP(-$B$2*A663))</f>
        <v>0.50009534322042626</v>
      </c>
      <c r="D663">
        <f>EXP(-1*SQRT(Utilities!$B$5)/(IF($B$1="Linear",B663,C663)*Utilities!$B$11))</f>
        <v>1.2230820278735751E-5</v>
      </c>
      <c r="E663">
        <f>EXP(-1*SQRT(Utilities!$B$5/20)/(IF($B$1="Linear",B663,C663)*Utilities!$B$11))</f>
        <v>7.9711627153981238E-2</v>
      </c>
    </row>
    <row r="664" spans="1:5" x14ac:dyDescent="0.3">
      <c r="A664">
        <v>659</v>
      </c>
      <c r="B664">
        <f>Utilities!$B$7+((Utilities!$B$9-Utilities!$B$7)*(A664/Utilities!$B$1))</f>
        <v>46.737949999999998</v>
      </c>
      <c r="C664">
        <f>Utilities!$B$9+((Utilities!$B$7-Utilities!$B$9)*EXP(-$B$2*A664))</f>
        <v>0.50009345529817062</v>
      </c>
      <c r="D664">
        <f>EXP(-1*SQRT(Utilities!$B$5)/(IF($B$1="Linear",B664,C664)*Utilities!$B$11))</f>
        <v>1.2230298001104534E-5</v>
      </c>
      <c r="E664">
        <f>EXP(-1*SQRT(Utilities!$B$5/20)/(IF($B$1="Linear",B664,C664)*Utilities!$B$11))</f>
        <v>7.9710866022444302E-2</v>
      </c>
    </row>
    <row r="665" spans="1:5" x14ac:dyDescent="0.3">
      <c r="A665">
        <v>660</v>
      </c>
      <c r="B665">
        <f>Utilities!$B$7+((Utilities!$B$9-Utilities!$B$7)*(A665/Utilities!$B$1))</f>
        <v>46.732999999999997</v>
      </c>
      <c r="C665">
        <f>Utilities!$B$9+((Utilities!$B$7-Utilities!$B$9)*EXP(-$B$2*A665))</f>
        <v>0.50009160475928027</v>
      </c>
      <c r="D665">
        <f>EXP(-1*SQRT(Utilities!$B$5)/(IF($B$1="Linear",B665,C665)*Utilities!$B$11))</f>
        <v>1.2229786083080667E-5</v>
      </c>
      <c r="E665">
        <f>EXP(-1*SQRT(Utilities!$B$5/20)/(IF($B$1="Linear",B665,C665)*Utilities!$B$11))</f>
        <v>7.9710119963797704E-2</v>
      </c>
    </row>
    <row r="666" spans="1:5" x14ac:dyDescent="0.3">
      <c r="A666">
        <v>661</v>
      </c>
      <c r="B666">
        <f>Utilities!$B$7+((Utilities!$B$9-Utilities!$B$7)*(A666/Utilities!$B$1))</f>
        <v>46.728049999999996</v>
      </c>
      <c r="C666">
        <f>Utilities!$B$9+((Utilities!$B$7-Utilities!$B$9)*EXP(-$B$2*A666))</f>
        <v>0.50008979086351513</v>
      </c>
      <c r="D666">
        <f>EXP(-1*SQRT(Utilities!$B$5)/(IF($B$1="Linear",B666,C666)*Utilities!$B$11))</f>
        <v>1.2229284318831166E-5</v>
      </c>
      <c r="E666">
        <f>EXP(-1*SQRT(Utilities!$B$5/20)/(IF($B$1="Linear",B666,C666)*Utilities!$B$11))</f>
        <v>7.970938867952039E-2</v>
      </c>
    </row>
    <row r="667" spans="1:5" x14ac:dyDescent="0.3">
      <c r="A667">
        <v>662</v>
      </c>
      <c r="B667">
        <f>Utilities!$B$7+((Utilities!$B$9-Utilities!$B$7)*(A667/Utilities!$B$1))</f>
        <v>46.723100000000002</v>
      </c>
      <c r="C667">
        <f>Utilities!$B$9+((Utilities!$B$7-Utilities!$B$9)*EXP(-$B$2*A667))</f>
        <v>0.50008801288529259</v>
      </c>
      <c r="D667">
        <f>EXP(-1*SQRT(Utilities!$B$5)/(IF($B$1="Linear",B667,C667)*Utilities!$B$11))</f>
        <v>1.2228792506626129E-5</v>
      </c>
      <c r="E667">
        <f>EXP(-1*SQRT(Utilities!$B$5/20)/(IF($B$1="Linear",B667,C667)*Utilities!$B$11))</f>
        <v>7.9708671877004672E-2</v>
      </c>
    </row>
    <row r="668" spans="1:5" x14ac:dyDescent="0.3">
      <c r="A668">
        <v>663</v>
      </c>
      <c r="B668">
        <f>Utilities!$B$7+((Utilities!$B$9-Utilities!$B$7)*(A668/Utilities!$B$1))</f>
        <v>46.718150000000001</v>
      </c>
      <c r="C668">
        <f>Utilities!$B$9+((Utilities!$B$7-Utilities!$B$9)*EXP(-$B$2*A668))</f>
        <v>0.50008627011339768</v>
      </c>
      <c r="D668">
        <f>EXP(-1*SQRT(Utilities!$B$5)/(IF($B$1="Linear",B668,C668)*Utilities!$B$11))</f>
        <v>1.2228310448756607E-5</v>
      </c>
      <c r="E668">
        <f>EXP(-1*SQRT(Utilities!$B$5/20)/(IF($B$1="Linear",B668,C668)*Utilities!$B$11))</f>
        <v>7.9707969269439002E-2</v>
      </c>
    </row>
    <row r="669" spans="1:5" x14ac:dyDescent="0.3">
      <c r="A669">
        <v>664</v>
      </c>
      <c r="B669">
        <f>Utilities!$B$7+((Utilities!$B$9-Utilities!$B$7)*(A669/Utilities!$B$1))</f>
        <v>46.713200000000001</v>
      </c>
      <c r="C669">
        <f>Utilities!$B$9+((Utilities!$B$7-Utilities!$B$9)*EXP(-$B$2*A669))</f>
        <v>0.50008456185069849</v>
      </c>
      <c r="D669">
        <f>EXP(-1*SQRT(Utilities!$B$5)/(IF($B$1="Linear",B669,C669)*Utilities!$B$11))</f>
        <v>1.222783795145389E-5</v>
      </c>
      <c r="E669">
        <f>EXP(-1*SQRT(Utilities!$B$5/20)/(IF($B$1="Linear",B669,C669)*Utilities!$B$11))</f>
        <v>7.9707280575693304E-2</v>
      </c>
    </row>
    <row r="670" spans="1:5" x14ac:dyDescent="0.3">
      <c r="A670">
        <v>665</v>
      </c>
      <c r="B670">
        <f>Utilities!$B$7+((Utilities!$B$9-Utilities!$B$7)*(A670/Utilities!$B$1))</f>
        <v>46.70825</v>
      </c>
      <c r="C670">
        <f>Utilities!$B$9+((Utilities!$B$7-Utilities!$B$9)*EXP(-$B$2*A670))</f>
        <v>0.50008288741386697</v>
      </c>
      <c r="D670">
        <f>EXP(-1*SQRT(Utilities!$B$5)/(IF($B$1="Linear",B670,C670)*Utilities!$B$11))</f>
        <v>1.2227374824810374E-5</v>
      </c>
      <c r="E670">
        <f>EXP(-1*SQRT(Utilities!$B$5/20)/(IF($B$1="Linear",B670,C670)*Utilities!$B$11))</f>
        <v>7.97066055202061E-2</v>
      </c>
    </row>
    <row r="671" spans="1:5" x14ac:dyDescent="0.3">
      <c r="A671">
        <v>666</v>
      </c>
      <c r="B671">
        <f>Utilities!$B$7+((Utilities!$B$9-Utilities!$B$7)*(A671/Utilities!$B$1))</f>
        <v>46.703299999999999</v>
      </c>
      <c r="C671">
        <f>Utilities!$B$9+((Utilities!$B$7-Utilities!$B$9)*EXP(-$B$2*A671))</f>
        <v>0.50008124613310623</v>
      </c>
      <c r="D671">
        <f>EXP(-1*SQRT(Utilities!$B$5)/(IF($B$1="Linear",B671,C671)*Utilities!$B$11))</f>
        <v>1.2226920882702392E-5</v>
      </c>
      <c r="E671">
        <f>EXP(-1*SQRT(Utilities!$B$5/20)/(IF($B$1="Linear",B671,C671)*Utilities!$B$11))</f>
        <v>7.9705943832874424E-2</v>
      </c>
    </row>
    <row r="672" spans="1:5" x14ac:dyDescent="0.3">
      <c r="A672">
        <v>667</v>
      </c>
      <c r="B672">
        <f>Utilities!$B$7+((Utilities!$B$9-Utilities!$B$7)*(A672/Utilities!$B$1))</f>
        <v>46.698349999999998</v>
      </c>
      <c r="C672">
        <f>Utilities!$B$9+((Utilities!$B$7-Utilities!$B$9)*EXP(-$B$2*A672))</f>
        <v>0.5000796373518821</v>
      </c>
      <c r="D672">
        <f>EXP(-1*SQRT(Utilities!$B$5)/(IF($B$1="Linear",B672,C672)*Utilities!$B$11))</f>
        <v>1.2226475942714142E-5</v>
      </c>
      <c r="E672">
        <f>EXP(-1*SQRT(Utilities!$B$5/20)/(IF($B$1="Linear",B672,C672)*Utilities!$B$11))</f>
        <v>7.9705295248945596E-2</v>
      </c>
    </row>
    <row r="673" spans="1:5" x14ac:dyDescent="0.3">
      <c r="A673">
        <v>668</v>
      </c>
      <c r="B673">
        <f>Utilities!$B$7+((Utilities!$B$9-Utilities!$B$7)*(A673/Utilities!$B$1))</f>
        <v>46.693399999999997</v>
      </c>
      <c r="C673">
        <f>Utilities!$B$9+((Utilities!$B$7-Utilities!$B$9)*EXP(-$B$2*A673))</f>
        <v>0.50007806042666048</v>
      </c>
      <c r="D673">
        <f>EXP(-1*SQRT(Utilities!$B$5)/(IF($B$1="Linear",B673,C673)*Utilities!$B$11))</f>
        <v>1.2226039826063474E-5</v>
      </c>
      <c r="E673">
        <f>EXP(-1*SQRT(Utilities!$B$5/20)/(IF($B$1="Linear",B673,C673)*Utilities!$B$11))</f>
        <v>7.9704659508911063E-2</v>
      </c>
    </row>
    <row r="674" spans="1:5" x14ac:dyDescent="0.3">
      <c r="A674">
        <v>669</v>
      </c>
      <c r="B674">
        <f>Utilities!$B$7+((Utilities!$B$9-Utilities!$B$7)*(A674/Utilities!$B$1))</f>
        <v>46.688450000000003</v>
      </c>
      <c r="C674">
        <f>Utilities!$B$9+((Utilities!$B$7-Utilities!$B$9)*EXP(-$B$2*A674))</f>
        <v>0.50007651472665038</v>
      </c>
      <c r="D674">
        <f>EXP(-1*SQRT(Utilities!$B$5)/(IF($B$1="Linear",B674,C674)*Utilities!$B$11))</f>
        <v>1.2225612357529148E-5</v>
      </c>
      <c r="E674">
        <f>EXP(-1*SQRT(Utilities!$B$5/20)/(IF($B$1="Linear",B674,C674)*Utilities!$B$11))</f>
        <v>7.9704036358402675E-2</v>
      </c>
    </row>
    <row r="675" spans="1:5" x14ac:dyDescent="0.3">
      <c r="A675">
        <v>670</v>
      </c>
      <c r="B675">
        <f>Utilities!$B$7+((Utilities!$B$9-Utilities!$B$7)*(A675/Utilities!$B$1))</f>
        <v>46.683500000000002</v>
      </c>
      <c r="C675">
        <f>Utilities!$B$9+((Utilities!$B$7-Utilities!$B$9)*EXP(-$B$2*A675))</f>
        <v>0.50007499963355106</v>
      </c>
      <c r="D675">
        <f>EXP(-1*SQRT(Utilities!$B$5)/(IF($B$1="Linear",B675,C675)*Utilities!$B$11))</f>
        <v>1.2225193365379368E-5</v>
      </c>
      <c r="E675">
        <f>EXP(-1*SQRT(Utilities!$B$5/20)/(IF($B$1="Linear",B675,C675)*Utilities!$B$11))</f>
        <v>7.9703425548090748E-2</v>
      </c>
    </row>
    <row r="676" spans="1:5" x14ac:dyDescent="0.3">
      <c r="A676">
        <v>671</v>
      </c>
      <c r="B676">
        <f>Utilities!$B$7+((Utilities!$B$9-Utilities!$B$7)*(A676/Utilities!$B$1))</f>
        <v>46.678550000000001</v>
      </c>
      <c r="C676">
        <f>Utilities!$B$9+((Utilities!$B$7-Utilities!$B$9)*EXP(-$B$2*A676))</f>
        <v>0.50007351454130522</v>
      </c>
      <c r="D676">
        <f>EXP(-1*SQRT(Utilities!$B$5)/(IF($B$1="Linear",B676,C676)*Utilities!$B$11))</f>
        <v>1.2224782681302068E-5</v>
      </c>
      <c r="E676">
        <f>EXP(-1*SQRT(Utilities!$B$5/20)/(IF($B$1="Linear",B676,C676)*Utilities!$B$11))</f>
        <v>7.9702826833584192E-2</v>
      </c>
    </row>
    <row r="677" spans="1:5" x14ac:dyDescent="0.3">
      <c r="A677">
        <v>672</v>
      </c>
      <c r="B677">
        <f>Utilities!$B$7+((Utilities!$B$9-Utilities!$B$7)*(A677/Utilities!$B$1))</f>
        <v>46.6736</v>
      </c>
      <c r="C677">
        <f>Utilities!$B$9+((Utilities!$B$7-Utilities!$B$9)*EXP(-$B$2*A677))</f>
        <v>0.50007205885585615</v>
      </c>
      <c r="D677">
        <f>EXP(-1*SQRT(Utilities!$B$5)/(IF($B$1="Linear",B677,C677)*Utilities!$B$11))</f>
        <v>1.2224380140336349E-5</v>
      </c>
      <c r="E677">
        <f>EXP(-1*SQRT(Utilities!$B$5/20)/(IF($B$1="Linear",B677,C677)*Utilities!$B$11))</f>
        <v>7.9702239975332823E-2</v>
      </c>
    </row>
    <row r="678" spans="1:5" x14ac:dyDescent="0.3">
      <c r="A678">
        <v>673</v>
      </c>
      <c r="B678">
        <f>Utilities!$B$7+((Utilities!$B$9-Utilities!$B$7)*(A678/Utilities!$B$1))</f>
        <v>46.66865</v>
      </c>
      <c r="C678">
        <f>Utilities!$B$9+((Utilities!$B$7-Utilities!$B$9)*EXP(-$B$2*A678))</f>
        <v>0.5000706319949102</v>
      </c>
      <c r="D678">
        <f>EXP(-1*SQRT(Utilities!$B$5)/(IF($B$1="Linear",B678,C678)*Utilities!$B$11))</f>
        <v>1.222398558080536E-5</v>
      </c>
      <c r="E678">
        <f>EXP(-1*SQRT(Utilities!$B$5/20)/(IF($B$1="Linear",B678,C678)*Utilities!$B$11))</f>
        <v>7.97016647385312E-2</v>
      </c>
    </row>
    <row r="679" spans="1:5" x14ac:dyDescent="0.3">
      <c r="A679">
        <v>674</v>
      </c>
      <c r="B679">
        <f>Utilities!$B$7+((Utilities!$B$9-Utilities!$B$7)*(A679/Utilities!$B$1))</f>
        <v>46.663699999999999</v>
      </c>
      <c r="C679">
        <f>Utilities!$B$9+((Utilities!$B$7-Utilities!$B$9)*EXP(-$B$2*A679))</f>
        <v>0.50006923338770404</v>
      </c>
      <c r="D679">
        <f>EXP(-1*SQRT(Utilities!$B$5)/(IF($B$1="Linear",B679,C679)*Utilities!$B$11))</f>
        <v>1.2223598844250719E-5</v>
      </c>
      <c r="E679">
        <f>EXP(-1*SQRT(Utilities!$B$5/20)/(IF($B$1="Linear",B679,C679)*Utilities!$B$11))</f>
        <v>7.9701100893024818E-2</v>
      </c>
    </row>
    <row r="680" spans="1:5" x14ac:dyDescent="0.3">
      <c r="A680">
        <v>675</v>
      </c>
      <c r="B680">
        <f>Utilities!$B$7+((Utilities!$B$9-Utilities!$B$7)*(A680/Utilities!$B$1))</f>
        <v>46.658749999999998</v>
      </c>
      <c r="C680">
        <f>Utilities!$B$9+((Utilities!$B$7-Utilities!$B$9)*EXP(-$B$2*A680))</f>
        <v>0.50006786247477597</v>
      </c>
      <c r="D680">
        <f>EXP(-1*SQRT(Utilities!$B$5)/(IF($B$1="Linear",B680,C680)*Utilities!$B$11))</f>
        <v>1.2223219775367918E-5</v>
      </c>
      <c r="E680">
        <f>EXP(-1*SQRT(Utilities!$B$5/20)/(IF($B$1="Linear",B680,C680)*Utilities!$B$11))</f>
        <v>7.9700548213217787E-2</v>
      </c>
    </row>
    <row r="681" spans="1:5" x14ac:dyDescent="0.3">
      <c r="A681">
        <v>676</v>
      </c>
      <c r="B681">
        <f>Utilities!$B$7+((Utilities!$B$9-Utilities!$B$7)*(A681/Utilities!$B$1))</f>
        <v>46.653800000000004</v>
      </c>
      <c r="C681">
        <f>Utilities!$B$9+((Utilities!$B$7-Utilities!$B$9)*EXP(-$B$2*A681))</f>
        <v>0.50006651870774277</v>
      </c>
      <c r="D681">
        <f>EXP(-1*SQRT(Utilities!$B$5)/(IF($B$1="Linear",B681,C681)*Utilities!$B$11))</f>
        <v>1.2222848221943492E-5</v>
      </c>
      <c r="E681">
        <f>EXP(-1*SQRT(Utilities!$B$5/20)/(IF($B$1="Linear",B681,C681)*Utilities!$B$11))</f>
        <v>7.9700006477982796E-2</v>
      </c>
    </row>
    <row r="682" spans="1:5" x14ac:dyDescent="0.3">
      <c r="A682">
        <v>677</v>
      </c>
      <c r="B682">
        <f>Utilities!$B$7+((Utilities!$B$9-Utilities!$B$7)*(A682/Utilities!$B$1))</f>
        <v>46.648850000000003</v>
      </c>
      <c r="C682">
        <f>Utilities!$B$9+((Utilities!$B$7-Utilities!$B$9)*EXP(-$B$2*A682))</f>
        <v>0.50006520154907952</v>
      </c>
      <c r="D682">
        <f>EXP(-1*SQRT(Utilities!$B$5)/(IF($B$1="Linear",B682,C682)*Utilities!$B$11))</f>
        <v>1.2222484034792934E-5</v>
      </c>
      <c r="E682">
        <f>EXP(-1*SQRT(Utilities!$B$5/20)/(IF($B$1="Linear",B682,C682)*Utilities!$B$11))</f>
        <v>7.969947547057217E-2</v>
      </c>
    </row>
    <row r="683" spans="1:5" x14ac:dyDescent="0.3">
      <c r="A683">
        <v>678</v>
      </c>
      <c r="B683">
        <f>Utilities!$B$7+((Utilities!$B$9-Utilities!$B$7)*(A683/Utilities!$B$1))</f>
        <v>46.643900000000002</v>
      </c>
      <c r="C683">
        <f>Utilities!$B$9+((Utilities!$B$7-Utilities!$B$9)*EXP(-$B$2*A683))</f>
        <v>0.50006391047190535</v>
      </c>
      <c r="D683">
        <f>EXP(-1*SQRT(Utilities!$B$5)/(IF($B$1="Linear",B683,C683)*Utilities!$B$11))</f>
        <v>1.2222127067700311E-5</v>
      </c>
      <c r="E683">
        <f>EXP(-1*SQRT(Utilities!$B$5/20)/(IF($B$1="Linear",B683,C683)*Utilities!$B$11))</f>
        <v>7.969895497853155E-2</v>
      </c>
    </row>
    <row r="684" spans="1:5" x14ac:dyDescent="0.3">
      <c r="A684">
        <v>679</v>
      </c>
      <c r="B684">
        <f>Utilities!$B$7+((Utilities!$B$9-Utilities!$B$7)*(A684/Utilities!$B$1))</f>
        <v>46.638950000000001</v>
      </c>
      <c r="C684">
        <f>Utilities!$B$9+((Utilities!$B$7-Utilities!$B$9)*EXP(-$B$2*A684))</f>
        <v>0.50006264495977204</v>
      </c>
      <c r="D684">
        <f>EXP(-1*SQRT(Utilities!$B$5)/(IF($B$1="Linear",B684,C684)*Utilities!$B$11))</f>
        <v>1.2221777177358786E-5</v>
      </c>
      <c r="E684">
        <f>EXP(-1*SQRT(Utilities!$B$5/20)/(IF($B$1="Linear",B684,C684)*Utilities!$B$11))</f>
        <v>7.9698444793614376E-2</v>
      </c>
    </row>
    <row r="685" spans="1:5" x14ac:dyDescent="0.3">
      <c r="A685">
        <v>680</v>
      </c>
      <c r="B685">
        <f>Utilities!$B$7+((Utilities!$B$9-Utilities!$B$7)*(A685/Utilities!$B$1))</f>
        <v>46.634</v>
      </c>
      <c r="C685">
        <f>Utilities!$B$9+((Utilities!$B$7-Utilities!$B$9)*EXP(-$B$2*A685))</f>
        <v>0.50006140450645786</v>
      </c>
      <c r="D685">
        <f>EXP(-1*SQRT(Utilities!$B$5)/(IF($B$1="Linear",B685,C685)*Utilities!$B$11))</f>
        <v>1.222143422331255E-5</v>
      </c>
      <c r="E685">
        <f>EXP(-1*SQRT(Utilities!$B$5/20)/(IF($B$1="Linear",B685,C685)*Utilities!$B$11))</f>
        <v>7.9697944711698887E-2</v>
      </c>
    </row>
    <row r="686" spans="1:5" x14ac:dyDescent="0.3">
      <c r="A686">
        <v>681</v>
      </c>
      <c r="B686">
        <f>Utilities!$B$7+((Utilities!$B$9-Utilities!$B$7)*(A686/Utilities!$B$1))</f>
        <v>46.629049999999999</v>
      </c>
      <c r="C686">
        <f>Utilities!$B$9+((Utilities!$B$7-Utilities!$B$9)*EXP(-$B$2*A686))</f>
        <v>0.50006018861576507</v>
      </c>
      <c r="D686">
        <f>EXP(-1*SQRT(Utilities!$B$5)/(IF($B$1="Linear",B686,C686)*Utilities!$B$11))</f>
        <v>1.2221098067899908E-5</v>
      </c>
      <c r="E686">
        <f>EXP(-1*SQRT(Utilities!$B$5/20)/(IF($B$1="Linear",B686,C686)*Utilities!$B$11))</f>
        <v>7.9697454532706311E-2</v>
      </c>
    </row>
    <row r="687" spans="1:5" x14ac:dyDescent="0.3">
      <c r="A687">
        <v>682</v>
      </c>
      <c r="B687">
        <f>Utilities!$B$7+((Utilities!$B$9-Utilities!$B$7)*(A687/Utilities!$B$1))</f>
        <v>46.624099999999999</v>
      </c>
      <c r="C687">
        <f>Utilities!$B$9+((Utilities!$B$7-Utilities!$B$9)*EXP(-$B$2*A687))</f>
        <v>0.50005899680132104</v>
      </c>
      <c r="D687">
        <f>EXP(-1*SQRT(Utilities!$B$5)/(IF($B$1="Linear",B687,C687)*Utilities!$B$11))</f>
        <v>1.2220768576197265E-5</v>
      </c>
      <c r="E687">
        <f>EXP(-1*SQRT(Utilities!$B$5/20)/(IF($B$1="Linear",B687,C687)*Utilities!$B$11))</f>
        <v>7.9696974060520537E-2</v>
      </c>
    </row>
    <row r="688" spans="1:5" x14ac:dyDescent="0.3">
      <c r="A688">
        <v>683</v>
      </c>
      <c r="B688">
        <f>Utilities!$B$7+((Utilities!$B$9-Utilities!$B$7)*(A688/Utilities!$B$1))</f>
        <v>46.619149999999998</v>
      </c>
      <c r="C688">
        <f>Utilities!$B$9+((Utilities!$B$7-Utilities!$B$9)*EXP(-$B$2*A688))</f>
        <v>0.50005782858638426</v>
      </c>
      <c r="D688">
        <f>EXP(-1*SQRT(Utilities!$B$5)/(IF($B$1="Linear",B688,C688)*Utilities!$B$11))</f>
        <v>1.2220445615964559E-5</v>
      </c>
      <c r="E688">
        <f>EXP(-1*SQRT(Utilities!$B$5/20)/(IF($B$1="Linear",B688,C688)*Utilities!$B$11))</f>
        <v>7.9696503102910043E-2</v>
      </c>
    </row>
    <row r="689" spans="1:5" x14ac:dyDescent="0.3">
      <c r="A689">
        <v>684</v>
      </c>
      <c r="B689">
        <f>Utilities!$B$7+((Utilities!$B$9-Utilities!$B$7)*(A689/Utilities!$B$1))</f>
        <v>46.614199999999997</v>
      </c>
      <c r="C689">
        <f>Utilities!$B$9+((Utilities!$B$7-Utilities!$B$9)*EXP(-$B$2*A689))</f>
        <v>0.50005668350365307</v>
      </c>
      <c r="D689">
        <f>EXP(-1*SQRT(Utilities!$B$5)/(IF($B$1="Linear",B689,C689)*Utilities!$B$11))</f>
        <v>1.2220129057591625E-5</v>
      </c>
      <c r="E689">
        <f>EXP(-1*SQRT(Utilities!$B$5/20)/(IF($B$1="Linear",B689,C689)*Utilities!$B$11))</f>
        <v>7.9696041471450402E-2</v>
      </c>
    </row>
    <row r="690" spans="1:5" x14ac:dyDescent="0.3">
      <c r="A690">
        <v>685</v>
      </c>
      <c r="B690">
        <f>Utilities!$B$7+((Utilities!$B$9-Utilities!$B$7)*(A690/Utilities!$B$1))</f>
        <v>46.609250000000003</v>
      </c>
      <c r="C690">
        <f>Utilities!$B$9+((Utilities!$B$7-Utilities!$B$9)*EXP(-$B$2*A690))</f>
        <v>0.50005556109507909</v>
      </c>
      <c r="D690">
        <f>EXP(-1*SQRT(Utilities!$B$5)/(IF($B$1="Linear",B690,C690)*Utilities!$B$11))</f>
        <v>1.2219818774045667E-5</v>
      </c>
      <c r="E690">
        <f>EXP(-1*SQRT(Utilities!$B$5/20)/(IF($B$1="Linear",B690,C690)*Utilities!$B$11))</f>
        <v>7.9695588981449378E-2</v>
      </c>
    </row>
    <row r="691" spans="1:5" x14ac:dyDescent="0.3">
      <c r="A691">
        <v>686</v>
      </c>
      <c r="B691">
        <f>Utilities!$B$7+((Utilities!$B$9-Utilities!$B$7)*(A691/Utilities!$B$1))</f>
        <v>46.604300000000002</v>
      </c>
      <c r="C691">
        <f>Utilities!$B$9+((Utilities!$B$7-Utilities!$B$9)*EXP(-$B$2*A691))</f>
        <v>0.50005446091168404</v>
      </c>
      <c r="D691">
        <f>EXP(-1*SQRT(Utilities!$B$5)/(IF($B$1="Linear",B691,C691)*Utilities!$B$11))</f>
        <v>1.2219514640819834E-5</v>
      </c>
      <c r="E691">
        <f>EXP(-1*SQRT(Utilities!$B$5/20)/(IF($B$1="Linear",B691,C691)*Utilities!$B$11))</f>
        <v>7.9695145451872673E-2</v>
      </c>
    </row>
    <row r="692" spans="1:5" x14ac:dyDescent="0.3">
      <c r="A692">
        <v>687</v>
      </c>
      <c r="B692">
        <f>Utilities!$B$7+((Utilities!$B$9-Utilities!$B$7)*(A692/Utilities!$B$1))</f>
        <v>46.599350000000001</v>
      </c>
      <c r="C692">
        <f>Utilities!$B$9+((Utilities!$B$7-Utilities!$B$9)*EXP(-$B$2*A692))</f>
        <v>0.50005338251337972</v>
      </c>
      <c r="D692">
        <f>EXP(-1*SQRT(Utilities!$B$5)/(IF($B$1="Linear",B692,C692)*Utilities!$B$11))</f>
        <v>1.2219216535882709E-5</v>
      </c>
      <c r="E692">
        <f>EXP(-1*SQRT(Utilities!$B$5/20)/(IF($B$1="Linear",B692,C692)*Utilities!$B$11))</f>
        <v>7.9694710705271454E-2</v>
      </c>
    </row>
    <row r="693" spans="1:5" x14ac:dyDescent="0.3">
      <c r="A693">
        <v>688</v>
      </c>
      <c r="B693">
        <f>Utilities!$B$7+((Utilities!$B$9-Utilities!$B$7)*(A693/Utilities!$B$1))</f>
        <v>46.5944</v>
      </c>
      <c r="C693">
        <f>Utilities!$B$9+((Utilities!$B$7-Utilities!$B$9)*EXP(-$B$2*A693))</f>
        <v>0.50005232546879264</v>
      </c>
      <c r="D693">
        <f>EXP(-1*SQRT(Utilities!$B$5)/(IF($B$1="Linear",B693,C693)*Utilities!$B$11))</f>
        <v>1.2218924339628975E-5</v>
      </c>
      <c r="E693">
        <f>EXP(-1*SQRT(Utilities!$B$5/20)/(IF($B$1="Linear",B693,C693)*Utilities!$B$11))</f>
        <v>7.9694284567711576E-2</v>
      </c>
    </row>
    <row r="694" spans="1:5" x14ac:dyDescent="0.3">
      <c r="A694">
        <v>689</v>
      </c>
      <c r="B694">
        <f>Utilities!$B$7+((Utilities!$B$9-Utilities!$B$7)*(A694/Utilities!$B$1))</f>
        <v>46.589449999999999</v>
      </c>
      <c r="C694">
        <f>Utilities!$B$9+((Utilities!$B$7-Utilities!$B$9)*EXP(-$B$2*A694))</f>
        <v>0.50005128935509069</v>
      </c>
      <c r="D694">
        <f>EXP(-1*SQRT(Utilities!$B$5)/(IF($B$1="Linear",B694,C694)*Utilities!$B$11))</f>
        <v>1.2218637934830966E-5</v>
      </c>
      <c r="E694">
        <f>EXP(-1*SQRT(Utilities!$B$5/20)/(IF($B$1="Linear",B694,C694)*Utilities!$B$11))</f>
        <v>7.9693866868703708E-2</v>
      </c>
    </row>
    <row r="695" spans="1:5" x14ac:dyDescent="0.3">
      <c r="A695">
        <v>690</v>
      </c>
      <c r="B695">
        <f>Utilities!$B$7+((Utilities!$B$9-Utilities!$B$7)*(A695/Utilities!$B$1))</f>
        <v>46.584499999999998</v>
      </c>
      <c r="C695">
        <f>Utilities!$B$9+((Utilities!$B$7-Utilities!$B$9)*EXP(-$B$2*A695))</f>
        <v>0.50005027375781463</v>
      </c>
      <c r="D695">
        <f>EXP(-1*SQRT(Utilities!$B$5)/(IF($B$1="Linear",B695,C695)*Utilities!$B$11))</f>
        <v>1.2218357206591192E-5</v>
      </c>
      <c r="E695">
        <f>EXP(-1*SQRT(Utilities!$B$5/20)/(IF($B$1="Linear",B695,C695)*Utilities!$B$11))</f>
        <v>7.969345744113511E-2</v>
      </c>
    </row>
    <row r="696" spans="1:5" x14ac:dyDescent="0.3">
      <c r="A696">
        <v>691</v>
      </c>
      <c r="B696">
        <f>Utilities!$B$7+((Utilities!$B$9-Utilities!$B$7)*(A696/Utilities!$B$1))</f>
        <v>46.579549999999998</v>
      </c>
      <c r="C696">
        <f>Utilities!$B$9+((Utilities!$B$7-Utilities!$B$9)*EXP(-$B$2*A696))</f>
        <v>0.50004927827071199</v>
      </c>
      <c r="D696">
        <f>EXP(-1*SQRT(Utilities!$B$5)/(IF($B$1="Linear",B696,C696)*Utilities!$B$11))</f>
        <v>1.2218082042295926E-5</v>
      </c>
      <c r="E696">
        <f>EXP(-1*SQRT(Utilities!$B$5/20)/(IF($B$1="Linear",B696,C696)*Utilities!$B$11))</f>
        <v>7.9693056121202935E-2</v>
      </c>
    </row>
    <row r="697" spans="1:5" x14ac:dyDescent="0.3">
      <c r="A697">
        <v>692</v>
      </c>
      <c r="B697">
        <f>Utilities!$B$7+((Utilities!$B$9-Utilities!$B$7)*(A697/Utilities!$B$1))</f>
        <v>46.574600000000004</v>
      </c>
      <c r="C697">
        <f>Utilities!$B$9+((Utilities!$B$7-Utilities!$B$9)*EXP(-$B$2*A697))</f>
        <v>0.50004830249557475</v>
      </c>
      <c r="D697">
        <f>EXP(-1*SQRT(Utilities!$B$5)/(IF($B$1="Linear",B697,C697)*Utilities!$B$11))</f>
        <v>1.2217812331569549E-5</v>
      </c>
      <c r="E697">
        <f>EXP(-1*SQRT(Utilities!$B$5/20)/(IF($B$1="Linear",B697,C697)*Utilities!$B$11))</f>
        <v>7.9692662748348506E-2</v>
      </c>
    </row>
    <row r="698" spans="1:5" x14ac:dyDescent="0.3">
      <c r="A698">
        <v>693</v>
      </c>
      <c r="B698">
        <f>Utilities!$B$7+((Utilities!$B$9-Utilities!$B$7)*(A698/Utilities!$B$1))</f>
        <v>46.569650000000003</v>
      </c>
      <c r="C698">
        <f>Utilities!$B$9+((Utilities!$B$7-Utilities!$B$9)*EXP(-$B$2*A698))</f>
        <v>0.50004734604207979</v>
      </c>
      <c r="D698">
        <f>EXP(-1*SQRT(Utilities!$B$5)/(IF($B$1="Linear",B698,C698)*Utilities!$B$11))</f>
        <v>1.2217547966229998E-5</v>
      </c>
      <c r="E698">
        <f>EXP(-1*SQRT(Utilities!$B$5/20)/(IF($B$1="Linear",B698,C698)*Utilities!$B$11))</f>
        <v>7.9692277165192948E-2</v>
      </c>
    </row>
    <row r="699" spans="1:5" x14ac:dyDescent="0.3">
      <c r="A699">
        <v>694</v>
      </c>
      <c r="B699">
        <f>Utilities!$B$7+((Utilities!$B$9-Utilities!$B$7)*(A699/Utilities!$B$1))</f>
        <v>46.564700000000002</v>
      </c>
      <c r="C699">
        <f>Utilities!$B$9+((Utilities!$B$7-Utilities!$B$9)*EXP(-$B$2*A699))</f>
        <v>0.50004640852763294</v>
      </c>
      <c r="D699">
        <f>EXP(-1*SQRT(Utilities!$B$5)/(IF($B$1="Linear",B699,C699)*Utilities!$B$11))</f>
        <v>1.2217288840244918E-5</v>
      </c>
      <c r="E699">
        <f>EXP(-1*SQRT(Utilities!$B$5/20)/(IF($B$1="Linear",B699,C699)*Utilities!$B$11))</f>
        <v>7.9691899217474479E-2</v>
      </c>
    </row>
    <row r="700" spans="1:5" x14ac:dyDescent="0.3">
      <c r="A700">
        <v>695</v>
      </c>
      <c r="B700">
        <f>Utilities!$B$7+((Utilities!$B$9-Utilities!$B$7)*(A700/Utilities!$B$1))</f>
        <v>46.559750000000001</v>
      </c>
      <c r="C700">
        <f>Utilities!$B$9+((Utilities!$B$7-Utilities!$B$9)*EXP(-$B$2*A700))</f>
        <v>0.50004548957721595</v>
      </c>
      <c r="D700">
        <f>EXP(-1*SQRT(Utilities!$B$5)/(IF($B$1="Linear",B700,C700)*Utilities!$B$11))</f>
        <v>1.2217034849688895E-5</v>
      </c>
      <c r="E700">
        <f>EXP(-1*SQRT(Utilities!$B$5/20)/(IF($B$1="Linear",B700,C700)*Utilities!$B$11))</f>
        <v>7.9691528753986468E-2</v>
      </c>
    </row>
    <row r="701" spans="1:5" x14ac:dyDescent="0.3">
      <c r="A701">
        <v>696</v>
      </c>
      <c r="B701">
        <f>Utilities!$B$7+((Utilities!$B$9-Utilities!$B$7)*(A701/Utilities!$B$1))</f>
        <v>46.5548</v>
      </c>
      <c r="C701">
        <f>Utilities!$B$9+((Utilities!$B$7-Utilities!$B$9)*EXP(-$B$2*A701))</f>
        <v>0.50004458882323632</v>
      </c>
      <c r="D701">
        <f>EXP(-1*SQRT(Utilities!$B$5)/(IF($B$1="Linear",B701,C701)*Utilities!$B$11))</f>
        <v>1.2216785892701415E-5</v>
      </c>
      <c r="E701">
        <f>EXP(-1*SQRT(Utilities!$B$5/20)/(IF($B$1="Linear",B701,C701)*Utilities!$B$11))</f>
        <v>7.9691165626516874E-2</v>
      </c>
    </row>
    <row r="702" spans="1:5" x14ac:dyDescent="0.3">
      <c r="A702">
        <v>697</v>
      </c>
      <c r="B702">
        <f>Utilities!$B$7+((Utilities!$B$9-Utilities!$B$7)*(A702/Utilities!$B$1))</f>
        <v>46.549849999999999</v>
      </c>
      <c r="C702">
        <f>Utilities!$B$9+((Utilities!$B$7-Utilities!$B$9)*EXP(-$B$2*A702))</f>
        <v>0.50004370590538061</v>
      </c>
      <c r="D702">
        <f>EXP(-1*SQRT(Utilities!$B$5)/(IF($B$1="Linear",B702,C702)*Utilities!$B$11))</f>
        <v>1.2216541869445679E-5</v>
      </c>
      <c r="E702">
        <f>EXP(-1*SQRT(Utilities!$B$5/20)/(IF($B$1="Linear",B702,C702)*Utilities!$B$11))</f>
        <v>7.9690809689789227E-2</v>
      </c>
    </row>
    <row r="703" spans="1:5" x14ac:dyDescent="0.3">
      <c r="A703">
        <v>698</v>
      </c>
      <c r="B703">
        <f>Utilities!$B$7+((Utilities!$B$9-Utilities!$B$7)*(A703/Utilities!$B$1))</f>
        <v>46.544899999999998</v>
      </c>
      <c r="C703">
        <f>Utilities!$B$9+((Utilities!$B$7-Utilities!$B$9)*EXP(-$B$2*A703))</f>
        <v>0.50004284047046976</v>
      </c>
      <c r="D703">
        <f>EXP(-1*SQRT(Utilities!$B$5)/(IF($B$1="Linear",B703,C703)*Utilities!$B$11))</f>
        <v>1.2216302682068265E-5</v>
      </c>
      <c r="E703">
        <f>EXP(-1*SQRT(Utilities!$B$5/20)/(IF($B$1="Linear",B703,C703)*Utilities!$B$11))</f>
        <v>7.9690460801403948E-2</v>
      </c>
    </row>
    <row r="704" spans="1:5" x14ac:dyDescent="0.3">
      <c r="A704">
        <v>699</v>
      </c>
      <c r="B704">
        <f>Utilities!$B$7+((Utilities!$B$9-Utilities!$B$7)*(A704/Utilities!$B$1))</f>
        <v>46.539949999999997</v>
      </c>
      <c r="C704">
        <f>Utilities!$B$9+((Utilities!$B$7-Utilities!$B$9)*EXP(-$B$2*A704))</f>
        <v>0.50004199217231826</v>
      </c>
      <c r="D704">
        <f>EXP(-1*SQRT(Utilities!$B$5)/(IF($B$1="Linear",B704,C704)*Utilities!$B$11))</f>
        <v>1.2216068234659615E-5</v>
      </c>
      <c r="E704">
        <f>EXP(-1*SQRT(Utilities!$B$5/20)/(IF($B$1="Linear",B704,C704)*Utilities!$B$11))</f>
        <v>7.9690118821781925E-2</v>
      </c>
    </row>
    <row r="705" spans="1:5" x14ac:dyDescent="0.3">
      <c r="A705">
        <v>700</v>
      </c>
      <c r="B705">
        <f>Utilities!$B$7+((Utilities!$B$9-Utilities!$B$7)*(A705/Utilities!$B$1))</f>
        <v>46.534999999999997</v>
      </c>
      <c r="C705">
        <f>Utilities!$B$9+((Utilities!$B$7-Utilities!$B$9)*EXP(-$B$2*A705))</f>
        <v>0.50004116067159565</v>
      </c>
      <c r="D705">
        <f>EXP(-1*SQRT(Utilities!$B$5)/(IF($B$1="Linear",B705,C705)*Utilities!$B$11))</f>
        <v>1.2215838433215353E-5</v>
      </c>
      <c r="E705">
        <f>EXP(-1*SQRT(Utilities!$B$5/20)/(IF($B$1="Linear",B705,C705)*Utilities!$B$11))</f>
        <v>7.9689783614108348E-2</v>
      </c>
    </row>
    <row r="706" spans="1:5" x14ac:dyDescent="0.3">
      <c r="A706">
        <v>701</v>
      </c>
      <c r="B706">
        <f>Utilities!$B$7+((Utilities!$B$9-Utilities!$B$7)*(A706/Utilities!$B$1))</f>
        <v>46.530050000000003</v>
      </c>
      <c r="C706">
        <f>Utilities!$B$9+((Utilities!$B$7-Utilities!$B$9)*EXP(-$B$2*A706))</f>
        <v>0.50004034563569044</v>
      </c>
      <c r="D706">
        <f>EXP(-1*SQRT(Utilities!$B$5)/(IF($B$1="Linear",B706,C706)*Utilities!$B$11))</f>
        <v>1.2215613185598215E-5</v>
      </c>
      <c r="E706">
        <f>EXP(-1*SQRT(Utilities!$B$5/20)/(IF($B$1="Linear",B706,C706)*Utilities!$B$11))</f>
        <v>7.9689455044277893E-2</v>
      </c>
    </row>
    <row r="707" spans="1:5" x14ac:dyDescent="0.3">
      <c r="A707">
        <v>702</v>
      </c>
      <c r="B707">
        <f>Utilities!$B$7+((Utilities!$B$9-Utilities!$B$7)*(A707/Utilities!$B$1))</f>
        <v>46.525100000000002</v>
      </c>
      <c r="C707">
        <f>Utilities!$B$9+((Utilities!$B$7-Utilities!$B$9)*EXP(-$B$2*A707))</f>
        <v>0.50003954673857753</v>
      </c>
      <c r="D707">
        <f>EXP(-1*SQRT(Utilities!$B$5)/(IF($B$1="Linear",B707,C707)*Utilities!$B$11))</f>
        <v>1.2215392401500913E-5</v>
      </c>
      <c r="E707">
        <f>EXP(-1*SQRT(Utilities!$B$5/20)/(IF($B$1="Linear",B707,C707)*Utilities!$B$11))</f>
        <v>7.9689132980841265E-2</v>
      </c>
    </row>
    <row r="708" spans="1:5" x14ac:dyDescent="0.3">
      <c r="A708">
        <v>703</v>
      </c>
      <c r="B708">
        <f>Utilities!$B$7+((Utilities!$B$9-Utilities!$B$7)*(A708/Utilities!$B$1))</f>
        <v>46.520150000000001</v>
      </c>
      <c r="C708">
        <f>Utilities!$B$9+((Utilities!$B$7-Utilities!$B$9)*EXP(-$B$2*A708))</f>
        <v>0.50003876366068722</v>
      </c>
      <c r="D708">
        <f>EXP(-1*SQRT(Utilities!$B$5)/(IF($B$1="Linear",B708,C708)*Utilities!$B$11))</f>
        <v>1.2215175992409693E-5</v>
      </c>
      <c r="E708">
        <f>EXP(-1*SQRT(Utilities!$B$5/20)/(IF($B$1="Linear",B708,C708)*Utilities!$B$11))</f>
        <v>7.9688817294952433E-2</v>
      </c>
    </row>
    <row r="709" spans="1:5" x14ac:dyDescent="0.3">
      <c r="A709">
        <v>704</v>
      </c>
      <c r="B709">
        <f>Utilities!$B$7+((Utilities!$B$9-Utilities!$B$7)*(A709/Utilities!$B$1))</f>
        <v>46.5152</v>
      </c>
      <c r="C709">
        <f>Utilities!$B$9+((Utilities!$B$7-Utilities!$B$9)*EXP(-$B$2*A709))</f>
        <v>0.50003799608877819</v>
      </c>
      <c r="D709">
        <f>EXP(-1*SQRT(Utilities!$B$5)/(IF($B$1="Linear",B709,C709)*Utilities!$B$11))</f>
        <v>1.221496387156862E-5</v>
      </c>
      <c r="E709">
        <f>EXP(-1*SQRT(Utilities!$B$5/20)/(IF($B$1="Linear",B709,C709)*Utilities!$B$11))</f>
        <v>7.9688507860317129E-2</v>
      </c>
    </row>
    <row r="710" spans="1:5" x14ac:dyDescent="0.3">
      <c r="A710">
        <v>705</v>
      </c>
      <c r="B710">
        <f>Utilities!$B$7+((Utilities!$B$9-Utilities!$B$7)*(A710/Utilities!$B$1))</f>
        <v>46.510249999999999</v>
      </c>
      <c r="C710">
        <f>Utilities!$B$9+((Utilities!$B$7-Utilities!$B$9)*EXP(-$B$2*A710))</f>
        <v>0.50003724371581126</v>
      </c>
      <c r="D710">
        <f>EXP(-1*SQRT(Utilities!$B$5)/(IF($B$1="Linear",B710,C710)*Utilities!$B$11))</f>
        <v>1.2214755953944499E-5</v>
      </c>
      <c r="E710">
        <f>EXP(-1*SQRT(Utilities!$B$5/20)/(IF($B$1="Linear",B710,C710)*Utilities!$B$11))</f>
        <v>7.9688204553142322E-2</v>
      </c>
    </row>
    <row r="711" spans="1:5" x14ac:dyDescent="0.3">
      <c r="A711">
        <v>706</v>
      </c>
      <c r="B711">
        <f>Utilities!$B$7+((Utilities!$B$9-Utilities!$B$7)*(A711/Utilities!$B$1))</f>
        <v>46.505299999999998</v>
      </c>
      <c r="C711">
        <f>Utilities!$B$9+((Utilities!$B$7-Utilities!$B$9)*EXP(-$B$2*A711))</f>
        <v>0.50003650624082718</v>
      </c>
      <c r="D711">
        <f>EXP(-1*SQRT(Utilities!$B$5)/(IF($B$1="Linear",B711,C711)*Utilities!$B$11))</f>
        <v>1.2214552156192605E-5</v>
      </c>
      <c r="E711">
        <f>EXP(-1*SQRT(Utilities!$B$5/20)/(IF($B$1="Linear",B711,C711)*Utilities!$B$11))</f>
        <v>7.9687907252086493E-2</v>
      </c>
    </row>
    <row r="712" spans="1:5" x14ac:dyDescent="0.3">
      <c r="A712">
        <v>707</v>
      </c>
      <c r="B712">
        <f>Utilities!$B$7+((Utilities!$B$9-Utilities!$B$7)*(A712/Utilities!$B$1))</f>
        <v>46.500349999999997</v>
      </c>
      <c r="C712">
        <f>Utilities!$B$9+((Utilities!$B$7-Utilities!$B$9)*EXP(-$B$2*A712))</f>
        <v>0.50003578336882626</v>
      </c>
      <c r="D712">
        <f>EXP(-1*SQRT(Utilities!$B$5)/(IF($B$1="Linear",B712,C712)*Utilities!$B$11))</f>
        <v>1.221435239662316E-5</v>
      </c>
      <c r="E712">
        <f>EXP(-1*SQRT(Utilities!$B$5/20)/(IF($B$1="Linear",B712,C712)*Utilities!$B$11))</f>
        <v>7.9687615838211379E-2</v>
      </c>
    </row>
    <row r="713" spans="1:5" x14ac:dyDescent="0.3">
      <c r="A713">
        <v>708</v>
      </c>
      <c r="B713">
        <f>Utilities!$B$7+((Utilities!$B$9-Utilities!$B$7)*(A713/Utilities!$B$1))</f>
        <v>46.495400000000004</v>
      </c>
      <c r="C713">
        <f>Utilities!$B$9+((Utilities!$B$7-Utilities!$B$9)*EXP(-$B$2*A713))</f>
        <v>0.5000350748106499</v>
      </c>
      <c r="D713">
        <f>EXP(-1*SQRT(Utilities!$B$5)/(IF($B$1="Linear",B713,C713)*Utilities!$B$11))</f>
        <v>1.2214156595168192E-5</v>
      </c>
      <c r="E713">
        <f>EXP(-1*SQRT(Utilities!$B$5/20)/(IF($B$1="Linear",B713,C713)*Utilities!$B$11))</f>
        <v>7.9687330194934167E-2</v>
      </c>
    </row>
    <row r="714" spans="1:5" x14ac:dyDescent="0.3">
      <c r="A714">
        <v>709</v>
      </c>
      <c r="B714">
        <f>Utilities!$B$7+((Utilities!$B$9-Utilities!$B$7)*(A714/Utilities!$B$1))</f>
        <v>46.490450000000003</v>
      </c>
      <c r="C714">
        <f>Utilities!$B$9+((Utilities!$B$7-Utilities!$B$9)*EXP(-$B$2*A714))</f>
        <v>0.50003438028286551</v>
      </c>
      <c r="D714">
        <f>EXP(-1*SQRT(Utilities!$B$5)/(IF($B$1="Linear",B714,C714)*Utilities!$B$11))</f>
        <v>1.2213964673349458E-5</v>
      </c>
      <c r="E714">
        <f>EXP(-1*SQRT(Utilities!$B$5/20)/(IF($B$1="Linear",B714,C714)*Utilities!$B$11))</f>
        <v>7.9687050207980822E-2</v>
      </c>
    </row>
    <row r="715" spans="1:5" x14ac:dyDescent="0.3">
      <c r="A715">
        <v>710</v>
      </c>
      <c r="B715">
        <f>Utilities!$B$7+((Utilities!$B$9-Utilities!$B$7)*(A715/Utilities!$B$1))</f>
        <v>46.485500000000002</v>
      </c>
      <c r="C715">
        <f>Utilities!$B$9+((Utilities!$B$7-Utilities!$B$9)*EXP(-$B$2*A715))</f>
        <v>0.50003369950765264</v>
      </c>
      <c r="D715">
        <f>EXP(-1*SQRT(Utilities!$B$5)/(IF($B$1="Linear",B715,C715)*Utilities!$B$11))</f>
        <v>1.2213776554246655E-5</v>
      </c>
      <c r="E715">
        <f>EXP(-1*SQRT(Utilities!$B$5/20)/(IF($B$1="Linear",B715,C715)*Utilities!$B$11))</f>
        <v>7.9686775765340515E-2</v>
      </c>
    </row>
    <row r="716" spans="1:5" x14ac:dyDescent="0.3">
      <c r="A716">
        <v>711</v>
      </c>
      <c r="B716">
        <f>Utilities!$B$7+((Utilities!$B$9-Utilities!$B$7)*(A716/Utilities!$B$1))</f>
        <v>46.480550000000001</v>
      </c>
      <c r="C716">
        <f>Utilities!$B$9+((Utilities!$B$7-Utilities!$B$9)*EXP(-$B$2*A716))</f>
        <v>0.50003303221269224</v>
      </c>
      <c r="D716">
        <f>EXP(-1*SQRT(Utilities!$B$5)/(IF($B$1="Linear",B716,C716)*Utilities!$B$11))</f>
        <v>1.2213592162466483E-5</v>
      </c>
      <c r="E716">
        <f>EXP(-1*SQRT(Utilities!$B$5/20)/(IF($B$1="Linear",B716,C716)*Utilities!$B$11))</f>
        <v>7.9686506757220707E-2</v>
      </c>
    </row>
    <row r="717" spans="1:5" x14ac:dyDescent="0.3">
      <c r="A717">
        <v>712</v>
      </c>
      <c r="B717">
        <f>Utilities!$B$7+((Utilities!$B$9-Utilities!$B$7)*(A717/Utilities!$B$1))</f>
        <v>46.4756</v>
      </c>
      <c r="C717">
        <f>Utilities!$B$9+((Utilities!$B$7-Utilities!$B$9)*EXP(-$B$2*A717))</f>
        <v>0.50003237813105728</v>
      </c>
      <c r="D717">
        <f>EXP(-1*SQRT(Utilities!$B$5)/(IF($B$1="Linear",B717,C717)*Utilities!$B$11))</f>
        <v>1.2213411424112184E-5</v>
      </c>
      <c r="E717">
        <f>EXP(-1*SQRT(Utilities!$B$5/20)/(IF($B$1="Linear",B717,C717)*Utilities!$B$11))</f>
        <v>7.9686243076003027E-2</v>
      </c>
    </row>
    <row r="718" spans="1:5" x14ac:dyDescent="0.3">
      <c r="A718">
        <v>713</v>
      </c>
      <c r="B718">
        <f>Utilities!$B$7+((Utilities!$B$9-Utilities!$B$7)*(A718/Utilities!$B$1))</f>
        <v>46.470649999999999</v>
      </c>
      <c r="C718">
        <f>Utilities!$B$9+((Utilities!$B$7-Utilities!$B$9)*EXP(-$B$2*A718))</f>
        <v>0.50003173700110659</v>
      </c>
      <c r="D718">
        <f>EXP(-1*SQRT(Utilities!$B$5)/(IF($B$1="Linear",B718,C718)*Utilities!$B$11))</f>
        <v>1.2213234266753923E-5</v>
      </c>
      <c r="E718">
        <f>EXP(-1*SQRT(Utilities!$B$5/20)/(IF($B$1="Linear",B718,C718)*Utilities!$B$11))</f>
        <v>7.9685984616200661E-2</v>
      </c>
    </row>
    <row r="719" spans="1:5" x14ac:dyDescent="0.3">
      <c r="A719">
        <v>714</v>
      </c>
      <c r="B719">
        <f>Utilities!$B$7+((Utilities!$B$9-Utilities!$B$7)*(A719/Utilities!$B$1))</f>
        <v>46.465699999999998</v>
      </c>
      <c r="C719">
        <f>Utilities!$B$9+((Utilities!$B$7-Utilities!$B$9)*EXP(-$B$2*A719))</f>
        <v>0.50003110856637933</v>
      </c>
      <c r="D719">
        <f>EXP(-1*SQRT(Utilities!$B$5)/(IF($B$1="Linear",B719,C719)*Utilities!$B$11))</f>
        <v>1.2213060619399342E-5</v>
      </c>
      <c r="E719">
        <f>EXP(-1*SQRT(Utilities!$B$5/20)/(IF($B$1="Linear",B719,C719)*Utilities!$B$11))</f>
        <v>7.9685731274415528E-2</v>
      </c>
    </row>
    <row r="720" spans="1:5" x14ac:dyDescent="0.3">
      <c r="A720">
        <v>715</v>
      </c>
      <c r="B720">
        <f>Utilities!$B$7+((Utilities!$B$9-Utilities!$B$7)*(A720/Utilities!$B$1))</f>
        <v>46.460749999999997</v>
      </c>
      <c r="C720">
        <f>Utilities!$B$9+((Utilities!$B$7-Utilities!$B$9)*EXP(-$B$2*A720))</f>
        <v>0.50003049257549359</v>
      </c>
      <c r="D720">
        <f>EXP(-1*SQRT(Utilities!$B$5)/(IF($B$1="Linear",B720,C720)*Utilities!$B$11))</f>
        <v>1.2212890412465273E-5</v>
      </c>
      <c r="E720">
        <f>EXP(-1*SQRT(Utilities!$B$5/20)/(IF($B$1="Linear",B720,C720)*Utilities!$B$11))</f>
        <v>7.9685482949297615E-2</v>
      </c>
    </row>
    <row r="721" spans="1:5" x14ac:dyDescent="0.3">
      <c r="A721">
        <v>716</v>
      </c>
      <c r="B721">
        <f>Utilities!$B$7+((Utilities!$B$9-Utilities!$B$7)*(A721/Utilities!$B$1))</f>
        <v>46.455799999999996</v>
      </c>
      <c r="C721">
        <f>Utilities!$B$9+((Utilities!$B$7-Utilities!$B$9)*EXP(-$B$2*A721))</f>
        <v>0.50002988878204446</v>
      </c>
      <c r="D721">
        <f>EXP(-1*SQRT(Utilities!$B$5)/(IF($B$1="Linear",B721,C721)*Utilities!$B$11))</f>
        <v>1.2212723577749385E-5</v>
      </c>
      <c r="E721">
        <f>EXP(-1*SQRT(Utilities!$B$5/20)/(IF($B$1="Linear",B721,C721)*Utilities!$B$11))</f>
        <v>7.9685239541503652E-2</v>
      </c>
    </row>
    <row r="722" spans="1:5" x14ac:dyDescent="0.3">
      <c r="A722">
        <v>717</v>
      </c>
      <c r="B722">
        <f>Utilities!$B$7+((Utilities!$B$9-Utilities!$B$7)*(A722/Utilities!$B$1))</f>
        <v>46.450850000000003</v>
      </c>
      <c r="C722">
        <f>Utilities!$B$9+((Utilities!$B$7-Utilities!$B$9)*EXP(-$B$2*A722))</f>
        <v>0.50002929694450671</v>
      </c>
      <c r="D722">
        <f>EXP(-1*SQRT(Utilities!$B$5)/(IF($B$1="Linear",B722,C722)*Utilities!$B$11))</f>
        <v>1.2212560048403001E-5</v>
      </c>
      <c r="E722">
        <f>EXP(-1*SQRT(Utilities!$B$5/20)/(IF($B$1="Linear",B722,C722)*Utilities!$B$11))</f>
        <v>7.9685000953658033E-2</v>
      </c>
    </row>
    <row r="723" spans="1:5" x14ac:dyDescent="0.3">
      <c r="A723">
        <v>718</v>
      </c>
      <c r="B723">
        <f>Utilities!$B$7+((Utilities!$B$9-Utilities!$B$7)*(A723/Utilities!$B$1))</f>
        <v>46.445900000000002</v>
      </c>
      <c r="C723">
        <f>Utilities!$B$9+((Utilities!$B$7-Utilities!$B$9)*EXP(-$B$2*A723))</f>
        <v>0.50002871682613748</v>
      </c>
      <c r="D723">
        <f>EXP(-1*SQRT(Utilities!$B$5)/(IF($B$1="Linear",B723,C723)*Utilities!$B$11))</f>
        <v>1.2212399758904052E-5</v>
      </c>
      <c r="E723">
        <f>EXP(-1*SQRT(Utilities!$B$5/20)/(IF($B$1="Linear",B723,C723)*Utilities!$B$11))</f>
        <v>7.9684767090313496E-2</v>
      </c>
    </row>
    <row r="724" spans="1:5" x14ac:dyDescent="0.3">
      <c r="A724">
        <v>719</v>
      </c>
      <c r="B724">
        <f>Utilities!$B$7+((Utilities!$B$9-Utilities!$B$7)*(A724/Utilities!$B$1))</f>
        <v>46.440950000000001</v>
      </c>
      <c r="C724">
        <f>Utilities!$B$9+((Utilities!$B$7-Utilities!$B$9)*EXP(-$B$2*A724))</f>
        <v>0.50002814819488151</v>
      </c>
      <c r="D724">
        <f>EXP(-1*SQRT(Utilities!$B$5)/(IF($B$1="Linear",B724,C724)*Utilities!$B$11))</f>
        <v>1.2212242645030585E-5</v>
      </c>
      <c r="E724">
        <f>EXP(-1*SQRT(Utilities!$B$5/20)/(IF($B$1="Linear",B724,C724)*Utilities!$B$11))</f>
        <v>7.9684537857912907E-2</v>
      </c>
    </row>
    <row r="725" spans="1:5" x14ac:dyDescent="0.3">
      <c r="A725">
        <v>720</v>
      </c>
      <c r="B725">
        <f>Utilities!$B$7+((Utilities!$B$9-Utilities!$B$7)*(A725/Utilities!$B$1))</f>
        <v>46.436</v>
      </c>
      <c r="C725">
        <f>Utilities!$B$9+((Utilities!$B$7-Utilities!$B$9)*EXP(-$B$2*A725))</f>
        <v>0.50002759082327886</v>
      </c>
      <c r="D725">
        <f>EXP(-1*SQRT(Utilities!$B$5)/(IF($B$1="Linear",B725,C725)*Utilities!$B$11))</f>
        <v>1.221208864383513E-5</v>
      </c>
      <c r="E725">
        <f>EXP(-1*SQRT(Utilities!$B$5/20)/(IF($B$1="Linear",B725,C725)*Utilities!$B$11))</f>
        <v>7.9684313164751969E-2</v>
      </c>
    </row>
    <row r="726" spans="1:5" x14ac:dyDescent="0.3">
      <c r="A726">
        <v>721</v>
      </c>
      <c r="B726">
        <f>Utilities!$B$7+((Utilities!$B$9-Utilities!$B$7)*(A726/Utilities!$B$1))</f>
        <v>46.431049999999999</v>
      </c>
      <c r="C726">
        <f>Utilities!$B$9+((Utilities!$B$7-Utilities!$B$9)*EXP(-$B$2*A726))</f>
        <v>0.50002704448837332</v>
      </c>
      <c r="D726">
        <f>EXP(-1*SQRT(Utilities!$B$5)/(IF($B$1="Linear",B726,C726)*Utilities!$B$11))</f>
        <v>1.2211937693619162E-5</v>
      </c>
      <c r="E726">
        <f>EXP(-1*SQRT(Utilities!$B$5/20)/(IF($B$1="Linear",B726,C726)*Utilities!$B$11))</f>
        <v>7.9684092920942431E-2</v>
      </c>
    </row>
    <row r="727" spans="1:5" x14ac:dyDescent="0.3">
      <c r="A727">
        <v>722</v>
      </c>
      <c r="B727">
        <f>Utilities!$B$7+((Utilities!$B$9-Utilities!$B$7)*(A727/Utilities!$B$1))</f>
        <v>46.426099999999998</v>
      </c>
      <c r="C727">
        <f>Utilities!$B$9+((Utilities!$B$7-Utilities!$B$9)*EXP(-$B$2*A727))</f>
        <v>0.50002650897162382</v>
      </c>
      <c r="D727">
        <f>EXP(-1*SQRT(Utilities!$B$5)/(IF($B$1="Linear",B727,C727)*Utilities!$B$11))</f>
        <v>1.2211789733908421E-5</v>
      </c>
      <c r="E727">
        <f>EXP(-1*SQRT(Utilities!$B$5/20)/(IF($B$1="Linear",B727,C727)*Utilities!$B$11))</f>
        <v>7.9683877038376275E-2</v>
      </c>
    </row>
    <row r="728" spans="1:5" x14ac:dyDescent="0.3">
      <c r="A728">
        <v>723</v>
      </c>
      <c r="B728">
        <f>Utilities!$B$7+((Utilities!$B$9-Utilities!$B$7)*(A728/Utilities!$B$1))</f>
        <v>46.421149999999997</v>
      </c>
      <c r="C728">
        <f>Utilities!$B$9+((Utilities!$B$7-Utilities!$B$9)*EXP(-$B$2*A728))</f>
        <v>0.50002598405881638</v>
      </c>
      <c r="D728">
        <f>EXP(-1*SQRT(Utilities!$B$5)/(IF($B$1="Linear",B728,C728)*Utilities!$B$11))</f>
        <v>1.2211644705428475E-5</v>
      </c>
      <c r="E728">
        <f>EXP(-1*SQRT(Utilities!$B$5/20)/(IF($B$1="Linear",B728,C728)*Utilities!$B$11))</f>
        <v>7.9683665430690165E-2</v>
      </c>
    </row>
    <row r="729" spans="1:5" x14ac:dyDescent="0.3">
      <c r="A729">
        <v>724</v>
      </c>
      <c r="B729">
        <f>Utilities!$B$7+((Utilities!$B$9-Utilities!$B$7)*(A729/Utilities!$B$1))</f>
        <v>46.416200000000003</v>
      </c>
      <c r="C729">
        <f>Utilities!$B$9+((Utilities!$B$7-Utilities!$B$9)*EXP(-$B$2*A729))</f>
        <v>0.50002546953997895</v>
      </c>
      <c r="D729">
        <f>EXP(-1*SQRT(Utilities!$B$5)/(IF($B$1="Linear",B729,C729)*Utilities!$B$11))</f>
        <v>1.2211502550080889E-5</v>
      </c>
      <c r="E729">
        <f>EXP(-1*SQRT(Utilities!$B$5/20)/(IF($B$1="Linear",B729,C729)*Utilities!$B$11))</f>
        <v>7.9683458013231179E-2</v>
      </c>
    </row>
    <row r="730" spans="1:5" x14ac:dyDescent="0.3">
      <c r="A730">
        <v>725</v>
      </c>
      <c r="B730">
        <f>Utilities!$B$7+((Utilities!$B$9-Utilities!$B$7)*(A730/Utilities!$B$1))</f>
        <v>46.411250000000003</v>
      </c>
      <c r="C730">
        <f>Utilities!$B$9+((Utilities!$B$7-Utilities!$B$9)*EXP(-$B$2*A730))</f>
        <v>0.50002496520929707</v>
      </c>
      <c r="D730">
        <f>EXP(-1*SQRT(Utilities!$B$5)/(IF($B$1="Linear",B730,C730)*Utilities!$B$11))</f>
        <v>1.2211363210919839E-5</v>
      </c>
      <c r="E730">
        <f>EXP(-1*SQRT(Utilities!$B$5/20)/(IF($B$1="Linear",B730,C730)*Utilities!$B$11))</f>
        <v>7.968325470302276E-2</v>
      </c>
    </row>
    <row r="731" spans="1:5" x14ac:dyDescent="0.3">
      <c r="A731">
        <v>726</v>
      </c>
      <c r="B731">
        <f>Utilities!$B$7+((Utilities!$B$9-Utilities!$B$7)*(A731/Utilities!$B$1))</f>
        <v>46.406300000000002</v>
      </c>
      <c r="C731">
        <f>Utilities!$B$9+((Utilities!$B$7-Utilities!$B$9)*EXP(-$B$2*A731))</f>
        <v>0.50002447086503188</v>
      </c>
      <c r="D731">
        <f>EXP(-1*SQRT(Utilities!$B$5)/(IF($B$1="Linear",B731,C731)*Utilities!$B$11))</f>
        <v>1.2211226632129322E-5</v>
      </c>
      <c r="E731">
        <f>EXP(-1*SQRT(Utilities!$B$5/20)/(IF($B$1="Linear",B731,C731)*Utilities!$B$11))</f>
        <v>7.9683055418731663E-2</v>
      </c>
    </row>
    <row r="732" spans="1:5" x14ac:dyDescent="0.3">
      <c r="A732">
        <v>727</v>
      </c>
      <c r="B732">
        <f>Utilities!$B$7+((Utilities!$B$9-Utilities!$B$7)*(A732/Utilities!$B$1))</f>
        <v>46.401350000000001</v>
      </c>
      <c r="C732">
        <f>Utilities!$B$9+((Utilities!$B$7-Utilities!$B$9)*EXP(-$B$2*A732))</f>
        <v>0.50002398630943889</v>
      </c>
      <c r="D732">
        <f>EXP(-1*SQRT(Utilities!$B$5)/(IF($B$1="Linear",B732,C732)*Utilities!$B$11))</f>
        <v>1.2211092759000443E-5</v>
      </c>
      <c r="E732">
        <f>EXP(-1*SQRT(Utilities!$B$5/20)/(IF($B$1="Linear",B732,C732)*Utilities!$B$11))</f>
        <v>7.9682860080635146E-2</v>
      </c>
    </row>
    <row r="733" spans="1:5" x14ac:dyDescent="0.3">
      <c r="A733">
        <v>728</v>
      </c>
      <c r="B733">
        <f>Utilities!$B$7+((Utilities!$B$9-Utilities!$B$7)*(A733/Utilities!$B$1))</f>
        <v>46.3964</v>
      </c>
      <c r="C733">
        <f>Utilities!$B$9+((Utilities!$B$7-Utilities!$B$9)*EXP(-$B$2*A733))</f>
        <v>0.5000235113486895</v>
      </c>
      <c r="D733">
        <f>EXP(-1*SQRT(Utilities!$B$5)/(IF($B$1="Linear",B733,C733)*Utilities!$B$11))</f>
        <v>1.221096153790967E-5</v>
      </c>
      <c r="E733">
        <f>EXP(-1*SQRT(Utilities!$B$5/20)/(IF($B$1="Linear",B733,C733)*Utilities!$B$11))</f>
        <v>7.9682668610589424E-2</v>
      </c>
    </row>
    <row r="734" spans="1:5" x14ac:dyDescent="0.3">
      <c r="A734">
        <v>729</v>
      </c>
      <c r="B734">
        <f>Utilities!$B$7+((Utilities!$B$9-Utilities!$B$7)*(A734/Utilities!$B$1))</f>
        <v>46.391449999999999</v>
      </c>
      <c r="C734">
        <f>Utilities!$B$9+((Utilities!$B$7-Utilities!$B$9)*EXP(-$B$2*A734))</f>
        <v>0.50002304579279311</v>
      </c>
      <c r="D734">
        <f>EXP(-1*SQRT(Utilities!$B$5)/(IF($B$1="Linear",B734,C734)*Utilities!$B$11))</f>
        <v>1.221083291629718E-5</v>
      </c>
      <c r="E734">
        <f>EXP(-1*SQRT(Utilities!$B$5/20)/(IF($B$1="Linear",B734,C734)*Utilities!$B$11))</f>
        <v>7.9682480931998145E-2</v>
      </c>
    </row>
    <row r="735" spans="1:5" x14ac:dyDescent="0.3">
      <c r="A735">
        <v>730</v>
      </c>
      <c r="B735">
        <f>Utilities!$B$7+((Utilities!$B$9-Utilities!$B$7)*(A735/Utilities!$B$1))</f>
        <v>46.386499999999998</v>
      </c>
      <c r="C735">
        <f>Utilities!$B$9+((Utilities!$B$7-Utilities!$B$9)*EXP(-$B$2*A735))</f>
        <v>0.50002258945552114</v>
      </c>
      <c r="D735">
        <f>EXP(-1*SQRT(Utilities!$B$5)/(IF($B$1="Linear",B735,C735)*Utilities!$B$11))</f>
        <v>1.2210706842645662E-5</v>
      </c>
      <c r="E735">
        <f>EXP(-1*SQRT(Utilities!$B$5/20)/(IF($B$1="Linear",B735,C735)*Utilities!$B$11))</f>
        <v>7.9682296969781782E-2</v>
      </c>
    </row>
    <row r="736" spans="1:5" x14ac:dyDescent="0.3">
      <c r="A736">
        <v>731</v>
      </c>
      <c r="B736">
        <f>Utilities!$B$7+((Utilities!$B$9-Utilities!$B$7)*(A736/Utilities!$B$1))</f>
        <v>46.381549999999997</v>
      </c>
      <c r="C736">
        <f>Utilities!$B$9+((Utilities!$B$7-Utilities!$B$9)*EXP(-$B$2*A736))</f>
        <v>0.50002214215433249</v>
      </c>
      <c r="D736">
        <f>EXP(-1*SQRT(Utilities!$B$5)/(IF($B$1="Linear",B736,C736)*Utilities!$B$11))</f>
        <v>1.2210583266459618E-5</v>
      </c>
      <c r="E736">
        <f>EXP(-1*SQRT(Utilities!$B$5/20)/(IF($B$1="Linear",B736,C736)*Utilities!$B$11))</f>
        <v>7.9682116650347662E-2</v>
      </c>
    </row>
    <row r="737" spans="1:5" x14ac:dyDescent="0.3">
      <c r="A737">
        <v>732</v>
      </c>
      <c r="B737">
        <f>Utilities!$B$7+((Utilities!$B$9-Utilities!$B$7)*(A737/Utilities!$B$1))</f>
        <v>46.376599999999996</v>
      </c>
      <c r="C737">
        <f>Utilities!$B$9+((Utilities!$B$7-Utilities!$B$9)*EXP(-$B$2*A737))</f>
        <v>0.50002170371030086</v>
      </c>
      <c r="D737">
        <f>EXP(-1*SQRT(Utilities!$B$5)/(IF($B$1="Linear",B737,C737)*Utilities!$B$11))</f>
        <v>1.22104621382452E-5</v>
      </c>
      <c r="E737">
        <f>EXP(-1*SQRT(Utilities!$B$5/20)/(IF($B$1="Linear",B737,C737)*Utilities!$B$11))</f>
        <v>7.9681939901560472E-2</v>
      </c>
    </row>
    <row r="738" spans="1:5" x14ac:dyDescent="0.3">
      <c r="A738">
        <v>733</v>
      </c>
      <c r="B738">
        <f>Utilities!$B$7+((Utilities!$B$9-Utilities!$B$7)*(A738/Utilities!$B$1))</f>
        <v>46.371650000000002</v>
      </c>
      <c r="C738">
        <f>Utilities!$B$9+((Utilities!$B$7-Utilities!$B$9)*EXP(-$B$2*A738))</f>
        <v>0.50002127394804274</v>
      </c>
      <c r="D738">
        <f>EXP(-1*SQRT(Utilities!$B$5)/(IF($B$1="Linear",B738,C738)*Utilities!$B$11))</f>
        <v>1.2210343409490094E-5</v>
      </c>
      <c r="E738">
        <f>EXP(-1*SQRT(Utilities!$B$5/20)/(IF($B$1="Linear",B738,C738)*Utilities!$B$11))</f>
        <v>7.9681766652713482E-2</v>
      </c>
    </row>
    <row r="739" spans="1:5" x14ac:dyDescent="0.3">
      <c r="A739">
        <v>734</v>
      </c>
      <c r="B739">
        <f>Utilities!$B$7+((Utilities!$B$9-Utilities!$B$7)*(A739/Utilities!$B$1))</f>
        <v>46.366700000000002</v>
      </c>
      <c r="C739">
        <f>Utilities!$B$9+((Utilities!$B$7-Utilities!$B$9)*EXP(-$B$2*A739))</f>
        <v>0.50002085269564756</v>
      </c>
      <c r="D739">
        <f>EXP(-1*SQRT(Utilities!$B$5)/(IF($B$1="Linear",B739,C739)*Utilities!$B$11))</f>
        <v>1.2210227032644188E-5</v>
      </c>
      <c r="E739">
        <f>EXP(-1*SQRT(Utilities!$B$5/20)/(IF($B$1="Linear",B739,C739)*Utilities!$B$11))</f>
        <v>7.9681596834500046E-2</v>
      </c>
    </row>
    <row r="740" spans="1:5" x14ac:dyDescent="0.3">
      <c r="A740">
        <v>735</v>
      </c>
      <c r="B740">
        <f>Utilities!$B$7+((Utilities!$B$9-Utilities!$B$7)*(A740/Utilities!$B$1))</f>
        <v>46.361750000000001</v>
      </c>
      <c r="C740">
        <f>Utilities!$B$9+((Utilities!$B$7-Utilities!$B$9)*EXP(-$B$2*A740))</f>
        <v>0.50002043978460853</v>
      </c>
      <c r="D740">
        <f>EXP(-1*SQRT(Utilities!$B$5)/(IF($B$1="Linear",B740,C740)*Utilities!$B$11))</f>
        <v>1.2210112961100363E-5</v>
      </c>
      <c r="E740">
        <f>EXP(-1*SQRT(Utilities!$B$5/20)/(IF($B$1="Linear",B740,C740)*Utilities!$B$11))</f>
        <v>7.9681430378986048E-2</v>
      </c>
    </row>
    <row r="741" spans="1:5" x14ac:dyDescent="0.3">
      <c r="A741">
        <v>736</v>
      </c>
      <c r="B741">
        <f>Utilities!$B$7+((Utilities!$B$9-Utilities!$B$7)*(A741/Utilities!$B$1))</f>
        <v>46.3568</v>
      </c>
      <c r="C741">
        <f>Utilities!$B$9+((Utilities!$B$7-Utilities!$B$9)*EXP(-$B$2*A741))</f>
        <v>0.50002003504975601</v>
      </c>
      <c r="D741">
        <f>EXP(-1*SQRT(Utilities!$B$5)/(IF($B$1="Linear",B741,C741)*Utilities!$B$11))</f>
        <v>1.2210001149175905E-5</v>
      </c>
      <c r="E741">
        <f>EXP(-1*SQRT(Utilities!$B$5/20)/(IF($B$1="Linear",B741,C741)*Utilities!$B$11))</f>
        <v>7.9681267219582783E-2</v>
      </c>
    </row>
    <row r="742" spans="1:5" x14ac:dyDescent="0.3">
      <c r="A742">
        <v>737</v>
      </c>
      <c r="B742">
        <f>Utilities!$B$7+((Utilities!$B$9-Utilities!$B$7)*(A742/Utilities!$B$1))</f>
        <v>46.351849999999999</v>
      </c>
      <c r="C742">
        <f>Utilities!$B$9+((Utilities!$B$7-Utilities!$B$9)*EXP(-$B$2*A742))</f>
        <v>0.5000196383291905</v>
      </c>
      <c r="D742">
        <f>EXP(-1*SQRT(Utilities!$B$5)/(IF($B$1="Linear",B742,C742)*Utilities!$B$11))</f>
        <v>1.2209891552093871E-5</v>
      </c>
      <c r="E742">
        <f>EXP(-1*SQRT(Utilities!$B$5/20)/(IF($B$1="Linear",B742,C742)*Utilities!$B$11))</f>
        <v>7.9681107291020042E-2</v>
      </c>
    </row>
    <row r="743" spans="1:5" x14ac:dyDescent="0.3">
      <c r="A743">
        <v>738</v>
      </c>
      <c r="B743">
        <f>Utilities!$B$7+((Utilities!$B$9-Utilities!$B$7)*(A743/Utilities!$B$1))</f>
        <v>46.346899999999998</v>
      </c>
      <c r="C743">
        <f>Utilities!$B$9+((Utilities!$B$7-Utilities!$B$9)*EXP(-$B$2*A743))</f>
        <v>0.5000192494642185</v>
      </c>
      <c r="D743">
        <f>EXP(-1*SQRT(Utilities!$B$5)/(IF($B$1="Linear",B743,C743)*Utilities!$B$11))</f>
        <v>1.2209784125965425E-5</v>
      </c>
      <c r="E743">
        <f>EXP(-1*SQRT(Utilities!$B$5/20)/(IF($B$1="Linear",B743,C743)*Utilities!$B$11))</f>
        <v>7.9680950529320241E-2</v>
      </c>
    </row>
    <row r="744" spans="1:5" x14ac:dyDescent="0.3">
      <c r="A744">
        <v>739</v>
      </c>
      <c r="B744">
        <f>Utilities!$B$7+((Utilities!$B$9-Utilities!$B$7)*(A744/Utilities!$B$1))</f>
        <v>46.341949999999997</v>
      </c>
      <c r="C744">
        <f>Utilities!$B$9+((Utilities!$B$7-Utilities!$B$9)*EXP(-$B$2*A744))</f>
        <v>0.50001886829928877</v>
      </c>
      <c r="D744">
        <f>EXP(-1*SQRT(Utilities!$B$5)/(IF($B$1="Linear",B744,C744)*Utilities!$B$11))</f>
        <v>1.220967882777193E-5</v>
      </c>
      <c r="E744">
        <f>EXP(-1*SQRT(Utilities!$B$5/20)/(IF($B$1="Linear",B744,C744)*Utilities!$B$11))</f>
        <v>7.9680796871772722E-2</v>
      </c>
    </row>
    <row r="745" spans="1:5" x14ac:dyDescent="0.3">
      <c r="A745">
        <v>740</v>
      </c>
      <c r="B745">
        <f>Utilities!$B$7+((Utilities!$B$9-Utilities!$B$7)*(A745/Utilities!$B$1))</f>
        <v>46.337000000000003</v>
      </c>
      <c r="C745">
        <f>Utilities!$B$9+((Utilities!$B$7-Utilities!$B$9)*EXP(-$B$2*A745))</f>
        <v>0.50001849468193038</v>
      </c>
      <c r="D745">
        <f>EXP(-1*SQRT(Utilities!$B$5)/(IF($B$1="Linear",B745,C745)*Utilities!$B$11))</f>
        <v>1.22095756153479E-5</v>
      </c>
      <c r="E745">
        <f>EXP(-1*SQRT(Utilities!$B$5/20)/(IF($B$1="Linear",B745,C745)*Utilities!$B$11))</f>
        <v>7.968064625690871E-2</v>
      </c>
    </row>
    <row r="746" spans="1:5" x14ac:dyDescent="0.3">
      <c r="A746">
        <v>741</v>
      </c>
      <c r="B746">
        <f>Utilities!$B$7+((Utilities!$B$9-Utilities!$B$7)*(A746/Utilities!$B$1))</f>
        <v>46.332050000000002</v>
      </c>
      <c r="C746">
        <f>Utilities!$B$9+((Utilities!$B$7-Utilities!$B$9)*EXP(-$B$2*A746))</f>
        <v>0.50001812846269145</v>
      </c>
      <c r="D746">
        <f>EXP(-1*SQRT(Utilities!$B$5)/(IF($B$1="Linear",B746,C746)*Utilities!$B$11))</f>
        <v>1.2209474447363859E-5</v>
      </c>
      <c r="E746">
        <f>EXP(-1*SQRT(Utilities!$B$5/20)/(IF($B$1="Linear",B746,C746)*Utilities!$B$11))</f>
        <v>7.968049862447675E-2</v>
      </c>
    </row>
    <row r="747" spans="1:5" x14ac:dyDescent="0.3">
      <c r="A747">
        <v>742</v>
      </c>
      <c r="B747">
        <f>Utilities!$B$7+((Utilities!$B$9-Utilities!$B$7)*(A747/Utilities!$B$1))</f>
        <v>46.327100000000002</v>
      </c>
      <c r="C747">
        <f>Utilities!$B$9+((Utilities!$B$7-Utilities!$B$9)*EXP(-$B$2*A747))</f>
        <v>0.50001776949507926</v>
      </c>
      <c r="D747">
        <f>EXP(-1*SQRT(Utilities!$B$5)/(IF($B$1="Linear",B747,C747)*Utilities!$B$11))</f>
        <v>1.2209375283309826E-5</v>
      </c>
      <c r="E747">
        <f>EXP(-1*SQRT(Utilities!$B$5/20)/(IF($B$1="Linear",B747,C747)*Utilities!$B$11))</f>
        <v>7.9680353915418334E-2</v>
      </c>
    </row>
    <row r="748" spans="1:5" x14ac:dyDescent="0.3">
      <c r="A748">
        <v>743</v>
      </c>
      <c r="B748">
        <f>Utilities!$B$7+((Utilities!$B$9-Utilities!$B$7)*(A748/Utilities!$B$1))</f>
        <v>46.322150000000001</v>
      </c>
      <c r="C748">
        <f>Utilities!$B$9+((Utilities!$B$7-Utilities!$B$9)*EXP(-$B$2*A748))</f>
        <v>0.500017417635502</v>
      </c>
      <c r="D748">
        <f>EXP(-1*SQRT(Utilities!$B$5)/(IF($B$1="Linear",B748,C748)*Utilities!$B$11))</f>
        <v>1.2209278083479092E-5</v>
      </c>
      <c r="E748">
        <f>EXP(-1*SQRT(Utilities!$B$5/20)/(IF($B$1="Linear",B748,C748)*Utilities!$B$11))</f>
        <v>7.9680212071844725E-2</v>
      </c>
    </row>
    <row r="749" spans="1:5" x14ac:dyDescent="0.3">
      <c r="A749">
        <v>744</v>
      </c>
      <c r="B749">
        <f>Utilities!$B$7+((Utilities!$B$9-Utilities!$B$7)*(A749/Utilities!$B$1))</f>
        <v>46.3172</v>
      </c>
      <c r="C749">
        <f>Utilities!$B$9+((Utilities!$B$7-Utilities!$B$9)*EXP(-$B$2*A749))</f>
        <v>0.50001707274321117</v>
      </c>
      <c r="D749">
        <f>EXP(-1*SQRT(Utilities!$B$5)/(IF($B$1="Linear",B749,C749)*Utilities!$B$11))</f>
        <v>1.2209182808952163E-5</v>
      </c>
      <c r="E749">
        <f>EXP(-1*SQRT(Utilities!$B$5/20)/(IF($B$1="Linear",B749,C749)*Utilities!$B$11))</f>
        <v>7.9680073037013313E-2</v>
      </c>
    </row>
    <row r="750" spans="1:5" x14ac:dyDescent="0.3">
      <c r="A750">
        <v>745</v>
      </c>
      <c r="B750">
        <f>Utilities!$B$7+((Utilities!$B$9-Utilities!$B$7)*(A750/Utilities!$B$1))</f>
        <v>46.312249999999999</v>
      </c>
      <c r="C750">
        <f>Utilities!$B$9+((Utilities!$B$7-Utilities!$B$9)*EXP(-$B$2*A750))</f>
        <v>0.50001673468024532</v>
      </c>
      <c r="D750">
        <f>EXP(-1*SQRT(Utilities!$B$5)/(IF($B$1="Linear",B750,C750)*Utilities!$B$11))</f>
        <v>1.2209089421581276E-5</v>
      </c>
      <c r="E750">
        <f>EXP(-1*SQRT(Utilities!$B$5/20)/(IF($B$1="Linear",B750,C750)*Utilities!$B$11))</f>
        <v>7.9679936755305339E-2</v>
      </c>
    </row>
    <row r="751" spans="1:5" x14ac:dyDescent="0.3">
      <c r="A751">
        <v>746</v>
      </c>
      <c r="B751">
        <f>Utilities!$B$7+((Utilities!$B$9-Utilities!$B$7)*(A751/Utilities!$B$1))</f>
        <v>46.307299999999998</v>
      </c>
      <c r="C751">
        <f>Utilities!$B$9+((Utilities!$B$7-Utilities!$B$9)*EXP(-$B$2*A751))</f>
        <v>0.50001640331137465</v>
      </c>
      <c r="D751">
        <f>EXP(-1*SQRT(Utilities!$B$5)/(IF($B$1="Linear",B751,C751)*Utilities!$B$11))</f>
        <v>1.2208997883974874E-5</v>
      </c>
      <c r="E751">
        <f>EXP(-1*SQRT(Utilities!$B$5/20)/(IF($B$1="Linear",B751,C751)*Utilities!$B$11))</f>
        <v>7.9679803172203356E-2</v>
      </c>
    </row>
    <row r="752" spans="1:5" x14ac:dyDescent="0.3">
      <c r="A752">
        <v>747</v>
      </c>
      <c r="B752">
        <f>Utilities!$B$7+((Utilities!$B$9-Utilities!$B$7)*(A752/Utilities!$B$1))</f>
        <v>46.302349999999997</v>
      </c>
      <c r="C752">
        <f>Utilities!$B$9+((Utilities!$B$7-Utilities!$B$9)*EXP(-$B$2*A752))</f>
        <v>0.50001607850404728</v>
      </c>
      <c r="D752">
        <f>EXP(-1*SQRT(Utilities!$B$5)/(IF($B$1="Linear",B752,C752)*Utilities!$B$11))</f>
        <v>1.2208908159482856E-5</v>
      </c>
      <c r="E752">
        <f>EXP(-1*SQRT(Utilities!$B$5/20)/(IF($B$1="Linear",B752,C752)*Utilities!$B$11))</f>
        <v>7.9679672234269541E-2</v>
      </c>
    </row>
    <row r="753" spans="1:5" x14ac:dyDescent="0.3">
      <c r="A753">
        <v>748</v>
      </c>
      <c r="B753">
        <f>Utilities!$B$7+((Utilities!$B$9-Utilities!$B$7)*(A753/Utilities!$B$1))</f>
        <v>46.297399999999996</v>
      </c>
      <c r="C753">
        <f>Utilities!$B$9+((Utilities!$B$7-Utilities!$B$9)*EXP(-$B$2*A753))</f>
        <v>0.50001576012833593</v>
      </c>
      <c r="D753">
        <f>EXP(-1*SQRT(Utilities!$B$5)/(IF($B$1="Linear",B753,C753)*Utilities!$B$11))</f>
        <v>1.2208820212181644E-5</v>
      </c>
      <c r="E753">
        <f>EXP(-1*SQRT(Utilities!$B$5/20)/(IF($B$1="Linear",B753,C753)*Utilities!$B$11))</f>
        <v>7.9679543889124294E-2</v>
      </c>
    </row>
    <row r="754" spans="1:5" x14ac:dyDescent="0.3">
      <c r="A754">
        <v>749</v>
      </c>
      <c r="B754">
        <f>Utilities!$B$7+((Utilities!$B$9-Utilities!$B$7)*(A754/Utilities!$B$1))</f>
        <v>46.292450000000002</v>
      </c>
      <c r="C754">
        <f>Utilities!$B$9+((Utilities!$B$7-Utilities!$B$9)*EXP(-$B$2*A754))</f>
        <v>0.50001544805688602</v>
      </c>
      <c r="D754">
        <f>EXP(-1*SQRT(Utilities!$B$5)/(IF($B$1="Linear",B754,C754)*Utilities!$B$11))</f>
        <v>1.22087340068598E-5</v>
      </c>
      <c r="E754">
        <f>EXP(-1*SQRT(Utilities!$B$5/20)/(IF($B$1="Linear",B754,C754)*Utilities!$B$11))</f>
        <v>7.9679418085425169E-2</v>
      </c>
    </row>
    <row r="755" spans="1:5" x14ac:dyDescent="0.3">
      <c r="A755">
        <v>750</v>
      </c>
      <c r="B755">
        <f>Utilities!$B$7+((Utilities!$B$9-Utilities!$B$7)*(A755/Utilities!$B$1))</f>
        <v>46.287500000000001</v>
      </c>
      <c r="C755">
        <f>Utilities!$B$9+((Utilities!$B$7-Utilities!$B$9)*EXP(-$B$2*A755))</f>
        <v>0.50001514216486487</v>
      </c>
      <c r="D755">
        <f>EXP(-1*SQRT(Utilities!$B$5)/(IF($B$1="Linear",B755,C755)*Utilities!$B$11))</f>
        <v>1.2208649509003981E-5</v>
      </c>
      <c r="E755">
        <f>EXP(-1*SQRT(Utilities!$B$5/20)/(IF($B$1="Linear",B755,C755)*Utilities!$B$11))</f>
        <v>7.9679294772846562E-2</v>
      </c>
    </row>
    <row r="756" spans="1:5" x14ac:dyDescent="0.3">
      <c r="A756">
        <v>751</v>
      </c>
      <c r="B756">
        <f>Utilities!$B$7+((Utilities!$B$9-Utilities!$B$7)*(A756/Utilities!$B$1))</f>
        <v>46.282550000000001</v>
      </c>
      <c r="C756">
        <f>Utilities!$B$9+((Utilities!$B$7-Utilities!$B$9)*EXP(-$B$2*A756))</f>
        <v>0.50001484232991156</v>
      </c>
      <c r="D756">
        <f>EXP(-1*SQRT(Utilities!$B$5)/(IF($B$1="Linear",B756,C756)*Utilities!$B$11))</f>
        <v>1.2208566684785073E-5</v>
      </c>
      <c r="E756">
        <f>EXP(-1*SQRT(Utilities!$B$5/20)/(IF($B$1="Linear",B756,C756)*Utilities!$B$11))</f>
        <v>7.9679173902059391E-2</v>
      </c>
    </row>
    <row r="757" spans="1:5" x14ac:dyDescent="0.3">
      <c r="A757">
        <v>752</v>
      </c>
      <c r="B757">
        <f>Utilities!$B$7+((Utilities!$B$9-Utilities!$B$7)*(A757/Utilities!$B$1))</f>
        <v>46.2776</v>
      </c>
      <c r="C757">
        <f>Utilities!$B$9+((Utilities!$B$7-Utilities!$B$9)*EXP(-$B$2*A757))</f>
        <v>0.50001454843208804</v>
      </c>
      <c r="D757">
        <f>EXP(-1*SQRT(Utilities!$B$5)/(IF($B$1="Linear",B757,C757)*Utilities!$B$11))</f>
        <v>1.2208485501044431E-5</v>
      </c>
      <c r="E757">
        <f>EXP(-1*SQRT(Utilities!$B$5/20)/(IF($B$1="Linear",B757,C757)*Utilities!$B$11))</f>
        <v>7.9679055424711404E-2</v>
      </c>
    </row>
    <row r="758" spans="1:5" x14ac:dyDescent="0.3">
      <c r="A758">
        <v>753</v>
      </c>
      <c r="B758">
        <f>Utilities!$B$7+((Utilities!$B$9-Utilities!$B$7)*(A758/Utilities!$B$1))</f>
        <v>46.272649999999999</v>
      </c>
      <c r="C758">
        <f>Utilities!$B$9+((Utilities!$B$7-Utilities!$B$9)*EXP(-$B$2*A758))</f>
        <v>0.50001426035383134</v>
      </c>
      <c r="D758">
        <f>EXP(-1*SQRT(Utilities!$B$5)/(IF($B$1="Linear",B758,C758)*Utilities!$B$11))</f>
        <v>1.2208405925280896E-5</v>
      </c>
      <c r="E758">
        <f>EXP(-1*SQRT(Utilities!$B$5/20)/(IF($B$1="Linear",B758,C758)*Utilities!$B$11))</f>
        <v>7.9678939293407927E-2</v>
      </c>
    </row>
    <row r="759" spans="1:5" x14ac:dyDescent="0.3">
      <c r="A759">
        <v>754</v>
      </c>
      <c r="B759">
        <f>Utilities!$B$7+((Utilities!$B$9-Utilities!$B$7)*(A759/Utilities!$B$1))</f>
        <v>46.267699999999998</v>
      </c>
      <c r="C759">
        <f>Utilities!$B$9+((Utilities!$B$7-Utilities!$B$9)*EXP(-$B$2*A759))</f>
        <v>0.50001397797990643</v>
      </c>
      <c r="D759">
        <f>EXP(-1*SQRT(Utilities!$B$5)/(IF($B$1="Linear",B759,C759)*Utilities!$B$11))</f>
        <v>1.2208327925637451E-5</v>
      </c>
      <c r="E759">
        <f>EXP(-1*SQRT(Utilities!$B$5/20)/(IF($B$1="Linear",B759,C759)*Utilities!$B$11))</f>
        <v>7.9678825461692721E-2</v>
      </c>
    </row>
    <row r="760" spans="1:5" x14ac:dyDescent="0.3">
      <c r="A760">
        <v>755</v>
      </c>
      <c r="B760">
        <f>Utilities!$B$7+((Utilities!$B$9-Utilities!$B$7)*(A760/Utilities!$B$1))</f>
        <v>46.262749999999997</v>
      </c>
      <c r="C760">
        <f>Utilities!$B$9+((Utilities!$B$7-Utilities!$B$9)*EXP(-$B$2*A760))</f>
        <v>0.50001370119735977</v>
      </c>
      <c r="D760">
        <f>EXP(-1*SQRT(Utilities!$B$5)/(IF($B$1="Linear",B760,C760)*Utilities!$B$11))</f>
        <v>1.2208251470888559E-5</v>
      </c>
      <c r="E760">
        <f>EXP(-1*SQRT(Utilities!$B$5/20)/(IF($B$1="Linear",B760,C760)*Utilities!$B$11))</f>
        <v>7.9678713884029542E-2</v>
      </c>
    </row>
    <row r="761" spans="1:5" x14ac:dyDescent="0.3">
      <c r="A761">
        <v>756</v>
      </c>
      <c r="B761">
        <f>Utilities!$B$7+((Utilities!$B$9-Utilities!$B$7)*(A761/Utilities!$B$1))</f>
        <v>46.257800000000003</v>
      </c>
      <c r="C761">
        <f>Utilities!$B$9+((Utilities!$B$7-Utilities!$B$9)*EXP(-$B$2*A761))</f>
        <v>0.50001342989547481</v>
      </c>
      <c r="D761">
        <f>EXP(-1*SQRT(Utilities!$B$5)/(IF($B$1="Linear",B761,C761)*Utilities!$B$11))</f>
        <v>1.220817653042766E-5</v>
      </c>
      <c r="E761">
        <f>EXP(-1*SQRT(Utilities!$B$5/20)/(IF($B$1="Linear",B761,C761)*Utilities!$B$11))</f>
        <v>7.9678604515783902E-2</v>
      </c>
    </row>
    <row r="762" spans="1:5" x14ac:dyDescent="0.3">
      <c r="A762">
        <v>757</v>
      </c>
      <c r="B762">
        <f>Utilities!$B$7+((Utilities!$B$9-Utilities!$B$7)*(A762/Utilities!$B$1))</f>
        <v>46.252850000000002</v>
      </c>
      <c r="C762">
        <f>Utilities!$B$9+((Utilities!$B$7-Utilities!$B$9)*EXP(-$B$2*A762))</f>
        <v>0.50001316396572704</v>
      </c>
      <c r="D762">
        <f>EXP(-1*SQRT(Utilities!$B$5)/(IF($B$1="Linear",B762,C762)*Utilities!$B$11))</f>
        <v>1.220810307425481E-5</v>
      </c>
      <c r="E762">
        <f>EXP(-1*SQRT(Utilities!$B$5/20)/(IF($B$1="Linear",B762,C762)*Utilities!$B$11))</f>
        <v>7.9678497313205088E-2</v>
      </c>
    </row>
    <row r="763" spans="1:5" x14ac:dyDescent="0.3">
      <c r="A763">
        <v>758</v>
      </c>
      <c r="B763">
        <f>Utilities!$B$7+((Utilities!$B$9-Utilities!$B$7)*(A763/Utilities!$B$1))</f>
        <v>46.247900000000001</v>
      </c>
      <c r="C763">
        <f>Utilities!$B$9+((Utilities!$B$7-Utilities!$B$9)*EXP(-$B$2*A763))</f>
        <v>0.50001290330174109</v>
      </c>
      <c r="D763">
        <f>EXP(-1*SQRT(Utilities!$B$5)/(IF($B$1="Linear",B763,C763)*Utilities!$B$11))</f>
        <v>1.2208031072964774E-5</v>
      </c>
      <c r="E763">
        <f>EXP(-1*SQRT(Utilities!$B$5/20)/(IF($B$1="Linear",B763,C763)*Utilities!$B$11))</f>
        <v>7.967839223340889E-2</v>
      </c>
    </row>
    <row r="764" spans="1:5" x14ac:dyDescent="0.3">
      <c r="A764">
        <v>759</v>
      </c>
      <c r="B764">
        <f>Utilities!$B$7+((Utilities!$B$9-Utilities!$B$7)*(A764/Utilities!$B$1))</f>
        <v>46.24295</v>
      </c>
      <c r="C764">
        <f>Utilities!$B$9+((Utilities!$B$7-Utilities!$B$9)*EXP(-$B$2*A764))</f>
        <v>0.50001264779924792</v>
      </c>
      <c r="D764">
        <f>EXP(-1*SQRT(Utilities!$B$5)/(IF($B$1="Linear",B764,C764)*Utilities!$B$11))</f>
        <v>1.2207960497735072E-5</v>
      </c>
      <c r="E764">
        <f>EXP(-1*SQRT(Utilities!$B$5/20)/(IF($B$1="Linear",B764,C764)*Utilities!$B$11))</f>
        <v>7.9678289234360239E-2</v>
      </c>
    </row>
    <row r="765" spans="1:5" x14ac:dyDescent="0.3">
      <c r="A765">
        <v>760</v>
      </c>
      <c r="B765">
        <f>Utilities!$B$7+((Utilities!$B$9-Utilities!$B$7)*(A765/Utilities!$B$1))</f>
        <v>46.238</v>
      </c>
      <c r="C765">
        <f>Utilities!$B$9+((Utilities!$B$7-Utilities!$B$9)*EXP(-$B$2*A765))</f>
        <v>0.50001239735604297</v>
      </c>
      <c r="D765">
        <f>EXP(-1*SQRT(Utilities!$B$5)/(IF($B$1="Linear",B765,C765)*Utilities!$B$11))</f>
        <v>1.2207891320314478E-5</v>
      </c>
      <c r="E765">
        <f>EXP(-1*SQRT(Utilities!$B$5/20)/(IF($B$1="Linear",B765,C765)*Utilities!$B$11))</f>
        <v>7.9678188274856412E-2</v>
      </c>
    </row>
    <row r="766" spans="1:5" x14ac:dyDescent="0.3">
      <c r="A766">
        <v>761</v>
      </c>
      <c r="B766">
        <f>Utilities!$B$7+((Utilities!$B$9-Utilities!$B$7)*(A766/Utilities!$B$1))</f>
        <v>46.233049999999999</v>
      </c>
      <c r="C766">
        <f>Utilities!$B$9+((Utilities!$B$7-Utilities!$B$9)*EXP(-$B$2*A766))</f>
        <v>0.50001215187194592</v>
      </c>
      <c r="D766">
        <f>EXP(-1*SQRT(Utilities!$B$5)/(IF($B$1="Linear",B766,C766)*Utilities!$B$11))</f>
        <v>1.2207823513011808E-5</v>
      </c>
      <c r="E766">
        <f>EXP(-1*SQRT(Utilities!$B$5/20)/(IF($B$1="Linear",B766,C766)*Utilities!$B$11))</f>
        <v>7.9678089314510786E-2</v>
      </c>
    </row>
    <row r="767" spans="1:5" x14ac:dyDescent="0.3">
      <c r="A767">
        <v>762</v>
      </c>
      <c r="B767">
        <f>Utilities!$B$7+((Utilities!$B$9-Utilities!$B$7)*(A767/Utilities!$B$1))</f>
        <v>46.228099999999998</v>
      </c>
      <c r="C767">
        <f>Utilities!$B$9+((Utilities!$B$7-Utilities!$B$9)*EXP(-$B$2*A767))</f>
        <v>0.50001191124875954</v>
      </c>
      <c r="D767">
        <f>EXP(-1*SQRT(Utilities!$B$5)/(IF($B$1="Linear",B767,C767)*Utilities!$B$11))</f>
        <v>1.2207757048684556E-5</v>
      </c>
      <c r="E767">
        <f>EXP(-1*SQRT(Utilities!$B$5/20)/(IF($B$1="Linear",B767,C767)*Utilities!$B$11))</f>
        <v>7.9677992313736221E-2</v>
      </c>
    </row>
    <row r="768" spans="1:5" x14ac:dyDescent="0.3">
      <c r="A768">
        <v>763</v>
      </c>
      <c r="B768">
        <f>Utilities!$B$7+((Utilities!$B$9-Utilities!$B$7)*(A768/Utilities!$B$1))</f>
        <v>46.223149999999997</v>
      </c>
      <c r="C768">
        <f>Utilities!$B$9+((Utilities!$B$7-Utilities!$B$9)*EXP(-$B$2*A768))</f>
        <v>0.5000116753902315</v>
      </c>
      <c r="D768">
        <f>EXP(-1*SQRT(Utilities!$B$5)/(IF($B$1="Linear",B768,C768)*Utilities!$B$11))</f>
        <v>1.2207691900728274E-5</v>
      </c>
      <c r="E768">
        <f>EXP(-1*SQRT(Utilities!$B$5/20)/(IF($B$1="Linear",B768,C768)*Utilities!$B$11))</f>
        <v>7.9677897233729658E-2</v>
      </c>
    </row>
    <row r="769" spans="1:5" x14ac:dyDescent="0.3">
      <c r="A769">
        <v>764</v>
      </c>
      <c r="B769">
        <f>Utilities!$B$7+((Utilities!$B$9-Utilities!$B$7)*(A769/Utilities!$B$1))</f>
        <v>46.218200000000003</v>
      </c>
      <c r="C769">
        <f>Utilities!$B$9+((Utilities!$B$7-Utilities!$B$9)*EXP(-$B$2*A769))</f>
        <v>0.50001144420201526</v>
      </c>
      <c r="D769">
        <f>EXP(-1*SQRT(Utilities!$B$5)/(IF($B$1="Linear",B769,C769)*Utilities!$B$11))</f>
        <v>1.2207628043065742E-5</v>
      </c>
      <c r="E769">
        <f>EXP(-1*SQRT(Utilities!$B$5/20)/(IF($B$1="Linear",B769,C769)*Utilities!$B$11))</f>
        <v>7.9677804036456454E-2</v>
      </c>
    </row>
    <row r="770" spans="1:5" x14ac:dyDescent="0.3">
      <c r="A770">
        <v>765</v>
      </c>
      <c r="B770">
        <f>Utilities!$B$7+((Utilities!$B$9-Utilities!$B$7)*(A770/Utilities!$B$1))</f>
        <v>46.213250000000002</v>
      </c>
      <c r="C770">
        <f>Utilities!$B$9+((Utilities!$B$7-Utilities!$B$9)*EXP(-$B$2*A770))</f>
        <v>0.50001121759163247</v>
      </c>
      <c r="D770">
        <f>EXP(-1*SQRT(Utilities!$B$5)/(IF($B$1="Linear",B770,C770)*Utilities!$B$11))</f>
        <v>1.2207565450136519E-5</v>
      </c>
      <c r="E770">
        <f>EXP(-1*SQRT(Utilities!$B$5/20)/(IF($B$1="Linear",B770,C770)*Utilities!$B$11))</f>
        <v>7.9677712684635096E-2</v>
      </c>
    </row>
    <row r="771" spans="1:5" x14ac:dyDescent="0.3">
      <c r="A771">
        <v>766</v>
      </c>
      <c r="B771">
        <f>Utilities!$B$7+((Utilities!$B$9-Utilities!$B$7)*(A771/Utilities!$B$1))</f>
        <v>46.208300000000001</v>
      </c>
      <c r="C771">
        <f>Utilities!$B$9+((Utilities!$B$7-Utilities!$B$9)*EXP(-$B$2*A771))</f>
        <v>0.50001099546843586</v>
      </c>
      <c r="D771">
        <f>EXP(-1*SQRT(Utilities!$B$5)/(IF($B$1="Linear",B771,C771)*Utilities!$B$11))</f>
        <v>1.2207504096886719E-5</v>
      </c>
      <c r="E771">
        <f>EXP(-1*SQRT(Utilities!$B$5/20)/(IF($B$1="Linear",B771,C771)*Utilities!$B$11))</f>
        <v>7.9677623141722248E-2</v>
      </c>
    </row>
    <row r="772" spans="1:5" x14ac:dyDescent="0.3">
      <c r="A772">
        <v>767</v>
      </c>
      <c r="B772">
        <f>Utilities!$B$7+((Utilities!$B$9-Utilities!$B$7)*(A772/Utilities!$B$1))</f>
        <v>46.20335</v>
      </c>
      <c r="C772">
        <f>Utilities!$B$9+((Utilities!$B$7-Utilities!$B$9)*EXP(-$B$2*A772))</f>
        <v>0.50001077774357316</v>
      </c>
      <c r="D772">
        <f>EXP(-1*SQRT(Utilities!$B$5)/(IF($B$1="Linear",B772,C772)*Utilities!$B$11))</f>
        <v>1.2207443958759007E-5</v>
      </c>
      <c r="E772">
        <f>EXP(-1*SQRT(Utilities!$B$5/20)/(IF($B$1="Linear",B772,C772)*Utilities!$B$11))</f>
        <v>7.9677535371898311E-2</v>
      </c>
    </row>
    <row r="773" spans="1:5" x14ac:dyDescent="0.3">
      <c r="A773">
        <v>768</v>
      </c>
      <c r="B773">
        <f>Utilities!$B$7+((Utilities!$B$9-Utilities!$B$7)*(A773/Utilities!$B$1))</f>
        <v>46.198399999999999</v>
      </c>
      <c r="C773">
        <f>Utilities!$B$9+((Utilities!$B$7-Utilities!$B$9)*EXP(-$B$2*A773))</f>
        <v>0.50001056432995161</v>
      </c>
      <c r="D773">
        <f>EXP(-1*SQRT(Utilities!$B$5)/(IF($B$1="Linear",B773,C773)*Utilities!$B$11))</f>
        <v>1.2207385011682704E-5</v>
      </c>
      <c r="E773">
        <f>EXP(-1*SQRT(Utilities!$B$5/20)/(IF($B$1="Linear",B773,C773)*Utilities!$B$11))</f>
        <v>7.9677449340052969E-2</v>
      </c>
    </row>
    <row r="774" spans="1:5" x14ac:dyDescent="0.3">
      <c r="A774">
        <v>769</v>
      </c>
      <c r="B774">
        <f>Utilities!$B$7+((Utilities!$B$9-Utilities!$B$7)*(A774/Utilities!$B$1))</f>
        <v>46.193449999999999</v>
      </c>
      <c r="C774">
        <f>Utilities!$B$9+((Utilities!$B$7-Utilities!$B$9)*EXP(-$B$2*A774))</f>
        <v>0.50001035514220304</v>
      </c>
      <c r="D774">
        <f>EXP(-1*SQRT(Utilities!$B$5)/(IF($B$1="Linear",B774,C774)*Utilities!$B$11))</f>
        <v>1.2207327232064161E-5</v>
      </c>
      <c r="E774">
        <f>EXP(-1*SQRT(Utilities!$B$5/20)/(IF($B$1="Linear",B774,C774)*Utilities!$B$11))</f>
        <v>7.9677365011771251E-2</v>
      </c>
    </row>
    <row r="775" spans="1:5" x14ac:dyDescent="0.3">
      <c r="A775">
        <v>770</v>
      </c>
      <c r="B775">
        <f>Utilities!$B$7+((Utilities!$B$9-Utilities!$B$7)*(A775/Utilities!$B$1))</f>
        <v>46.188499999999998</v>
      </c>
      <c r="C775">
        <f>Utilities!$B$9+((Utilities!$B$7-Utilities!$B$9)*EXP(-$B$2*A775))</f>
        <v>0.50001015009664929</v>
      </c>
      <c r="D775">
        <f>EXP(-1*SQRT(Utilities!$B$5)/(IF($B$1="Linear",B775,C775)*Utilities!$B$11))</f>
        <v>1.2207270596777189E-5</v>
      </c>
      <c r="E775">
        <f>EXP(-1*SQRT(Utilities!$B$5/20)/(IF($B$1="Linear",B775,C775)*Utilities!$B$11))</f>
        <v>7.9677282353319473E-2</v>
      </c>
    </row>
    <row r="776" spans="1:5" x14ac:dyDescent="0.3">
      <c r="A776">
        <v>771</v>
      </c>
      <c r="B776">
        <f>Utilities!$B$7+((Utilities!$B$9-Utilities!$B$7)*(A776/Utilities!$B$1))</f>
        <v>46.183549999999997</v>
      </c>
      <c r="C776">
        <f>Utilities!$B$9+((Utilities!$B$7-Utilities!$B$9)*EXP(-$B$2*A776))</f>
        <v>0.50000994911126961</v>
      </c>
      <c r="D776">
        <f>EXP(-1*SQRT(Utilities!$B$5)/(IF($B$1="Linear",B776,C776)*Utilities!$B$11))</f>
        <v>1.2207215083153958E-5</v>
      </c>
      <c r="E776">
        <f>EXP(-1*SQRT(Utilities!$B$5/20)/(IF($B$1="Linear",B776,C776)*Utilities!$B$11))</f>
        <v>7.9677201331632141E-2</v>
      </c>
    </row>
    <row r="777" spans="1:5" x14ac:dyDescent="0.3">
      <c r="A777">
        <v>772</v>
      </c>
      <c r="B777">
        <f>Utilities!$B$7+((Utilities!$B$9-Utilities!$B$7)*(A777/Utilities!$B$1))</f>
        <v>46.178600000000003</v>
      </c>
      <c r="C777">
        <f>Utilities!$B$9+((Utilities!$B$7-Utilities!$B$9)*EXP(-$B$2*A777))</f>
        <v>0.500009752105667</v>
      </c>
      <c r="D777">
        <f>EXP(-1*SQRT(Utilities!$B$5)/(IF($B$1="Linear",B777,C777)*Utilities!$B$11))</f>
        <v>1.2207160668975796E-5</v>
      </c>
      <c r="E777">
        <f>EXP(-1*SQRT(Utilities!$B$5/20)/(IF($B$1="Linear",B777,C777)*Utilities!$B$11))</f>
        <v>7.9677121914298432E-2</v>
      </c>
    </row>
    <row r="778" spans="1:5" x14ac:dyDescent="0.3">
      <c r="A778">
        <v>773</v>
      </c>
      <c r="B778">
        <f>Utilities!$B$7+((Utilities!$B$9-Utilities!$B$7)*(A778/Utilities!$B$1))</f>
        <v>46.173650000000002</v>
      </c>
      <c r="C778">
        <f>Utilities!$B$9+((Utilities!$B$7-Utilities!$B$9)*EXP(-$B$2*A778))</f>
        <v>0.50000955900103672</v>
      </c>
      <c r="D778">
        <f>EXP(-1*SQRT(Utilities!$B$5)/(IF($B$1="Linear",B778,C778)*Utilities!$B$11))</f>
        <v>1.2207107332464351E-5</v>
      </c>
      <c r="E778">
        <f>EXP(-1*SQRT(Utilities!$B$5/20)/(IF($B$1="Linear",B778,C778)*Utilities!$B$11))</f>
        <v>7.967704406954941E-2</v>
      </c>
    </row>
    <row r="779" spans="1:5" x14ac:dyDescent="0.3">
      <c r="A779">
        <v>774</v>
      </c>
      <c r="B779">
        <f>Utilities!$B$7+((Utilities!$B$9-Utilities!$B$7)*(A779/Utilities!$B$1))</f>
        <v>46.168700000000001</v>
      </c>
      <c r="C779">
        <f>Utilities!$B$9+((Utilities!$B$7-Utilities!$B$9)*EXP(-$B$2*A779))</f>
        <v>0.50000936972013432</v>
      </c>
      <c r="D779">
        <f>EXP(-1*SQRT(Utilities!$B$5)/(IF($B$1="Linear",B779,C779)*Utilities!$B$11))</f>
        <v>1.2207055052272781E-5</v>
      </c>
      <c r="E779">
        <f>EXP(-1*SQRT(Utilities!$B$5/20)/(IF($B$1="Linear",B779,C779)*Utilities!$B$11))</f>
        <v>7.9676967766245138E-2</v>
      </c>
    </row>
    <row r="780" spans="1:5" x14ac:dyDescent="0.3">
      <c r="A780">
        <v>775</v>
      </c>
      <c r="B780">
        <f>Utilities!$B$7+((Utilities!$B$9-Utilities!$B$7)*(A780/Utilities!$B$1))</f>
        <v>46.16375</v>
      </c>
      <c r="C780">
        <f>Utilities!$B$9+((Utilities!$B$7-Utilities!$B$9)*EXP(-$B$2*A780))</f>
        <v>0.50000918418724494</v>
      </c>
      <c r="D780">
        <f>EXP(-1*SQRT(Utilities!$B$5)/(IF($B$1="Linear",B780,C780)*Utilities!$B$11))</f>
        <v>1.2207003807477251E-5</v>
      </c>
      <c r="E780">
        <f>EXP(-1*SQRT(Utilities!$B$5/20)/(IF($B$1="Linear",B780,C780)*Utilities!$B$11))</f>
        <v>7.9676892973862393E-2</v>
      </c>
    </row>
    <row r="781" spans="1:5" x14ac:dyDescent="0.3">
      <c r="A781">
        <v>776</v>
      </c>
      <c r="B781">
        <f>Utilities!$B$7+((Utilities!$B$9-Utilities!$B$7)*(A781/Utilities!$B$1))</f>
        <v>46.158799999999999</v>
      </c>
      <c r="C781">
        <f>Utilities!$B$9+((Utilities!$B$7-Utilities!$B$9)*EXP(-$B$2*A781))</f>
        <v>0.50000900232815293</v>
      </c>
      <c r="D781">
        <f>EXP(-1*SQRT(Utilities!$B$5)/(IF($B$1="Linear",B781,C781)*Utilities!$B$11))</f>
        <v>1.2206953577568533E-5</v>
      </c>
      <c r="E781">
        <f>EXP(-1*SQRT(Utilities!$B$5/20)/(IF($B$1="Linear",B781,C781)*Utilities!$B$11))</f>
        <v>7.9676819662482315E-2</v>
      </c>
    </row>
    <row r="782" spans="1:5" x14ac:dyDescent="0.3">
      <c r="A782">
        <v>777</v>
      </c>
      <c r="B782">
        <f>Utilities!$B$7+((Utilities!$B$9-Utilities!$B$7)*(A782/Utilities!$B$1))</f>
        <v>46.153849999999998</v>
      </c>
      <c r="C782">
        <f>Utilities!$B$9+((Utilities!$B$7-Utilities!$B$9)*EXP(-$B$2*A782))</f>
        <v>0.50000882407011216</v>
      </c>
      <c r="D782">
        <f>EXP(-1*SQRT(Utilities!$B$5)/(IF($B$1="Linear",B782,C782)*Utilities!$B$11))</f>
        <v>1.2206904342443758E-5</v>
      </c>
      <c r="E782">
        <f>EXP(-1*SQRT(Utilities!$B$5/20)/(IF($B$1="Linear",B782,C782)*Utilities!$B$11))</f>
        <v>7.9676747802778489E-2</v>
      </c>
    </row>
    <row r="783" spans="1:5" x14ac:dyDescent="0.3">
      <c r="A783">
        <v>778</v>
      </c>
      <c r="B783">
        <f>Utilities!$B$7+((Utilities!$B$9-Utilities!$B$7)*(A783/Utilities!$B$1))</f>
        <v>46.148899999999998</v>
      </c>
      <c r="C783">
        <f>Utilities!$B$9+((Utilities!$B$7-Utilities!$B$9)*EXP(-$B$2*A783))</f>
        <v>0.5000086493418171</v>
      </c>
      <c r="D783">
        <f>EXP(-1*SQRT(Utilities!$B$5)/(IF($B$1="Linear",B783,C783)*Utilities!$B$11))</f>
        <v>1.2206856082398421E-5</v>
      </c>
      <c r="E783">
        <f>EXP(-1*SQRT(Utilities!$B$5/20)/(IF($B$1="Linear",B783,C783)*Utilities!$B$11))</f>
        <v>7.9676677366005352E-2</v>
      </c>
    </row>
    <row r="784" spans="1:5" x14ac:dyDescent="0.3">
      <c r="A784">
        <v>779</v>
      </c>
      <c r="B784">
        <f>Utilities!$B$7+((Utilities!$B$9-Utilities!$B$7)*(A784/Utilities!$B$1))</f>
        <v>46.143950000000004</v>
      </c>
      <c r="C784">
        <f>Utilities!$B$9+((Utilities!$B$7-Utilities!$B$9)*EXP(-$B$2*A784))</f>
        <v>0.50000847807337412</v>
      </c>
      <c r="D784">
        <f>EXP(-1*SQRT(Utilities!$B$5)/(IF($B$1="Linear",B784,C784)*Utilities!$B$11))</f>
        <v>1.2206808778118477E-5</v>
      </c>
      <c r="E784">
        <f>EXP(-1*SQRT(Utilities!$B$5/20)/(IF($B$1="Linear",B784,C784)*Utilities!$B$11))</f>
        <v>7.9676608323986417E-2</v>
      </c>
    </row>
    <row r="785" spans="1:5" x14ac:dyDescent="0.3">
      <c r="A785">
        <v>780</v>
      </c>
      <c r="B785">
        <f>Utilities!$B$7+((Utilities!$B$9-Utilities!$B$7)*(A785/Utilities!$B$1))</f>
        <v>46.139000000000003</v>
      </c>
      <c r="C785">
        <f>Utilities!$B$9+((Utilities!$B$7-Utilities!$B$9)*EXP(-$B$2*A785))</f>
        <v>0.50000831019627345</v>
      </c>
      <c r="D785">
        <f>EXP(-1*SQRT(Utilities!$B$5)/(IF($B$1="Linear",B785,C785)*Utilities!$B$11))</f>
        <v>1.2206762410672455E-5</v>
      </c>
      <c r="E785">
        <f>EXP(-1*SQRT(Utilities!$B$5/20)/(IF($B$1="Linear",B785,C785)*Utilities!$B$11))</f>
        <v>7.9676540649103178E-2</v>
      </c>
    </row>
    <row r="786" spans="1:5" x14ac:dyDescent="0.3">
      <c r="A786">
        <v>781</v>
      </c>
      <c r="B786">
        <f>Utilities!$B$7+((Utilities!$B$9-Utilities!$B$7)*(A786/Utilities!$B$1))</f>
        <v>46.134050000000002</v>
      </c>
      <c r="C786">
        <f>Utilities!$B$9+((Utilities!$B$7-Utilities!$B$9)*EXP(-$B$2*A786))</f>
        <v>0.50000814564336216</v>
      </c>
      <c r="D786">
        <f>EXP(-1*SQRT(Utilities!$B$5)/(IF($B$1="Linear",B786,C786)*Utilities!$B$11))</f>
        <v>1.2206716961504097E-5</v>
      </c>
      <c r="E786">
        <f>EXP(-1*SQRT(Utilities!$B$5/20)/(IF($B$1="Linear",B786,C786)*Utilities!$B$11))</f>
        <v>7.9676474314284138E-2</v>
      </c>
    </row>
    <row r="787" spans="1:5" x14ac:dyDescent="0.3">
      <c r="A787">
        <v>782</v>
      </c>
      <c r="B787">
        <f>Utilities!$B$7+((Utilities!$B$9-Utilities!$B$7)*(A787/Utilities!$B$1))</f>
        <v>46.129100000000001</v>
      </c>
      <c r="C787">
        <f>Utilities!$B$9+((Utilities!$B$7-Utilities!$B$9)*EXP(-$B$2*A787))</f>
        <v>0.50000798434881688</v>
      </c>
      <c r="D787">
        <f>EXP(-1*SQRT(Utilities!$B$5)/(IF($B$1="Linear",B787,C787)*Utilities!$B$11))</f>
        <v>1.2206672412424799E-5</v>
      </c>
      <c r="E787">
        <f>EXP(-1*SQRT(Utilities!$B$5/20)/(IF($B$1="Linear",B787,C787)*Utilities!$B$11))</f>
        <v>7.9676409292993772E-2</v>
      </c>
    </row>
    <row r="788" spans="1:5" x14ac:dyDescent="0.3">
      <c r="A788">
        <v>783</v>
      </c>
      <c r="B788">
        <f>Utilities!$B$7+((Utilities!$B$9-Utilities!$B$7)*(A788/Utilities!$B$1))</f>
        <v>46.12415</v>
      </c>
      <c r="C788">
        <f>Utilities!$B$9+((Utilities!$B$7-Utilities!$B$9)*EXP(-$B$2*A788))</f>
        <v>0.50000782624811746</v>
      </c>
      <c r="D788">
        <f>EXP(-1*SQRT(Utilities!$B$5)/(IF($B$1="Linear",B788,C788)*Utilities!$B$11))</f>
        <v>1.2206628745606216E-5</v>
      </c>
      <c r="E788">
        <f>EXP(-1*SQRT(Utilities!$B$5/20)/(IF($B$1="Linear",B788,C788)*Utilities!$B$11))</f>
        <v>7.9676345559221928E-2</v>
      </c>
    </row>
    <row r="789" spans="1:5" x14ac:dyDescent="0.3">
      <c r="A789">
        <v>784</v>
      </c>
      <c r="B789">
        <f>Utilities!$B$7+((Utilities!$B$9-Utilities!$B$7)*(A789/Utilities!$B$1))</f>
        <v>46.119199999999999</v>
      </c>
      <c r="C789">
        <f>Utilities!$B$9+((Utilities!$B$7-Utilities!$B$9)*EXP(-$B$2*A789))</f>
        <v>0.5000076712780217</v>
      </c>
      <c r="D789">
        <f>EXP(-1*SQRT(Utilities!$B$5)/(IF($B$1="Linear",B789,C789)*Utilities!$B$11))</f>
        <v>1.2206585943573388E-5</v>
      </c>
      <c r="E789">
        <f>EXP(-1*SQRT(Utilities!$B$5/20)/(IF($B$1="Linear",B789,C789)*Utilities!$B$11))</f>
        <v>7.9676283087473751E-2</v>
      </c>
    </row>
    <row r="790" spans="1:5" x14ac:dyDescent="0.3">
      <c r="A790">
        <v>785</v>
      </c>
      <c r="B790">
        <f>Utilities!$B$7+((Utilities!$B$9-Utilities!$B$7)*(A790/Utilities!$B$1))</f>
        <v>46.114249999999998</v>
      </c>
      <c r="C790">
        <f>Utilities!$B$9+((Utilities!$B$7-Utilities!$B$9)*EXP(-$B$2*A790))</f>
        <v>0.50000751937653942</v>
      </c>
      <c r="D790">
        <f>EXP(-1*SQRT(Utilities!$B$5)/(IF($B$1="Linear",B790,C790)*Utilities!$B$11))</f>
        <v>1.2206543989197509E-5</v>
      </c>
      <c r="E790">
        <f>EXP(-1*SQRT(Utilities!$B$5/20)/(IF($B$1="Linear",B790,C790)*Utilities!$B$11))</f>
        <v>7.967622185275898E-2</v>
      </c>
    </row>
    <row r="791" spans="1:5" x14ac:dyDescent="0.3">
      <c r="A791">
        <v>786</v>
      </c>
      <c r="B791">
        <f>Utilities!$B$7+((Utilities!$B$9-Utilities!$B$7)*(A791/Utilities!$B$1))</f>
        <v>46.109299999999998</v>
      </c>
      <c r="C791">
        <f>Utilities!$B$9+((Utilities!$B$7-Utilities!$B$9)*EXP(-$B$2*A791))</f>
        <v>0.50000737048290811</v>
      </c>
      <c r="D791">
        <f>EXP(-1*SQRT(Utilities!$B$5)/(IF($B$1="Linear",B791,C791)*Utilities!$B$11))</f>
        <v>1.2206502865689171E-5</v>
      </c>
      <c r="E791">
        <f>EXP(-1*SQRT(Utilities!$B$5/20)/(IF($B$1="Linear",B791,C791)*Utilities!$B$11))</f>
        <v>7.9676161830582376E-2</v>
      </c>
    </row>
    <row r="792" spans="1:5" x14ac:dyDescent="0.3">
      <c r="A792">
        <v>787</v>
      </c>
      <c r="B792">
        <f>Utilities!$B$7+((Utilities!$B$9-Utilities!$B$7)*(A792/Utilities!$B$1))</f>
        <v>46.104349999999997</v>
      </c>
      <c r="C792">
        <f>Utilities!$B$9+((Utilities!$B$7-Utilities!$B$9)*EXP(-$B$2*A792))</f>
        <v>0.50000722453756818</v>
      </c>
      <c r="D792">
        <f>EXP(-1*SQRT(Utilities!$B$5)/(IF($B$1="Linear",B792,C792)*Utilities!$B$11))</f>
        <v>1.2206462556591513E-5</v>
      </c>
      <c r="E792">
        <f>EXP(-1*SQRT(Utilities!$B$5/20)/(IF($B$1="Linear",B792,C792)*Utilities!$B$11))</f>
        <v>7.9676102996933743E-2</v>
      </c>
    </row>
    <row r="793" spans="1:5" x14ac:dyDescent="0.3">
      <c r="A793">
        <v>788</v>
      </c>
      <c r="B793">
        <f>Utilities!$B$7+((Utilities!$B$9-Utilities!$B$7)*(A793/Utilities!$B$1))</f>
        <v>46.099400000000003</v>
      </c>
      <c r="C793">
        <f>Utilities!$B$9+((Utilities!$B$7-Utilities!$B$9)*EXP(-$B$2*A793))</f>
        <v>0.50000708148213957</v>
      </c>
      <c r="D793">
        <f>EXP(-1*SQRT(Utilities!$B$5)/(IF($B$1="Linear",B793,C793)*Utilities!$B$11))</f>
        <v>1.2206423045773818E-5</v>
      </c>
      <c r="E793">
        <f>EXP(-1*SQRT(Utilities!$B$5/20)/(IF($B$1="Linear",B793,C793)*Utilities!$B$11))</f>
        <v>7.9676045328278142E-2</v>
      </c>
    </row>
    <row r="794" spans="1:5" x14ac:dyDescent="0.3">
      <c r="A794">
        <v>789</v>
      </c>
      <c r="B794">
        <f>Utilities!$B$7+((Utilities!$B$9-Utilities!$B$7)*(A794/Utilities!$B$1))</f>
        <v>46.094450000000002</v>
      </c>
      <c r="C794">
        <f>Utilities!$B$9+((Utilities!$B$7-Utilities!$B$9)*EXP(-$B$2*A794))</f>
        <v>0.50000694125939826</v>
      </c>
      <c r="D794">
        <f>EXP(-1*SQRT(Utilities!$B$5)/(IF($B$1="Linear",B794,C794)*Utilities!$B$11))</f>
        <v>1.2206384317424909E-5</v>
      </c>
      <c r="E794">
        <f>EXP(-1*SQRT(Utilities!$B$5/20)/(IF($B$1="Linear",B794,C794)*Utilities!$B$11))</f>
        <v>7.9675988801546985E-2</v>
      </c>
    </row>
    <row r="795" spans="1:5" x14ac:dyDescent="0.3">
      <c r="A795">
        <v>790</v>
      </c>
      <c r="B795">
        <f>Utilities!$B$7+((Utilities!$B$9-Utilities!$B$7)*(A795/Utilities!$B$1))</f>
        <v>46.089500000000001</v>
      </c>
      <c r="C795">
        <f>Utilities!$B$9+((Utilities!$B$7-Utilities!$B$9)*EXP(-$B$2*A795))</f>
        <v>0.50000680381325324</v>
      </c>
      <c r="D795">
        <f>EXP(-1*SQRT(Utilities!$B$5)/(IF($B$1="Linear",B795,C795)*Utilities!$B$11))</f>
        <v>1.2206346356046848E-5</v>
      </c>
      <c r="E795">
        <f>EXP(-1*SQRT(Utilities!$B$5/20)/(IF($B$1="Linear",B795,C795)*Utilities!$B$11))</f>
        <v>7.9675933394128221E-2</v>
      </c>
    </row>
    <row r="796" spans="1:5" x14ac:dyDescent="0.3">
      <c r="A796">
        <v>791</v>
      </c>
      <c r="B796">
        <f>Utilities!$B$7+((Utilities!$B$9-Utilities!$B$7)*(A796/Utilities!$B$1))</f>
        <v>46.08455</v>
      </c>
      <c r="C796">
        <f>Utilities!$B$9+((Utilities!$B$7-Utilities!$B$9)*EXP(-$B$2*A796))</f>
        <v>0.50000666908872426</v>
      </c>
      <c r="D796">
        <f>EXP(-1*SQRT(Utilities!$B$5)/(IF($B$1="Linear",B796,C796)*Utilities!$B$11))</f>
        <v>1.2206309146448756E-5</v>
      </c>
      <c r="E796">
        <f>EXP(-1*SQRT(Utilities!$B$5/20)/(IF($B$1="Linear",B796,C796)*Utilities!$B$11))</f>
        <v>7.9675879083857676E-2</v>
      </c>
    </row>
    <row r="797" spans="1:5" x14ac:dyDescent="0.3">
      <c r="A797">
        <v>792</v>
      </c>
      <c r="B797">
        <f>Utilities!$B$7+((Utilities!$B$9-Utilities!$B$7)*(A797/Utilities!$B$1))</f>
        <v>46.079599999999999</v>
      </c>
      <c r="C797">
        <f>Utilities!$B$9+((Utilities!$B$7-Utilities!$B$9)*EXP(-$B$2*A797))</f>
        <v>0.50000653703191966</v>
      </c>
      <c r="D797">
        <f>EXP(-1*SQRT(Utilities!$B$5)/(IF($B$1="Linear",B797,C797)*Utilities!$B$11))</f>
        <v>1.2206272673740691E-5</v>
      </c>
      <c r="E797">
        <f>EXP(-1*SQRT(Utilities!$B$5/20)/(IF($B$1="Linear",B797,C797)*Utilities!$B$11))</f>
        <v>7.9675825849010076E-2</v>
      </c>
    </row>
    <row r="798" spans="1:5" x14ac:dyDescent="0.3">
      <c r="A798">
        <v>793</v>
      </c>
      <c r="B798">
        <f>Utilities!$B$7+((Utilities!$B$9-Utilities!$B$7)*(A798/Utilities!$B$1))</f>
        <v>46.074649999999998</v>
      </c>
      <c r="C798">
        <f>Utilities!$B$9+((Utilities!$B$7-Utilities!$B$9)*EXP(-$B$2*A798))</f>
        <v>0.50000640759001502</v>
      </c>
      <c r="D798">
        <f>EXP(-1*SQRT(Utilities!$B$5)/(IF($B$1="Linear",B798,C798)*Utilities!$B$11))</f>
        <v>1.2206236923327734E-5</v>
      </c>
      <c r="E798">
        <f>EXP(-1*SQRT(Utilities!$B$5/20)/(IF($B$1="Linear",B798,C798)*Utilities!$B$11))</f>
        <v>7.9675773668290317E-2</v>
      </c>
    </row>
    <row r="799" spans="1:5" x14ac:dyDescent="0.3">
      <c r="A799">
        <v>794</v>
      </c>
      <c r="B799">
        <f>Utilities!$B$7+((Utilities!$B$9-Utilities!$B$7)*(A799/Utilities!$B$1))</f>
        <v>46.069699999999997</v>
      </c>
      <c r="C799">
        <f>Utilities!$B$9+((Utilities!$B$7-Utilities!$B$9)*EXP(-$B$2*A799))</f>
        <v>0.50000628071123177</v>
      </c>
      <c r="D799">
        <f>EXP(-1*SQRT(Utilities!$B$5)/(IF($B$1="Linear",B799,C799)*Utilities!$B$11))</f>
        <v>1.2206201880903995E-5</v>
      </c>
      <c r="E799">
        <f>EXP(-1*SQRT(Utilities!$B$5/20)/(IF($B$1="Linear",B799,C799)*Utilities!$B$11))</f>
        <v>7.9675722520824957E-2</v>
      </c>
    </row>
    <row r="800" spans="1:5" x14ac:dyDescent="0.3">
      <c r="A800">
        <v>795</v>
      </c>
      <c r="B800">
        <f>Utilities!$B$7+((Utilities!$B$9-Utilities!$B$7)*(A800/Utilities!$B$1))</f>
        <v>46.064750000000004</v>
      </c>
      <c r="C800">
        <f>Utilities!$B$9+((Utilities!$B$7-Utilities!$B$9)*EXP(-$B$2*A800))</f>
        <v>0.50000615634481682</v>
      </c>
      <c r="D800">
        <f>EXP(-1*SQRT(Utilities!$B$5)/(IF($B$1="Linear",B800,C800)*Utilities!$B$11))</f>
        <v>1.2206167532447128E-5</v>
      </c>
      <c r="E800">
        <f>EXP(-1*SQRT(Utilities!$B$5/20)/(IF($B$1="Linear",B800,C800)*Utilities!$B$11))</f>
        <v>7.9675672386153987E-2</v>
      </c>
    </row>
    <row r="801" spans="1:5" x14ac:dyDescent="0.3">
      <c r="A801">
        <v>796</v>
      </c>
      <c r="B801">
        <f>Utilities!$B$7+((Utilities!$B$9-Utilities!$B$7)*(A801/Utilities!$B$1))</f>
        <v>46.059800000000003</v>
      </c>
      <c r="C801">
        <f>Utilities!$B$9+((Utilities!$B$7-Utilities!$B$9)*EXP(-$B$2*A801))</f>
        <v>0.50000603444102187</v>
      </c>
      <c r="D801">
        <f>EXP(-1*SQRT(Utilities!$B$5)/(IF($B$1="Linear",B801,C801)*Utilities!$B$11))</f>
        <v>1.2206133864212519E-5</v>
      </c>
      <c r="E801">
        <f>EXP(-1*SQRT(Utilities!$B$5/20)/(IF($B$1="Linear",B801,C801)*Utilities!$B$11))</f>
        <v>7.9675623244222407E-2</v>
      </c>
    </row>
    <row r="802" spans="1:5" x14ac:dyDescent="0.3">
      <c r="A802">
        <v>797</v>
      </c>
      <c r="B802">
        <f>Utilities!$B$7+((Utilities!$B$9-Utilities!$B$7)*(A802/Utilities!$B$1))</f>
        <v>46.054850000000002</v>
      </c>
      <c r="C802">
        <f>Utilities!$B$9+((Utilities!$B$7-Utilities!$B$9)*EXP(-$B$2*A802))</f>
        <v>0.50000591495108382</v>
      </c>
      <c r="D802">
        <f>EXP(-1*SQRT(Utilities!$B$5)/(IF($B$1="Linear",B802,C802)*Utilities!$B$11))</f>
        <v>1.2206100862727799E-5</v>
      </c>
      <c r="E802">
        <f>EXP(-1*SQRT(Utilities!$B$5/20)/(IF($B$1="Linear",B802,C802)*Utilities!$B$11))</f>
        <v>7.9675575075372415E-2</v>
      </c>
    </row>
    <row r="803" spans="1:5" x14ac:dyDescent="0.3">
      <c r="A803">
        <v>798</v>
      </c>
      <c r="B803">
        <f>Utilities!$B$7+((Utilities!$B$9-Utilities!$B$7)*(A803/Utilities!$B$1))</f>
        <v>46.049900000000001</v>
      </c>
      <c r="C803">
        <f>Utilities!$B$9+((Utilities!$B$7-Utilities!$B$9)*EXP(-$B$2*A803))</f>
        <v>0.500005797827205</v>
      </c>
      <c r="D803">
        <f>EXP(-1*SQRT(Utilities!$B$5)/(IF($B$1="Linear",B803,C803)*Utilities!$B$11))</f>
        <v>1.2206068514787532E-5</v>
      </c>
      <c r="E803">
        <f>EXP(-1*SQRT(Utilities!$B$5/20)/(IF($B$1="Linear",B803,C803)*Utilities!$B$11))</f>
        <v>7.9675527860335493E-2</v>
      </c>
    </row>
    <row r="804" spans="1:5" x14ac:dyDescent="0.3">
      <c r="A804">
        <v>799</v>
      </c>
      <c r="B804">
        <f>Utilities!$B$7+((Utilities!$B$9-Utilities!$B$7)*(A804/Utilities!$B$1))</f>
        <v>46.04495</v>
      </c>
      <c r="C804">
        <f>Utilities!$B$9+((Utilities!$B$7-Utilities!$B$9)*EXP(-$B$2*A804))</f>
        <v>0.50000568302253445</v>
      </c>
      <c r="D804">
        <f>EXP(-1*SQRT(Utilities!$B$5)/(IF($B$1="Linear",B804,C804)*Utilities!$B$11))</f>
        <v>1.2206036807447926E-5</v>
      </c>
      <c r="E804">
        <f>EXP(-1*SQRT(Utilities!$B$5/20)/(IF($B$1="Linear",B804,C804)*Utilities!$B$11))</f>
        <v>7.9675481580224625E-2</v>
      </c>
    </row>
    <row r="805" spans="1:5" x14ac:dyDescent="0.3">
      <c r="A805">
        <v>800</v>
      </c>
      <c r="B805">
        <f>Utilities!$B$7+((Utilities!$B$9-Utilities!$B$7)*(A805/Utilities!$B$1))</f>
        <v>46.04</v>
      </c>
      <c r="C805">
        <f>Utilities!$B$9+((Utilities!$B$7-Utilities!$B$9)*EXP(-$B$2*A805))</f>
        <v>0.50000557049114858</v>
      </c>
      <c r="D805">
        <f>EXP(-1*SQRT(Utilities!$B$5)/(IF($B$1="Linear",B805,C805)*Utilities!$B$11))</f>
        <v>1.2206005728021472E-5</v>
      </c>
      <c r="E805">
        <f>EXP(-1*SQRT(Utilities!$B$5/20)/(IF($B$1="Linear",B805,C805)*Utilities!$B$11))</f>
        <v>7.9675436216526799E-2</v>
      </c>
    </row>
    <row r="806" spans="1:5" x14ac:dyDescent="0.3">
      <c r="A806">
        <v>801</v>
      </c>
      <c r="B806">
        <f>Utilities!$B$7+((Utilities!$B$9-Utilities!$B$7)*(A806/Utilities!$B$1))</f>
        <v>46.035049999999998</v>
      </c>
      <c r="C806">
        <f>Utilities!$B$9+((Utilities!$B$7-Utilities!$B$9)*EXP(-$B$2*A806))</f>
        <v>0.50000546018803349</v>
      </c>
      <c r="D806">
        <f>EXP(-1*SQRT(Utilities!$B$5)/(IF($B$1="Linear",B806,C806)*Utilities!$B$11))</f>
        <v>1.2205975264072142E-5</v>
      </c>
      <c r="E806">
        <f>EXP(-1*SQRT(Utilities!$B$5/20)/(IF($B$1="Linear",B806,C806)*Utilities!$B$11))</f>
        <v>7.9675391751095628E-2</v>
      </c>
    </row>
    <row r="807" spans="1:5" x14ac:dyDescent="0.3">
      <c r="A807">
        <v>802</v>
      </c>
      <c r="B807">
        <f>Utilities!$B$7+((Utilities!$B$9-Utilities!$B$7)*(A807/Utilities!$B$1))</f>
        <v>46.030099999999997</v>
      </c>
      <c r="C807">
        <f>Utilities!$B$9+((Utilities!$B$7-Utilities!$B$9)*EXP(-$B$2*A807))</f>
        <v>0.50000535206906649</v>
      </c>
      <c r="D807">
        <f>EXP(-1*SQRT(Utilities!$B$5)/(IF($B$1="Linear",B807,C807)*Utilities!$B$11))</f>
        <v>1.2205945403410176E-5</v>
      </c>
      <c r="E807">
        <f>EXP(-1*SQRT(Utilities!$B$5/20)/(IF($B$1="Linear",B807,C807)*Utilities!$B$11))</f>
        <v>7.9675348166144078E-2</v>
      </c>
    </row>
    <row r="808" spans="1:5" x14ac:dyDescent="0.3">
      <c r="A808">
        <v>803</v>
      </c>
      <c r="B808">
        <f>Utilities!$B$7+((Utilities!$B$9-Utilities!$B$7)*(A808/Utilities!$B$1))</f>
        <v>46.025149999999996</v>
      </c>
      <c r="C808">
        <f>Utilities!$B$9+((Utilities!$B$7-Utilities!$B$9)*EXP(-$B$2*A808))</f>
        <v>0.50000524609099839</v>
      </c>
      <c r="D808">
        <f>EXP(-1*SQRT(Utilities!$B$5)/(IF($B$1="Linear",B808,C808)*Utilities!$B$11))</f>
        <v>1.2205916134087277E-5</v>
      </c>
      <c r="E808">
        <f>EXP(-1*SQRT(Utilities!$B$5/20)/(IF($B$1="Linear",B808,C808)*Utilities!$B$11))</f>
        <v>7.9675305444237177E-2</v>
      </c>
    </row>
    <row r="809" spans="1:5" x14ac:dyDescent="0.3">
      <c r="A809">
        <v>804</v>
      </c>
      <c r="B809">
        <f>Utilities!$B$7+((Utilities!$B$9-Utilities!$B$7)*(A809/Utilities!$B$1))</f>
        <v>46.020200000000003</v>
      </c>
      <c r="C809">
        <f>Utilities!$B$9+((Utilities!$B$7-Utilities!$B$9)*EXP(-$B$2*A809))</f>
        <v>0.50000514221143666</v>
      </c>
      <c r="D809">
        <f>EXP(-1*SQRT(Utilities!$B$5)/(IF($B$1="Linear",B809,C809)*Utilities!$B$11))</f>
        <v>1.2205887444391882E-5</v>
      </c>
      <c r="E809">
        <f>EXP(-1*SQRT(Utilities!$B$5/20)/(IF($B$1="Linear",B809,C809)*Utilities!$B$11))</f>
        <v>7.9675263568285387E-2</v>
      </c>
    </row>
    <row r="810" spans="1:5" x14ac:dyDescent="0.3">
      <c r="A810">
        <v>805</v>
      </c>
      <c r="B810">
        <f>Utilities!$B$7+((Utilities!$B$9-Utilities!$B$7)*(A810/Utilities!$B$1))</f>
        <v>46.015250000000002</v>
      </c>
      <c r="C810">
        <f>Utilities!$B$9+((Utilities!$B$7-Utilities!$B$9)*EXP(-$B$2*A810))</f>
        <v>0.50000504038882809</v>
      </c>
      <c r="D810">
        <f>EXP(-1*SQRT(Utilities!$B$5)/(IF($B$1="Linear",B810,C810)*Utilities!$B$11))</f>
        <v>1.2205859322844401E-5</v>
      </c>
      <c r="E810">
        <f>EXP(-1*SQRT(Utilities!$B$5/20)/(IF($B$1="Linear",B810,C810)*Utilities!$B$11))</f>
        <v>7.9675222521537484E-2</v>
      </c>
    </row>
    <row r="811" spans="1:5" x14ac:dyDescent="0.3">
      <c r="A811">
        <v>806</v>
      </c>
      <c r="B811">
        <f>Utilities!$B$7+((Utilities!$B$9-Utilities!$B$7)*(A811/Utilities!$B$1))</f>
        <v>46.010300000000001</v>
      </c>
      <c r="C811">
        <f>Utilities!$B$9+((Utilities!$B$7-Utilities!$B$9)*EXP(-$B$2*A811))</f>
        <v>0.50000494058244227</v>
      </c>
      <c r="D811">
        <f>EXP(-1*SQRT(Utilities!$B$5)/(IF($B$1="Linear",B811,C811)*Utilities!$B$11))</f>
        <v>1.2205831758192633E-5</v>
      </c>
      <c r="E811">
        <f>EXP(-1*SQRT(Utilities!$B$5/20)/(IF($B$1="Linear",B811,C811)*Utilities!$B$11))</f>
        <v>7.9675182287573948E-2</v>
      </c>
    </row>
    <row r="812" spans="1:5" x14ac:dyDescent="0.3">
      <c r="A812">
        <v>807</v>
      </c>
      <c r="B812">
        <f>Utilities!$B$7+((Utilities!$B$9-Utilities!$B$7)*(A812/Utilities!$B$1))</f>
        <v>46.00535</v>
      </c>
      <c r="C812">
        <f>Utilities!$B$9+((Utilities!$B$7-Utilities!$B$9)*EXP(-$B$2*A812))</f>
        <v>0.50000484275235524</v>
      </c>
      <c r="D812">
        <f>EXP(-1*SQRT(Utilities!$B$5)/(IF($B$1="Linear",B812,C812)*Utilities!$B$11))</f>
        <v>1.2205804739407254E-5</v>
      </c>
      <c r="E812">
        <f>EXP(-1*SQRT(Utilities!$B$5/20)/(IF($B$1="Linear",B812,C812)*Utilities!$B$11))</f>
        <v>7.9675142850300376E-2</v>
      </c>
    </row>
    <row r="813" spans="1:5" x14ac:dyDescent="0.3">
      <c r="A813">
        <v>808</v>
      </c>
      <c r="B813">
        <f>Utilities!$B$7+((Utilities!$B$9-Utilities!$B$7)*(A813/Utilities!$B$1))</f>
        <v>46.000399999999999</v>
      </c>
      <c r="C813">
        <f>Utilities!$B$9+((Utilities!$B$7-Utilities!$B$9)*EXP(-$B$2*A813))</f>
        <v>0.50000474685943375</v>
      </c>
      <c r="D813">
        <f>EXP(-1*SQRT(Utilities!$B$5)/(IF($B$1="Linear",B813,C813)*Utilities!$B$11))</f>
        <v>1.2205778255677465E-5</v>
      </c>
      <c r="E813">
        <f>EXP(-1*SQRT(Utilities!$B$5/20)/(IF($B$1="Linear",B813,C813)*Utilities!$B$11))</f>
        <v>7.9675104193941124E-2</v>
      </c>
    </row>
    <row r="814" spans="1:5" x14ac:dyDescent="0.3">
      <c r="A814">
        <v>809</v>
      </c>
      <c r="B814">
        <f>Utilities!$B$7+((Utilities!$B$9-Utilities!$B$7)*(A814/Utilities!$B$1))</f>
        <v>45.995449999999998</v>
      </c>
      <c r="C814">
        <f>Utilities!$B$9+((Utilities!$B$7-Utilities!$B$9)*EXP(-$B$2*A814))</f>
        <v>0.50000465286531937</v>
      </c>
      <c r="D814">
        <f>EXP(-1*SQRT(Utilities!$B$5)/(IF($B$1="Linear",B814,C814)*Utilities!$B$11))</f>
        <v>1.2205752296406571E-5</v>
      </c>
      <c r="E814">
        <f>EXP(-1*SQRT(Utilities!$B$5/20)/(IF($B$1="Linear",B814,C814)*Utilities!$B$11))</f>
        <v>7.9675066303032879E-2</v>
      </c>
    </row>
    <row r="815" spans="1:5" x14ac:dyDescent="0.3">
      <c r="A815">
        <v>810</v>
      </c>
      <c r="B815">
        <f>Utilities!$B$7+((Utilities!$B$9-Utilities!$B$7)*(A815/Utilities!$B$1))</f>
        <v>45.990499999999997</v>
      </c>
      <c r="C815">
        <f>Utilities!$B$9+((Utilities!$B$7-Utilities!$B$9)*EXP(-$B$2*A815))</f>
        <v>0.50000456073241306</v>
      </c>
      <c r="D815">
        <f>EXP(-1*SQRT(Utilities!$B$5)/(IF($B$1="Linear",B815,C815)*Utilities!$B$11))</f>
        <v>1.220572685120778E-5</v>
      </c>
      <c r="E815">
        <f>EXP(-1*SQRT(Utilities!$B$5/20)/(IF($B$1="Linear",B815,C815)*Utilities!$B$11))</f>
        <v>7.9675029162418518E-2</v>
      </c>
    </row>
    <row r="816" spans="1:5" x14ac:dyDescent="0.3">
      <c r="A816">
        <v>811</v>
      </c>
      <c r="B816">
        <f>Utilities!$B$7+((Utilities!$B$9-Utilities!$B$7)*(A816/Utilities!$B$1))</f>
        <v>45.985550000000003</v>
      </c>
      <c r="C816">
        <f>Utilities!$B$9+((Utilities!$B$7-Utilities!$B$9)*EXP(-$B$2*A816))</f>
        <v>0.50000447042386065</v>
      </c>
      <c r="D816">
        <f>EXP(-1*SQRT(Utilities!$B$5)/(IF($B$1="Linear",B816,C816)*Utilities!$B$11))</f>
        <v>1.2205701909900105E-5</v>
      </c>
      <c r="E816">
        <f>EXP(-1*SQRT(Utilities!$B$5/20)/(IF($B$1="Linear",B816,C816)*Utilities!$B$11))</f>
        <v>7.9674992757241173E-2</v>
      </c>
    </row>
    <row r="817" spans="1:5" x14ac:dyDescent="0.3">
      <c r="A817">
        <v>812</v>
      </c>
      <c r="B817">
        <f>Utilities!$B$7+((Utilities!$B$9-Utilities!$B$7)*(A817/Utilities!$B$1))</f>
        <v>45.980600000000003</v>
      </c>
      <c r="C817">
        <f>Utilities!$B$9+((Utilities!$B$7-Utilities!$B$9)*EXP(-$B$2*A817))</f>
        <v>0.50000438190353735</v>
      </c>
      <c r="D817">
        <f>EXP(-1*SQRT(Utilities!$B$5)/(IF($B$1="Linear",B817,C817)*Utilities!$B$11))</f>
        <v>1.2205677462504088E-5</v>
      </c>
      <c r="E817">
        <f>EXP(-1*SQRT(Utilities!$B$5/20)/(IF($B$1="Linear",B817,C817)*Utilities!$B$11))</f>
        <v>7.9674957072938021E-2</v>
      </c>
    </row>
    <row r="818" spans="1:5" x14ac:dyDescent="0.3">
      <c r="A818">
        <v>813</v>
      </c>
      <c r="B818">
        <f>Utilities!$B$7+((Utilities!$B$9-Utilities!$B$7)*(A818/Utilities!$B$1))</f>
        <v>45.975650000000002</v>
      </c>
      <c r="C818">
        <f>Utilities!$B$9+((Utilities!$B$7-Utilities!$B$9)*EXP(-$B$2*A818))</f>
        <v>0.50000429513603384</v>
      </c>
      <c r="D818">
        <f>EXP(-1*SQRT(Utilities!$B$5)/(IF($B$1="Linear",B818,C818)*Utilities!$B$11))</f>
        <v>1.2205653499238077E-5</v>
      </c>
      <c r="E818">
        <f>EXP(-1*SQRT(Utilities!$B$5/20)/(IF($B$1="Linear",B818,C818)*Utilities!$B$11))</f>
        <v>7.9674922095234593E-2</v>
      </c>
    </row>
    <row r="819" spans="1:5" x14ac:dyDescent="0.3">
      <c r="A819">
        <v>814</v>
      </c>
      <c r="B819">
        <f>Utilities!$B$7+((Utilities!$B$9-Utilities!$B$7)*(A819/Utilities!$B$1))</f>
        <v>45.970700000000001</v>
      </c>
      <c r="C819">
        <f>Utilities!$B$9+((Utilities!$B$7-Utilities!$B$9)*EXP(-$B$2*A819))</f>
        <v>0.50000421008664209</v>
      </c>
      <c r="D819">
        <f>EXP(-1*SQRT(Utilities!$B$5)/(IF($B$1="Linear",B819,C819)*Utilities!$B$11))</f>
        <v>1.2205630010514131E-5</v>
      </c>
      <c r="E819">
        <f>EXP(-1*SQRT(Utilities!$B$5/20)/(IF($B$1="Linear",B819,C819)*Utilities!$B$11))</f>
        <v>7.9674887810139275E-2</v>
      </c>
    </row>
    <row r="820" spans="1:5" x14ac:dyDescent="0.3">
      <c r="A820">
        <v>815</v>
      </c>
      <c r="B820">
        <f>Utilities!$B$7+((Utilities!$B$9-Utilities!$B$7)*(A820/Utilities!$B$1))</f>
        <v>45.96575</v>
      </c>
      <c r="C820">
        <f>Utilities!$B$9+((Utilities!$B$7-Utilities!$B$9)*EXP(-$B$2*A820))</f>
        <v>0.50000412672134098</v>
      </c>
      <c r="D820">
        <f>EXP(-1*SQRT(Utilities!$B$5)/(IF($B$1="Linear",B820,C820)*Utilities!$B$11))</f>
        <v>1.2205606986934154E-5</v>
      </c>
      <c r="E820">
        <f>EXP(-1*SQRT(Utilities!$B$5/20)/(IF($B$1="Linear",B820,C820)*Utilities!$B$11))</f>
        <v>7.9674854203937273E-2</v>
      </c>
    </row>
    <row r="821" spans="1:5" x14ac:dyDescent="0.3">
      <c r="A821">
        <v>816</v>
      </c>
      <c r="B821">
        <f>Utilities!$B$7+((Utilities!$B$9-Utilities!$B$7)*(A821/Utilities!$B$1))</f>
        <v>45.960799999999999</v>
      </c>
      <c r="C821">
        <f>Utilities!$B$9+((Utilities!$B$7-Utilities!$B$9)*EXP(-$B$2*A821))</f>
        <v>0.50000404500678364</v>
      </c>
      <c r="D821">
        <f>EXP(-1*SQRT(Utilities!$B$5)/(IF($B$1="Linear",B821,C821)*Utilities!$B$11))</f>
        <v>1.2205584419286349E-5</v>
      </c>
      <c r="E821">
        <f>EXP(-1*SQRT(Utilities!$B$5/20)/(IF($B$1="Linear",B821,C821)*Utilities!$B$11))</f>
        <v>7.9674821263185633E-2</v>
      </c>
    </row>
    <row r="822" spans="1:5" x14ac:dyDescent="0.3">
      <c r="A822">
        <v>817</v>
      </c>
      <c r="B822">
        <f>Utilities!$B$7+((Utilities!$B$9-Utilities!$B$7)*(A822/Utilities!$B$1))</f>
        <v>45.955849999999998</v>
      </c>
      <c r="C822">
        <f>Utilities!$B$9+((Utilities!$B$7-Utilities!$B$9)*EXP(-$B$2*A822))</f>
        <v>0.50000396491028276</v>
      </c>
      <c r="D822">
        <f>EXP(-1*SQRT(Utilities!$B$5)/(IF($B$1="Linear",B822,C822)*Utilities!$B$11))</f>
        <v>1.2205562298541209E-5</v>
      </c>
      <c r="E822">
        <f>EXP(-1*SQRT(Utilities!$B$5/20)/(IF($B$1="Linear",B822,C822)*Utilities!$B$11))</f>
        <v>7.9674788974707242E-2</v>
      </c>
    </row>
    <row r="823" spans="1:5" x14ac:dyDescent="0.3">
      <c r="A823">
        <v>818</v>
      </c>
      <c r="B823">
        <f>Utilities!$B$7+((Utilities!$B$9-Utilities!$B$7)*(A823/Utilities!$B$1))</f>
        <v>45.950899999999997</v>
      </c>
      <c r="C823">
        <f>Utilities!$B$9+((Utilities!$B$7-Utilities!$B$9)*EXP(-$B$2*A823))</f>
        <v>0.50000388639979898</v>
      </c>
      <c r="D823">
        <f>EXP(-1*SQRT(Utilities!$B$5)/(IF($B$1="Linear",B823,C823)*Utilities!$B$11))</f>
        <v>1.2205540615848214E-5</v>
      </c>
      <c r="E823">
        <f>EXP(-1*SQRT(Utilities!$B$5/20)/(IF($B$1="Linear",B823,C823)*Utilities!$B$11))</f>
        <v>7.9674757325586293E-2</v>
      </c>
    </row>
    <row r="824" spans="1:5" x14ac:dyDescent="0.3">
      <c r="A824">
        <v>819</v>
      </c>
      <c r="B824">
        <f>Utilities!$B$7+((Utilities!$B$9-Utilities!$B$7)*(A824/Utilities!$B$1))</f>
        <v>45.945949999999996</v>
      </c>
      <c r="C824">
        <f>Utilities!$B$9+((Utilities!$B$7-Utilities!$B$9)*EXP(-$B$2*A824))</f>
        <v>0.50000380944392686</v>
      </c>
      <c r="D824">
        <f>EXP(-1*SQRT(Utilities!$B$5)/(IF($B$1="Linear",B824,C824)*Utilities!$B$11))</f>
        <v>1.2205519362532077E-5</v>
      </c>
      <c r="E824">
        <f>EXP(-1*SQRT(Utilities!$B$5/20)/(IF($B$1="Linear",B824,C824)*Utilities!$B$11))</f>
        <v>7.9674726303162413E-2</v>
      </c>
    </row>
    <row r="825" spans="1:5" x14ac:dyDescent="0.3">
      <c r="A825">
        <v>820</v>
      </c>
      <c r="B825">
        <f>Utilities!$B$7+((Utilities!$B$9-Utilities!$B$7)*(A825/Utilities!$B$1))</f>
        <v>45.941000000000003</v>
      </c>
      <c r="C825">
        <f>Utilities!$B$9+((Utilities!$B$7-Utilities!$B$9)*EXP(-$B$2*A825))</f>
        <v>0.50000373401188314</v>
      </c>
      <c r="D825">
        <f>EXP(-1*SQRT(Utilities!$B$5)/(IF($B$1="Linear",B825,C825)*Utilities!$B$11))</f>
        <v>1.2205498530089371E-5</v>
      </c>
      <c r="E825">
        <f>EXP(-1*SQRT(Utilities!$B$5/20)/(IF($B$1="Linear",B825,C825)*Utilities!$B$11))</f>
        <v>7.9674695895026168E-2</v>
      </c>
    </row>
    <row r="826" spans="1:5" x14ac:dyDescent="0.3">
      <c r="A826">
        <v>821</v>
      </c>
      <c r="B826">
        <f>Utilities!$B$7+((Utilities!$B$9-Utilities!$B$7)*(A826/Utilities!$B$1))</f>
        <v>45.936050000000002</v>
      </c>
      <c r="C826">
        <f>Utilities!$B$9+((Utilities!$B$7-Utilities!$B$9)*EXP(-$B$2*A826))</f>
        <v>0.50000366007349395</v>
      </c>
      <c r="D826">
        <f>EXP(-1*SQRT(Utilities!$B$5)/(IF($B$1="Linear",B826,C826)*Utilities!$B$11))</f>
        <v>1.2205478110185065E-5</v>
      </c>
      <c r="E826">
        <f>EXP(-1*SQRT(Utilities!$B$5/20)/(IF($B$1="Linear",B826,C826)*Utilities!$B$11))</f>
        <v>7.9674666089013732E-2</v>
      </c>
    </row>
    <row r="827" spans="1:5" x14ac:dyDescent="0.3">
      <c r="A827">
        <v>822</v>
      </c>
      <c r="B827">
        <f>Utilities!$B$7+((Utilities!$B$9-Utilities!$B$7)*(A827/Utilities!$B$1))</f>
        <v>45.931100000000001</v>
      </c>
      <c r="C827">
        <f>Utilities!$B$9+((Utilities!$B$7-Utilities!$B$9)*EXP(-$B$2*A827))</f>
        <v>0.50000358759918306</v>
      </c>
      <c r="D827">
        <f>EXP(-1*SQRT(Utilities!$B$5)/(IF($B$1="Linear",B827,C827)*Utilities!$B$11))</f>
        <v>1.2205458094649286E-5</v>
      </c>
      <c r="E827">
        <f>EXP(-1*SQRT(Utilities!$B$5/20)/(IF($B$1="Linear",B827,C827)*Utilities!$B$11))</f>
        <v>7.9674636873202212E-2</v>
      </c>
    </row>
    <row r="828" spans="1:5" x14ac:dyDescent="0.3">
      <c r="A828">
        <v>823</v>
      </c>
      <c r="B828">
        <f>Utilities!$B$7+((Utilities!$B$9-Utilities!$B$7)*(A828/Utilities!$B$1))</f>
        <v>45.92615</v>
      </c>
      <c r="C828">
        <f>Utilities!$B$9+((Utilities!$B$7-Utilities!$B$9)*EXP(-$B$2*A828))</f>
        <v>0.50000351655995956</v>
      </c>
      <c r="D828">
        <f>EXP(-1*SQRT(Utilities!$B$5)/(IF($B$1="Linear",B828,C828)*Utilities!$B$11))</f>
        <v>1.2205438475473845E-5</v>
      </c>
      <c r="E828">
        <f>EXP(-1*SQRT(Utilities!$B$5/20)/(IF($B$1="Linear",B828,C828)*Utilities!$B$11))</f>
        <v>7.9674608235904595E-2</v>
      </c>
    </row>
    <row r="829" spans="1:5" x14ac:dyDescent="0.3">
      <c r="A829">
        <v>824</v>
      </c>
      <c r="B829">
        <f>Utilities!$B$7+((Utilities!$B$9-Utilities!$B$7)*(A829/Utilities!$B$1))</f>
        <v>45.921199999999999</v>
      </c>
      <c r="C829">
        <f>Utilities!$B$9+((Utilities!$B$7-Utilities!$B$9)*EXP(-$B$2*A829))</f>
        <v>0.50000344692740695</v>
      </c>
      <c r="D829">
        <f>EXP(-1*SQRT(Utilities!$B$5)/(IF($B$1="Linear",B829,C829)*Utilities!$B$11))</f>
        <v>1.2205419244809326E-5</v>
      </c>
      <c r="E829">
        <f>EXP(-1*SQRT(Utilities!$B$5/20)/(IF($B$1="Linear",B829,C829)*Utilities!$B$11))</f>
        <v>7.9674580165665601E-2</v>
      </c>
    </row>
    <row r="830" spans="1:5" x14ac:dyDescent="0.3">
      <c r="A830">
        <v>825</v>
      </c>
      <c r="B830">
        <f>Utilities!$B$7+((Utilities!$B$9-Utilities!$B$7)*(A830/Utilities!$B$1))</f>
        <v>45.916249999999998</v>
      </c>
      <c r="C830">
        <f>Utilities!$B$9+((Utilities!$B$7-Utilities!$B$9)*EXP(-$B$2*A830))</f>
        <v>0.50000337867367128</v>
      </c>
      <c r="D830">
        <f>EXP(-1*SQRT(Utilities!$B$5)/(IF($B$1="Linear",B830,C830)*Utilities!$B$11))</f>
        <v>1.2205400394961684E-5</v>
      </c>
      <c r="E830">
        <f>EXP(-1*SQRT(Utilities!$B$5/20)/(IF($B$1="Linear",B830,C830)*Utilities!$B$11))</f>
        <v>7.96745526512566E-2</v>
      </c>
    </row>
    <row r="831" spans="1:5" x14ac:dyDescent="0.3">
      <c r="A831">
        <v>826</v>
      </c>
      <c r="B831">
        <f>Utilities!$B$7+((Utilities!$B$9-Utilities!$B$7)*(A831/Utilities!$B$1))</f>
        <v>45.911299999999997</v>
      </c>
      <c r="C831">
        <f>Utilities!$B$9+((Utilities!$B$7-Utilities!$B$9)*EXP(-$B$2*A831))</f>
        <v>0.50000331177145008</v>
      </c>
      <c r="D831">
        <f>EXP(-1*SQRT(Utilities!$B$5)/(IF($B$1="Linear",B831,C831)*Utilities!$B$11))</f>
        <v>1.2205381918389264E-5</v>
      </c>
      <c r="E831">
        <f>EXP(-1*SQRT(Utilities!$B$5/20)/(IF($B$1="Linear",B831,C831)*Utilities!$B$11))</f>
        <v>7.9674525681671285E-2</v>
      </c>
    </row>
    <row r="832" spans="1:5" x14ac:dyDescent="0.3">
      <c r="A832">
        <v>827</v>
      </c>
      <c r="B832">
        <f>Utilities!$B$7+((Utilities!$B$9-Utilities!$B$7)*(A832/Utilities!$B$1))</f>
        <v>45.906350000000003</v>
      </c>
      <c r="C832">
        <f>Utilities!$B$9+((Utilities!$B$7-Utilities!$B$9)*EXP(-$B$2*A832))</f>
        <v>0.50000324619398173</v>
      </c>
      <c r="D832">
        <f>EXP(-1*SQRT(Utilities!$B$5)/(IF($B$1="Linear",B832,C832)*Utilities!$B$11))</f>
        <v>1.2205363807699897E-5</v>
      </c>
      <c r="E832">
        <f>EXP(-1*SQRT(Utilities!$B$5/20)/(IF($B$1="Linear",B832,C832)*Utilities!$B$11))</f>
        <v>7.967449924612148E-2</v>
      </c>
    </row>
    <row r="833" spans="1:5" x14ac:dyDescent="0.3">
      <c r="A833">
        <v>828</v>
      </c>
      <c r="B833">
        <f>Utilities!$B$7+((Utilities!$B$9-Utilities!$B$7)*(A833/Utilities!$B$1))</f>
        <v>45.901400000000002</v>
      </c>
      <c r="C833">
        <f>Utilities!$B$9+((Utilities!$B$7-Utilities!$B$9)*EXP(-$B$2*A833))</f>
        <v>0.50000318191503412</v>
      </c>
      <c r="D833">
        <f>EXP(-1*SQRT(Utilities!$B$5)/(IF($B$1="Linear",B833,C833)*Utilities!$B$11))</f>
        <v>1.2205346055647602E-5</v>
      </c>
      <c r="E833">
        <f>EXP(-1*SQRT(Utilities!$B$5/20)/(IF($B$1="Linear",B833,C833)*Utilities!$B$11))</f>
        <v>7.9674473334032325E-2</v>
      </c>
    </row>
    <row r="834" spans="1:5" x14ac:dyDescent="0.3">
      <c r="A834">
        <v>829</v>
      </c>
      <c r="B834">
        <f>Utilities!$B$7+((Utilities!$B$9-Utilities!$B$7)*(A834/Utilities!$B$1))</f>
        <v>45.896450000000002</v>
      </c>
      <c r="C834">
        <f>Utilities!$B$9+((Utilities!$B$7-Utilities!$B$9)*EXP(-$B$2*A834))</f>
        <v>0.50000311890889504</v>
      </c>
      <c r="D834">
        <f>EXP(-1*SQRT(Utilities!$B$5)/(IF($B$1="Linear",B834,C834)*Utilities!$B$11))</f>
        <v>1.2205328655130172E-5</v>
      </c>
      <c r="E834">
        <f>EXP(-1*SQRT(Utilities!$B$5/20)/(IF($B$1="Linear",B834,C834)*Utilities!$B$11))</f>
        <v>7.9674447935038681E-2</v>
      </c>
    </row>
    <row r="835" spans="1:5" x14ac:dyDescent="0.3">
      <c r="A835">
        <v>830</v>
      </c>
      <c r="B835">
        <f>Utilities!$B$7+((Utilities!$B$9-Utilities!$B$7)*(A835/Utilities!$B$1))</f>
        <v>45.891500000000001</v>
      </c>
      <c r="C835">
        <f>Utilities!$B$9+((Utilities!$B$7-Utilities!$B$9)*EXP(-$B$2*A835))</f>
        <v>0.50000305715036109</v>
      </c>
      <c r="D835">
        <f>EXP(-1*SQRT(Utilities!$B$5)/(IF($B$1="Linear",B835,C835)*Utilities!$B$11))</f>
        <v>1.2205311599185876E-5</v>
      </c>
      <c r="E835">
        <f>EXP(-1*SQRT(Utilities!$B$5/20)/(IF($B$1="Linear",B835,C835)*Utilities!$B$11))</f>
        <v>7.9674423038980424E-2</v>
      </c>
    </row>
    <row r="836" spans="1:5" x14ac:dyDescent="0.3">
      <c r="A836">
        <v>831</v>
      </c>
      <c r="B836">
        <f>Utilities!$B$7+((Utilities!$B$9-Utilities!$B$7)*(A836/Utilities!$B$1))</f>
        <v>45.88655</v>
      </c>
      <c r="C836">
        <f>Utilities!$B$9+((Utilities!$B$7-Utilities!$B$9)*EXP(-$B$2*A836))</f>
        <v>0.50000299661472802</v>
      </c>
      <c r="D836">
        <f>EXP(-1*SQRT(Utilities!$B$5)/(IF($B$1="Linear",B836,C836)*Utilities!$B$11))</f>
        <v>1.2205294880990964E-5</v>
      </c>
      <c r="E836">
        <f>EXP(-1*SQRT(Utilities!$B$5/20)/(IF($B$1="Linear",B836,C836)*Utilities!$B$11))</f>
        <v>7.9674398635898758E-2</v>
      </c>
    </row>
    <row r="837" spans="1:5" x14ac:dyDescent="0.3">
      <c r="A837">
        <v>832</v>
      </c>
      <c r="B837">
        <f>Utilities!$B$7+((Utilities!$B$9-Utilities!$B$7)*(A837/Utilities!$B$1))</f>
        <v>45.881599999999999</v>
      </c>
      <c r="C837">
        <f>Utilities!$B$9+((Utilities!$B$7-Utilities!$B$9)*EXP(-$B$2*A837))</f>
        <v>0.50000293727778089</v>
      </c>
      <c r="D837">
        <f>EXP(-1*SQRT(Utilities!$B$5)/(IF($B$1="Linear",B837,C837)*Utilities!$B$11))</f>
        <v>1.2205278493856786E-5</v>
      </c>
      <c r="E837">
        <f>EXP(-1*SQRT(Utilities!$B$5/20)/(IF($B$1="Linear",B837,C837)*Utilities!$B$11))</f>
        <v>7.9674374716032004E-2</v>
      </c>
    </row>
    <row r="838" spans="1:5" x14ac:dyDescent="0.3">
      <c r="A838">
        <v>833</v>
      </c>
      <c r="B838">
        <f>Utilities!$B$7+((Utilities!$B$9-Utilities!$B$7)*(A838/Utilities!$B$1))</f>
        <v>45.876649999999998</v>
      </c>
      <c r="C838">
        <f>Utilities!$B$9+((Utilities!$B$7-Utilities!$B$9)*EXP(-$B$2*A838))</f>
        <v>0.50000287911578389</v>
      </c>
      <c r="D838">
        <f>EXP(-1*SQRT(Utilities!$B$5)/(IF($B$1="Linear",B838,C838)*Utilities!$B$11))</f>
        <v>1.2205262431227156E-5</v>
      </c>
      <c r="E838">
        <f>EXP(-1*SQRT(Utilities!$B$5/20)/(IF($B$1="Linear",B838,C838)*Utilities!$B$11))</f>
        <v>7.9674351269811775E-2</v>
      </c>
    </row>
    <row r="839" spans="1:5" x14ac:dyDescent="0.3">
      <c r="A839">
        <v>834</v>
      </c>
      <c r="B839">
        <f>Utilities!$B$7+((Utilities!$B$9-Utilities!$B$7)*(A839/Utilities!$B$1))</f>
        <v>45.871699999999997</v>
      </c>
      <c r="C839">
        <f>Utilities!$B$9+((Utilities!$B$7-Utilities!$B$9)*EXP(-$B$2*A839))</f>
        <v>0.50000282210547176</v>
      </c>
      <c r="D839">
        <f>EXP(-1*SQRT(Utilities!$B$5)/(IF($B$1="Linear",B839,C839)*Utilities!$B$11))</f>
        <v>1.2205246686675814E-5</v>
      </c>
      <c r="E839">
        <f>EXP(-1*SQRT(Utilities!$B$5/20)/(IF($B$1="Linear",B839,C839)*Utilities!$B$11))</f>
        <v>7.9674328287859267E-2</v>
      </c>
    </row>
    <row r="840" spans="1:5" x14ac:dyDescent="0.3">
      <c r="A840">
        <v>835</v>
      </c>
      <c r="B840">
        <f>Utilities!$B$7+((Utilities!$B$9-Utilities!$B$7)*(A840/Utilities!$B$1))</f>
        <v>45.866749999999996</v>
      </c>
      <c r="C840">
        <f>Utilities!$B$9+((Utilities!$B$7-Utilities!$B$9)*EXP(-$B$2*A840))</f>
        <v>0.50000276622403927</v>
      </c>
      <c r="D840">
        <f>EXP(-1*SQRT(Utilities!$B$5)/(IF($B$1="Linear",B840,C840)*Utilities!$B$11))</f>
        <v>1.2205231253903682E-5</v>
      </c>
      <c r="E840">
        <f>EXP(-1*SQRT(Utilities!$B$5/20)/(IF($B$1="Linear",B840,C840)*Utilities!$B$11))</f>
        <v>7.9674305760981182E-2</v>
      </c>
    </row>
    <row r="841" spans="1:5" x14ac:dyDescent="0.3">
      <c r="A841">
        <v>836</v>
      </c>
      <c r="B841">
        <f>Utilities!$B$7+((Utilities!$B$9-Utilities!$B$7)*(A841/Utilities!$B$1))</f>
        <v>45.861800000000002</v>
      </c>
      <c r="C841">
        <f>Utilities!$B$9+((Utilities!$B$7-Utilities!$B$9)*EXP(-$B$2*A841))</f>
        <v>0.50000271144913344</v>
      </c>
      <c r="D841">
        <f>EXP(-1*SQRT(Utilities!$B$5)/(IF($B$1="Linear",B841,C841)*Utilities!$B$11))</f>
        <v>1.2205216126736546E-5</v>
      </c>
      <c r="E841">
        <f>EXP(-1*SQRT(Utilities!$B$5/20)/(IF($B$1="Linear",B841,C841)*Utilities!$B$11))</f>
        <v>7.9674283680166533E-2</v>
      </c>
    </row>
    <row r="842" spans="1:5" x14ac:dyDescent="0.3">
      <c r="A842">
        <v>837</v>
      </c>
      <c r="B842">
        <f>Utilities!$B$7+((Utilities!$B$9-Utilities!$B$7)*(A842/Utilities!$B$1))</f>
        <v>45.856850000000001</v>
      </c>
      <c r="C842">
        <f>Utilities!$B$9+((Utilities!$B$7-Utilities!$B$9)*EXP(-$B$2*A842))</f>
        <v>0.50000265775884334</v>
      </c>
      <c r="D842">
        <f>EXP(-1*SQRT(Utilities!$B$5)/(IF($B$1="Linear",B842,C842)*Utilities!$B$11))</f>
        <v>1.2205201299122335E-5</v>
      </c>
      <c r="E842">
        <f>EXP(-1*SQRT(Utilities!$B$5/20)/(IF($B$1="Linear",B842,C842)*Utilities!$B$11))</f>
        <v>7.9674262036582538E-2</v>
      </c>
    </row>
    <row r="843" spans="1:5" x14ac:dyDescent="0.3">
      <c r="A843">
        <v>838</v>
      </c>
      <c r="B843">
        <f>Utilities!$B$7+((Utilities!$B$9-Utilities!$B$7)*(A843/Utilities!$B$1))</f>
        <v>45.851900000000001</v>
      </c>
      <c r="C843">
        <f>Utilities!$B$9+((Utilities!$B$7-Utilities!$B$9)*EXP(-$B$2*A843))</f>
        <v>0.50000260513169215</v>
      </c>
      <c r="D843">
        <f>EXP(-1*SQRT(Utilities!$B$5)/(IF($B$1="Linear",B843,C843)*Utilities!$B$11))</f>
        <v>1.2205186765128923E-5</v>
      </c>
      <c r="E843">
        <f>EXP(-1*SQRT(Utilities!$B$5/20)/(IF($B$1="Linear",B843,C843)*Utilities!$B$11))</f>
        <v>7.967424082157136E-2</v>
      </c>
    </row>
    <row r="844" spans="1:5" x14ac:dyDescent="0.3">
      <c r="A844">
        <v>839</v>
      </c>
      <c r="B844">
        <f>Utilities!$B$7+((Utilities!$B$9-Utilities!$B$7)*(A844/Utilities!$B$1))</f>
        <v>45.84695</v>
      </c>
      <c r="C844">
        <f>Utilities!$B$9+((Utilities!$B$7-Utilities!$B$9)*EXP(-$B$2*A844))</f>
        <v>0.50000255354662848</v>
      </c>
      <c r="D844">
        <f>EXP(-1*SQRT(Utilities!$B$5)/(IF($B$1="Linear",B844,C844)*Utilities!$B$11))</f>
        <v>1.2205172518941745E-5</v>
      </c>
      <c r="E844">
        <f>EXP(-1*SQRT(Utilities!$B$5/20)/(IF($B$1="Linear",B844,C844)*Utilities!$B$11))</f>
        <v>7.9674220026646772E-2</v>
      </c>
    </row>
    <row r="845" spans="1:5" x14ac:dyDescent="0.3">
      <c r="A845">
        <v>840</v>
      </c>
      <c r="B845">
        <f>Utilities!$B$7+((Utilities!$B$9-Utilities!$B$7)*(A845/Utilities!$B$1))</f>
        <v>45.841999999999999</v>
      </c>
      <c r="C845">
        <f>Utilities!$B$9+((Utilities!$B$7-Utilities!$B$9)*EXP(-$B$2*A845))</f>
        <v>0.50000250298301741</v>
      </c>
      <c r="D845">
        <f>EXP(-1*SQRT(Utilities!$B$5)/(IF($B$1="Linear",B845,C845)*Utilities!$B$11))</f>
        <v>1.2205158554861209E-5</v>
      </c>
      <c r="E845">
        <f>EXP(-1*SQRT(Utilities!$B$5/20)/(IF($B$1="Linear",B845,C845)*Utilities!$B$11))</f>
        <v>7.967419964349029E-2</v>
      </c>
    </row>
    <row r="846" spans="1:5" x14ac:dyDescent="0.3">
      <c r="A846">
        <v>841</v>
      </c>
      <c r="B846">
        <f>Utilities!$B$7+((Utilities!$B$9-Utilities!$B$7)*(A846/Utilities!$B$1))</f>
        <v>45.837049999999998</v>
      </c>
      <c r="C846">
        <f>Utilities!$B$9+((Utilities!$B$7-Utilities!$B$9)*EXP(-$B$2*A846))</f>
        <v>0.50000245342063299</v>
      </c>
      <c r="D846">
        <f>EXP(-1*SQRT(Utilities!$B$5)/(IF($B$1="Linear",B846,C846)*Utilities!$B$11))</f>
        <v>1.2205144867300775E-5</v>
      </c>
      <c r="E846">
        <f>EXP(-1*SQRT(Utilities!$B$5/20)/(IF($B$1="Linear",B846,C846)*Utilities!$B$11))</f>
        <v>7.9674179663948477E-2</v>
      </c>
    </row>
    <row r="847" spans="1:5" x14ac:dyDescent="0.3">
      <c r="A847">
        <v>842</v>
      </c>
      <c r="B847">
        <f>Utilities!$B$7+((Utilities!$B$9-Utilities!$B$7)*(A847/Utilities!$B$1))</f>
        <v>45.832099999999997</v>
      </c>
      <c r="C847">
        <f>Utilities!$B$9+((Utilities!$B$7-Utilities!$B$9)*EXP(-$B$2*A847))</f>
        <v>0.50000240483964953</v>
      </c>
      <c r="D847">
        <f>EXP(-1*SQRT(Utilities!$B$5)/(IF($B$1="Linear",B847,C847)*Utilities!$B$11))</f>
        <v>1.2205131450784471E-5</v>
      </c>
      <c r="E847">
        <f>EXP(-1*SQRT(Utilities!$B$5/20)/(IF($B$1="Linear",B847,C847)*Utilities!$B$11))</f>
        <v>7.9674160080029102E-2</v>
      </c>
    </row>
    <row r="848" spans="1:5" x14ac:dyDescent="0.3">
      <c r="A848">
        <v>843</v>
      </c>
      <c r="B848">
        <f>Utilities!$B$7+((Utilities!$B$9-Utilities!$B$7)*(A848/Utilities!$B$1))</f>
        <v>45.827150000000003</v>
      </c>
      <c r="C848">
        <f>Utilities!$B$9+((Utilities!$B$7-Utilities!$B$9)*EXP(-$B$2*A848))</f>
        <v>0.50000235722063402</v>
      </c>
      <c r="D848">
        <f>EXP(-1*SQRT(Utilities!$B$5)/(IF($B$1="Linear",B848,C848)*Utilities!$B$11))</f>
        <v>1.2205118299944791E-5</v>
      </c>
      <c r="E848">
        <f>EXP(-1*SQRT(Utilities!$B$5/20)/(IF($B$1="Linear",B848,C848)*Utilities!$B$11))</f>
        <v>7.9674140883898334E-2</v>
      </c>
    </row>
    <row r="849" spans="1:5" x14ac:dyDescent="0.3">
      <c r="A849">
        <v>844</v>
      </c>
      <c r="B849">
        <f>Utilities!$B$7+((Utilities!$B$9-Utilities!$B$7)*(A849/Utilities!$B$1))</f>
        <v>45.822200000000002</v>
      </c>
      <c r="C849">
        <f>Utilities!$B$9+((Utilities!$B$7-Utilities!$B$9)*EXP(-$B$2*A849))</f>
        <v>0.50000231054453814</v>
      </c>
      <c r="D849">
        <f>EXP(-1*SQRT(Utilities!$B$5)/(IF($B$1="Linear",B849,C849)*Utilities!$B$11))</f>
        <v>1.2205105409520465E-5</v>
      </c>
      <c r="E849">
        <f>EXP(-1*SQRT(Utilities!$B$5/20)/(IF($B$1="Linear",B849,C849)*Utilities!$B$11))</f>
        <v>7.9674122067877301E-2</v>
      </c>
    </row>
    <row r="850" spans="1:5" x14ac:dyDescent="0.3">
      <c r="A850">
        <v>845</v>
      </c>
      <c r="B850">
        <f>Utilities!$B$7+((Utilities!$B$9-Utilities!$B$7)*(A850/Utilities!$B$1))</f>
        <v>45.817250000000001</v>
      </c>
      <c r="C850">
        <f>Utilities!$B$9+((Utilities!$B$7-Utilities!$B$9)*EXP(-$B$2*A850))</f>
        <v>0.50000226479269083</v>
      </c>
      <c r="D850">
        <f>EXP(-1*SQRT(Utilities!$B$5)/(IF($B$1="Linear",B850,C850)*Utilities!$B$11))</f>
        <v>1.2205092774354523E-5</v>
      </c>
      <c r="E850">
        <f>EXP(-1*SQRT(Utilities!$B$5/20)/(IF($B$1="Linear",B850,C850)*Utilities!$B$11))</f>
        <v>7.9674103624439344E-2</v>
      </c>
    </row>
    <row r="851" spans="1:5" x14ac:dyDescent="0.3">
      <c r="A851">
        <v>846</v>
      </c>
      <c r="B851">
        <f>Utilities!$B$7+((Utilities!$B$9-Utilities!$B$7)*(A851/Utilities!$B$1))</f>
        <v>45.8123</v>
      </c>
      <c r="C851">
        <f>Utilities!$B$9+((Utilities!$B$7-Utilities!$B$9)*EXP(-$B$2*A851))</f>
        <v>0.50000221994679095</v>
      </c>
      <c r="D851">
        <f>EXP(-1*SQRT(Utilities!$B$5)/(IF($B$1="Linear",B851,C851)*Utilities!$B$11))</f>
        <v>1.2205080389392103E-5</v>
      </c>
      <c r="E851">
        <f>EXP(-1*SQRT(Utilities!$B$5/20)/(IF($B$1="Linear",B851,C851)*Utilities!$B$11))</f>
        <v>7.9674085546206863E-2</v>
      </c>
    </row>
    <row r="852" spans="1:5" x14ac:dyDescent="0.3">
      <c r="A852">
        <v>847</v>
      </c>
      <c r="B852">
        <f>Utilities!$B$7+((Utilities!$B$9-Utilities!$B$7)*(A852/Utilities!$B$1))</f>
        <v>45.80735</v>
      </c>
      <c r="C852">
        <f>Utilities!$B$9+((Utilities!$B$7-Utilities!$B$9)*EXP(-$B$2*A852))</f>
        <v>0.50000217598889929</v>
      </c>
      <c r="D852">
        <f>EXP(-1*SQRT(Utilities!$B$5)/(IF($B$1="Linear",B852,C852)*Utilities!$B$11))</f>
        <v>1.2205068249678394E-5</v>
      </c>
      <c r="E852">
        <f>EXP(-1*SQRT(Utilities!$B$5/20)/(IF($B$1="Linear",B852,C852)*Utilities!$B$11))</f>
        <v>7.9674067825948172E-2</v>
      </c>
    </row>
    <row r="853" spans="1:5" x14ac:dyDescent="0.3">
      <c r="A853">
        <v>848</v>
      </c>
      <c r="B853">
        <f>Utilities!$B$7+((Utilities!$B$9-Utilities!$B$7)*(A853/Utilities!$B$1))</f>
        <v>45.802399999999999</v>
      </c>
      <c r="C853">
        <f>Utilities!$B$9+((Utilities!$B$7-Utilities!$B$9)*EXP(-$B$2*A853))</f>
        <v>0.50000213290143214</v>
      </c>
      <c r="D853">
        <f>EXP(-1*SQRT(Utilities!$B$5)/(IF($B$1="Linear",B853,C853)*Utilities!$B$11))</f>
        <v>1.2205056350356765E-5</v>
      </c>
      <c r="E853">
        <f>EXP(-1*SQRT(Utilities!$B$5/20)/(IF($B$1="Linear",B853,C853)*Utilities!$B$11))</f>
        <v>7.9674050456574885E-2</v>
      </c>
    </row>
    <row r="854" spans="1:5" x14ac:dyDescent="0.3">
      <c r="A854">
        <v>849</v>
      </c>
      <c r="B854">
        <f>Utilities!$B$7+((Utilities!$B$9-Utilities!$B$7)*(A854/Utilities!$B$1))</f>
        <v>45.797449999999998</v>
      </c>
      <c r="C854">
        <f>Utilities!$B$9+((Utilities!$B$7-Utilities!$B$9)*EXP(-$B$2*A854))</f>
        <v>0.50000209066715418</v>
      </c>
      <c r="D854">
        <f>EXP(-1*SQRT(Utilities!$B$5)/(IF($B$1="Linear",B854,C854)*Utilities!$B$11))</f>
        <v>1.2205044686666796E-5</v>
      </c>
      <c r="E854">
        <f>EXP(-1*SQRT(Utilities!$B$5/20)/(IF($B$1="Linear",B854,C854)*Utilities!$B$11))</f>
        <v>7.9674033431139046E-2</v>
      </c>
    </row>
    <row r="855" spans="1:5" x14ac:dyDescent="0.3">
      <c r="A855">
        <v>850</v>
      </c>
      <c r="B855">
        <f>Utilities!$B$7+((Utilities!$B$9-Utilities!$B$7)*(A855/Utilities!$B$1))</f>
        <v>45.792499999999997</v>
      </c>
      <c r="C855">
        <f>Utilities!$B$9+((Utilities!$B$7-Utilities!$B$9)*EXP(-$B$2*A855))</f>
        <v>0.5000020492691708</v>
      </c>
      <c r="D855">
        <f>EXP(-1*SQRT(Utilities!$B$5)/(IF($B$1="Linear",B855,C855)*Utilities!$B$11))</f>
        <v>1.2205033253942212E-5</v>
      </c>
      <c r="E855">
        <f>EXP(-1*SQRT(Utilities!$B$5/20)/(IF($B$1="Linear",B855,C855)*Utilities!$B$11))</f>
        <v>7.9674016742830117E-2</v>
      </c>
    </row>
    <row r="856" spans="1:5" x14ac:dyDescent="0.3">
      <c r="A856">
        <v>851</v>
      </c>
      <c r="B856">
        <f>Utilities!$B$7+((Utilities!$B$9-Utilities!$B$7)*(A856/Utilities!$B$1))</f>
        <v>45.787550000000003</v>
      </c>
      <c r="C856">
        <f>Utilities!$B$9+((Utilities!$B$7-Utilities!$B$9)*EXP(-$B$2*A856))</f>
        <v>0.50000200869092248</v>
      </c>
      <c r="D856">
        <f>EXP(-1*SQRT(Utilities!$B$5)/(IF($B$1="Linear",B856,C856)*Utilities!$B$11))</f>
        <v>1.2205022047609345E-5</v>
      </c>
      <c r="E856">
        <f>EXP(-1*SQRT(Utilities!$B$5/20)/(IF($B$1="Linear",B856,C856)*Utilities!$B$11))</f>
        <v>7.9674000384972576E-2</v>
      </c>
    </row>
    <row r="857" spans="1:5" x14ac:dyDescent="0.3">
      <c r="A857">
        <v>852</v>
      </c>
      <c r="B857">
        <f>Utilities!$B$7+((Utilities!$B$9-Utilities!$B$7)*(A857/Utilities!$B$1))</f>
        <v>45.782600000000002</v>
      </c>
      <c r="C857">
        <f>Utilities!$B$9+((Utilities!$B$7-Utilities!$B$9)*EXP(-$B$2*A857))</f>
        <v>0.50000196891617732</v>
      </c>
      <c r="D857">
        <f>EXP(-1*SQRT(Utilities!$B$5)/(IF($B$1="Linear",B857,C857)*Utilities!$B$11))</f>
        <v>1.220501106318494E-5</v>
      </c>
      <c r="E857">
        <f>EXP(-1*SQRT(Utilities!$B$5/20)/(IF($B$1="Linear",B857,C857)*Utilities!$B$11))</f>
        <v>7.9673984351023019E-2</v>
      </c>
    </row>
    <row r="858" spans="1:5" x14ac:dyDescent="0.3">
      <c r="A858">
        <v>853</v>
      </c>
      <c r="B858">
        <f>Utilities!$B$7+((Utilities!$B$9-Utilities!$B$7)*(A858/Utilities!$B$1))</f>
        <v>45.777650000000001</v>
      </c>
      <c r="C858">
        <f>Utilities!$B$9+((Utilities!$B$7-Utilities!$B$9)*EXP(-$B$2*A858))</f>
        <v>0.50000192992902481</v>
      </c>
      <c r="D858">
        <f>EXP(-1*SQRT(Utilities!$B$5)/(IF($B$1="Linear",B858,C858)*Utilities!$B$11))</f>
        <v>1.2205000296274601E-5</v>
      </c>
      <c r="E858">
        <f>EXP(-1*SQRT(Utilities!$B$5/20)/(IF($B$1="Linear",B858,C858)*Utilities!$B$11))</f>
        <v>7.9673968634567549E-2</v>
      </c>
    </row>
    <row r="859" spans="1:5" x14ac:dyDescent="0.3">
      <c r="A859">
        <v>854</v>
      </c>
      <c r="B859">
        <f>Utilities!$B$7+((Utilities!$B$9-Utilities!$B$7)*(A859/Utilities!$B$1))</f>
        <v>45.7727</v>
      </c>
      <c r="C859">
        <f>Utilities!$B$9+((Utilities!$B$7-Utilities!$B$9)*EXP(-$B$2*A859))</f>
        <v>0.50000189171386966</v>
      </c>
      <c r="D859">
        <f>EXP(-1*SQRT(Utilities!$B$5)/(IF($B$1="Linear",B859,C859)*Utilities!$B$11))</f>
        <v>1.2204989742570956E-5</v>
      </c>
      <c r="E859">
        <f>EXP(-1*SQRT(Utilities!$B$5/20)/(IF($B$1="Linear",B859,C859)*Utilities!$B$11))</f>
        <v>7.9673953229319402E-2</v>
      </c>
    </row>
    <row r="860" spans="1:5" x14ac:dyDescent="0.3">
      <c r="A860">
        <v>855</v>
      </c>
      <c r="B860">
        <f>Utilities!$B$7+((Utilities!$B$9-Utilities!$B$7)*(A860/Utilities!$B$1))</f>
        <v>45.767749999999999</v>
      </c>
      <c r="C860">
        <f>Utilities!$B$9+((Utilities!$B$7-Utilities!$B$9)*EXP(-$B$2*A860))</f>
        <v>0.50000185425542532</v>
      </c>
      <c r="D860">
        <f>EXP(-1*SQRT(Utilities!$B$5)/(IF($B$1="Linear",B860,C860)*Utilities!$B$11))</f>
        <v>1.2204979397851934E-5</v>
      </c>
      <c r="E860">
        <f>EXP(-1*SQRT(Utilities!$B$5/20)/(IF($B$1="Linear",B860,C860)*Utilities!$B$11))</f>
        <v>7.9673938129116204E-2</v>
      </c>
    </row>
    <row r="861" spans="1:5" x14ac:dyDescent="0.3">
      <c r="A861">
        <v>856</v>
      </c>
      <c r="B861">
        <f>Utilities!$B$7+((Utilities!$B$9-Utilities!$B$7)*(A861/Utilities!$B$1))</f>
        <v>45.762799999999999</v>
      </c>
      <c r="C861">
        <f>Utilities!$B$9+((Utilities!$B$7-Utilities!$B$9)*EXP(-$B$2*A861))</f>
        <v>0.50000181753870787</v>
      </c>
      <c r="D861">
        <f>EXP(-1*SQRT(Utilities!$B$5)/(IF($B$1="Linear",B861,C861)*Utilities!$B$11))</f>
        <v>1.2204969257979106E-5</v>
      </c>
      <c r="E861">
        <f>EXP(-1*SQRT(Utilities!$B$5/20)/(IF($B$1="Linear",B861,C861)*Utilities!$B$11))</f>
        <v>7.9673923327917659E-2</v>
      </c>
    </row>
    <row r="862" spans="1:5" x14ac:dyDescent="0.3">
      <c r="A862">
        <v>857</v>
      </c>
      <c r="B862">
        <f>Utilities!$B$7+((Utilities!$B$9-Utilities!$B$7)*(A862/Utilities!$B$1))</f>
        <v>45.757849999999998</v>
      </c>
      <c r="C862">
        <f>Utilities!$B$9+((Utilities!$B$7-Utilities!$B$9)*EXP(-$B$2*A862))</f>
        <v>0.50000178154903019</v>
      </c>
      <c r="D862">
        <f>EXP(-1*SQRT(Utilities!$B$5)/(IF($B$1="Linear",B862,C862)*Utilities!$B$11))</f>
        <v>1.2204959318895936E-5</v>
      </c>
      <c r="E862">
        <f>EXP(-1*SQRT(Utilities!$B$5/20)/(IF($B$1="Linear",B862,C862)*Utilities!$B$11))</f>
        <v>7.9673908819803047E-2</v>
      </c>
    </row>
    <row r="863" spans="1:5" x14ac:dyDescent="0.3">
      <c r="A863">
        <v>858</v>
      </c>
      <c r="B863">
        <f>Utilities!$B$7+((Utilities!$B$9-Utilities!$B$7)*(A863/Utilities!$B$1))</f>
        <v>45.752899999999997</v>
      </c>
      <c r="C863">
        <f>Utilities!$B$9+((Utilities!$B$7-Utilities!$B$9)*EXP(-$B$2*A863))</f>
        <v>0.50000174627199578</v>
      </c>
      <c r="D863">
        <f>EXP(-1*SQRT(Utilities!$B$5)/(IF($B$1="Linear",B863,C863)*Utilities!$B$11))</f>
        <v>1.2204949576626234E-5</v>
      </c>
      <c r="E863">
        <f>EXP(-1*SQRT(Utilities!$B$5/20)/(IF($B$1="Linear",B863,C863)*Utilities!$B$11))</f>
        <v>7.9673894598968856E-2</v>
      </c>
    </row>
    <row r="864" spans="1:5" x14ac:dyDescent="0.3">
      <c r="A864">
        <v>859</v>
      </c>
      <c r="B864">
        <f>Utilities!$B$7+((Utilities!$B$9-Utilities!$B$7)*(A864/Utilities!$B$1))</f>
        <v>45.747950000000003</v>
      </c>
      <c r="C864">
        <f>Utilities!$B$9+((Utilities!$B$7-Utilities!$B$9)*EXP(-$B$2*A864))</f>
        <v>0.5000017116934935</v>
      </c>
      <c r="D864">
        <f>EXP(-1*SQRT(Utilities!$B$5)/(IF($B$1="Linear",B864,C864)*Utilities!$B$11))</f>
        <v>1.220494002727264E-5</v>
      </c>
      <c r="E864">
        <f>EXP(-1*SQRT(Utilities!$B$5/20)/(IF($B$1="Linear",B864,C864)*Utilities!$B$11))</f>
        <v>7.9673880659726609E-2</v>
      </c>
    </row>
    <row r="865" spans="1:5" x14ac:dyDescent="0.3">
      <c r="A865">
        <v>860</v>
      </c>
      <c r="B865">
        <f>Utilities!$B$7+((Utilities!$B$9-Utilities!$B$7)*(A865/Utilities!$B$1))</f>
        <v>45.743000000000002</v>
      </c>
      <c r="C865">
        <f>Utilities!$B$9+((Utilities!$B$7-Utilities!$B$9)*EXP(-$B$2*A865))</f>
        <v>0.50000167779969151</v>
      </c>
      <c r="D865">
        <f>EXP(-1*SQRT(Utilities!$B$5)/(IF($B$1="Linear",B865,C865)*Utilities!$B$11))</f>
        <v>1.2204930667014893E-5</v>
      </c>
      <c r="E865">
        <f>EXP(-1*SQRT(Utilities!$B$5/20)/(IF($B$1="Linear",B865,C865)*Utilities!$B$11))</f>
        <v>7.9673866996500337E-2</v>
      </c>
    </row>
    <row r="866" spans="1:5" x14ac:dyDescent="0.3">
      <c r="A866">
        <v>861</v>
      </c>
      <c r="B866">
        <f>Utilities!$B$7+((Utilities!$B$9-Utilities!$B$7)*(A866/Utilities!$B$1))</f>
        <v>45.738050000000001</v>
      </c>
      <c r="C866">
        <f>Utilities!$B$9+((Utilities!$B$7-Utilities!$B$9)*EXP(-$B$2*A866))</f>
        <v>0.50000164457703167</v>
      </c>
      <c r="D866">
        <f>EXP(-1*SQRT(Utilities!$B$5)/(IF($B$1="Linear",B866,C866)*Utilities!$B$11))</f>
        <v>1.220492149210839E-5</v>
      </c>
      <c r="E866">
        <f>EXP(-1*SQRT(Utilities!$B$5/20)/(IF($B$1="Linear",B866,C866)*Utilities!$B$11))</f>
        <v>7.9673853603824535E-2</v>
      </c>
    </row>
    <row r="867" spans="1:5" x14ac:dyDescent="0.3">
      <c r="A867">
        <v>862</v>
      </c>
      <c r="B867">
        <f>Utilities!$B$7+((Utilities!$B$9-Utilities!$B$7)*(A867/Utilities!$B$1))</f>
        <v>45.7331</v>
      </c>
      <c r="C867">
        <f>Utilities!$B$9+((Utilities!$B$7-Utilities!$B$9)*EXP(-$B$2*A867))</f>
        <v>0.50000161201222459</v>
      </c>
      <c r="D867">
        <f>EXP(-1*SQRT(Utilities!$B$5)/(IF($B$1="Linear",B867,C867)*Utilities!$B$11))</f>
        <v>1.2204912498882719E-5</v>
      </c>
      <c r="E867">
        <f>EXP(-1*SQRT(Utilities!$B$5/20)/(IF($B$1="Linear",B867,C867)*Utilities!$B$11))</f>
        <v>7.967384047634192E-2</v>
      </c>
    </row>
    <row r="868" spans="1:5" x14ac:dyDescent="0.3">
      <c r="A868">
        <v>863</v>
      </c>
      <c r="B868">
        <f>Utilities!$B$7+((Utilities!$B$9-Utilities!$B$7)*(A868/Utilities!$B$1))</f>
        <v>45.728149999999999</v>
      </c>
      <c r="C868">
        <f>Utilities!$B$9+((Utilities!$B$7-Utilities!$B$9)*EXP(-$B$2*A868))</f>
        <v>0.50000158009224394</v>
      </c>
      <c r="D868">
        <f>EXP(-1*SQRT(Utilities!$B$5)/(IF($B$1="Linear",B868,C868)*Utilities!$B$11))</f>
        <v>1.2204903683740141E-5</v>
      </c>
      <c r="E868">
        <f>EXP(-1*SQRT(Utilities!$B$5/20)/(IF($B$1="Linear",B868,C868)*Utilities!$B$11))</f>
        <v>7.9673827608801345E-2</v>
      </c>
    </row>
    <row r="869" spans="1:5" x14ac:dyDescent="0.3">
      <c r="A869">
        <v>864</v>
      </c>
      <c r="B869">
        <f>Utilities!$B$7+((Utilities!$B$9-Utilities!$B$7)*(A869/Utilities!$B$1))</f>
        <v>45.723199999999999</v>
      </c>
      <c r="C869">
        <f>Utilities!$B$9+((Utilities!$B$7-Utilities!$B$9)*EXP(-$B$2*A869))</f>
        <v>0.50000154880432113</v>
      </c>
      <c r="D869">
        <f>EXP(-1*SQRT(Utilities!$B$5)/(IF($B$1="Linear",B869,C869)*Utilities!$B$11))</f>
        <v>1.2204895043154145E-5</v>
      </c>
      <c r="E869">
        <f>EXP(-1*SQRT(Utilities!$B$5/20)/(IF($B$1="Linear",B869,C869)*Utilities!$B$11))</f>
        <v>7.9673814996055553E-2</v>
      </c>
    </row>
    <row r="870" spans="1:5" x14ac:dyDescent="0.3">
      <c r="A870">
        <v>865</v>
      </c>
      <c r="B870">
        <f>Utilities!$B$7+((Utilities!$B$9-Utilities!$B$7)*(A870/Utilities!$B$1))</f>
        <v>45.718249999999998</v>
      </c>
      <c r="C870">
        <f>Utilities!$B$9+((Utilities!$B$7-Utilities!$B$9)*EXP(-$B$2*A870))</f>
        <v>0.50000151813594085</v>
      </c>
      <c r="D870">
        <f>EXP(-1*SQRT(Utilities!$B$5)/(IF($B$1="Linear",B870,C870)*Utilities!$B$11))</f>
        <v>1.2204886573668146E-5</v>
      </c>
      <c r="E870">
        <f>EXP(-1*SQRT(Utilities!$B$5/20)/(IF($B$1="Linear",B870,C870)*Utilities!$B$11))</f>
        <v>7.9673802633059287E-2</v>
      </c>
    </row>
    <row r="871" spans="1:5" x14ac:dyDescent="0.3">
      <c r="A871">
        <v>866</v>
      </c>
      <c r="B871">
        <f>Utilities!$B$7+((Utilities!$B$9-Utilities!$B$7)*(A871/Utilities!$B$1))</f>
        <v>45.713300000000004</v>
      </c>
      <c r="C871">
        <f>Utilities!$B$9+((Utilities!$B$7-Utilities!$B$9)*EXP(-$B$2*A871))</f>
        <v>0.50000148807483513</v>
      </c>
      <c r="D871">
        <f>EXP(-1*SQRT(Utilities!$B$5)/(IF($B$1="Linear",B871,C871)*Utilities!$B$11))</f>
        <v>1.2204878271893882E-5</v>
      </c>
      <c r="E871">
        <f>EXP(-1*SQRT(Utilities!$B$5/20)/(IF($B$1="Linear",B871,C871)*Utilities!$B$11))</f>
        <v>7.9673790514867115E-2</v>
      </c>
    </row>
    <row r="872" spans="1:5" x14ac:dyDescent="0.3">
      <c r="A872">
        <v>867</v>
      </c>
      <c r="B872">
        <f>Utilities!$B$7+((Utilities!$B$9-Utilities!$B$7)*(A872/Utilities!$B$1))</f>
        <v>45.708350000000003</v>
      </c>
      <c r="C872">
        <f>Utilities!$B$9+((Utilities!$B$7-Utilities!$B$9)*EXP(-$B$2*A872))</f>
        <v>0.50000145860897915</v>
      </c>
      <c r="D872">
        <f>EXP(-1*SQRT(Utilities!$B$5)/(IF($B$1="Linear",B872,C872)*Utilities!$B$11))</f>
        <v>1.2204870134510255E-5</v>
      </c>
      <c r="E872">
        <f>EXP(-1*SQRT(Utilities!$B$5/20)/(IF($B$1="Linear",B872,C872)*Utilities!$B$11))</f>
        <v>7.9673778636631609E-2</v>
      </c>
    </row>
    <row r="873" spans="1:5" x14ac:dyDescent="0.3">
      <c r="A873">
        <v>868</v>
      </c>
      <c r="B873">
        <f>Utilities!$B$7+((Utilities!$B$9-Utilities!$B$7)*(A873/Utilities!$B$1))</f>
        <v>45.703400000000002</v>
      </c>
      <c r="C873">
        <f>Utilities!$B$9+((Utilities!$B$7-Utilities!$B$9)*EXP(-$B$2*A873))</f>
        <v>0.50000142972658623</v>
      </c>
      <c r="D873">
        <f>EXP(-1*SQRT(Utilities!$B$5)/(IF($B$1="Linear",B873,C873)*Utilities!$B$11))</f>
        <v>1.2204862158261958E-5</v>
      </c>
      <c r="E873">
        <f>EXP(-1*SQRT(Utilities!$B$5/20)/(IF($B$1="Linear",B873,C873)*Utilities!$B$11))</f>
        <v>7.9673766993601292E-2</v>
      </c>
    </row>
    <row r="874" spans="1:5" x14ac:dyDescent="0.3">
      <c r="A874">
        <v>869</v>
      </c>
      <c r="B874">
        <f>Utilities!$B$7+((Utilities!$B$9-Utilities!$B$7)*(A874/Utilities!$B$1))</f>
        <v>45.698450000000001</v>
      </c>
      <c r="C874">
        <f>Utilities!$B$9+((Utilities!$B$7-Utilities!$B$9)*EXP(-$B$2*A874))</f>
        <v>0.50000140141610305</v>
      </c>
      <c r="D874">
        <f>EXP(-1*SQRT(Utilities!$B$5)/(IF($B$1="Linear",B874,C874)*Utilities!$B$11))</f>
        <v>1.2204854339958159E-5</v>
      </c>
      <c r="E874">
        <f>EXP(-1*SQRT(Utilities!$B$5/20)/(IF($B$1="Linear",B874,C874)*Utilities!$B$11))</f>
        <v>7.9673755581118749E-2</v>
      </c>
    </row>
    <row r="875" spans="1:5" x14ac:dyDescent="0.3">
      <c r="A875">
        <v>870</v>
      </c>
      <c r="B875">
        <f>Utilities!$B$7+((Utilities!$B$9-Utilities!$B$7)*(A875/Utilities!$B$1))</f>
        <v>45.6935</v>
      </c>
      <c r="C875">
        <f>Utilities!$B$9+((Utilities!$B$7-Utilities!$B$9)*EXP(-$B$2*A875))</f>
        <v>0.5000013736662049</v>
      </c>
      <c r="D875">
        <f>EXP(-1*SQRT(Utilities!$B$5)/(IF($B$1="Linear",B875,C875)*Utilities!$B$11))</f>
        <v>1.2204846676471099E-5</v>
      </c>
      <c r="E875">
        <f>EXP(-1*SQRT(Utilities!$B$5/20)/(IF($B$1="Linear",B875,C875)*Utilities!$B$11))</f>
        <v>7.9673744394618828E-2</v>
      </c>
    </row>
    <row r="876" spans="1:5" x14ac:dyDescent="0.3">
      <c r="A876">
        <v>871</v>
      </c>
      <c r="B876">
        <f>Utilities!$B$7+((Utilities!$B$9-Utilities!$B$7)*(A876/Utilities!$B$1))</f>
        <v>45.688549999999999</v>
      </c>
      <c r="C876">
        <f>Utilities!$B$9+((Utilities!$B$7-Utilities!$B$9)*EXP(-$B$2*A876))</f>
        <v>0.50000134646579164</v>
      </c>
      <c r="D876">
        <f>EXP(-1*SQRT(Utilities!$B$5)/(IF($B$1="Linear",B876,C876)*Utilities!$B$11))</f>
        <v>1.2204839164735134E-5</v>
      </c>
      <c r="E876">
        <f>EXP(-1*SQRT(Utilities!$B$5/20)/(IF($B$1="Linear",B876,C876)*Utilities!$B$11))</f>
        <v>7.9673733429626817E-2</v>
      </c>
    </row>
    <row r="877" spans="1:5" x14ac:dyDescent="0.3">
      <c r="A877">
        <v>872</v>
      </c>
      <c r="B877">
        <f>Utilities!$B$7+((Utilities!$B$9-Utilities!$B$7)*(A877/Utilities!$B$1))</f>
        <v>45.683599999999998</v>
      </c>
      <c r="C877">
        <f>Utilities!$B$9+((Utilities!$B$7-Utilities!$B$9)*EXP(-$B$2*A877))</f>
        <v>0.50000131980398255</v>
      </c>
      <c r="D877">
        <f>EXP(-1*SQRT(Utilities!$B$5)/(IF($B$1="Linear",B877,C877)*Utilities!$B$11))</f>
        <v>1.2204831801745157E-5</v>
      </c>
      <c r="E877">
        <f>EXP(-1*SQRT(Utilities!$B$5/20)/(IF($B$1="Linear",B877,C877)*Utilities!$B$11))</f>
        <v>7.9673722681756418E-2</v>
      </c>
    </row>
    <row r="878" spans="1:5" x14ac:dyDescent="0.3">
      <c r="A878">
        <v>873</v>
      </c>
      <c r="B878">
        <f>Utilities!$B$7+((Utilities!$B$9-Utilities!$B$7)*(A878/Utilities!$B$1))</f>
        <v>45.678649999999998</v>
      </c>
      <c r="C878">
        <f>Utilities!$B$9+((Utilities!$B$7-Utilities!$B$9)*EXP(-$B$2*A878))</f>
        <v>0.50000129367011281</v>
      </c>
      <c r="D878">
        <f>EXP(-1*SQRT(Utilities!$B$5)/(IF($B$1="Linear",B878,C878)*Utilities!$B$11))</f>
        <v>1.2204824584555764E-5</v>
      </c>
      <c r="E878">
        <f>EXP(-1*SQRT(Utilities!$B$5/20)/(IF($B$1="Linear",B878,C878)*Utilities!$B$11))</f>
        <v>7.96737121467085E-2</v>
      </c>
    </row>
    <row r="879" spans="1:5" x14ac:dyDescent="0.3">
      <c r="A879">
        <v>874</v>
      </c>
      <c r="B879">
        <f>Utilities!$B$7+((Utilities!$B$9-Utilities!$B$7)*(A879/Utilities!$B$1))</f>
        <v>45.673699999999997</v>
      </c>
      <c r="C879">
        <f>Utilities!$B$9+((Utilities!$B$7-Utilities!$B$9)*EXP(-$B$2*A879))</f>
        <v>0.50000126805372824</v>
      </c>
      <c r="D879">
        <f>EXP(-1*SQRT(Utilities!$B$5)/(IF($B$1="Linear",B879,C879)*Utilities!$B$11))</f>
        <v>1.2204817510279666E-5</v>
      </c>
      <c r="E879">
        <f>EXP(-1*SQRT(Utilities!$B$5/20)/(IF($B$1="Linear",B879,C879)*Utilities!$B$11))</f>
        <v>7.9673701820268727E-2</v>
      </c>
    </row>
    <row r="880" spans="1:5" x14ac:dyDescent="0.3">
      <c r="A880">
        <v>875</v>
      </c>
      <c r="B880">
        <f>Utilities!$B$7+((Utilities!$B$9-Utilities!$B$7)*(A880/Utilities!$B$1))</f>
        <v>45.668750000000003</v>
      </c>
      <c r="C880">
        <f>Utilities!$B$9+((Utilities!$B$7-Utilities!$B$9)*EXP(-$B$2*A880))</f>
        <v>0.50000124294458215</v>
      </c>
      <c r="D880">
        <f>EXP(-1*SQRT(Utilities!$B$5)/(IF($B$1="Linear",B880,C880)*Utilities!$B$11))</f>
        <v>1.2204810576086905E-5</v>
      </c>
      <c r="E880">
        <f>EXP(-1*SQRT(Utilities!$B$5/20)/(IF($B$1="Linear",B880,C880)*Utilities!$B$11))</f>
        <v>7.9673691698306473E-2</v>
      </c>
    </row>
    <row r="881" spans="1:5" x14ac:dyDescent="0.3">
      <c r="A881">
        <v>876</v>
      </c>
      <c r="B881">
        <f>Utilities!$B$7+((Utilities!$B$9-Utilities!$B$7)*(A881/Utilities!$B$1))</f>
        <v>45.663800000000002</v>
      </c>
      <c r="C881">
        <f>Utilities!$B$9+((Utilities!$B$7-Utilities!$B$9)*EXP(-$B$2*A881))</f>
        <v>0.50000121833263034</v>
      </c>
      <c r="D881">
        <f>EXP(-1*SQRT(Utilities!$B$5)/(IF($B$1="Linear",B881,C881)*Utilities!$B$11))</f>
        <v>1.2204803779203491E-5</v>
      </c>
      <c r="E881">
        <f>EXP(-1*SQRT(Utilities!$B$5/20)/(IF($B$1="Linear",B881,C881)*Utilities!$B$11))</f>
        <v>7.9673681776772726E-2</v>
      </c>
    </row>
    <row r="882" spans="1:5" x14ac:dyDescent="0.3">
      <c r="A882">
        <v>877</v>
      </c>
      <c r="B882">
        <f>Utilities!$B$7+((Utilities!$B$9-Utilities!$B$7)*(A882/Utilities!$B$1))</f>
        <v>45.658850000000001</v>
      </c>
      <c r="C882">
        <f>Utilities!$B$9+((Utilities!$B$7-Utilities!$B$9)*EXP(-$B$2*A882))</f>
        <v>0.50000119420802791</v>
      </c>
      <c r="D882">
        <f>EXP(-1*SQRT(Utilities!$B$5)/(IF($B$1="Linear",B882,C882)*Utilities!$B$11))</f>
        <v>1.2204797116910427E-5</v>
      </c>
      <c r="E882">
        <f>EXP(-1*SQRT(Utilities!$B$5/20)/(IF($B$1="Linear",B882,C882)*Utilities!$B$11))</f>
        <v>7.9673672051698757E-2</v>
      </c>
    </row>
    <row r="883" spans="1:5" x14ac:dyDescent="0.3">
      <c r="A883">
        <v>878</v>
      </c>
      <c r="B883">
        <f>Utilities!$B$7+((Utilities!$B$9-Utilities!$B$7)*(A883/Utilities!$B$1))</f>
        <v>45.6539</v>
      </c>
      <c r="C883">
        <f>Utilities!$B$9+((Utilities!$B$7-Utilities!$B$9)*EXP(-$B$2*A883))</f>
        <v>0.50000117056112459</v>
      </c>
      <c r="D883">
        <f>EXP(-1*SQRT(Utilities!$B$5)/(IF($B$1="Linear",B883,C883)*Utilities!$B$11))</f>
        <v>1.2204790586542494E-5</v>
      </c>
      <c r="E883">
        <f>EXP(-1*SQRT(Utilities!$B$5/20)/(IF($B$1="Linear",B883,C883)*Utilities!$B$11))</f>
        <v>7.9673662519194416E-2</v>
      </c>
    </row>
    <row r="884" spans="1:5" x14ac:dyDescent="0.3">
      <c r="A884">
        <v>879</v>
      </c>
      <c r="B884">
        <f>Utilities!$B$7+((Utilities!$B$9-Utilities!$B$7)*(A884/Utilities!$B$1))</f>
        <v>45.648949999999999</v>
      </c>
      <c r="C884">
        <f>Utilities!$B$9+((Utilities!$B$7-Utilities!$B$9)*EXP(-$B$2*A884))</f>
        <v>0.50000114738246138</v>
      </c>
      <c r="D884">
        <f>EXP(-1*SQRT(Utilities!$B$5)/(IF($B$1="Linear",B884,C884)*Utilities!$B$11))</f>
        <v>1.2204784185487313E-5</v>
      </c>
      <c r="E884">
        <f>EXP(-1*SQRT(Utilities!$B$5/20)/(IF($B$1="Linear",B884,C884)*Utilities!$B$11))</f>
        <v>7.9673653175446557E-2</v>
      </c>
    </row>
    <row r="885" spans="1:5" x14ac:dyDescent="0.3">
      <c r="A885">
        <v>880</v>
      </c>
      <c r="B885">
        <f>Utilities!$B$7+((Utilities!$B$9-Utilities!$B$7)*(A885/Utilities!$B$1))</f>
        <v>45.643999999999998</v>
      </c>
      <c r="C885">
        <f>Utilities!$B$9+((Utilities!$B$7-Utilities!$B$9)*EXP(-$B$2*A885))</f>
        <v>0.50000112466276647</v>
      </c>
      <c r="D885">
        <f>EXP(-1*SQRT(Utilities!$B$5)/(IF($B$1="Linear",B885,C885)*Utilities!$B$11))</f>
        <v>1.2204777911184227E-5</v>
      </c>
      <c r="E885">
        <f>EXP(-1*SQRT(Utilities!$B$5/20)/(IF($B$1="Linear",B885,C885)*Utilities!$B$11))</f>
        <v>7.9673644016717518E-2</v>
      </c>
    </row>
    <row r="886" spans="1:5" x14ac:dyDescent="0.3">
      <c r="A886">
        <v>881</v>
      </c>
      <c r="B886">
        <f>Utilities!$B$7+((Utilities!$B$9-Utilities!$B$7)*(A886/Utilities!$B$1))</f>
        <v>45.639049999999997</v>
      </c>
      <c r="C886">
        <f>Utilities!$B$9+((Utilities!$B$7-Utilities!$B$9)*EXP(-$B$2*A886))</f>
        <v>0.50000110239295159</v>
      </c>
      <c r="D886">
        <f>EXP(-1*SQRT(Utilities!$B$5)/(IF($B$1="Linear",B886,C886)*Utilities!$B$11))</f>
        <v>1.2204771761123208E-5</v>
      </c>
      <c r="E886">
        <f>EXP(-1*SQRT(Utilities!$B$5/20)/(IF($B$1="Linear",B886,C886)*Utilities!$B$11))</f>
        <v>7.9673635039343674E-2</v>
      </c>
    </row>
    <row r="887" spans="1:5" x14ac:dyDescent="0.3">
      <c r="A887">
        <v>882</v>
      </c>
      <c r="B887">
        <f>Utilities!$B$7+((Utilities!$B$9-Utilities!$B$7)*(A887/Utilities!$B$1))</f>
        <v>45.634100000000004</v>
      </c>
      <c r="C887">
        <f>Utilities!$B$9+((Utilities!$B$7-Utilities!$B$9)*EXP(-$B$2*A887))</f>
        <v>0.50000108056410864</v>
      </c>
      <c r="D887">
        <f>EXP(-1*SQRT(Utilities!$B$5)/(IF($B$1="Linear",B887,C887)*Utilities!$B$11))</f>
        <v>1.2204765732844034E-5</v>
      </c>
      <c r="E887">
        <f>EXP(-1*SQRT(Utilities!$B$5/20)/(IF($B$1="Linear",B887,C887)*Utilities!$B$11))</f>
        <v>7.9673626239733925E-2</v>
      </c>
    </row>
    <row r="888" spans="1:5" x14ac:dyDescent="0.3">
      <c r="A888">
        <v>883</v>
      </c>
      <c r="B888">
        <f>Utilities!$B$7+((Utilities!$B$9-Utilities!$B$7)*(A888/Utilities!$B$1))</f>
        <v>45.629150000000003</v>
      </c>
      <c r="C888">
        <f>Utilities!$B$9+((Utilities!$B$7-Utilities!$B$9)*EXP(-$B$2*A888))</f>
        <v>0.5000010591675057</v>
      </c>
      <c r="D888">
        <f>EXP(-1*SQRT(Utilities!$B$5)/(IF($B$1="Linear",B888,C888)*Utilities!$B$11))</f>
        <v>1.2204759823935168E-5</v>
      </c>
      <c r="E888">
        <f>EXP(-1*SQRT(Utilities!$B$5/20)/(IF($B$1="Linear",B888,C888)*Utilities!$B$11))</f>
        <v>7.967361761436835E-2</v>
      </c>
    </row>
    <row r="889" spans="1:5" x14ac:dyDescent="0.3">
      <c r="A889">
        <v>884</v>
      </c>
      <c r="B889">
        <f>Utilities!$B$7+((Utilities!$B$9-Utilities!$B$7)*(A889/Utilities!$B$1))</f>
        <v>45.624200000000002</v>
      </c>
      <c r="C889">
        <f>Utilities!$B$9+((Utilities!$B$7-Utilities!$B$9)*EXP(-$B$2*A889))</f>
        <v>0.50000103819458386</v>
      </c>
      <c r="D889">
        <f>EXP(-1*SQRT(Utilities!$B$5)/(IF($B$1="Linear",B889,C889)*Utilities!$B$11))</f>
        <v>1.2204754032032819E-5</v>
      </c>
      <c r="E889">
        <f>EXP(-1*SQRT(Utilities!$B$5/20)/(IF($B$1="Linear",B889,C889)*Utilities!$B$11))</f>
        <v>7.9673609159796613E-2</v>
      </c>
    </row>
    <row r="890" spans="1:5" x14ac:dyDescent="0.3">
      <c r="A890">
        <v>885</v>
      </c>
      <c r="B890">
        <f>Utilities!$B$7+((Utilities!$B$9-Utilities!$B$7)*(A890/Utilities!$B$1))</f>
        <v>45.619250000000001</v>
      </c>
      <c r="C890">
        <f>Utilities!$B$9+((Utilities!$B$7-Utilities!$B$9)*EXP(-$B$2*A890))</f>
        <v>0.5000010176369537</v>
      </c>
      <c r="D890">
        <f>EXP(-1*SQRT(Utilities!$B$5)/(IF($B$1="Linear",B890,C890)*Utilities!$B$11))</f>
        <v>1.2204748354820009E-5</v>
      </c>
      <c r="E890">
        <f>EXP(-1*SQRT(Utilities!$B$5/20)/(IF($B$1="Linear",B890,C890)*Utilities!$B$11))</f>
        <v>7.9673600872636835E-2</v>
      </c>
    </row>
    <row r="891" spans="1:5" x14ac:dyDescent="0.3">
      <c r="A891">
        <v>886</v>
      </c>
      <c r="B891">
        <f>Utilities!$B$7+((Utilities!$B$9-Utilities!$B$7)*(A891/Utilities!$B$1))</f>
        <v>45.6143</v>
      </c>
      <c r="C891">
        <f>Utilities!$B$9+((Utilities!$B$7-Utilities!$B$9)*EXP(-$B$2*A891))</f>
        <v>0.50000099748639193</v>
      </c>
      <c r="D891">
        <f>EXP(-1*SQRT(Utilities!$B$5)/(IF($B$1="Linear",B891,C891)*Utilities!$B$11))</f>
        <v>1.2204742790025665E-5</v>
      </c>
      <c r="E891">
        <f>EXP(-1*SQRT(Utilities!$B$5/20)/(IF($B$1="Linear",B891,C891)*Utilities!$B$11))</f>
        <v>7.967359274957396E-2</v>
      </c>
    </row>
    <row r="892" spans="1:5" x14ac:dyDescent="0.3">
      <c r="A892">
        <v>887</v>
      </c>
      <c r="B892">
        <f>Utilities!$B$7+((Utilities!$B$9-Utilities!$B$7)*(A892/Utilities!$B$1))</f>
        <v>45.609349999999999</v>
      </c>
      <c r="C892">
        <f>Utilities!$B$9+((Utilities!$B$7-Utilities!$B$9)*EXP(-$B$2*A892))</f>
        <v>0.50000097773483798</v>
      </c>
      <c r="D892">
        <f>EXP(-1*SQRT(Utilities!$B$5)/(IF($B$1="Linear",B892,C892)*Utilities!$B$11))</f>
        <v>1.2204737335423663E-5</v>
      </c>
      <c r="E892">
        <f>EXP(-1*SQRT(Utilities!$B$5/20)/(IF($B$1="Linear",B892,C892)*Utilities!$B$11))</f>
        <v>7.9673584787358684E-2</v>
      </c>
    </row>
    <row r="893" spans="1:5" x14ac:dyDescent="0.3">
      <c r="A893">
        <v>888</v>
      </c>
      <c r="B893">
        <f>Utilities!$B$7+((Utilities!$B$9-Utilities!$B$7)*(A893/Utilities!$B$1))</f>
        <v>45.604399999999998</v>
      </c>
      <c r="C893">
        <f>Utilities!$B$9+((Utilities!$B$7-Utilities!$B$9)*EXP(-$B$2*A893))</f>
        <v>0.50000095837439107</v>
      </c>
      <c r="D893">
        <f>EXP(-1*SQRT(Utilities!$B$5)/(IF($B$1="Linear",B893,C893)*Utilities!$B$11))</f>
        <v>1.2204731988831965E-5</v>
      </c>
      <c r="E893">
        <f>EXP(-1*SQRT(Utilities!$B$5/20)/(IF($B$1="Linear",B893,C893)*Utilities!$B$11))</f>
        <v>7.9673576982805999E-2</v>
      </c>
    </row>
    <row r="894" spans="1:5" x14ac:dyDescent="0.3">
      <c r="A894">
        <v>889</v>
      </c>
      <c r="B894">
        <f>Utilities!$B$7+((Utilities!$B$9-Utilities!$B$7)*(A894/Utilities!$B$1))</f>
        <v>45.599449999999997</v>
      </c>
      <c r="C894">
        <f>Utilities!$B$9+((Utilities!$B$7-Utilities!$B$9)*EXP(-$B$2*A894))</f>
        <v>0.50000093939730672</v>
      </c>
      <c r="D894">
        <f>EXP(-1*SQRT(Utilities!$B$5)/(IF($B$1="Linear",B894,C894)*Utilities!$B$11))</f>
        <v>1.2204726748111764E-5</v>
      </c>
      <c r="E894">
        <f>EXP(-1*SQRT(Utilities!$B$5/20)/(IF($B$1="Linear",B894,C894)*Utilities!$B$11))</f>
        <v>7.9673569332794E-2</v>
      </c>
    </row>
    <row r="895" spans="1:5" x14ac:dyDescent="0.3">
      <c r="A895">
        <v>890</v>
      </c>
      <c r="B895">
        <f>Utilities!$B$7+((Utilities!$B$9-Utilities!$B$7)*(A895/Utilities!$B$1))</f>
        <v>45.594499999999996</v>
      </c>
      <c r="C895">
        <f>Utilities!$B$9+((Utilities!$B$7-Utilities!$B$9)*EXP(-$B$2*A895))</f>
        <v>0.50000092079599368</v>
      </c>
      <c r="D895">
        <f>EXP(-1*SQRT(Utilities!$B$5)/(IF($B$1="Linear",B895,C895)*Utilities!$B$11))</f>
        <v>1.2204721611166541E-5</v>
      </c>
      <c r="E895">
        <f>EXP(-1*SQRT(Utilities!$B$5/20)/(IF($B$1="Linear",B895,C895)*Utilities!$B$11))</f>
        <v>7.9673561834262469E-2</v>
      </c>
    </row>
    <row r="896" spans="1:5" x14ac:dyDescent="0.3">
      <c r="A896">
        <v>891</v>
      </c>
      <c r="B896">
        <f>Utilities!$B$7+((Utilities!$B$9-Utilities!$B$7)*(A896/Utilities!$B$1))</f>
        <v>45.589550000000003</v>
      </c>
      <c r="C896">
        <f>Utilities!$B$9+((Utilities!$B$7-Utilities!$B$9)*EXP(-$B$2*A896))</f>
        <v>0.50000090256301144</v>
      </c>
      <c r="D896">
        <f>EXP(-1*SQRT(Utilities!$B$5)/(IF($B$1="Linear",B896,C896)*Utilities!$B$11))</f>
        <v>1.2204716575941405E-5</v>
      </c>
      <c r="E896">
        <f>EXP(-1*SQRT(Utilities!$B$5/20)/(IF($B$1="Linear",B896,C896)*Utilities!$B$11))</f>
        <v>7.9673554484211984E-2</v>
      </c>
    </row>
    <row r="897" spans="1:5" x14ac:dyDescent="0.3">
      <c r="A897">
        <v>892</v>
      </c>
      <c r="B897">
        <f>Utilities!$B$7+((Utilities!$B$9-Utilities!$B$7)*(A897/Utilities!$B$1))</f>
        <v>45.584600000000002</v>
      </c>
      <c r="C897">
        <f>Utilities!$B$9+((Utilities!$B$7-Utilities!$B$9)*EXP(-$B$2*A897))</f>
        <v>0.50000088469106641</v>
      </c>
      <c r="D897">
        <f>EXP(-1*SQRT(Utilities!$B$5)/(IF($B$1="Linear",B897,C897)*Utilities!$B$11))</f>
        <v>1.2204711640422059E-5</v>
      </c>
      <c r="E897">
        <f>EXP(-1*SQRT(Utilities!$B$5/20)/(IF($B$1="Linear",B897,C897)*Utilities!$B$11))</f>
        <v>7.9673547279702411E-2</v>
      </c>
    </row>
    <row r="898" spans="1:5" x14ac:dyDescent="0.3">
      <c r="A898">
        <v>893</v>
      </c>
      <c r="B898">
        <f>Utilities!$B$7+((Utilities!$B$9-Utilities!$B$7)*(A898/Utilities!$B$1))</f>
        <v>45.579650000000001</v>
      </c>
      <c r="C898">
        <f>Utilities!$B$9+((Utilities!$B$7-Utilities!$B$9)*EXP(-$B$2*A898))</f>
        <v>0.50000086717300951</v>
      </c>
      <c r="D898">
        <f>EXP(-1*SQRT(Utilities!$B$5)/(IF($B$1="Linear",B898,C898)*Utilities!$B$11))</f>
        <v>1.2204706802634096E-5</v>
      </c>
      <c r="E898">
        <f>EXP(-1*SQRT(Utilities!$B$5/20)/(IF($B$1="Linear",B898,C898)*Utilities!$B$11))</f>
        <v>7.9673540217851752E-2</v>
      </c>
    </row>
    <row r="899" spans="1:5" x14ac:dyDescent="0.3">
      <c r="A899">
        <v>894</v>
      </c>
      <c r="B899">
        <f>Utilities!$B$7+((Utilities!$B$9-Utilities!$B$7)*(A899/Utilities!$B$1))</f>
        <v>45.5747</v>
      </c>
      <c r="C899">
        <f>Utilities!$B$9+((Utilities!$B$7-Utilities!$B$9)*EXP(-$B$2*A899))</f>
        <v>0.50000085000183347</v>
      </c>
      <c r="D899">
        <f>EXP(-1*SQRT(Utilities!$B$5)/(IF($B$1="Linear",B899,C899)*Utilities!$B$11))</f>
        <v>1.2204702060642342E-5</v>
      </c>
      <c r="E899">
        <f>EXP(-1*SQRT(Utilities!$B$5/20)/(IF($B$1="Linear",B899,C899)*Utilities!$B$11))</f>
        <v>7.9673533295835319E-2</v>
      </c>
    </row>
    <row r="900" spans="1:5" x14ac:dyDescent="0.3">
      <c r="A900">
        <v>895</v>
      </c>
      <c r="B900">
        <f>Utilities!$B$7+((Utilities!$B$9-Utilities!$B$7)*(A900/Utilities!$B$1))</f>
        <v>45.569749999999999</v>
      </c>
      <c r="C900">
        <f>Utilities!$B$9+((Utilities!$B$7-Utilities!$B$9)*EXP(-$B$2*A900))</f>
        <v>0.50000083317066946</v>
      </c>
      <c r="D900">
        <f>EXP(-1*SQRT(Utilities!$B$5)/(IF($B$1="Linear",B900,C900)*Utilities!$B$11))</f>
        <v>1.2204697412549759E-5</v>
      </c>
      <c r="E900">
        <f>EXP(-1*SQRT(Utilities!$B$5/20)/(IF($B$1="Linear",B900,C900)*Utilities!$B$11))</f>
        <v>7.9673526510884052E-2</v>
      </c>
    </row>
    <row r="901" spans="1:5" x14ac:dyDescent="0.3">
      <c r="A901">
        <v>896</v>
      </c>
      <c r="B901">
        <f>Utilities!$B$7+((Utilities!$B$9-Utilities!$B$7)*(A901/Utilities!$B$1))</f>
        <v>45.564799999999998</v>
      </c>
      <c r="C901">
        <f>Utilities!$B$9+((Utilities!$B$7-Utilities!$B$9)*EXP(-$B$2*A901))</f>
        <v>0.50000081667278484</v>
      </c>
      <c r="D901">
        <f>EXP(-1*SQRT(Utilities!$B$5)/(IF($B$1="Linear",B901,C901)*Utilities!$B$11))</f>
        <v>1.2204692856496992E-5</v>
      </c>
      <c r="E901">
        <f>EXP(-1*SQRT(Utilities!$B$5/20)/(IF($B$1="Linear",B901,C901)*Utilities!$B$11))</f>
        <v>7.9673519860283981E-2</v>
      </c>
    </row>
    <row r="902" spans="1:5" x14ac:dyDescent="0.3">
      <c r="A902">
        <v>897</v>
      </c>
      <c r="B902">
        <f>Utilities!$B$7+((Utilities!$B$9-Utilities!$B$7)*(A902/Utilities!$B$1))</f>
        <v>45.559849999999997</v>
      </c>
      <c r="C902">
        <f>Utilities!$B$9+((Utilities!$B$7-Utilities!$B$9)*EXP(-$B$2*A902))</f>
        <v>0.50000080050158024</v>
      </c>
      <c r="D902">
        <f>EXP(-1*SQRT(Utilities!$B$5)/(IF($B$1="Linear",B902,C902)*Utilities!$B$11))</f>
        <v>1.2204688390661486E-5</v>
      </c>
      <c r="E902">
        <f>EXP(-1*SQRT(Utilities!$B$5/20)/(IF($B$1="Linear",B902,C902)*Utilities!$B$11))</f>
        <v>7.9673513341374694E-2</v>
      </c>
    </row>
    <row r="903" spans="1:5" x14ac:dyDescent="0.3">
      <c r="A903">
        <v>898</v>
      </c>
      <c r="B903">
        <f>Utilities!$B$7+((Utilities!$B$9-Utilities!$B$7)*(A903/Utilities!$B$1))</f>
        <v>45.554900000000004</v>
      </c>
      <c r="C903">
        <f>Utilities!$B$9+((Utilities!$B$7-Utilities!$B$9)*EXP(-$B$2*A903))</f>
        <v>0.50000078465058695</v>
      </c>
      <c r="D903">
        <f>EXP(-1*SQRT(Utilities!$B$5)/(IF($B$1="Linear",B903,C903)*Utilities!$B$11))</f>
        <v>1.220468401325674E-5</v>
      </c>
      <c r="E903">
        <f>EXP(-1*SQRT(Utilities!$B$5/20)/(IF($B$1="Linear",B903,C903)*Utilities!$B$11))</f>
        <v>7.9673506951548595E-2</v>
      </c>
    </row>
    <row r="904" spans="1:5" x14ac:dyDescent="0.3">
      <c r="A904">
        <v>899</v>
      </c>
      <c r="B904">
        <f>Utilities!$B$7+((Utilities!$B$9-Utilities!$B$7)*(A904/Utilities!$B$1))</f>
        <v>45.549950000000003</v>
      </c>
      <c r="C904">
        <f>Utilities!$B$9+((Utilities!$B$7-Utilities!$B$9)*EXP(-$B$2*A904))</f>
        <v>0.50000076911346436</v>
      </c>
      <c r="D904">
        <f>EXP(-1*SQRT(Utilities!$B$5)/(IF($B$1="Linear",B904,C904)*Utilities!$B$11))</f>
        <v>1.2204679722531685E-5</v>
      </c>
      <c r="E904">
        <f>EXP(-1*SQRT(Utilities!$B$5/20)/(IF($B$1="Linear",B904,C904)*Utilities!$B$11))</f>
        <v>7.9673500688249632E-2</v>
      </c>
    </row>
    <row r="905" spans="1:5" x14ac:dyDescent="0.3">
      <c r="A905">
        <v>900</v>
      </c>
      <c r="B905">
        <f>Utilities!$B$7+((Utilities!$B$9-Utilities!$B$7)*(A905/Utilities!$B$1))</f>
        <v>45.545000000000002</v>
      </c>
      <c r="C905">
        <f>Utilities!$B$9+((Utilities!$B$7-Utilities!$B$9)*EXP(-$B$2*A905))</f>
        <v>0.50000075388399734</v>
      </c>
      <c r="D905">
        <f>EXP(-1*SQRT(Utilities!$B$5)/(IF($B$1="Linear",B905,C905)*Utilities!$B$11))</f>
        <v>1.2204675516769858E-5</v>
      </c>
      <c r="E905">
        <f>EXP(-1*SQRT(Utilities!$B$5/20)/(IF($B$1="Linear",B905,C905)*Utilities!$B$11))</f>
        <v>7.9673494548972379E-2</v>
      </c>
    </row>
    <row r="906" spans="1:5" x14ac:dyDescent="0.3">
      <c r="A906">
        <v>901</v>
      </c>
      <c r="B906">
        <f>Utilities!$B$7+((Utilities!$B$9-Utilities!$B$7)*(A906/Utilities!$B$1))</f>
        <v>45.540050000000001</v>
      </c>
      <c r="C906">
        <f>Utilities!$B$9+((Utilities!$B$7-Utilities!$B$9)*EXP(-$B$2*A906))</f>
        <v>0.50000073895609409</v>
      </c>
      <c r="D906">
        <f>EXP(-1*SQRT(Utilities!$B$5)/(IF($B$1="Linear",B906,C906)*Utilities!$B$11))</f>
        <v>1.2204671394288901E-5</v>
      </c>
      <c r="E906">
        <f>EXP(-1*SQRT(Utilities!$B$5/20)/(IF($B$1="Linear",B906,C906)*Utilities!$B$11))</f>
        <v>7.9673488531261091E-2</v>
      </c>
    </row>
    <row r="907" spans="1:5" x14ac:dyDescent="0.3">
      <c r="A907">
        <v>902</v>
      </c>
      <c r="B907">
        <f>Utilities!$B$7+((Utilities!$B$9-Utilities!$B$7)*(A907/Utilities!$B$1))</f>
        <v>45.5351</v>
      </c>
      <c r="C907">
        <f>Utilities!$B$9+((Utilities!$B$7-Utilities!$B$9)*EXP(-$B$2*A907))</f>
        <v>0.50000072432378306</v>
      </c>
      <c r="D907">
        <f>EXP(-1*SQRT(Utilities!$B$5)/(IF($B$1="Linear",B907,C907)*Utilities!$B$11))</f>
        <v>1.2204667353439608E-5</v>
      </c>
      <c r="E907">
        <f>EXP(-1*SQRT(Utilities!$B$5/20)/(IF($B$1="Linear",B907,C907)*Utilities!$B$11))</f>
        <v>7.9673482632708542E-2</v>
      </c>
    </row>
    <row r="908" spans="1:5" x14ac:dyDescent="0.3">
      <c r="A908">
        <v>903</v>
      </c>
      <c r="B908">
        <f>Utilities!$B$7+((Utilities!$B$9-Utilities!$B$7)*(A908/Utilities!$B$1))</f>
        <v>45.530149999999999</v>
      </c>
      <c r="C908">
        <f>Utilities!$B$9+((Utilities!$B$7-Utilities!$B$9)*EXP(-$B$2*A908))</f>
        <v>0.50000070998121116</v>
      </c>
      <c r="D908">
        <f>EXP(-1*SQRT(Utilities!$B$5)/(IF($B$1="Linear",B908,C908)*Utilities!$B$11))</f>
        <v>1.2204663392605559E-5</v>
      </c>
      <c r="E908">
        <f>EXP(-1*SQRT(Utilities!$B$5/20)/(IF($B$1="Linear",B908,C908)*Utilities!$B$11))</f>
        <v>7.9673476850955216E-2</v>
      </c>
    </row>
    <row r="909" spans="1:5" x14ac:dyDescent="0.3">
      <c r="A909">
        <v>904</v>
      </c>
      <c r="B909">
        <f>Utilities!$B$7+((Utilities!$B$9-Utilities!$B$7)*(A909/Utilities!$B$1))</f>
        <v>45.525199999999998</v>
      </c>
      <c r="C909">
        <f>Utilities!$B$9+((Utilities!$B$7-Utilities!$B$9)*EXP(-$B$2*A909))</f>
        <v>0.50000069592264129</v>
      </c>
      <c r="D909">
        <f>EXP(-1*SQRT(Utilities!$B$5)/(IF($B$1="Linear",B909,C909)*Utilities!$B$11))</f>
        <v>1.2204659510202333E-5</v>
      </c>
      <c r="E909">
        <f>EXP(-1*SQRT(Utilities!$B$5/20)/(IF($B$1="Linear",B909,C909)*Utilities!$B$11))</f>
        <v>7.9673471183688407E-2</v>
      </c>
    </row>
    <row r="910" spans="1:5" x14ac:dyDescent="0.3">
      <c r="A910">
        <v>905</v>
      </c>
      <c r="B910">
        <f>Utilities!$B$7+((Utilities!$B$9-Utilities!$B$7)*(A910/Utilities!$B$1))</f>
        <v>45.520249999999997</v>
      </c>
      <c r="C910">
        <f>Utilities!$B$9+((Utilities!$B$7-Utilities!$B$9)*EXP(-$B$2*A910))</f>
        <v>0.50000068214244964</v>
      </c>
      <c r="D910">
        <f>EXP(-1*SQRT(Utilities!$B$5)/(IF($B$1="Linear",B910,C910)*Utilities!$B$11))</f>
        <v>1.2204655704676782E-5</v>
      </c>
      <c r="E910">
        <f>EXP(-1*SQRT(Utilities!$B$5/20)/(IF($B$1="Linear",B910,C910)*Utilities!$B$11))</f>
        <v>7.9673465628641055E-2</v>
      </c>
    </row>
    <row r="911" spans="1:5" x14ac:dyDescent="0.3">
      <c r="A911">
        <v>906</v>
      </c>
      <c r="B911">
        <f>Utilities!$B$7+((Utilities!$B$9-Utilities!$B$7)*(A911/Utilities!$B$1))</f>
        <v>45.515299999999996</v>
      </c>
      <c r="C911">
        <f>Utilities!$B$9+((Utilities!$B$7-Utilities!$B$9)*EXP(-$B$2*A911))</f>
        <v>0.50000066863512416</v>
      </c>
      <c r="D911">
        <f>EXP(-1*SQRT(Utilities!$B$5)/(IF($B$1="Linear",B911,C911)*Utilities!$B$11))</f>
        <v>1.2204651974506669E-5</v>
      </c>
      <c r="E911">
        <f>EXP(-1*SQRT(Utilities!$B$5/20)/(IF($B$1="Linear",B911,C911)*Utilities!$B$11))</f>
        <v>7.9673460183591088E-2</v>
      </c>
    </row>
    <row r="912" spans="1:5" x14ac:dyDescent="0.3">
      <c r="A912">
        <v>907</v>
      </c>
      <c r="B912">
        <f>Utilities!$B$7+((Utilities!$B$9-Utilities!$B$7)*(A912/Utilities!$B$1))</f>
        <v>45.510350000000003</v>
      </c>
      <c r="C912">
        <f>Utilities!$B$9+((Utilities!$B$7-Utilities!$B$9)*EXP(-$B$2*A912))</f>
        <v>0.50000065539526162</v>
      </c>
      <c r="D912">
        <f>EXP(-1*SQRT(Utilities!$B$5)/(IF($B$1="Linear",B912,C912)*Utilities!$B$11))</f>
        <v>1.2204648318199769E-5</v>
      </c>
      <c r="E912">
        <f>EXP(-1*SQRT(Utilities!$B$5/20)/(IF($B$1="Linear",B912,C912)*Utilities!$B$11))</f>
        <v>7.9673454846360445E-2</v>
      </c>
    </row>
    <row r="913" spans="1:5" x14ac:dyDescent="0.3">
      <c r="A913">
        <v>908</v>
      </c>
      <c r="B913">
        <f>Utilities!$B$7+((Utilities!$B$9-Utilities!$B$7)*(A913/Utilities!$B$1))</f>
        <v>45.505400000000002</v>
      </c>
      <c r="C913">
        <f>Utilities!$B$9+((Utilities!$B$7-Utilities!$B$9)*EXP(-$B$2*A913))</f>
        <v>0.50000064241756592</v>
      </c>
      <c r="D913">
        <f>EXP(-1*SQRT(Utilities!$B$5)/(IF($B$1="Linear",B913,C913)*Utilities!$B$11))</f>
        <v>1.2204644734293476E-5</v>
      </c>
      <c r="E913">
        <f>EXP(-1*SQRT(Utilities!$B$5/20)/(IF($B$1="Linear",B913,C913)*Utilities!$B$11))</f>
        <v>7.9673449614814068E-2</v>
      </c>
    </row>
    <row r="914" spans="1:5" x14ac:dyDescent="0.3">
      <c r="A914">
        <v>909</v>
      </c>
      <c r="B914">
        <f>Utilities!$B$7+((Utilities!$B$9-Utilities!$B$7)*(A914/Utilities!$B$1))</f>
        <v>45.500450000000001</v>
      </c>
      <c r="C914">
        <f>Utilities!$B$9+((Utilities!$B$7-Utilities!$B$9)*EXP(-$B$2*A914))</f>
        <v>0.50000062969684589</v>
      </c>
      <c r="D914">
        <f>EXP(-1*SQRT(Utilities!$B$5)/(IF($B$1="Linear",B914,C914)*Utilities!$B$11))</f>
        <v>1.2204641221354148E-5</v>
      </c>
      <c r="E914">
        <f>EXP(-1*SQRT(Utilities!$B$5/20)/(IF($B$1="Linear",B914,C914)*Utilities!$B$11))</f>
        <v>7.9673444486859382E-2</v>
      </c>
    </row>
    <row r="915" spans="1:5" x14ac:dyDescent="0.3">
      <c r="A915">
        <v>910</v>
      </c>
      <c r="B915">
        <f>Utilities!$B$7+((Utilities!$B$9-Utilities!$B$7)*(A915/Utilities!$B$1))</f>
        <v>45.4955</v>
      </c>
      <c r="C915">
        <f>Utilities!$B$9+((Utilities!$B$7-Utilities!$B$9)*EXP(-$B$2*A915))</f>
        <v>0.50000061722801292</v>
      </c>
      <c r="D915">
        <f>EXP(-1*SQRT(Utilities!$B$5)/(IF($B$1="Linear",B915,C915)*Utilities!$B$11))</f>
        <v>1.2204637777976461E-5</v>
      </c>
      <c r="E915">
        <f>EXP(-1*SQRT(Utilities!$B$5/20)/(IF($B$1="Linear",B915,C915)*Utilities!$B$11))</f>
        <v>7.9673439460445042E-2</v>
      </c>
    </row>
    <row r="916" spans="1:5" x14ac:dyDescent="0.3">
      <c r="A916">
        <v>911</v>
      </c>
      <c r="B916">
        <f>Utilities!$B$7+((Utilities!$B$9-Utilities!$B$7)*(A916/Utilities!$B$1))</f>
        <v>45.490549999999999</v>
      </c>
      <c r="C916">
        <f>Utilities!$B$9+((Utilities!$B$7-Utilities!$B$9)*EXP(-$B$2*A916))</f>
        <v>0.50000060500607935</v>
      </c>
      <c r="D916">
        <f>EXP(-1*SQRT(Utilities!$B$5)/(IF($B$1="Linear",B916,C916)*Utilities!$B$11))</f>
        <v>1.2204634402782999E-5</v>
      </c>
      <c r="E916">
        <f>EXP(-1*SQRT(Utilities!$B$5/20)/(IF($B$1="Linear",B916,C916)*Utilities!$B$11))</f>
        <v>7.9673434533560392E-2</v>
      </c>
    </row>
    <row r="917" spans="1:5" x14ac:dyDescent="0.3">
      <c r="A917">
        <v>912</v>
      </c>
      <c r="B917">
        <f>Utilities!$B$7+((Utilities!$B$9-Utilities!$B$7)*(A917/Utilities!$B$1))</f>
        <v>45.485599999999998</v>
      </c>
      <c r="C917">
        <f>Utilities!$B$9+((Utilities!$B$7-Utilities!$B$9)*EXP(-$B$2*A917))</f>
        <v>0.50000059302615629</v>
      </c>
      <c r="D917">
        <f>EXP(-1*SQRT(Utilities!$B$5)/(IF($B$1="Linear",B917,C917)*Utilities!$B$11))</f>
        <v>1.2204631094423594E-5</v>
      </c>
      <c r="E917">
        <f>EXP(-1*SQRT(Utilities!$B$5/20)/(IF($B$1="Linear",B917,C917)*Utilities!$B$11))</f>
        <v>7.9673429704234702E-2</v>
      </c>
    </row>
    <row r="918" spans="1:5" x14ac:dyDescent="0.3">
      <c r="A918">
        <v>913</v>
      </c>
      <c r="B918">
        <f>Utilities!$B$7+((Utilities!$B$9-Utilities!$B$7)*(A918/Utilities!$B$1))</f>
        <v>45.480649999999997</v>
      </c>
      <c r="C918">
        <f>Utilities!$B$9+((Utilities!$B$7-Utilities!$B$9)*EXP(-$B$2*A918))</f>
        <v>0.50000058128345171</v>
      </c>
      <c r="D918">
        <f>EXP(-1*SQRT(Utilities!$B$5)/(IF($B$1="Linear",B918,C918)*Utilities!$B$11))</f>
        <v>1.2204627851574815E-5</v>
      </c>
      <c r="E918">
        <f>EXP(-1*SQRT(Utilities!$B$5/20)/(IF($B$1="Linear",B918,C918)*Utilities!$B$11))</f>
        <v>7.9673424970536158E-2</v>
      </c>
    </row>
    <row r="919" spans="1:5" x14ac:dyDescent="0.3">
      <c r="A919">
        <v>914</v>
      </c>
      <c r="B919">
        <f>Utilities!$B$7+((Utilities!$B$9-Utilities!$B$7)*(A919/Utilities!$B$1))</f>
        <v>45.475700000000003</v>
      </c>
      <c r="C919">
        <f>Utilities!$B$9+((Utilities!$B$7-Utilities!$B$9)*EXP(-$B$2*A919))</f>
        <v>0.50000056977326812</v>
      </c>
      <c r="D919">
        <f>EXP(-1*SQRT(Utilities!$B$5)/(IF($B$1="Linear",B919,C919)*Utilities!$B$11))</f>
        <v>1.2204624672939424E-5</v>
      </c>
      <c r="E919">
        <f>EXP(-1*SQRT(Utilities!$B$5/20)/(IF($B$1="Linear",B919,C919)*Utilities!$B$11))</f>
        <v>7.9673420330571121E-2</v>
      </c>
    </row>
    <row r="920" spans="1:5" x14ac:dyDescent="0.3">
      <c r="A920">
        <v>915</v>
      </c>
      <c r="B920">
        <f>Utilities!$B$7+((Utilities!$B$9-Utilities!$B$7)*(A920/Utilities!$B$1))</f>
        <v>45.470750000000002</v>
      </c>
      <c r="C920">
        <f>Utilities!$B$9+((Utilities!$B$7-Utilities!$B$9)*EXP(-$B$2*A920))</f>
        <v>0.50000055849100156</v>
      </c>
      <c r="D920">
        <f>EXP(-1*SQRT(Utilities!$B$5)/(IF($B$1="Linear",B920,C920)*Utilities!$B$11))</f>
        <v>1.2204621557245918E-5</v>
      </c>
      <c r="E920">
        <f>EXP(-1*SQRT(Utilities!$B$5/20)/(IF($B$1="Linear",B920,C920)*Utilities!$B$11))</f>
        <v>7.9673415782483659E-2</v>
      </c>
    </row>
    <row r="921" spans="1:5" x14ac:dyDescent="0.3">
      <c r="A921">
        <v>916</v>
      </c>
      <c r="B921">
        <f>Utilities!$B$7+((Utilities!$B$9-Utilities!$B$7)*(A921/Utilities!$B$1))</f>
        <v>45.465800000000002</v>
      </c>
      <c r="C921">
        <f>Utilities!$B$9+((Utilities!$B$7-Utilities!$B$9)*EXP(-$B$2*A921))</f>
        <v>0.50000054743213873</v>
      </c>
      <c r="D921">
        <f>EXP(-1*SQRT(Utilities!$B$5)/(IF($B$1="Linear",B921,C921)*Utilities!$B$11))</f>
        <v>1.2204618503247877E-5</v>
      </c>
      <c r="E921">
        <f>EXP(-1*SQRT(Utilities!$B$5/20)/(IF($B$1="Linear",B921,C921)*Utilities!$B$11))</f>
        <v>7.967341132445438E-2</v>
      </c>
    </row>
    <row r="922" spans="1:5" x14ac:dyDescent="0.3">
      <c r="A922">
        <v>917</v>
      </c>
      <c r="B922">
        <f>Utilities!$B$7+((Utilities!$B$9-Utilities!$B$7)*(A922/Utilities!$B$1))</f>
        <v>45.460850000000001</v>
      </c>
      <c r="C922">
        <f>Utilities!$B$9+((Utilities!$B$7-Utilities!$B$9)*EXP(-$B$2*A922))</f>
        <v>0.50000053659225618</v>
      </c>
      <c r="D922">
        <f>EXP(-1*SQRT(Utilities!$B$5)/(IF($B$1="Linear",B922,C922)*Utilities!$B$11))</f>
        <v>1.220461550972369E-5</v>
      </c>
      <c r="E922">
        <f>EXP(-1*SQRT(Utilities!$B$5/20)/(IF($B$1="Linear",B922,C922)*Utilities!$B$11))</f>
        <v>7.9673406954700085E-2</v>
      </c>
    </row>
    <row r="923" spans="1:5" x14ac:dyDescent="0.3">
      <c r="A923">
        <v>918</v>
      </c>
      <c r="B923">
        <f>Utilities!$B$7+((Utilities!$B$9-Utilities!$B$7)*(A923/Utilities!$B$1))</f>
        <v>45.4559</v>
      </c>
      <c r="C923">
        <f>Utilities!$B$9+((Utilities!$B$7-Utilities!$B$9)*EXP(-$B$2*A923))</f>
        <v>0.50000052596701761</v>
      </c>
      <c r="D923">
        <f>EXP(-1*SQRT(Utilities!$B$5)/(IF($B$1="Linear",B923,C923)*Utilities!$B$11))</f>
        <v>1.220461257547583E-5</v>
      </c>
      <c r="E923">
        <f>EXP(-1*SQRT(Utilities!$B$5/20)/(IF($B$1="Linear",B923,C923)*Utilities!$B$11))</f>
        <v>7.9673402671472701E-2</v>
      </c>
    </row>
    <row r="924" spans="1:5" x14ac:dyDescent="0.3">
      <c r="A924">
        <v>919</v>
      </c>
      <c r="B924">
        <f>Utilities!$B$7+((Utilities!$B$9-Utilities!$B$7)*(A924/Utilities!$B$1))</f>
        <v>45.450949999999999</v>
      </c>
      <c r="C924">
        <f>Utilities!$B$9+((Utilities!$B$7-Utilities!$B$9)*EXP(-$B$2*A924))</f>
        <v>0.50000051555217284</v>
      </c>
      <c r="D924">
        <f>EXP(-1*SQRT(Utilities!$B$5)/(IF($B$1="Linear",B924,C924)*Utilities!$B$11))</f>
        <v>1.2204609699330515E-5</v>
      </c>
      <c r="E924">
        <f>EXP(-1*SQRT(Utilities!$B$5/20)/(IF($B$1="Linear",B924,C924)*Utilities!$B$11))</f>
        <v>7.9673398473058987E-2</v>
      </c>
    </row>
    <row r="925" spans="1:5" x14ac:dyDescent="0.3">
      <c r="A925">
        <v>920</v>
      </c>
      <c r="B925">
        <f>Utilities!$B$7+((Utilities!$B$9-Utilities!$B$7)*(A925/Utilities!$B$1))</f>
        <v>45.445999999999998</v>
      </c>
      <c r="C925">
        <f>Utilities!$B$9+((Utilities!$B$7-Utilities!$B$9)*EXP(-$B$2*A925))</f>
        <v>0.50000050534355578</v>
      </c>
      <c r="D925">
        <f>EXP(-1*SQRT(Utilities!$B$5)/(IF($B$1="Linear",B925,C925)*Utilities!$B$11))</f>
        <v>1.2204606880137222E-5</v>
      </c>
      <c r="E925">
        <f>EXP(-1*SQRT(Utilities!$B$5/20)/(IF($B$1="Linear",B925,C925)*Utilities!$B$11))</f>
        <v>7.9673394357779467E-2</v>
      </c>
    </row>
    <row r="926" spans="1:5" x14ac:dyDescent="0.3">
      <c r="A926">
        <v>921</v>
      </c>
      <c r="B926">
        <f>Utilities!$B$7+((Utilities!$B$9-Utilities!$B$7)*(A926/Utilities!$B$1))</f>
        <v>45.441049999999997</v>
      </c>
      <c r="C926">
        <f>Utilities!$B$9+((Utilities!$B$7-Utilities!$B$9)*EXP(-$B$2*A926))</f>
        <v>0.50000049533708302</v>
      </c>
      <c r="D926">
        <f>EXP(-1*SQRT(Utilities!$B$5)/(IF($B$1="Linear",B926,C926)*Utilities!$B$11))</f>
        <v>1.2204604116768265E-5</v>
      </c>
      <c r="E926">
        <f>EXP(-1*SQRT(Utilities!$B$5/20)/(IF($B$1="Linear",B926,C926)*Utilities!$B$11))</f>
        <v>7.9673390323988028E-2</v>
      </c>
    </row>
    <row r="927" spans="1:5" x14ac:dyDescent="0.3">
      <c r="A927">
        <v>922</v>
      </c>
      <c r="B927">
        <f>Utilities!$B$7+((Utilities!$B$9-Utilities!$B$7)*(A927/Utilities!$B$1))</f>
        <v>45.436099999999996</v>
      </c>
      <c r="C927">
        <f>Utilities!$B$9+((Utilities!$B$7-Utilities!$B$9)*EXP(-$B$2*A927))</f>
        <v>0.50000048552875154</v>
      </c>
      <c r="D927">
        <f>EXP(-1*SQRT(Utilities!$B$5)/(IF($B$1="Linear",B927,C927)*Utilities!$B$11))</f>
        <v>1.2204601408118136E-5</v>
      </c>
      <c r="E927">
        <f>EXP(-1*SQRT(Utilities!$B$5/20)/(IF($B$1="Linear",B927,C927)*Utilities!$B$11))</f>
        <v>7.9673386370070973E-2</v>
      </c>
    </row>
    <row r="928" spans="1:5" x14ac:dyDescent="0.3">
      <c r="A928">
        <v>923</v>
      </c>
      <c r="B928">
        <f>Utilities!$B$7+((Utilities!$B$9-Utilities!$B$7)*(A928/Utilities!$B$1))</f>
        <v>45.431150000000002</v>
      </c>
      <c r="C928">
        <f>Utilities!$B$9+((Utilities!$B$7-Utilities!$B$9)*EXP(-$B$2*A928))</f>
        <v>0.50000047591463814</v>
      </c>
      <c r="D928">
        <f>EXP(-1*SQRT(Utilities!$B$5)/(IF($B$1="Linear",B928,C928)*Utilities!$B$11))</f>
        <v>1.2204598753103393E-5</v>
      </c>
      <c r="E928">
        <f>EXP(-1*SQRT(Utilities!$B$5/20)/(IF($B$1="Linear",B928,C928)*Utilities!$B$11))</f>
        <v>7.9673382494446818E-2</v>
      </c>
    </row>
    <row r="929" spans="1:5" x14ac:dyDescent="0.3">
      <c r="A929">
        <v>924</v>
      </c>
      <c r="B929">
        <f>Utilities!$B$7+((Utilities!$B$9-Utilities!$B$7)*(A929/Utilities!$B$1))</f>
        <v>45.426200000000001</v>
      </c>
      <c r="C929">
        <f>Utilities!$B$9+((Utilities!$B$7-Utilities!$B$9)*EXP(-$B$2*A929))</f>
        <v>0.50000046649089691</v>
      </c>
      <c r="D929">
        <f>EXP(-1*SQRT(Utilities!$B$5)/(IF($B$1="Linear",B929,C929)*Utilities!$B$11))</f>
        <v>1.2204596150661895E-5</v>
      </c>
      <c r="E929">
        <f>EXP(-1*SQRT(Utilities!$B$5/20)/(IF($B$1="Linear",B929,C929)*Utilities!$B$11))</f>
        <v>7.9673378695565206E-2</v>
      </c>
    </row>
    <row r="930" spans="1:5" x14ac:dyDescent="0.3">
      <c r="A930">
        <v>925</v>
      </c>
      <c r="B930">
        <f>Utilities!$B$7+((Utilities!$B$9-Utilities!$B$7)*(A930/Utilities!$B$1))</f>
        <v>45.421250000000001</v>
      </c>
      <c r="C930">
        <f>Utilities!$B$9+((Utilities!$B$7-Utilities!$B$9)*EXP(-$B$2*A930))</f>
        <v>0.5000004572537583</v>
      </c>
      <c r="D930">
        <f>EXP(-1*SQRT(Utilities!$B$5)/(IF($B$1="Linear",B930,C930)*Utilities!$B$11))</f>
        <v>1.2204593599752675E-5</v>
      </c>
      <c r="E930">
        <f>EXP(-1*SQRT(Utilities!$B$5/20)/(IF($B$1="Linear",B930,C930)*Utilities!$B$11))</f>
        <v>7.9673374971906533E-2</v>
      </c>
    </row>
    <row r="931" spans="1:5" x14ac:dyDescent="0.3">
      <c r="A931">
        <v>926</v>
      </c>
      <c r="B931">
        <f>Utilities!$B$7+((Utilities!$B$9-Utilities!$B$7)*(A931/Utilities!$B$1))</f>
        <v>45.4163</v>
      </c>
      <c r="C931">
        <f>Utilities!$B$9+((Utilities!$B$7-Utilities!$B$9)*EXP(-$B$2*A931))</f>
        <v>0.50000044819952727</v>
      </c>
      <c r="D931">
        <f>EXP(-1*SQRT(Utilities!$B$5)/(IF($B$1="Linear",B931,C931)*Utilities!$B$11))</f>
        <v>1.2204591099355239E-5</v>
      </c>
      <c r="E931">
        <f>EXP(-1*SQRT(Utilities!$B$5/20)/(IF($B$1="Linear",B931,C931)*Utilities!$B$11))</f>
        <v>7.9673371321981254E-2</v>
      </c>
    </row>
    <row r="932" spans="1:5" x14ac:dyDescent="0.3">
      <c r="A932">
        <v>927</v>
      </c>
      <c r="B932">
        <f>Utilities!$B$7+((Utilities!$B$9-Utilities!$B$7)*(A932/Utilities!$B$1))</f>
        <v>45.411349999999999</v>
      </c>
      <c r="C932">
        <f>Utilities!$B$9+((Utilities!$B$7-Utilities!$B$9)*EXP(-$B$2*A932))</f>
        <v>0.50000043932458194</v>
      </c>
      <c r="D932">
        <f>EXP(-1*SQRT(Utilities!$B$5)/(IF($B$1="Linear",B932,C932)*Utilities!$B$11))</f>
        <v>1.2204588648469384E-5</v>
      </c>
      <c r="E932">
        <f>EXP(-1*SQRT(Utilities!$B$5/20)/(IF($B$1="Linear",B932,C932)*Utilities!$B$11))</f>
        <v>7.9673367744329357E-2</v>
      </c>
    </row>
    <row r="933" spans="1:5" x14ac:dyDescent="0.3">
      <c r="A933">
        <v>928</v>
      </c>
      <c r="B933">
        <f>Utilities!$B$7+((Utilities!$B$9-Utilities!$B$7)*(A933/Utilities!$B$1))</f>
        <v>45.406399999999998</v>
      </c>
      <c r="C933">
        <f>Utilities!$B$9+((Utilities!$B$7-Utilities!$B$9)*EXP(-$B$2*A933))</f>
        <v>0.50000043062537236</v>
      </c>
      <c r="D933">
        <f>EXP(-1*SQRT(Utilities!$B$5)/(IF($B$1="Linear",B933,C933)*Utilities!$B$11))</f>
        <v>1.2204586246114723E-5</v>
      </c>
      <c r="E933">
        <f>EXP(-1*SQRT(Utilities!$B$5/20)/(IF($B$1="Linear",B933,C933)*Utilities!$B$11))</f>
        <v>7.9673364237519737E-2</v>
      </c>
    </row>
    <row r="934" spans="1:5" x14ac:dyDescent="0.3">
      <c r="A934">
        <v>929</v>
      </c>
      <c r="B934">
        <f>Utilities!$B$7+((Utilities!$B$9-Utilities!$B$7)*(A934/Utilities!$B$1))</f>
        <v>45.401449999999997</v>
      </c>
      <c r="C934">
        <f>Utilities!$B$9+((Utilities!$B$7-Utilities!$B$9)*EXP(-$B$2*A934))</f>
        <v>0.50000042209841866</v>
      </c>
      <c r="D934">
        <f>EXP(-1*SQRT(Utilities!$B$5)/(IF($B$1="Linear",B934,C934)*Utilities!$B$11))</f>
        <v>1.2204583891330253E-5</v>
      </c>
      <c r="E934">
        <f>EXP(-1*SQRT(Utilities!$B$5/20)/(IF($B$1="Linear",B934,C934)*Utilities!$B$11))</f>
        <v>7.9673360800149653E-2</v>
      </c>
    </row>
    <row r="935" spans="1:5" x14ac:dyDescent="0.3">
      <c r="A935">
        <v>930</v>
      </c>
      <c r="B935">
        <f>Utilities!$B$7+((Utilities!$B$9-Utilities!$B$7)*(A935/Utilities!$B$1))</f>
        <v>45.396500000000003</v>
      </c>
      <c r="C935">
        <f>Utilities!$B$9+((Utilities!$B$7-Utilities!$B$9)*EXP(-$B$2*A935))</f>
        <v>0.50000041374031001</v>
      </c>
      <c r="D935">
        <f>EXP(-1*SQRT(Utilities!$B$5)/(IF($B$1="Linear",B935,C935)*Utilities!$B$11))</f>
        <v>1.220458158317401E-5</v>
      </c>
      <c r="E935">
        <f>EXP(-1*SQRT(Utilities!$B$5/20)/(IF($B$1="Linear",B935,C935)*Utilities!$B$11))</f>
        <v>7.9673357430844111E-2</v>
      </c>
    </row>
    <row r="936" spans="1:5" x14ac:dyDescent="0.3">
      <c r="A936">
        <v>931</v>
      </c>
      <c r="B936">
        <f>Utilities!$B$7+((Utilities!$B$9-Utilities!$B$7)*(A936/Utilities!$B$1))</f>
        <v>45.391550000000002</v>
      </c>
      <c r="C936">
        <f>Utilities!$B$9+((Utilities!$B$7-Utilities!$B$9)*EXP(-$B$2*A936))</f>
        <v>0.50000040554770298</v>
      </c>
      <c r="D936">
        <f>EXP(-1*SQRT(Utilities!$B$5)/(IF($B$1="Linear",B936,C936)*Utilities!$B$11))</f>
        <v>1.220457932072267E-5</v>
      </c>
      <c r="E936">
        <f>EXP(-1*SQRT(Utilities!$B$5/20)/(IF($B$1="Linear",B936,C936)*Utilities!$B$11))</f>
        <v>7.9673354128255297E-2</v>
      </c>
    </row>
    <row r="937" spans="1:5" x14ac:dyDescent="0.3">
      <c r="A937">
        <v>932</v>
      </c>
      <c r="B937">
        <f>Utilities!$B$7+((Utilities!$B$9-Utilities!$B$7)*(A937/Utilities!$B$1))</f>
        <v>45.386600000000001</v>
      </c>
      <c r="C937">
        <f>Utilities!$B$9+((Utilities!$B$7-Utilities!$B$9)*EXP(-$B$2*A937))</f>
        <v>0.50000039751732039</v>
      </c>
      <c r="D937">
        <f>EXP(-1*SQRT(Utilities!$B$5)/(IF($B$1="Linear",B937,C937)*Utilities!$B$11))</f>
        <v>1.2204577103071193E-5</v>
      </c>
      <c r="E937">
        <f>EXP(-1*SQRT(Utilities!$B$5/20)/(IF($B$1="Linear",B937,C937)*Utilities!$B$11))</f>
        <v>7.9673350891062145E-2</v>
      </c>
    </row>
    <row r="938" spans="1:5" x14ac:dyDescent="0.3">
      <c r="A938">
        <v>933</v>
      </c>
      <c r="B938">
        <f>Utilities!$B$7+((Utilities!$B$9-Utilities!$B$7)*(A938/Utilities!$B$1))</f>
        <v>45.38165</v>
      </c>
      <c r="C938">
        <f>Utilities!$B$9+((Utilities!$B$7-Utilities!$B$9)*EXP(-$B$2*A938))</f>
        <v>0.50000038964595006</v>
      </c>
      <c r="D938">
        <f>EXP(-1*SQRT(Utilities!$B$5)/(IF($B$1="Linear",B938,C938)*Utilities!$B$11))</f>
        <v>1.2204574929332482E-5</v>
      </c>
      <c r="E938">
        <f>EXP(-1*SQRT(Utilities!$B$5/20)/(IF($B$1="Linear",B938,C938)*Utilities!$B$11))</f>
        <v>7.9673347717969772E-2</v>
      </c>
    </row>
    <row r="939" spans="1:5" x14ac:dyDescent="0.3">
      <c r="A939">
        <v>934</v>
      </c>
      <c r="B939">
        <f>Utilities!$B$7+((Utilities!$B$9-Utilities!$B$7)*(A939/Utilities!$B$1))</f>
        <v>45.3767</v>
      </c>
      <c r="C939">
        <f>Utilities!$B$9+((Utilities!$B$7-Utilities!$B$9)*EXP(-$B$2*A939))</f>
        <v>0.50000038193044338</v>
      </c>
      <c r="D939">
        <f>EXP(-1*SQRT(Utilities!$B$5)/(IF($B$1="Linear",B939,C939)*Utilities!$B$11))</f>
        <v>1.220457279863701E-5</v>
      </c>
      <c r="E939">
        <f>EXP(-1*SQRT(Utilities!$B$5/20)/(IF($B$1="Linear",B939,C939)*Utilities!$B$11))</f>
        <v>7.9673344607708863E-2</v>
      </c>
    </row>
    <row r="940" spans="1:5" x14ac:dyDescent="0.3">
      <c r="A940">
        <v>935</v>
      </c>
      <c r="B940">
        <f>Utilities!$B$7+((Utilities!$B$9-Utilities!$B$7)*(A940/Utilities!$B$1))</f>
        <v>45.371749999999999</v>
      </c>
      <c r="C940">
        <f>Utilities!$B$9+((Utilities!$B$7-Utilities!$B$9)*EXP(-$B$2*A940))</f>
        <v>0.50000037436771383</v>
      </c>
      <c r="D940">
        <f>EXP(-1*SQRT(Utilities!$B$5)/(IF($B$1="Linear",B940,C940)*Utilities!$B$11))</f>
        <v>1.2204570710132395E-5</v>
      </c>
      <c r="E940">
        <f>EXP(-1*SQRT(Utilities!$B$5/20)/(IF($B$1="Linear",B940,C940)*Utilities!$B$11))</f>
        <v>7.9673341559035202E-2</v>
      </c>
    </row>
    <row r="941" spans="1:5" x14ac:dyDescent="0.3">
      <c r="A941">
        <v>936</v>
      </c>
      <c r="B941">
        <f>Utilities!$B$7+((Utilities!$B$9-Utilities!$B$7)*(A941/Utilities!$B$1))</f>
        <v>45.366799999999998</v>
      </c>
      <c r="C941">
        <f>Utilities!$B$9+((Utilities!$B$7-Utilities!$B$9)*EXP(-$B$2*A941))</f>
        <v>0.50000036695473649</v>
      </c>
      <c r="D941">
        <f>EXP(-1*SQRT(Utilities!$B$5)/(IF($B$1="Linear",B941,C941)*Utilities!$B$11))</f>
        <v>1.2204568662983277E-5</v>
      </c>
      <c r="E941">
        <f>EXP(-1*SQRT(Utilities!$B$5/20)/(IF($B$1="Linear",B941,C941)*Utilities!$B$11))</f>
        <v>7.9673338570729418E-2</v>
      </c>
    </row>
    <row r="942" spans="1:5" x14ac:dyDescent="0.3">
      <c r="A942">
        <v>937</v>
      </c>
      <c r="B942">
        <f>Utilities!$B$7+((Utilities!$B$9-Utilities!$B$7)*(A942/Utilities!$B$1))</f>
        <v>45.361849999999997</v>
      </c>
      <c r="C942">
        <f>Utilities!$B$9+((Utilities!$B$7-Utilities!$B$9)*EXP(-$B$2*A942))</f>
        <v>0.50000035968854584</v>
      </c>
      <c r="D942">
        <f>EXP(-1*SQRT(Utilities!$B$5)/(IF($B$1="Linear",B942,C942)*Utilities!$B$11))</f>
        <v>1.2204566656370664E-5</v>
      </c>
      <c r="E942">
        <f>EXP(-1*SQRT(Utilities!$B$5/20)/(IF($B$1="Linear",B942,C942)*Utilities!$B$11))</f>
        <v>7.9673335641596038E-2</v>
      </c>
    </row>
    <row r="943" spans="1:5" x14ac:dyDescent="0.3">
      <c r="A943">
        <v>938</v>
      </c>
      <c r="B943">
        <f>Utilities!$B$7+((Utilities!$B$9-Utilities!$B$7)*(A943/Utilities!$B$1))</f>
        <v>45.356900000000003</v>
      </c>
      <c r="C943">
        <f>Utilities!$B$9+((Utilities!$B$7-Utilities!$B$9)*EXP(-$B$2*A943))</f>
        <v>0.50000035256623543</v>
      </c>
      <c r="D943">
        <f>EXP(-1*SQRT(Utilities!$B$5)/(IF($B$1="Linear",B943,C943)*Utilities!$B$11))</f>
        <v>1.220456468949191E-5</v>
      </c>
      <c r="E943">
        <f>EXP(-1*SQRT(Utilities!$B$5/20)/(IF($B$1="Linear",B943,C943)*Utilities!$B$11))</f>
        <v>7.9673332770463429E-2</v>
      </c>
    </row>
    <row r="944" spans="1:5" x14ac:dyDescent="0.3">
      <c r="A944">
        <v>939</v>
      </c>
      <c r="B944">
        <f>Utilities!$B$7+((Utilities!$B$9-Utilities!$B$7)*(A944/Utilities!$B$1))</f>
        <v>45.351950000000002</v>
      </c>
      <c r="C944">
        <f>Utilities!$B$9+((Utilities!$B$7-Utilities!$B$9)*EXP(-$B$2*A944))</f>
        <v>0.50000034558495621</v>
      </c>
      <c r="D944">
        <f>EXP(-1*SQRT(Utilities!$B$5)/(IF($B$1="Linear",B944,C944)*Utilities!$B$11))</f>
        <v>1.2204562761560222E-5</v>
      </c>
      <c r="E944">
        <f>EXP(-1*SQRT(Utilities!$B$5/20)/(IF($B$1="Linear",B944,C944)*Utilities!$B$11))</f>
        <v>7.9673329956183037E-2</v>
      </c>
    </row>
    <row r="945" spans="1:5" x14ac:dyDescent="0.3">
      <c r="A945">
        <v>940</v>
      </c>
      <c r="B945">
        <f>Utilities!$B$7+((Utilities!$B$9-Utilities!$B$7)*(A945/Utilities!$B$1))</f>
        <v>45.347000000000001</v>
      </c>
      <c r="C945">
        <f>Utilities!$B$9+((Utilities!$B$7-Utilities!$B$9)*EXP(-$B$2*A945))</f>
        <v>0.50000033874191563</v>
      </c>
      <c r="D945">
        <f>EXP(-1*SQRT(Utilities!$B$5)/(IF($B$1="Linear",B945,C945)*Utilities!$B$11))</f>
        <v>1.2204560871804393E-5</v>
      </c>
      <c r="E945">
        <f>EXP(-1*SQRT(Utilities!$B$5/20)/(IF($B$1="Linear",B945,C945)*Utilities!$B$11))</f>
        <v>7.9673327197629221E-2</v>
      </c>
    </row>
    <row r="946" spans="1:5" x14ac:dyDescent="0.3">
      <c r="A946">
        <v>941</v>
      </c>
      <c r="B946">
        <f>Utilities!$B$7+((Utilities!$B$9-Utilities!$B$7)*(A946/Utilities!$B$1))</f>
        <v>45.34205</v>
      </c>
      <c r="C946">
        <f>Utilities!$B$9+((Utilities!$B$7-Utilities!$B$9)*EXP(-$B$2*A946))</f>
        <v>0.50000033203437622</v>
      </c>
      <c r="D946">
        <f>EXP(-1*SQRT(Utilities!$B$5)/(IF($B$1="Linear",B946,C946)*Utilities!$B$11))</f>
        <v>1.2204559019468454E-5</v>
      </c>
      <c r="E946">
        <f>EXP(-1*SQRT(Utilities!$B$5/20)/(IF($B$1="Linear",B946,C946)*Utilities!$B$11))</f>
        <v>7.967332449369835E-2</v>
      </c>
    </row>
    <row r="947" spans="1:5" x14ac:dyDescent="0.3">
      <c r="A947">
        <v>942</v>
      </c>
      <c r="B947">
        <f>Utilities!$B$7+((Utilities!$B$9-Utilities!$B$7)*(A947/Utilities!$B$1))</f>
        <v>45.3371</v>
      </c>
      <c r="C947">
        <f>Utilities!$B$9+((Utilities!$B$7-Utilities!$B$9)*EXP(-$B$2*A947))</f>
        <v>0.50000032545965511</v>
      </c>
      <c r="D947">
        <f>EXP(-1*SQRT(Utilities!$B$5)/(IF($B$1="Linear",B947,C947)*Utilities!$B$11))</f>
        <v>1.2204557203811466E-5</v>
      </c>
      <c r="E947">
        <f>EXP(-1*SQRT(Utilities!$B$5/20)/(IF($B$1="Linear",B947,C947)*Utilities!$B$11))</f>
        <v>7.9673321843309025E-2</v>
      </c>
    </row>
    <row r="948" spans="1:5" x14ac:dyDescent="0.3">
      <c r="A948">
        <v>943</v>
      </c>
      <c r="B948">
        <f>Utilities!$B$7+((Utilities!$B$9-Utilities!$B$7)*(A948/Utilities!$B$1))</f>
        <v>45.332149999999999</v>
      </c>
      <c r="C948">
        <f>Utilities!$B$9+((Utilities!$B$7-Utilities!$B$9)*EXP(-$B$2*A948))</f>
        <v>0.5000003190151221</v>
      </c>
      <c r="D948">
        <f>EXP(-1*SQRT(Utilities!$B$5)/(IF($B$1="Linear",B948,C948)*Utilities!$B$11))</f>
        <v>1.2204555424107081E-5</v>
      </c>
      <c r="E948">
        <f>EXP(-1*SQRT(Utilities!$B$5/20)/(IF($B$1="Linear",B948,C948)*Utilities!$B$11))</f>
        <v>7.9673319245400873E-2</v>
      </c>
    </row>
    <row r="949" spans="1:5" x14ac:dyDescent="0.3">
      <c r="A949">
        <v>944</v>
      </c>
      <c r="B949">
        <f>Utilities!$B$7+((Utilities!$B$9-Utilities!$B$7)*(A949/Utilities!$B$1))</f>
        <v>45.327199999999998</v>
      </c>
      <c r="C949">
        <f>Utilities!$B$9+((Utilities!$B$7-Utilities!$B$9)*EXP(-$B$2*A949))</f>
        <v>0.50000031269819945</v>
      </c>
      <c r="D949">
        <f>EXP(-1*SQRT(Utilities!$B$5)/(IF($B$1="Linear",B949,C949)*Utilities!$B$11))</f>
        <v>1.2204553679643431E-5</v>
      </c>
      <c r="E949">
        <f>EXP(-1*SQRT(Utilities!$B$5/20)/(IF($B$1="Linear",B949,C949)*Utilities!$B$11))</f>
        <v>7.9673316698934779E-2</v>
      </c>
    </row>
    <row r="950" spans="1:5" x14ac:dyDescent="0.3">
      <c r="A950">
        <v>945</v>
      </c>
      <c r="B950">
        <f>Utilities!$B$7+((Utilities!$B$9-Utilities!$B$7)*(A950/Utilities!$B$1))</f>
        <v>45.322249999999997</v>
      </c>
      <c r="C950">
        <f>Utilities!$B$9+((Utilities!$B$7-Utilities!$B$9)*EXP(-$B$2*A950))</f>
        <v>0.50000030650636029</v>
      </c>
      <c r="D950">
        <f>EXP(-1*SQRT(Utilities!$B$5)/(IF($B$1="Linear",B950,C950)*Utilities!$B$11))</f>
        <v>1.2204551969722698E-5</v>
      </c>
      <c r="E950">
        <f>EXP(-1*SQRT(Utilities!$B$5/20)/(IF($B$1="Linear",B950,C950)*Utilities!$B$11))</f>
        <v>7.9673314202892129E-2</v>
      </c>
    </row>
    <row r="951" spans="1:5" x14ac:dyDescent="0.3">
      <c r="A951">
        <v>946</v>
      </c>
      <c r="B951">
        <f>Utilities!$B$7+((Utilities!$B$9-Utilities!$B$7)*(A951/Utilities!$B$1))</f>
        <v>45.317300000000003</v>
      </c>
      <c r="C951">
        <f>Utilities!$B$9+((Utilities!$B$7-Utilities!$B$9)*EXP(-$B$2*A951))</f>
        <v>0.50000030043712773</v>
      </c>
      <c r="D951">
        <f>EXP(-1*SQRT(Utilities!$B$5)/(IF($B$1="Linear",B951,C951)*Utilities!$B$11))</f>
        <v>1.2204550293660832E-5</v>
      </c>
      <c r="E951">
        <f>EXP(-1*SQRT(Utilities!$B$5/20)/(IF($B$1="Linear",B951,C951)*Utilities!$B$11))</f>
        <v>7.9673311756274429E-2</v>
      </c>
    </row>
    <row r="952" spans="1:5" x14ac:dyDescent="0.3">
      <c r="A952">
        <v>947</v>
      </c>
      <c r="B952">
        <f>Utilities!$B$7+((Utilities!$B$9-Utilities!$B$7)*(A952/Utilities!$B$1))</f>
        <v>45.312350000000002</v>
      </c>
      <c r="C952">
        <f>Utilities!$B$9+((Utilities!$B$7-Utilities!$B$9)*EXP(-$B$2*A952))</f>
        <v>0.50000029448807404</v>
      </c>
      <c r="D952">
        <f>EXP(-1*SQRT(Utilities!$B$5)/(IF($B$1="Linear",B952,C952)*Utilities!$B$11))</f>
        <v>1.2204548650787419E-5</v>
      </c>
      <c r="E952">
        <f>EXP(-1*SQRT(Utilities!$B$5/20)/(IF($B$1="Linear",B952,C952)*Utilities!$B$11))</f>
        <v>7.9673309358103059E-2</v>
      </c>
    </row>
    <row r="953" spans="1:5" x14ac:dyDescent="0.3">
      <c r="A953">
        <v>948</v>
      </c>
      <c r="B953">
        <f>Utilities!$B$7+((Utilities!$B$9-Utilities!$B$7)*(A953/Utilities!$B$1))</f>
        <v>45.307400000000001</v>
      </c>
      <c r="C953">
        <f>Utilities!$B$9+((Utilities!$B$7-Utilities!$B$9)*EXP(-$B$2*A953))</f>
        <v>0.50000028865681945</v>
      </c>
      <c r="D953">
        <f>EXP(-1*SQRT(Utilities!$B$5)/(IF($B$1="Linear",B953,C953)*Utilities!$B$11))</f>
        <v>1.2204547040445229E-5</v>
      </c>
      <c r="E953">
        <f>EXP(-1*SQRT(Utilities!$B$5/20)/(IF($B$1="Linear",B953,C953)*Utilities!$B$11))</f>
        <v>7.9673307007418606E-2</v>
      </c>
    </row>
    <row r="954" spans="1:5" x14ac:dyDescent="0.3">
      <c r="A954">
        <v>949</v>
      </c>
      <c r="B954">
        <f>Utilities!$B$7+((Utilities!$B$9-Utilities!$B$7)*(A954/Utilities!$B$1))</f>
        <v>45.30245</v>
      </c>
      <c r="C954">
        <f>Utilities!$B$9+((Utilities!$B$7-Utilities!$B$9)*EXP(-$B$2*A954))</f>
        <v>0.50000028294103149</v>
      </c>
      <c r="D954">
        <f>EXP(-1*SQRT(Utilities!$B$5)/(IF($B$1="Linear",B954,C954)*Utilities!$B$11))</f>
        <v>1.2204545461990124E-5</v>
      </c>
      <c r="E954">
        <f>EXP(-1*SQRT(Utilities!$B$5/20)/(IF($B$1="Linear",B954,C954)*Utilities!$B$11))</f>
        <v>7.967330470328092E-2</v>
      </c>
    </row>
    <row r="955" spans="1:5" x14ac:dyDescent="0.3">
      <c r="A955">
        <v>950</v>
      </c>
      <c r="B955">
        <f>Utilities!$B$7+((Utilities!$B$9-Utilities!$B$7)*(A955/Utilities!$B$1))</f>
        <v>45.297499999999999</v>
      </c>
      <c r="C955">
        <f>Utilities!$B$9+((Utilities!$B$7-Utilities!$B$9)*EXP(-$B$2*A955))</f>
        <v>0.50000027733842367</v>
      </c>
      <c r="D955">
        <f>EXP(-1*SQRT(Utilities!$B$5)/(IF($B$1="Linear",B955,C955)*Utilities!$B$11))</f>
        <v>1.2204543914790696E-5</v>
      </c>
      <c r="E955">
        <f>EXP(-1*SQRT(Utilities!$B$5/20)/(IF($B$1="Linear",B955,C955)*Utilities!$B$11))</f>
        <v>7.9673302444768168E-2</v>
      </c>
    </row>
    <row r="956" spans="1:5" x14ac:dyDescent="0.3">
      <c r="A956">
        <v>951</v>
      </c>
      <c r="B956">
        <f>Utilities!$B$7+((Utilities!$B$9-Utilities!$B$7)*(A956/Utilities!$B$1))</f>
        <v>45.292549999999999</v>
      </c>
      <c r="C956">
        <f>Utilities!$B$9+((Utilities!$B$7-Utilities!$B$9)*EXP(-$B$2*A956))</f>
        <v>0.50000027184675488</v>
      </c>
      <c r="D956">
        <f>EXP(-1*SQRT(Utilities!$B$5)/(IF($B$1="Linear",B956,C956)*Utilities!$B$11))</f>
        <v>1.2204542398228001E-5</v>
      </c>
      <c r="E956">
        <f>EXP(-1*SQRT(Utilities!$B$5/20)/(IF($B$1="Linear",B956,C956)*Utilities!$B$11))</f>
        <v>7.967330023097699E-2</v>
      </c>
    </row>
    <row r="957" spans="1:5" x14ac:dyDescent="0.3">
      <c r="A957">
        <v>952</v>
      </c>
      <c r="B957">
        <f>Utilities!$B$7+((Utilities!$B$9-Utilities!$B$7)*(A957/Utilities!$B$1))</f>
        <v>45.287599999999998</v>
      </c>
      <c r="C957">
        <f>Utilities!$B$9+((Utilities!$B$7-Utilities!$B$9)*EXP(-$B$2*A957))</f>
        <v>0.50000026646382856</v>
      </c>
      <c r="D957">
        <f>EXP(-1*SQRT(Utilities!$B$5)/(IF($B$1="Linear",B957,C957)*Utilities!$B$11))</f>
        <v>1.2204540911695454E-5</v>
      </c>
      <c r="E957">
        <f>EXP(-1*SQRT(Utilities!$B$5/20)/(IF($B$1="Linear",B957,C957)*Utilities!$B$11))</f>
        <v>7.9673298061021858E-2</v>
      </c>
    </row>
    <row r="958" spans="1:5" x14ac:dyDescent="0.3">
      <c r="A958">
        <v>953</v>
      </c>
      <c r="B958">
        <f>Utilities!$B$7+((Utilities!$B$9-Utilities!$B$7)*(A958/Utilities!$B$1))</f>
        <v>45.282650000000004</v>
      </c>
      <c r="C958">
        <f>Utilities!$B$9+((Utilities!$B$7-Utilities!$B$9)*EXP(-$B$2*A958))</f>
        <v>0.50000026118749119</v>
      </c>
      <c r="D958">
        <f>EXP(-1*SQRT(Utilities!$B$5)/(IF($B$1="Linear",B958,C958)*Utilities!$B$11))</f>
        <v>1.2204539454598325E-5</v>
      </c>
      <c r="E958">
        <f>EXP(-1*SQRT(Utilities!$B$5/20)/(IF($B$1="Linear",B958,C958)*Utilities!$B$11))</f>
        <v>7.9673295934034688E-2</v>
      </c>
    </row>
    <row r="959" spans="1:5" x14ac:dyDescent="0.3">
      <c r="A959">
        <v>954</v>
      </c>
      <c r="B959">
        <f>Utilities!$B$7+((Utilities!$B$9-Utilities!$B$7)*(A959/Utilities!$B$1))</f>
        <v>45.277700000000003</v>
      </c>
      <c r="C959">
        <f>Utilities!$B$9+((Utilities!$B$7-Utilities!$B$9)*EXP(-$B$2*A959))</f>
        <v>0.50000025601563236</v>
      </c>
      <c r="D959">
        <f>EXP(-1*SQRT(Utilities!$B$5)/(IF($B$1="Linear",B959,C959)*Utilities!$B$11))</f>
        <v>1.2204538026353818E-5</v>
      </c>
      <c r="E959">
        <f>EXP(-1*SQRT(Utilities!$B$5/20)/(IF($B$1="Linear",B959,C959)*Utilities!$B$11))</f>
        <v>7.9673293849164717E-2</v>
      </c>
    </row>
    <row r="960" spans="1:5" x14ac:dyDescent="0.3">
      <c r="A960">
        <v>955</v>
      </c>
      <c r="B960">
        <f>Utilities!$B$7+((Utilities!$B$9-Utilities!$B$7)*(A960/Utilities!$B$1))</f>
        <v>45.272750000000002</v>
      </c>
      <c r="C960">
        <f>Utilities!$B$9+((Utilities!$B$7-Utilities!$B$9)*EXP(-$B$2*A960))</f>
        <v>0.50000025094618317</v>
      </c>
      <c r="D960">
        <f>EXP(-1*SQRT(Utilities!$B$5)/(IF($B$1="Linear",B960,C960)*Utilities!$B$11))</f>
        <v>1.2204536626390575E-5</v>
      </c>
      <c r="E960">
        <f>EXP(-1*SQRT(Utilities!$B$5/20)/(IF($B$1="Linear",B960,C960)*Utilities!$B$11))</f>
        <v>7.9673291805577959E-2</v>
      </c>
    </row>
    <row r="961" spans="1:5" x14ac:dyDescent="0.3">
      <c r="A961">
        <v>956</v>
      </c>
      <c r="B961">
        <f>Utilities!$B$7+((Utilities!$B$9-Utilities!$B$7)*(A961/Utilities!$B$1))</f>
        <v>45.267800000000001</v>
      </c>
      <c r="C961">
        <f>Utilities!$B$9+((Utilities!$B$7-Utilities!$B$9)*EXP(-$B$2*A961))</f>
        <v>0.50000024597711579</v>
      </c>
      <c r="D961">
        <f>EXP(-1*SQRT(Utilities!$B$5)/(IF($B$1="Linear",B961,C961)*Utilities!$B$11))</f>
        <v>1.2204535254148581E-5</v>
      </c>
      <c r="E961">
        <f>EXP(-1*SQRT(Utilities!$B$5/20)/(IF($B$1="Linear",B961,C961)*Utilities!$B$11))</f>
        <v>7.9673289802456915E-2</v>
      </c>
    </row>
    <row r="962" spans="1:5" x14ac:dyDescent="0.3">
      <c r="A962">
        <v>957</v>
      </c>
      <c r="B962">
        <f>Utilities!$B$7+((Utilities!$B$9-Utilities!$B$7)*(A962/Utilities!$B$1))</f>
        <v>45.26285</v>
      </c>
      <c r="C962">
        <f>Utilities!$B$9+((Utilities!$B$7-Utilities!$B$9)*EXP(-$B$2*A962))</f>
        <v>0.50000024110644259</v>
      </c>
      <c r="D962">
        <f>EXP(-1*SQRT(Utilities!$B$5)/(IF($B$1="Linear",B962,C962)*Utilities!$B$11))</f>
        <v>1.2204533909078941E-5</v>
      </c>
      <c r="E962">
        <f>EXP(-1*SQRT(Utilities!$B$5/20)/(IF($B$1="Linear",B962,C962)*Utilities!$B$11))</f>
        <v>7.9673287839000365E-2</v>
      </c>
    </row>
    <row r="963" spans="1:5" x14ac:dyDescent="0.3">
      <c r="A963">
        <v>958</v>
      </c>
      <c r="B963">
        <f>Utilities!$B$7+((Utilities!$B$9-Utilities!$B$7)*(A963/Utilities!$B$1))</f>
        <v>45.257899999999999</v>
      </c>
      <c r="C963">
        <f>Utilities!$B$9+((Utilities!$B$7-Utilities!$B$9)*EXP(-$B$2*A963))</f>
        <v>0.50000023633221513</v>
      </c>
      <c r="D963">
        <f>EXP(-1*SQRT(Utilities!$B$5)/(IF($B$1="Linear",B963,C963)*Utilities!$B$11))</f>
        <v>1.2204532590643559E-5</v>
      </c>
      <c r="E963">
        <f>EXP(-1*SQRT(Utilities!$B$5/20)/(IF($B$1="Linear",B963,C963)*Utilities!$B$11))</f>
        <v>7.9673285914422826E-2</v>
      </c>
    </row>
    <row r="964" spans="1:5" x14ac:dyDescent="0.3">
      <c r="A964">
        <v>959</v>
      </c>
      <c r="B964">
        <f>Utilities!$B$7+((Utilities!$B$9-Utilities!$B$7)*(A964/Utilities!$B$1))</f>
        <v>45.252949999999998</v>
      </c>
      <c r="C964">
        <f>Utilities!$B$9+((Utilities!$B$7-Utilities!$B$9)*EXP(-$B$2*A964))</f>
        <v>0.50000023165252372</v>
      </c>
      <c r="D964">
        <f>EXP(-1*SQRT(Utilities!$B$5)/(IF($B$1="Linear",B964,C964)*Utilities!$B$11))</f>
        <v>1.2204531298315071E-5</v>
      </c>
      <c r="E964">
        <f>EXP(-1*SQRT(Utilities!$B$5/20)/(IF($B$1="Linear",B964,C964)*Utilities!$B$11))</f>
        <v>7.9673284027954525E-2</v>
      </c>
    </row>
    <row r="965" spans="1:5" x14ac:dyDescent="0.3">
      <c r="A965">
        <v>960</v>
      </c>
      <c r="B965">
        <f>Utilities!$B$7+((Utilities!$B$9-Utilities!$B$7)*(A965/Utilities!$B$1))</f>
        <v>45.247999999999998</v>
      </c>
      <c r="C965">
        <f>Utilities!$B$9+((Utilities!$B$7-Utilities!$B$9)*EXP(-$B$2*A965))</f>
        <v>0.50000022706549641</v>
      </c>
      <c r="D965">
        <f>EXP(-1*SQRT(Utilities!$B$5)/(IF($B$1="Linear",B965,C965)*Utilities!$B$11))</f>
        <v>1.2204530031576518E-5</v>
      </c>
      <c r="E965">
        <f>EXP(-1*SQRT(Utilities!$B$5/20)/(IF($B$1="Linear",B965,C965)*Utilities!$B$11))</f>
        <v>7.9673282178840787E-2</v>
      </c>
    </row>
    <row r="966" spans="1:5" x14ac:dyDescent="0.3">
      <c r="A966">
        <v>961</v>
      </c>
      <c r="B966">
        <f>Utilities!$B$7+((Utilities!$B$9-Utilities!$B$7)*(A966/Utilities!$B$1))</f>
        <v>45.243049999999997</v>
      </c>
      <c r="C966">
        <f>Utilities!$B$9+((Utilities!$B$7-Utilities!$B$9)*EXP(-$B$2*A966))</f>
        <v>0.50000022256929844</v>
      </c>
      <c r="D966">
        <f>EXP(-1*SQRT(Utilities!$B$5)/(IF($B$1="Linear",B966,C966)*Utilities!$B$11))</f>
        <v>1.2204528789921197E-5</v>
      </c>
      <c r="E966">
        <f>EXP(-1*SQRT(Utilities!$B$5/20)/(IF($B$1="Linear",B966,C966)*Utilities!$B$11))</f>
        <v>7.9673280366342025E-2</v>
      </c>
    </row>
    <row r="967" spans="1:5" x14ac:dyDescent="0.3">
      <c r="A967">
        <v>962</v>
      </c>
      <c r="B967">
        <f>Utilities!$B$7+((Utilities!$B$9-Utilities!$B$7)*(A967/Utilities!$B$1))</f>
        <v>45.238100000000003</v>
      </c>
      <c r="C967">
        <f>Utilities!$B$9+((Utilities!$B$7-Utilities!$B$9)*EXP(-$B$2*A967))</f>
        <v>0.50000021816213103</v>
      </c>
      <c r="D967">
        <f>EXP(-1*SQRT(Utilities!$B$5)/(IF($B$1="Linear",B967,C967)*Utilities!$B$11))</f>
        <v>1.2204527572852353E-5</v>
      </c>
      <c r="E967">
        <f>EXP(-1*SQRT(Utilities!$B$5/20)/(IF($B$1="Linear",B967,C967)*Utilities!$B$11))</f>
        <v>7.9673278589733068E-2</v>
      </c>
    </row>
    <row r="968" spans="1:5" x14ac:dyDescent="0.3">
      <c r="A968">
        <v>963</v>
      </c>
      <c r="B968">
        <f>Utilities!$B$7+((Utilities!$B$9-Utilities!$B$7)*(A968/Utilities!$B$1))</f>
        <v>45.233150000000002</v>
      </c>
      <c r="C968">
        <f>Utilities!$B$9+((Utilities!$B$7-Utilities!$B$9)*EXP(-$B$2*A968))</f>
        <v>0.50000021384223137</v>
      </c>
      <c r="D968">
        <f>EXP(-1*SQRT(Utilities!$B$5)/(IF($B$1="Linear",B968,C968)*Utilities!$B$11))</f>
        <v>1.220452637988321E-5</v>
      </c>
      <c r="E968">
        <f>EXP(-1*SQRT(Utilities!$B$5/20)/(IF($B$1="Linear",B968,C968)*Utilities!$B$11))</f>
        <v>7.9673276848303359E-2</v>
      </c>
    </row>
    <row r="969" spans="1:5" x14ac:dyDescent="0.3">
      <c r="A969">
        <v>964</v>
      </c>
      <c r="B969">
        <f>Utilities!$B$7+((Utilities!$B$9-Utilities!$B$7)*(A969/Utilities!$B$1))</f>
        <v>45.228200000000001</v>
      </c>
      <c r="C969">
        <f>Utilities!$B$9+((Utilities!$B$7-Utilities!$B$9)*EXP(-$B$2*A969))</f>
        <v>0.5000002096078715</v>
      </c>
      <c r="D969">
        <f>EXP(-1*SQRT(Utilities!$B$5)/(IF($B$1="Linear",B969,C969)*Utilities!$B$11))</f>
        <v>1.2204525210536529E-5</v>
      </c>
      <c r="E969">
        <f>EXP(-1*SQRT(Utilities!$B$5/20)/(IF($B$1="Linear",B969,C969)*Utilities!$B$11))</f>
        <v>7.9673275141356317E-2</v>
      </c>
    </row>
    <row r="970" spans="1:5" x14ac:dyDescent="0.3">
      <c r="A970">
        <v>965</v>
      </c>
      <c r="B970">
        <f>Utilities!$B$7+((Utilities!$B$9-Utilities!$B$7)*(A970/Utilities!$B$1))</f>
        <v>45.22325</v>
      </c>
      <c r="C970">
        <f>Utilities!$B$9+((Utilities!$B$7-Utilities!$B$9)*EXP(-$B$2*A970))</f>
        <v>0.50000020545735757</v>
      </c>
      <c r="D970">
        <f>EXP(-1*SQRT(Utilities!$B$5)/(IF($B$1="Linear",B970,C970)*Utilities!$B$11))</f>
        <v>1.220452406434454E-5</v>
      </c>
      <c r="E970">
        <f>EXP(-1*SQRT(Utilities!$B$5/20)/(IF($B$1="Linear",B970,C970)*Utilities!$B$11))</f>
        <v>7.9673273468209072E-2</v>
      </c>
    </row>
    <row r="971" spans="1:5" x14ac:dyDescent="0.3">
      <c r="A971">
        <v>966</v>
      </c>
      <c r="B971">
        <f>Utilities!$B$7+((Utilities!$B$9-Utilities!$B$7)*(A971/Utilities!$B$1))</f>
        <v>45.218299999999999</v>
      </c>
      <c r="C971">
        <f>Utilities!$B$9+((Utilities!$B$7-Utilities!$B$9)*EXP(-$B$2*A971))</f>
        <v>0.50000020138902923</v>
      </c>
      <c r="D971">
        <f>EXP(-1*SQRT(Utilities!$B$5)/(IF($B$1="Linear",B971,C971)*Utilities!$B$11))</f>
        <v>1.220452294084876E-5</v>
      </c>
      <c r="E971">
        <f>EXP(-1*SQRT(Utilities!$B$5/20)/(IF($B$1="Linear",B971,C971)*Utilities!$B$11))</f>
        <v>7.9673271828192324E-2</v>
      </c>
    </row>
    <row r="972" spans="1:5" x14ac:dyDescent="0.3">
      <c r="A972">
        <v>967</v>
      </c>
      <c r="B972">
        <f>Utilities!$B$7+((Utilities!$B$9-Utilities!$B$7)*(A972/Utilities!$B$1))</f>
        <v>45.213349999999998</v>
      </c>
      <c r="C972">
        <f>Utilities!$B$9+((Utilities!$B$7-Utilities!$B$9)*EXP(-$B$2*A972))</f>
        <v>0.50000019740125934</v>
      </c>
      <c r="D972">
        <f>EXP(-1*SQRT(Utilities!$B$5)/(IF($B$1="Linear",B972,C972)*Utilities!$B$11))</f>
        <v>1.2204521839599786E-5</v>
      </c>
      <c r="E972">
        <f>EXP(-1*SQRT(Utilities!$B$5/20)/(IF($B$1="Linear",B972,C972)*Utilities!$B$11))</f>
        <v>7.9673270220650141E-2</v>
      </c>
    </row>
    <row r="973" spans="1:5" x14ac:dyDescent="0.3">
      <c r="A973">
        <v>968</v>
      </c>
      <c r="B973">
        <f>Utilities!$B$7+((Utilities!$B$9-Utilities!$B$7)*(A973/Utilities!$B$1))</f>
        <v>45.208399999999997</v>
      </c>
      <c r="C973">
        <f>Utilities!$B$9+((Utilities!$B$7-Utilities!$B$9)*EXP(-$B$2*A973))</f>
        <v>0.5000001934924525</v>
      </c>
      <c r="D973">
        <f>EXP(-1*SQRT(Utilities!$B$5)/(IF($B$1="Linear",B973,C973)*Utilities!$B$11))</f>
        <v>1.2204520760157082E-5</v>
      </c>
      <c r="E973">
        <f>EXP(-1*SQRT(Utilities!$B$5/20)/(IF($B$1="Linear",B973,C973)*Utilities!$B$11))</f>
        <v>7.9673268644939427E-2</v>
      </c>
    </row>
    <row r="974" spans="1:5" x14ac:dyDescent="0.3">
      <c r="A974">
        <v>969</v>
      </c>
      <c r="B974">
        <f>Utilities!$B$7+((Utilities!$B$9-Utilities!$B$7)*(A974/Utilities!$B$1))</f>
        <v>45.203450000000004</v>
      </c>
      <c r="C974">
        <f>Utilities!$B$9+((Utilities!$B$7-Utilities!$B$9)*EXP(-$B$2*A974))</f>
        <v>0.5000001896610452</v>
      </c>
      <c r="D974">
        <f>EXP(-1*SQRT(Utilities!$B$5)/(IF($B$1="Linear",B974,C974)*Utilities!$B$11))</f>
        <v>1.2204519702088829E-5</v>
      </c>
      <c r="E974">
        <f>EXP(-1*SQRT(Utilities!$B$5/20)/(IF($B$1="Linear",B974,C974)*Utilities!$B$11))</f>
        <v>7.9673267100429837E-2</v>
      </c>
    </row>
    <row r="975" spans="1:5" x14ac:dyDescent="0.3">
      <c r="A975">
        <v>970</v>
      </c>
      <c r="B975">
        <f>Utilities!$B$7+((Utilities!$B$9-Utilities!$B$7)*(A975/Utilities!$B$1))</f>
        <v>45.198500000000003</v>
      </c>
      <c r="C975">
        <f>Utilities!$B$9+((Utilities!$B$7-Utilities!$B$9)*EXP(-$B$2*A975))</f>
        <v>0.50000018590550488</v>
      </c>
      <c r="D975">
        <f>EXP(-1*SQRT(Utilities!$B$5)/(IF($B$1="Linear",B975,C975)*Utilities!$B$11))</f>
        <v>1.2204518664971812E-5</v>
      </c>
      <c r="E975">
        <f>EXP(-1*SQRT(Utilities!$B$5/20)/(IF($B$1="Linear",B975,C975)*Utilities!$B$11))</f>
        <v>7.967326558650363E-2</v>
      </c>
    </row>
    <row r="976" spans="1:5" x14ac:dyDescent="0.3">
      <c r="A976">
        <v>971</v>
      </c>
      <c r="B976">
        <f>Utilities!$B$7+((Utilities!$B$9-Utilities!$B$7)*(A976/Utilities!$B$1))</f>
        <v>45.193550000000002</v>
      </c>
      <c r="C976">
        <f>Utilities!$B$9+((Utilities!$B$7-Utilities!$B$9)*EXP(-$B$2*A976))</f>
        <v>0.50000018222432929</v>
      </c>
      <c r="D976">
        <f>EXP(-1*SQRT(Utilities!$B$5)/(IF($B$1="Linear",B976,C976)*Utilities!$B$11))</f>
        <v>1.2204517648391191E-5</v>
      </c>
      <c r="E976">
        <f>EXP(-1*SQRT(Utilities!$B$5/20)/(IF($B$1="Linear",B976,C976)*Utilities!$B$11))</f>
        <v>7.9673264102555194E-2</v>
      </c>
    </row>
    <row r="977" spans="1:5" x14ac:dyDescent="0.3">
      <c r="A977">
        <v>972</v>
      </c>
      <c r="B977">
        <f>Utilities!$B$7+((Utilities!$B$9-Utilities!$B$7)*(A977/Utilities!$B$1))</f>
        <v>45.188600000000001</v>
      </c>
      <c r="C977">
        <f>Utilities!$B$9+((Utilities!$B$7-Utilities!$B$9)*EXP(-$B$2*A977))</f>
        <v>0.50000017861604584</v>
      </c>
      <c r="D977">
        <f>EXP(-1*SQRT(Utilities!$B$5)/(IF($B$1="Linear",B977,C977)*Utilities!$B$11))</f>
        <v>1.2204516651940248E-5</v>
      </c>
      <c r="E977">
        <f>EXP(-1*SQRT(Utilities!$B$5/20)/(IF($B$1="Linear",B977,C977)*Utilities!$B$11))</f>
        <v>7.967326264799092E-2</v>
      </c>
    </row>
    <row r="978" spans="1:5" x14ac:dyDescent="0.3">
      <c r="A978">
        <v>973</v>
      </c>
      <c r="B978">
        <f>Utilities!$B$7+((Utilities!$B$9-Utilities!$B$7)*(A978/Utilities!$B$1))</f>
        <v>45.18365</v>
      </c>
      <c r="C978">
        <f>Utilities!$B$9+((Utilities!$B$7-Utilities!$B$9)*EXP(-$B$2*A978))</f>
        <v>0.50000017507921113</v>
      </c>
      <c r="D978">
        <f>EXP(-1*SQRT(Utilities!$B$5)/(IF($B$1="Linear",B978,C978)*Utilities!$B$11))</f>
        <v>1.2204515675220424E-5</v>
      </c>
      <c r="E978">
        <f>EXP(-1*SQRT(Utilities!$B$5/20)/(IF($B$1="Linear",B978,C978)*Utilities!$B$11))</f>
        <v>7.9673261222228911E-2</v>
      </c>
    </row>
    <row r="979" spans="1:5" x14ac:dyDescent="0.3">
      <c r="A979">
        <v>974</v>
      </c>
      <c r="B979">
        <f>Utilities!$B$7+((Utilities!$B$9-Utilities!$B$7)*(A979/Utilities!$B$1))</f>
        <v>45.178699999999999</v>
      </c>
      <c r="C979">
        <f>Utilities!$B$9+((Utilities!$B$7-Utilities!$B$9)*EXP(-$B$2*A979))</f>
        <v>0.5000001716124105</v>
      </c>
      <c r="D979">
        <f>EXP(-1*SQRT(Utilities!$B$5)/(IF($B$1="Linear",B979,C979)*Utilities!$B$11))</f>
        <v>1.2204514717841027E-5</v>
      </c>
      <c r="E979">
        <f>EXP(-1*SQRT(Utilities!$B$5/20)/(IF($B$1="Linear",B979,C979)*Utilities!$B$11))</f>
        <v>7.9673259824698903E-2</v>
      </c>
    </row>
    <row r="980" spans="1:5" x14ac:dyDescent="0.3">
      <c r="A980">
        <v>975</v>
      </c>
      <c r="B980">
        <f>Utilities!$B$7+((Utilities!$B$9-Utilities!$B$7)*(A980/Utilities!$B$1))</f>
        <v>45.173749999999998</v>
      </c>
      <c r="C980">
        <f>Utilities!$B$9+((Utilities!$B$7-Utilities!$B$9)*EXP(-$B$2*A980))</f>
        <v>0.50000016821425708</v>
      </c>
      <c r="D980">
        <f>EXP(-1*SQRT(Utilities!$B$5)/(IF($B$1="Linear",B980,C980)*Utilities!$B$11))</f>
        <v>1.2204513779419058E-5</v>
      </c>
      <c r="E980">
        <f>EXP(-1*SQRT(Utilities!$B$5/20)/(IF($B$1="Linear",B980,C980)*Utilities!$B$11))</f>
        <v>7.9673258454841855E-2</v>
      </c>
    </row>
    <row r="981" spans="1:5" x14ac:dyDescent="0.3">
      <c r="A981">
        <v>976</v>
      </c>
      <c r="B981">
        <f>Utilities!$B$7+((Utilities!$B$9-Utilities!$B$7)*(A981/Utilities!$B$1))</f>
        <v>45.168799999999997</v>
      </c>
      <c r="C981">
        <f>Utilities!$B$9+((Utilities!$B$7-Utilities!$B$9)*EXP(-$B$2*A981))</f>
        <v>0.50000016488339161</v>
      </c>
      <c r="D981">
        <f>EXP(-1*SQRT(Utilities!$B$5)/(IF($B$1="Linear",B981,C981)*Utilities!$B$11))</f>
        <v>1.2204512859579153E-5</v>
      </c>
      <c r="E981">
        <f>EXP(-1*SQRT(Utilities!$B$5/20)/(IF($B$1="Linear",B981,C981)*Utilities!$B$11))</f>
        <v>7.9673257112109763E-2</v>
      </c>
    </row>
    <row r="982" spans="1:5" x14ac:dyDescent="0.3">
      <c r="A982">
        <v>977</v>
      </c>
      <c r="B982">
        <f>Utilities!$B$7+((Utilities!$B$9-Utilities!$B$7)*(A982/Utilities!$B$1))</f>
        <v>45.163849999999996</v>
      </c>
      <c r="C982">
        <f>Utilities!$B$9+((Utilities!$B$7-Utilities!$B$9)*EXP(-$B$2*A982))</f>
        <v>0.50000016161848171</v>
      </c>
      <c r="D982">
        <f>EXP(-1*SQRT(Utilities!$B$5)/(IF($B$1="Linear",B982,C982)*Utilities!$B$11))</f>
        <v>1.2204511957953343E-5</v>
      </c>
      <c r="E982">
        <f>EXP(-1*SQRT(Utilities!$B$5/20)/(IF($B$1="Linear",B982,C982)*Utilities!$B$11))</f>
        <v>7.9673255795965597E-2</v>
      </c>
    </row>
    <row r="983" spans="1:5" x14ac:dyDescent="0.3">
      <c r="A983">
        <v>978</v>
      </c>
      <c r="B983">
        <f>Utilities!$B$7+((Utilities!$B$9-Utilities!$B$7)*(A983/Utilities!$B$1))</f>
        <v>45.158900000000003</v>
      </c>
      <c r="C983">
        <f>Utilities!$B$9+((Utilities!$B$7-Utilities!$B$9)*EXP(-$B$2*A983))</f>
        <v>0.50000015841822132</v>
      </c>
      <c r="D983">
        <f>EXP(-1*SQRT(Utilities!$B$5)/(IF($B$1="Linear",B983,C983)*Utilities!$B$11))</f>
        <v>1.2204511074180982E-5</v>
      </c>
      <c r="E983">
        <f>EXP(-1*SQRT(Utilities!$B$5/20)/(IF($B$1="Linear",B983,C983)*Utilities!$B$11))</f>
        <v>7.9673254505882821E-2</v>
      </c>
    </row>
    <row r="984" spans="1:5" x14ac:dyDescent="0.3">
      <c r="A984">
        <v>979</v>
      </c>
      <c r="B984">
        <f>Utilities!$B$7+((Utilities!$B$9-Utilities!$B$7)*(A984/Utilities!$B$1))</f>
        <v>45.153950000000002</v>
      </c>
      <c r="C984">
        <f>Utilities!$B$9+((Utilities!$B$7-Utilities!$B$9)*EXP(-$B$2*A984))</f>
        <v>0.50000015528133035</v>
      </c>
      <c r="D984">
        <f>EXP(-1*SQRT(Utilities!$B$5)/(IF($B$1="Linear",B984,C984)*Utilities!$B$11))</f>
        <v>1.2204510207908518E-5</v>
      </c>
      <c r="E984">
        <f>EXP(-1*SQRT(Utilities!$B$5/20)/(IF($B$1="Linear",B984,C984)*Utilities!$B$11))</f>
        <v>7.967325324134536E-2</v>
      </c>
    </row>
    <row r="985" spans="1:5" x14ac:dyDescent="0.3">
      <c r="A985">
        <v>980</v>
      </c>
      <c r="B985">
        <f>Utilities!$B$7+((Utilities!$B$9-Utilities!$B$7)*(A985/Utilities!$B$1))</f>
        <v>45.149000000000001</v>
      </c>
      <c r="C985">
        <f>Utilities!$B$9+((Utilities!$B$7-Utilities!$B$9)*EXP(-$B$2*A985))</f>
        <v>0.50000015220655403</v>
      </c>
      <c r="D985">
        <f>EXP(-1*SQRT(Utilities!$B$5)/(IF($B$1="Linear",B985,C985)*Utilities!$B$11))</f>
        <v>1.2204509358789485E-5</v>
      </c>
      <c r="E985">
        <f>EXP(-1*SQRT(Utilities!$B$5/20)/(IF($B$1="Linear",B985,C985)*Utilities!$B$11))</f>
        <v>7.967325200184748E-2</v>
      </c>
    </row>
    <row r="986" spans="1:5" x14ac:dyDescent="0.3">
      <c r="A986">
        <v>981</v>
      </c>
      <c r="B986">
        <f>Utilities!$B$7+((Utilities!$B$9-Utilities!$B$7)*(A986/Utilities!$B$1))</f>
        <v>45.14405</v>
      </c>
      <c r="C986">
        <f>Utilities!$B$9+((Utilities!$B$7-Utilities!$B$9)*EXP(-$B$2*A986))</f>
        <v>0.50000014919266234</v>
      </c>
      <c r="D986">
        <f>EXP(-1*SQRT(Utilities!$B$5)/(IF($B$1="Linear",B986,C986)*Utilities!$B$11))</f>
        <v>1.2204508526484159E-5</v>
      </c>
      <c r="E986">
        <f>EXP(-1*SQRT(Utilities!$B$5/20)/(IF($B$1="Linear",B986,C986)*Utilities!$B$11))</f>
        <v>7.9673250786893302E-2</v>
      </c>
    </row>
    <row r="987" spans="1:5" x14ac:dyDescent="0.3">
      <c r="A987">
        <v>982</v>
      </c>
      <c r="B987">
        <f>Utilities!$B$7+((Utilities!$B$9-Utilities!$B$7)*(A987/Utilities!$B$1))</f>
        <v>45.139099999999999</v>
      </c>
      <c r="C987">
        <f>Utilities!$B$9+((Utilities!$B$7-Utilities!$B$9)*EXP(-$B$2*A987))</f>
        <v>0.50000014623844968</v>
      </c>
      <c r="D987">
        <f>EXP(-1*SQRT(Utilities!$B$5)/(IF($B$1="Linear",B987,C987)*Utilities!$B$11))</f>
        <v>1.2204507710659627E-5</v>
      </c>
      <c r="E987">
        <f>EXP(-1*SQRT(Utilities!$B$5/20)/(IF($B$1="Linear",B987,C987)*Utilities!$B$11))</f>
        <v>7.9673249595996809E-2</v>
      </c>
    </row>
    <row r="988" spans="1:5" x14ac:dyDescent="0.3">
      <c r="A988">
        <v>983</v>
      </c>
      <c r="B988">
        <f>Utilities!$B$7+((Utilities!$B$9-Utilities!$B$7)*(A988/Utilities!$B$1))</f>
        <v>45.134149999999998</v>
      </c>
      <c r="C988">
        <f>Utilities!$B$9+((Utilities!$B$7-Utilities!$B$9)*EXP(-$B$2*A988))</f>
        <v>0.50000014334273435</v>
      </c>
      <c r="D988">
        <f>EXP(-1*SQRT(Utilities!$B$5)/(IF($B$1="Linear",B988,C988)*Utilities!$B$11))</f>
        <v>1.2204506910989543E-5</v>
      </c>
      <c r="E988">
        <f>EXP(-1*SQRT(Utilities!$B$5/20)/(IF($B$1="Linear",B988,C988)*Utilities!$B$11))</f>
        <v>7.9673248428681648E-2</v>
      </c>
    </row>
    <row r="989" spans="1:5" x14ac:dyDescent="0.3">
      <c r="A989">
        <v>984</v>
      </c>
      <c r="B989">
        <f>Utilities!$B$7+((Utilities!$B$9-Utilities!$B$7)*(A989/Utilities!$B$1))</f>
        <v>45.129199999999997</v>
      </c>
      <c r="C989">
        <f>Utilities!$B$9+((Utilities!$B$7-Utilities!$B$9)*EXP(-$B$2*A989))</f>
        <v>0.50000014050435804</v>
      </c>
      <c r="D989">
        <f>EXP(-1*SQRT(Utilities!$B$5)/(IF($B$1="Linear",B989,C989)*Utilities!$B$11))</f>
        <v>1.2204506127154044E-5</v>
      </c>
      <c r="E989">
        <f>EXP(-1*SQRT(Utilities!$B$5/20)/(IF($B$1="Linear",B989,C989)*Utilities!$B$11))</f>
        <v>7.9673247284480914E-2</v>
      </c>
    </row>
    <row r="990" spans="1:5" x14ac:dyDescent="0.3">
      <c r="A990">
        <v>985</v>
      </c>
      <c r="B990">
        <f>Utilities!$B$7+((Utilities!$B$9-Utilities!$B$7)*(A990/Utilities!$B$1))</f>
        <v>45.124250000000004</v>
      </c>
      <c r="C990">
        <f>Utilities!$B$9+((Utilities!$B$7-Utilities!$B$9)*EXP(-$B$2*A990))</f>
        <v>0.50000013772218532</v>
      </c>
      <c r="D990">
        <f>EXP(-1*SQRT(Utilities!$B$5)/(IF($B$1="Linear",B990,C990)*Utilities!$B$11))</f>
        <v>1.2204505358839555E-5</v>
      </c>
      <c r="E990">
        <f>EXP(-1*SQRT(Utilities!$B$5/20)/(IF($B$1="Linear",B990,C990)*Utilities!$B$11))</f>
        <v>7.967324616293682E-2</v>
      </c>
    </row>
    <row r="991" spans="1:5" x14ac:dyDescent="0.3">
      <c r="A991">
        <v>986</v>
      </c>
      <c r="B991">
        <f>Utilities!$B$7+((Utilities!$B$9-Utilities!$B$7)*(A991/Utilities!$B$1))</f>
        <v>45.119300000000003</v>
      </c>
      <c r="C991">
        <f>Utilities!$B$9+((Utilities!$B$7-Utilities!$B$9)*EXP(-$B$2*A991))</f>
        <v>0.50000013499510343</v>
      </c>
      <c r="D991">
        <f>EXP(-1*SQRT(Utilities!$B$5)/(IF($B$1="Linear",B991,C991)*Utilities!$B$11))</f>
        <v>1.2204504605738784E-5</v>
      </c>
      <c r="E991">
        <f>EXP(-1*SQRT(Utilities!$B$5/20)/(IF($B$1="Linear",B991,C991)*Utilities!$B$11))</f>
        <v>7.9673245063600878E-2</v>
      </c>
    </row>
    <row r="992" spans="1:5" x14ac:dyDescent="0.3">
      <c r="A992">
        <v>987</v>
      </c>
      <c r="B992">
        <f>Utilities!$B$7+((Utilities!$B$9-Utilities!$B$7)*(A992/Utilities!$B$1))</f>
        <v>45.114350000000002</v>
      </c>
      <c r="C992">
        <f>Utilities!$B$9+((Utilities!$B$7-Utilities!$B$9)*EXP(-$B$2*A992))</f>
        <v>0.50000013232202123</v>
      </c>
      <c r="D992">
        <f>EXP(-1*SQRT(Utilities!$B$5)/(IF($B$1="Linear",B992,C992)*Utilities!$B$11))</f>
        <v>1.2204503867550406E-5</v>
      </c>
      <c r="E992">
        <f>EXP(-1*SQRT(Utilities!$B$5/20)/(IF($B$1="Linear",B992,C992)*Utilities!$B$11))</f>
        <v>7.9673243986033176E-2</v>
      </c>
    </row>
    <row r="993" spans="1:5" x14ac:dyDescent="0.3">
      <c r="A993">
        <v>988</v>
      </c>
      <c r="B993">
        <f>Utilities!$B$7+((Utilities!$B$9-Utilities!$B$7)*(A993/Utilities!$B$1))</f>
        <v>45.109400000000001</v>
      </c>
      <c r="C993">
        <f>Utilities!$B$9+((Utilities!$B$7-Utilities!$B$9)*EXP(-$B$2*A993))</f>
        <v>0.50000012970186969</v>
      </c>
      <c r="D993">
        <f>EXP(-1*SQRT(Utilities!$B$5)/(IF($B$1="Linear",B993,C993)*Utilities!$B$11))</f>
        <v>1.2204503143979207E-5</v>
      </c>
      <c r="E993">
        <f>EXP(-1*SQRT(Utilities!$B$5/20)/(IF($B$1="Linear",B993,C993)*Utilities!$B$11))</f>
        <v>7.9673242929802768E-2</v>
      </c>
    </row>
    <row r="994" spans="1:5" x14ac:dyDescent="0.3">
      <c r="A994">
        <v>989</v>
      </c>
      <c r="B994">
        <f>Utilities!$B$7+((Utilities!$B$9-Utilities!$B$7)*(A994/Utilities!$B$1))</f>
        <v>45.10445</v>
      </c>
      <c r="C994">
        <f>Utilities!$B$9+((Utilities!$B$7-Utilities!$B$9)*EXP(-$B$2*A994))</f>
        <v>0.50000012713360054</v>
      </c>
      <c r="D994">
        <f>EXP(-1*SQRT(Utilities!$B$5)/(IF($B$1="Linear",B994,C994)*Utilities!$B$11))</f>
        <v>1.2204502434735656E-5</v>
      </c>
      <c r="E994">
        <f>EXP(-1*SQRT(Utilities!$B$5/20)/(IF($B$1="Linear",B994,C994)*Utilities!$B$11))</f>
        <v>7.9673241894487101E-2</v>
      </c>
    </row>
    <row r="995" spans="1:5" x14ac:dyDescent="0.3">
      <c r="A995">
        <v>990</v>
      </c>
      <c r="B995">
        <f>Utilities!$B$7+((Utilities!$B$9-Utilities!$B$7)*(A995/Utilities!$B$1))</f>
        <v>45.099499999999999</v>
      </c>
      <c r="C995">
        <f>Utilities!$B$9+((Utilities!$B$7-Utilities!$B$9)*EXP(-$B$2*A995))</f>
        <v>0.50000012461618659</v>
      </c>
      <c r="D995">
        <f>EXP(-1*SQRT(Utilities!$B$5)/(IF($B$1="Linear",B995,C995)*Utilities!$B$11))</f>
        <v>1.2204501739536158E-5</v>
      </c>
      <c r="E995">
        <f>EXP(-1*SQRT(Utilities!$B$5/20)/(IF($B$1="Linear",B995,C995)*Utilities!$B$11))</f>
        <v>7.9673240879672091E-2</v>
      </c>
    </row>
    <row r="996" spans="1:5" x14ac:dyDescent="0.3">
      <c r="A996">
        <v>991</v>
      </c>
      <c r="B996">
        <f>Utilities!$B$7+((Utilities!$B$9-Utilities!$B$7)*(A996/Utilities!$B$1))</f>
        <v>45.094549999999998</v>
      </c>
      <c r="C996">
        <f>Utilities!$B$9+((Utilities!$B$7-Utilities!$B$9)*EXP(-$B$2*A996))</f>
        <v>0.50000012214862077</v>
      </c>
      <c r="D996">
        <f>EXP(-1*SQRT(Utilities!$B$5)/(IF($B$1="Linear",B996,C996)*Utilities!$B$11))</f>
        <v>1.2204501058102541E-5</v>
      </c>
      <c r="E996">
        <f>EXP(-1*SQRT(Utilities!$B$5/20)/(IF($B$1="Linear",B996,C996)*Utilities!$B$11))</f>
        <v>7.9673239884951744E-2</v>
      </c>
    </row>
    <row r="997" spans="1:5" x14ac:dyDescent="0.3">
      <c r="A997">
        <v>992</v>
      </c>
      <c r="B997">
        <f>Utilities!$B$7+((Utilities!$B$9-Utilities!$B$7)*(A997/Utilities!$B$1))</f>
        <v>45.089599999999997</v>
      </c>
      <c r="C997">
        <f>Utilities!$B$9+((Utilities!$B$7-Utilities!$B$9)*EXP(-$B$2*A997))</f>
        <v>0.50000011972991609</v>
      </c>
      <c r="D997">
        <f>EXP(-1*SQRT(Utilities!$B$5)/(IF($B$1="Linear",B997,C997)*Utilities!$B$11))</f>
        <v>1.2204500390162247E-5</v>
      </c>
      <c r="E997">
        <f>EXP(-1*SQRT(Utilities!$B$5/20)/(IF($B$1="Linear",B997,C997)*Utilities!$B$11))</f>
        <v>7.9673238909928223E-2</v>
      </c>
    </row>
    <row r="998" spans="1:5" x14ac:dyDescent="0.3">
      <c r="A998">
        <v>993</v>
      </c>
      <c r="B998">
        <f>Utilities!$B$7+((Utilities!$B$9-Utilities!$B$7)*(A998/Utilities!$B$1))</f>
        <v>45.084649999999996</v>
      </c>
      <c r="C998">
        <f>Utilities!$B$9+((Utilities!$B$7-Utilities!$B$9)*EXP(-$B$2*A998))</f>
        <v>0.50000011735910488</v>
      </c>
      <c r="D998">
        <f>EXP(-1*SQRT(Utilities!$B$5)/(IF($B$1="Linear",B998,C998)*Utilities!$B$11))</f>
        <v>1.2204499735448097E-5</v>
      </c>
      <c r="E998">
        <f>EXP(-1*SQRT(Utilities!$B$5/20)/(IF($B$1="Linear",B998,C998)*Utilities!$B$11))</f>
        <v>7.9673237954211426E-2</v>
      </c>
    </row>
    <row r="999" spans="1:5" x14ac:dyDescent="0.3">
      <c r="A999">
        <v>994</v>
      </c>
      <c r="B999">
        <f>Utilities!$B$7+((Utilities!$B$9-Utilities!$B$7)*(A999/Utilities!$B$1))</f>
        <v>45.079700000000003</v>
      </c>
      <c r="C999">
        <f>Utilities!$B$9+((Utilities!$B$7-Utilities!$B$9)*EXP(-$B$2*A999))</f>
        <v>0.50000011503523889</v>
      </c>
      <c r="D999">
        <f>EXP(-1*SQRT(Utilities!$B$5)/(IF($B$1="Linear",B999,C999)*Utilities!$B$11))</f>
        <v>1.2204499093698153E-5</v>
      </c>
      <c r="E999">
        <f>EXP(-1*SQRT(Utilities!$B$5/20)/(IF($B$1="Linear",B999,C999)*Utilities!$B$11))</f>
        <v>7.9673237017419088E-2</v>
      </c>
    </row>
    <row r="1000" spans="1:5" x14ac:dyDescent="0.3">
      <c r="A1000">
        <v>995</v>
      </c>
      <c r="B1000">
        <f>Utilities!$B$7+((Utilities!$B$9-Utilities!$B$7)*(A1000/Utilities!$B$1))</f>
        <v>45.074750000000002</v>
      </c>
      <c r="C1000">
        <f>Utilities!$B$9+((Utilities!$B$7-Utilities!$B$9)*EXP(-$B$2*A1000))</f>
        <v>0.50000011275738854</v>
      </c>
      <c r="D1000">
        <f>EXP(-1*SQRT(Utilities!$B$5)/(IF($B$1="Linear",B1000,C1000)*Utilities!$B$11))</f>
        <v>1.2204498464655752E-5</v>
      </c>
      <c r="E1000">
        <f>EXP(-1*SQRT(Utilities!$B$5/20)/(IF($B$1="Linear",B1000,C1000)*Utilities!$B$11))</f>
        <v>7.9673236099176509E-2</v>
      </c>
    </row>
    <row r="1001" spans="1:5" x14ac:dyDescent="0.3">
      <c r="A1001">
        <v>996</v>
      </c>
      <c r="B1001">
        <f>Utilities!$B$7+((Utilities!$B$9-Utilities!$B$7)*(A1001/Utilities!$B$1))</f>
        <v>45.069800000000001</v>
      </c>
      <c r="C1001">
        <f>Utilities!$B$9+((Utilities!$B$7-Utilities!$B$9)*EXP(-$B$2*A1001))</f>
        <v>0.50000011052464266</v>
      </c>
      <c r="D1001">
        <f>EXP(-1*SQRT(Utilities!$B$5)/(IF($B$1="Linear",B1001,C1001)*Utilities!$B$11))</f>
        <v>1.2204497848069258E-5</v>
      </c>
      <c r="E1001">
        <f>EXP(-1*SQRT(Utilities!$B$5/20)/(IF($B$1="Linear",B1001,C1001)*Utilities!$B$11))</f>
        <v>7.967323519911633E-2</v>
      </c>
    </row>
    <row r="1002" spans="1:5" x14ac:dyDescent="0.3">
      <c r="A1002">
        <v>997</v>
      </c>
      <c r="B1002">
        <f>Utilities!$B$7+((Utilities!$B$9-Utilities!$B$7)*(A1002/Utilities!$B$1))</f>
        <v>45.06485</v>
      </c>
      <c r="C1002">
        <f>Utilities!$B$9+((Utilities!$B$7-Utilities!$B$9)*EXP(-$B$2*A1002))</f>
        <v>0.50000010833610808</v>
      </c>
      <c r="D1002">
        <f>EXP(-1*SQRT(Utilities!$B$5)/(IF($B$1="Linear",B1002,C1002)*Utilities!$B$11))</f>
        <v>1.2204497243692018E-5</v>
      </c>
      <c r="E1002">
        <f>EXP(-1*SQRT(Utilities!$B$5/20)/(IF($B$1="Linear",B1002,C1002)*Utilities!$B$11))</f>
        <v>7.9673234316878547E-2</v>
      </c>
    </row>
    <row r="1003" spans="1:5" x14ac:dyDescent="0.3">
      <c r="A1003">
        <v>998</v>
      </c>
      <c r="B1003">
        <f>Utilities!$B$7+((Utilities!$B$9-Utilities!$B$7)*(A1003/Utilities!$B$1))</f>
        <v>45.059899999999999</v>
      </c>
      <c r="C1003">
        <f>Utilities!$B$9+((Utilities!$B$7-Utilities!$B$9)*EXP(-$B$2*A1003))</f>
        <v>0.5000001061909094</v>
      </c>
      <c r="D1003">
        <f>EXP(-1*SQRT(Utilities!$B$5)/(IF($B$1="Linear",B1003,C1003)*Utilities!$B$11))</f>
        <v>1.2204496651282261E-5</v>
      </c>
      <c r="E1003">
        <f>EXP(-1*SQRT(Utilities!$B$5/20)/(IF($B$1="Linear",B1003,C1003)*Utilities!$B$11))</f>
        <v>7.9673233452110262E-2</v>
      </c>
    </row>
    <row r="1004" spans="1:5" x14ac:dyDescent="0.3">
      <c r="A1004">
        <v>999</v>
      </c>
      <c r="B1004">
        <f>Utilities!$B$7+((Utilities!$B$9-Utilities!$B$7)*(A1004/Utilities!$B$1))</f>
        <v>45.054949999999998</v>
      </c>
      <c r="C1004">
        <f>Utilities!$B$9+((Utilities!$B$7-Utilities!$B$9)*EXP(-$B$2*A1004))</f>
        <v>0.50000010408818851</v>
      </c>
      <c r="D1004">
        <f>EXP(-1*SQRT(Utilities!$B$5)/(IF($B$1="Linear",B1004,C1004)*Utilities!$B$11))</f>
        <v>1.2204496070603029E-5</v>
      </c>
      <c r="E1004">
        <f>EXP(-1*SQRT(Utilities!$B$5/20)/(IF($B$1="Linear",B1004,C1004)*Utilities!$B$11))</f>
        <v>7.9673232604465516E-2</v>
      </c>
    </row>
    <row r="1005" spans="1:5" x14ac:dyDescent="0.3">
      <c r="A1005">
        <v>1000</v>
      </c>
      <c r="B1005">
        <f>Utilities!$B$7+((Utilities!$B$9-Utilities!$B$7)*(A1005/Utilities!$B$1))</f>
        <v>45.05</v>
      </c>
      <c r="C1005">
        <f>Utilities!$B$9+((Utilities!$B$7-Utilities!$B$9)*EXP(-$B$2*A1005))</f>
        <v>0.50000010202710432</v>
      </c>
      <c r="D1005">
        <f>EXP(-1*SQRT(Utilities!$B$5)/(IF($B$1="Linear",B1005,C1005)*Utilities!$B$11))</f>
        <v>1.2204495501422068E-5</v>
      </c>
      <c r="E1005">
        <f>EXP(-1*SQRT(Utilities!$B$5/20)/(IF($B$1="Linear",B1005,C1005)*Utilities!$B$11))</f>
        <v>7.9673231773605288E-2</v>
      </c>
    </row>
    <row r="1006" spans="1:5" x14ac:dyDescent="0.3">
      <c r="A1006">
        <v>1001</v>
      </c>
      <c r="B1006">
        <f>Utilities!$B$7+((Utilities!$B$9-Utilities!$B$7)*(A1006/Utilities!$B$1))</f>
        <v>45.045050000000003</v>
      </c>
      <c r="C1006">
        <f>Utilities!$B$9+((Utilities!$B$7-Utilities!$B$9)*EXP(-$B$2*A1006))</f>
        <v>0.50000010000683226</v>
      </c>
      <c r="D1006">
        <f>EXP(-1*SQRT(Utilities!$B$5)/(IF($B$1="Linear",B1006,C1006)*Utilities!$B$11))</f>
        <v>1.220449494351163E-5</v>
      </c>
      <c r="E1006">
        <f>EXP(-1*SQRT(Utilities!$B$5/20)/(IF($B$1="Linear",B1006,C1006)*Utilities!$B$11))</f>
        <v>7.967323095919715E-2</v>
      </c>
    </row>
  </sheetData>
  <mergeCells count="1">
    <mergeCell ref="D3:E3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Other!$A$1:$A$2</xm:f>
          </x14:formula1>
          <xm:sqref>B1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2"/>
  <sheetViews>
    <sheetView workbookViewId="0">
      <selection activeCell="E10" sqref="E10"/>
    </sheetView>
  </sheetViews>
  <sheetFormatPr defaultColWidth="8.88671875" defaultRowHeight="14.4" x14ac:dyDescent="0.3"/>
  <sheetData>
    <row r="1" spans="1:1" x14ac:dyDescent="0.3">
      <c r="A1" t="s">
        <v>21</v>
      </c>
    </row>
    <row r="2" spans="1:1" x14ac:dyDescent="0.3">
      <c r="A2" t="s">
        <v>22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pESRDsurvivalCurve</vt:lpstr>
      <vt:lpstr>Main</vt:lpstr>
      <vt:lpstr>Utilities</vt:lpstr>
      <vt:lpstr>Top100</vt:lpstr>
      <vt:lpstr>IterData</vt:lpstr>
      <vt:lpstr>CoolingFunction</vt:lpstr>
      <vt:lpstr>Other</vt:lpstr>
      <vt:lpstr>GOFchart</vt:lpstr>
    </vt:vector>
  </TitlesOfParts>
  <Company>Sunnybrook HSC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MJ Naimark</dc:creator>
  <cp:lastModifiedBy>Naimark, Dr. David</cp:lastModifiedBy>
  <dcterms:created xsi:type="dcterms:W3CDTF">2016-03-13T15:13:17Z</dcterms:created>
  <dcterms:modified xsi:type="dcterms:W3CDTF">2024-04-30T14:32:58Z</dcterms:modified>
</cp:coreProperties>
</file>